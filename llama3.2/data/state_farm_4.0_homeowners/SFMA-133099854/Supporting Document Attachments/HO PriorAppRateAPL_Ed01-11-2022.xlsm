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5.xml" ContentType="application/vnd.openxmlformats-officedocument.drawing+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8.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9.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drawings/drawing10.xml" ContentType="application/vnd.openxmlformats-officedocument.drawing+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11.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drawings/drawing12.xml" ContentType="application/vnd.openxmlformats-officedocument.drawing+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13.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drawings/drawing14.xml" ContentType="application/vnd.openxmlformats-officedocument.drawing+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drawings/drawing15.xml" ContentType="application/vnd.openxmlformats-officedocument.drawing+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16.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drawings/drawing17.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drawings/drawing18.xml" ContentType="application/vnd.openxmlformats-officedocument.drawing+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drawings/drawing19.xml" ContentType="application/vnd.openxmlformats-officedocument.drawing+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2\HO RDP RCUP 2-1-22 UG\HO Filing\Objections\2022-01-25\"/>
    </mc:Choice>
  </mc:AlternateContent>
  <bookViews>
    <workbookView xWindow="0" yWindow="45" windowWidth="14370" windowHeight="2640" tabRatio="848" firstSheet="2" activeTab="3"/>
  </bookViews>
  <sheets>
    <sheet name="Settings" sheetId="1" state="veryHidden" r:id="rId1"/>
    <sheet name="References" sheetId="3" state="veryHidden" r:id="rId2"/>
    <sheet name="Instructions" sheetId="30" r:id="rId3"/>
    <sheet name="1.General" sheetId="2" r:id="rId4"/>
    <sheet name="2.Group" sheetId="4" state="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hidden" r:id="rId14"/>
    <sheet name="12.1Model Disclosure" sheetId="32" r:id="rId15"/>
    <sheet name="12.2Model Disclosure" sheetId="33" r:id="rId16"/>
    <sheet name="12.3Model Disclosure" sheetId="34" r:id="rId17"/>
    <sheet name="12.4Model Disclosure" sheetId="35" r:id="rId18"/>
    <sheet name="12.5Model Disclosure" sheetId="36" r:id="rId19"/>
    <sheet name="12.6Model Disclosure" sheetId="37" r:id="rId20"/>
    <sheet name="12.7Model Disclosure" sheetId="38" r:id="rId21"/>
    <sheet name="12.8Model Disclosure" sheetId="39" r:id="rId22"/>
    <sheet name="12.9Model Disclosure" sheetId="40" r:id="rId23"/>
    <sheet name="12.10Model Disclosure" sheetId="41" r:id="rId24"/>
  </sheets>
  <functionGroups builtInGroupCount="18"/>
  <externalReferences>
    <externalReference r:id="rId25"/>
  </externalReferences>
  <definedNames>
    <definedName name="BureauSenior">Settings!$B$32</definedName>
    <definedName name="CDI_FileNo">Settings!$B$23</definedName>
    <definedName name="Change_Fees">Settings!$B$34</definedName>
    <definedName name="Co_Name">Settings!$B$21</definedName>
    <definedName name="Completed_By">Settings!$B$24</definedName>
    <definedName name="Completed_Date">Settings!$B$25</definedName>
    <definedName name="Connection_Test">Settings!$B$33</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orms">'9.Forms'!$A$33:$A$60</definedName>
    <definedName name="General_Line">Settings!$B$22</definedName>
    <definedName name="List_GeneralLine">References!$F$6:$F$27</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Disclosure'!$L$34</definedName>
    <definedName name="Model_Refresh" localSheetId="14">'12.1Model Disclosure'!$L$34</definedName>
    <definedName name="Model_Refresh" localSheetId="15">'12.2Model Disclosure'!$L$34</definedName>
    <definedName name="Model_Refresh" localSheetId="16">'12.3Model Disclosure'!$L$34</definedName>
    <definedName name="Model_Refresh" localSheetId="17">'12.4Model Disclosure'!$L$34</definedName>
    <definedName name="Model_Refresh" localSheetId="18">'12.5Model Disclosure'!$L$34</definedName>
    <definedName name="Model_Refresh" localSheetId="19">'12.6Model Disclosure'!$L$34</definedName>
    <definedName name="Model_Refresh" localSheetId="20">'12.7Model Disclosure'!$L$34</definedName>
    <definedName name="Model_Refresh" localSheetId="21">'12.8Model Disclosure'!$L$34</definedName>
    <definedName name="Model_Refresh" localSheetId="22">'12.9Model Disclosure'!$L$34</definedName>
    <definedName name="Model_Revision" localSheetId="23">'12.10Model Disclosure'!$G$34</definedName>
    <definedName name="Model_Revision" localSheetId="14">'12.1Model Disclosure'!$G$34</definedName>
    <definedName name="Model_Revision" localSheetId="15">'12.2Model Disclosure'!$G$34</definedName>
    <definedName name="Model_Revision" localSheetId="16">'12.3Model Disclosure'!$G$34</definedName>
    <definedName name="Model_Revision" localSheetId="17">'12.4Model Disclosure'!$G$34</definedName>
    <definedName name="Model_Revision" localSheetId="18">'12.5Model Disclosure'!$G$34</definedName>
    <definedName name="Model_Revision" localSheetId="19">'12.6Model Disclosure'!$G$34</definedName>
    <definedName name="Model_Revision" localSheetId="20">'12.7Model Disclosure'!$G$34</definedName>
    <definedName name="Model_Revision" localSheetId="21">'12.8Model Disclosure'!$G$34</definedName>
    <definedName name="Model_Revision" localSheetId="22">'12.9Model Disclosure'!$G$34</definedName>
    <definedName name="Model_RevisionNo" localSheetId="23">'12.10Model Disclosure'!$B$35</definedName>
    <definedName name="Model_RevisionNo" localSheetId="14">'12.1Model Disclosure'!$B$35</definedName>
    <definedName name="Model_RevisionNo" localSheetId="15">'12.2Model Disclosure'!$B$35</definedName>
    <definedName name="Model_RevisionNo" localSheetId="16">'12.3Model Disclosure'!$B$35</definedName>
    <definedName name="Model_RevisionNo" localSheetId="17">'12.4Model Disclosure'!$B$35</definedName>
    <definedName name="Model_RevisionNo" localSheetId="18">'12.5Model Disclosure'!$B$35</definedName>
    <definedName name="Model_RevisionNo" localSheetId="19">'12.6Model Disclosure'!$B$35</definedName>
    <definedName name="Model_RevisionNo" localSheetId="20">'12.7Model Disclosure'!$B$35</definedName>
    <definedName name="Model_RevisionNo" localSheetId="21">'12.8Model Disclosure'!$B$35</definedName>
    <definedName name="Model_RevisionNo" localSheetId="22">'12.9Model Disclosure'!$B$35</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Disclosure'!$A$1:$P$45</definedName>
    <definedName name="_xlnm.Print_Area" localSheetId="14">'12.1Model Disclosure'!$A$1:$P$45</definedName>
    <definedName name="_xlnm.Print_Area" localSheetId="15">'12.2Model Disclosure'!$A$1:$P$45</definedName>
    <definedName name="_xlnm.Print_Area" localSheetId="16">'12.3Model Disclosure'!$A$1:$P$45</definedName>
    <definedName name="_xlnm.Print_Area" localSheetId="17">'12.4Model Disclosure'!$A$1:$P$45</definedName>
    <definedName name="_xlnm.Print_Area" localSheetId="18">'12.5Model Disclosure'!$A$1:$P$45</definedName>
    <definedName name="_xlnm.Print_Area" localSheetId="19">'12.6Model Disclosure'!$A$1:$P$45</definedName>
    <definedName name="_xlnm.Print_Area" localSheetId="20">'12.7Model Disclosure'!$A$1:$P$45</definedName>
    <definedName name="_xlnm.Print_Area" localSheetId="21">'12.8Model Disclosure'!$A$1:$P$45</definedName>
    <definedName name="_xlnm.Print_Area" localSheetId="22">'12.9Model Disclosure'!$A$1:$P$45</definedName>
    <definedName name="_xlnm.Print_Area" localSheetId="4">'2.Group'!$A$1:$F$103</definedName>
    <definedName name="_xlnm.Print_Area" localSheetId="5">'3.Filing Type and Checklist'!$A$1:$G$64</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'9.Forms'!$A$1:$L$75</definedName>
    <definedName name="_xlnm.Print_Area" localSheetId="2">Instructions!$A$1:$B$9</definedName>
    <definedName name="_xlnm.Print_Area" localSheetId="0">Settings!$A$1:$B$34</definedName>
    <definedName name="_xlnm.Print_Titles" localSheetId="4">'2.Group'!$1:$11</definedName>
    <definedName name="_xlnm.Print_Titles" localSheetId="8">'6.Program Detail'!$1:$3</definedName>
    <definedName name="SuperGroup">"Drop Down 117"</definedName>
  </definedNames>
  <calcPr calcId="152511"/>
</workbook>
</file>

<file path=xl/calcChain.xml><?xml version="1.0" encoding="utf-8"?>
<calcChain xmlns="http://schemas.openxmlformats.org/spreadsheetml/2006/main">
  <c r="I43" i="41" l="1"/>
  <c r="K40" i="41"/>
  <c r="I43" i="40"/>
  <c r="K40" i="40"/>
  <c r="I43" i="39"/>
  <c r="K40" i="39"/>
  <c r="I43" i="38"/>
  <c r="K40" i="38"/>
  <c r="I43" i="37"/>
  <c r="K40" i="37"/>
  <c r="I43" i="36"/>
  <c r="K40" i="36"/>
  <c r="I43" i="35"/>
  <c r="K40" i="35"/>
  <c r="I43" i="34"/>
  <c r="K40" i="34"/>
  <c r="M56" i="21" l="1"/>
  <c r="M49" i="21"/>
  <c r="M42" i="21"/>
  <c r="M28" i="21"/>
  <c r="M21" i="21"/>
  <c r="M35" i="21"/>
  <c r="M54" i="21"/>
  <c r="M47" i="21"/>
  <c r="M40" i="21"/>
  <c r="M26" i="21"/>
  <c r="M19" i="21"/>
  <c r="M33" i="21"/>
  <c r="A19" i="21" l="1"/>
  <c r="A33" i="21" l="1"/>
  <c r="A40" i="21" s="1"/>
  <c r="A47" i="21" s="1"/>
  <c r="A54" i="21" s="1"/>
  <c r="A26" i="21" l="1"/>
  <c r="A39" i="2" l="1"/>
  <c r="M27" i="21" l="1"/>
  <c r="M20" i="21" l="1"/>
  <c r="Y5" i="3" l="1"/>
  <c r="U19" i="3" s="1"/>
  <c r="I43" i="33" l="1"/>
  <c r="K40" i="33"/>
  <c r="V19" i="3" l="1"/>
  <c r="I43" i="32" l="1"/>
  <c r="K40" i="32" l="1"/>
  <c r="H11" i="5" l="1"/>
  <c r="M55" i="21" l="1"/>
  <c r="M48" i="21"/>
  <c r="M41" i="21"/>
  <c r="M34" i="21"/>
  <c r="O5" i="3" l="1"/>
  <c r="E12" i="5" l="1"/>
  <c r="H12" i="5" s="1"/>
  <c r="U42" i="3"/>
  <c r="U38" i="3"/>
  <c r="U34" i="3"/>
  <c r="U18" i="3"/>
  <c r="U9" i="3"/>
  <c r="R5" i="3"/>
  <c r="Q5" i="3"/>
  <c r="P5" i="3"/>
  <c r="H10" i="5"/>
  <c r="H9" i="5"/>
  <c r="H8" i="5"/>
  <c r="H7" i="5"/>
  <c r="H6" i="5"/>
  <c r="H4" i="5"/>
  <c r="A17" i="5" l="1"/>
  <c r="N5" i="3" s="1"/>
  <c r="U53" i="3"/>
  <c r="V53" i="3" s="1"/>
  <c r="V42" i="3"/>
  <c r="V38" i="3"/>
  <c r="V34" i="3"/>
  <c r="V21" i="3"/>
  <c r="V18" i="3"/>
  <c r="V9" i="3"/>
  <c r="U17" i="3" l="1"/>
  <c r="V17" i="3" s="1"/>
  <c r="U20" i="3"/>
  <c r="V20" i="3" s="1"/>
  <c r="U43" i="3"/>
  <c r="V43" i="3" s="1"/>
  <c r="U22" i="3"/>
  <c r="V22" i="3" s="1"/>
  <c r="U26" i="3"/>
  <c r="V26" i="3" s="1"/>
  <c r="U28" i="3"/>
  <c r="V28" i="3" s="1"/>
  <c r="U30" i="3"/>
  <c r="V30" i="3" s="1"/>
  <c r="U32" i="3"/>
  <c r="V32" i="3" s="1"/>
  <c r="U36" i="3"/>
  <c r="V36" i="3" s="1"/>
  <c r="U40" i="3"/>
  <c r="V40" i="3" s="1"/>
  <c r="U44" i="3"/>
  <c r="V44" i="3" s="1"/>
  <c r="U46" i="3"/>
  <c r="V46" i="3" s="1"/>
  <c r="U48" i="3"/>
  <c r="V48" i="3" s="1"/>
  <c r="U50" i="3"/>
  <c r="V50" i="3" s="1"/>
  <c r="U52" i="3"/>
  <c r="V52" i="3" s="1"/>
  <c r="U8" i="3"/>
  <c r="V8" i="3" s="1"/>
  <c r="U10" i="3"/>
  <c r="V10" i="3" s="1"/>
  <c r="U12" i="3"/>
  <c r="V12" i="3" s="1"/>
  <c r="U14" i="3"/>
  <c r="V14" i="3" s="1"/>
  <c r="U16" i="3"/>
  <c r="V16" i="3" s="1"/>
  <c r="U45" i="3"/>
  <c r="V45" i="3" s="1"/>
  <c r="U47" i="3"/>
  <c r="V47" i="3" s="1"/>
  <c r="U49" i="3"/>
  <c r="V49" i="3" s="1"/>
  <c r="U51" i="3"/>
  <c r="V51" i="3" s="1"/>
  <c r="U24" i="3"/>
  <c r="V24" i="3" s="1"/>
  <c r="U23" i="3"/>
  <c r="V23" i="3" s="1"/>
  <c r="U25" i="3"/>
  <c r="V25" i="3" s="1"/>
  <c r="U27" i="3"/>
  <c r="V27" i="3" s="1"/>
  <c r="U29" i="3"/>
  <c r="V29" i="3" s="1"/>
  <c r="U31" i="3"/>
  <c r="V31" i="3" s="1"/>
  <c r="U33" i="3"/>
  <c r="V33" i="3" s="1"/>
  <c r="U35" i="3"/>
  <c r="V35" i="3" s="1"/>
  <c r="U37" i="3"/>
  <c r="V37" i="3" s="1"/>
  <c r="U39" i="3"/>
  <c r="V39" i="3" s="1"/>
  <c r="U41" i="3"/>
  <c r="V41" i="3" s="1"/>
  <c r="U11" i="3"/>
  <c r="V11" i="3" s="1"/>
  <c r="U13" i="3"/>
  <c r="V13" i="3" s="1"/>
  <c r="U15" i="3"/>
  <c r="V15" i="3" s="1"/>
  <c r="V5" i="3" l="1"/>
  <c r="G8" i="17"/>
  <c r="G7" i="17" l="1"/>
  <c r="L30" i="2" l="1"/>
  <c r="L32" i="2" l="1"/>
  <c r="L28" i="2"/>
  <c r="F28" i="23" l="1"/>
  <c r="B13" i="4" l="1"/>
  <c r="B28" i="1" l="1"/>
  <c r="B32" i="1" s="1"/>
  <c r="E24" i="2" l="1"/>
  <c r="B29" i="1" l="1"/>
  <c r="B30" i="1"/>
  <c r="B31" i="1"/>
  <c r="L39" i="2" l="1"/>
  <c r="H39" i="2"/>
  <c r="M37" i="2"/>
  <c r="L43" i="2"/>
  <c r="C100" i="4" l="1"/>
  <c r="C94" i="4"/>
  <c r="C76" i="4"/>
  <c r="C82" i="4"/>
  <c r="C88" i="4"/>
  <c r="C70" i="4"/>
  <c r="C64" i="4"/>
  <c r="C58" i="4"/>
  <c r="C52" i="4"/>
  <c r="C46" i="4"/>
  <c r="C40" i="4"/>
  <c r="C34" i="4"/>
  <c r="C28" i="4"/>
  <c r="C22" i="4"/>
  <c r="G20" i="15" l="1"/>
  <c r="G13" i="6" l="1"/>
  <c r="G14" i="6"/>
  <c r="G15" i="6"/>
  <c r="G16" i="6"/>
  <c r="G17" i="6"/>
  <c r="G18" i="6"/>
  <c r="G19" i="6"/>
  <c r="G20" i="6"/>
  <c r="G21" i="6"/>
  <c r="G12" i="6"/>
  <c r="C16" i="4" l="1"/>
  <c r="L41" i="2" l="1"/>
  <c r="L37" i="2"/>
  <c r="M36" i="2" l="1"/>
  <c r="N34" i="2"/>
  <c r="M34" i="2"/>
  <c r="N36" i="2" l="1"/>
  <c r="N30" i="2"/>
  <c r="M30" i="2"/>
  <c r="B23" i="1" l="1"/>
  <c r="G9" i="6" l="1"/>
  <c r="G8" i="6"/>
  <c r="B15" i="4" l="1"/>
  <c r="A16" i="4"/>
  <c r="H24" i="2" l="1"/>
  <c r="E22" i="6" l="1"/>
  <c r="C22" i="6" s="1"/>
  <c r="A100" i="4" l="1"/>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1" i="1" l="1"/>
  <c r="B24" i="1"/>
  <c r="E20" i="16"/>
  <c r="E13" i="16"/>
  <c r="J1" i="31" l="1"/>
  <c r="P1" i="39"/>
  <c r="P1" i="41"/>
  <c r="P1" i="38"/>
  <c r="P1" i="37"/>
  <c r="P1" i="36"/>
  <c r="P1" i="40"/>
  <c r="P1" i="34"/>
  <c r="P1" i="35"/>
  <c r="L1" i="21"/>
  <c r="P1" i="33"/>
  <c r="P1" i="32"/>
  <c r="G47" i="18"/>
  <c r="G23" i="18"/>
  <c r="I28" i="3"/>
  <c r="F19" i="15"/>
  <c r="F21" i="15" s="1"/>
  <c r="E19" i="15"/>
  <c r="E21" i="15" s="1"/>
  <c r="D19" i="15"/>
  <c r="D21" i="15" s="1"/>
  <c r="B22" i="1"/>
  <c r="D22" i="6"/>
  <c r="F21" i="6"/>
  <c r="F20" i="6"/>
  <c r="F19" i="6"/>
  <c r="F18" i="6"/>
  <c r="F17" i="6"/>
  <c r="F16" i="6"/>
  <c r="F15" i="6"/>
  <c r="F14" i="6"/>
  <c r="F13" i="6"/>
  <c r="F12" i="6"/>
  <c r="I1" i="2"/>
  <c r="B20" i="1"/>
  <c r="P2" i="40" l="1"/>
  <c r="P2" i="41"/>
  <c r="P2" i="38"/>
  <c r="P2" i="39"/>
  <c r="P2" i="36"/>
  <c r="P2" i="37"/>
  <c r="P2" i="34"/>
  <c r="P2" i="35"/>
  <c r="J2" i="31"/>
  <c r="B4" i="31" s="1"/>
  <c r="L2" i="21"/>
  <c r="P2" i="33"/>
  <c r="P2" i="32"/>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alcChain>
</file>

<file path=xl/comments1.xml><?xml version="1.0" encoding="utf-8"?>
<comments xmlns="http://schemas.openxmlformats.org/spreadsheetml/2006/main">
  <authors>
    <author>Lynne, Wehmueller</author>
  </authors>
  <commentList>
    <comment ref="B6" authorId="0" shapeId="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<sst xmlns="http://schemas.openxmlformats.org/spreadsheetml/2006/main" count="1666" uniqueCount="547">
  <si>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</si>
  <si>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</si>
  <si>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</si>
  <si>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</si>
  <si>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</si>
  <si>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</si>
  <si>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</si>
  <si>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</si>
  <si>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</si>
  <si>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</si>
  <si>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</si>
  <si>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</si>
  <si>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</si>
  <si>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</si>
  <si>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</si>
  <si>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</si>
  <si>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</si>
  <si>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</si>
  <si>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</si>
  <si>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</si>
  <si>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</si>
  <si>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</si>
  <si>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</si>
  <si>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</si>
  <si>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</si>
  <si>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</si>
  <si>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</si>
  <si>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</si>
  <si>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</si>
  <si>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</si>
  <si>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</si>
  <si>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</si>
  <si>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</si>
  <si>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</si>
  <si>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</si>
  <si>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</si>
  <si>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</si>
  <si>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Auto Warranty</t>
  </si>
  <si>
    <t>Boiler &amp; Machinery</t>
  </si>
  <si>
    <t>Burglary &amp; Theft</t>
  </si>
  <si>
    <t>Earthquake</t>
  </si>
  <si>
    <t>Farmowners</t>
  </si>
  <si>
    <t>Fidelity</t>
  </si>
  <si>
    <t>Fire</t>
  </si>
  <si>
    <t>Flood</t>
  </si>
  <si>
    <t>Homeowners</t>
  </si>
  <si>
    <t>Home Warranty</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</si>
  <si>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</si>
  <si>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</si>
  <si>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</si>
  <si>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</si>
  <si>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</si>
  <si>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</si>
  <si>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</si>
  <si>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</si>
  <si>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</si>
  <si>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</si>
  <si>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</si>
  <si>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</si>
  <si>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</si>
  <si>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</si>
  <si>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</si>
  <si>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</si>
  <si>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</si>
  <si>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</si>
  <si>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</si>
  <si>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</si>
  <si>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</si>
  <si>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</si>
  <si>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</si>
  <si>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</si>
  <si>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</si>
  <si>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</si>
  <si>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</si>
  <si>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</si>
  <si>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</si>
  <si>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</si>
  <si>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</si>
  <si>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</si>
  <si>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</si>
  <si>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</si>
  <si>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</si>
  <si>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</si>
  <si>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</si>
  <si>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</si>
  <si>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</si>
  <si>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</si>
  <si>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</si>
  <si>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</si>
  <si>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</si>
  <si>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</si>
  <si>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</si>
  <si>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</si>
  <si>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</si>
  <si>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</si>
  <si>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</si>
  <si>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</si>
  <si>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</si>
  <si>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</si>
  <si>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</si>
  <si>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</si>
  <si>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</si>
  <si>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</si>
  <si>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</si>
  <si>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</si>
  <si>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</si>
  <si>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</si>
  <si>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</si>
  <si>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</si>
  <si>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</si>
  <si>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</si>
  <si>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</si>
  <si>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</si>
  <si>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</si>
  <si>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</si>
  <si>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</si>
  <si>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</si>
  <si>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</si>
  <si>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</si>
  <si>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</si>
  <si>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</si>
  <si>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</si>
  <si>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</si>
  <si>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</si>
  <si>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</si>
  <si>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</si>
  <si>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</si>
  <si>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</si>
  <si>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</si>
  <si>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</si>
  <si>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</si>
  <si>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</si>
  <si>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</si>
  <si>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</si>
  <si>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</si>
  <si>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</si>
  <si>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</si>
  <si>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</si>
  <si>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</si>
  <si>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</si>
  <si>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</si>
  <si>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</si>
  <si>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</si>
  <si>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</si>
  <si>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</si>
  <si>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</si>
  <si>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</si>
  <si>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</si>
  <si>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</si>
  <si>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</si>
  <si>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</si>
  <si>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</si>
  <si>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</si>
  <si>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</si>
  <si>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</si>
  <si>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</si>
  <si>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</si>
  <si>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</si>
  <si>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</si>
  <si>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</si>
  <si>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</si>
  <si>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</si>
  <si>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</si>
  <si>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</si>
  <si>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</si>
  <si>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</si>
  <si>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</si>
  <si>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</si>
  <si>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</si>
  <si>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</si>
  <si>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</si>
  <si>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</si>
  <si>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YYYY</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</si>
  <si>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</si>
  <si>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</si>
  <si>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</si>
  <si>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</si>
  <si>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</si>
  <si>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</si>
  <si>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</si>
  <si>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</si>
  <si>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</si>
  <si>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</si>
  <si>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</si>
  <si>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</si>
  <si>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</si>
  <si>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</si>
  <si>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</si>
  <si>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</si>
  <si>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</si>
  <si>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</si>
  <si>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</si>
  <si>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</si>
  <si>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Category</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</si>
  <si>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</si>
  <si>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</si>
  <si>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</si>
  <si>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</si>
  <si>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</si>
  <si>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</si>
  <si>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</si>
  <si>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</si>
  <si>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</si>
  <si>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</si>
  <si>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</si>
  <si>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</si>
  <si>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</si>
  <si>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</si>
  <si>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</si>
  <si>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</si>
  <si>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</si>
  <si>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</si>
  <si>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</si>
  <si>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</si>
  <si>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</si>
  <si>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</si>
  <si>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</si>
  <si>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</si>
  <si>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</si>
  <si>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</si>
  <si>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</si>
  <si>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</si>
  <si>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</si>
  <si>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</si>
  <si>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</si>
  <si>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</si>
  <si>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</si>
  <si>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</si>
  <si>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</si>
  <si>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</si>
  <si>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</si>
  <si>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</si>
  <si>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</si>
  <si>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</si>
  <si>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</si>
  <si>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</si>
  <si>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</si>
  <si>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</si>
  <si>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</si>
  <si>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</si>
  <si>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</si>
  <si>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</si>
  <si>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</si>
  <si>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</si>
  <si>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</si>
  <si>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</si>
  <si>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</si>
  <si>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</si>
  <si>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</si>
  <si>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</si>
  <si>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</si>
  <si>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</si>
  <si>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</si>
  <si>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</si>
  <si>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</si>
  <si>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</si>
  <si>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</si>
  <si>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</si>
  <si>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</si>
  <si>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</si>
  <si>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</si>
  <si>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</si>
  <si>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</si>
  <si>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</si>
  <si>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</si>
  <si>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</si>
  <si>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</si>
  <si>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</si>
  <si>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</si>
  <si>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</si>
  <si>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</si>
  <si>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</si>
  <si>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</si>
  <si>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</si>
  <si>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</si>
  <si>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</si>
  <si>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</si>
  <si>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</si>
  <si>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</si>
  <si>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</si>
  <si>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</si>
  <si>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</si>
  <si>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</si>
  <si>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</si>
  <si>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</si>
  <si>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</si>
  <si>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</si>
  <si>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</si>
  <si>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</si>
  <si>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</si>
  <si>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</si>
  <si>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</si>
  <si>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</si>
  <si>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</si>
  <si>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</si>
  <si>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</si>
  <si>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</si>
  <si>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</si>
  <si>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</si>
  <si>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</si>
  <si>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</si>
  <si>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</si>
  <si>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</si>
  <si>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</si>
  <si>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</si>
  <si>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</si>
  <si>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</si>
  <si>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</si>
  <si>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</si>
  <si>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</si>
  <si>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</si>
  <si>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</si>
  <si>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</si>
  <si>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</si>
  <si>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</si>
  <si>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</si>
  <si>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</si>
  <si>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</si>
  <si>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</si>
  <si>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</si>
  <si>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</si>
  <si>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</si>
  <si>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</si>
  <si>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</si>
  <si>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</si>
  <si>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</si>
  <si>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</si>
  <si>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</si>
  <si>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</si>
  <si>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</si>
  <si>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</si>
  <si>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</si>
  <si>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</si>
  <si>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</si>
  <si>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</si>
  <si>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</si>
  <si>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</si>
  <si>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</si>
  <si>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</si>
  <si>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</si>
  <si>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</si>
  <si>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</si>
  <si>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</si>
  <si>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</si>
  <si>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</si>
  <si>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</si>
  <si>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</si>
  <si>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</si>
  <si>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</si>
  <si>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</si>
  <si>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</si>
  <si>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</si>
  <si>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</si>
  <si>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</si>
  <si>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</si>
  <si>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</si>
  <si>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</si>
  <si>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</si>
  <si>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</si>
  <si>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</si>
  <si>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</si>
  <si>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</si>
  <si>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</si>
  <si>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</si>
  <si>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</si>
  <si>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</si>
  <si>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</si>
  <si>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</si>
  <si>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</si>
  <si>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</si>
  <si>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</si>
  <si>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</si>
  <si>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</si>
  <si>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</si>
  <si>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</si>
  <si>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</si>
  <si>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</si>
  <si>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</si>
  <si>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</si>
  <si>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</si>
  <si>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</si>
  <si>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</si>
  <si>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</si>
  <si>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</si>
  <si>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</si>
  <si>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</si>
  <si>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</si>
  <si>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</si>
  <si>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</si>
  <si>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</si>
  <si>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</si>
  <si>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</si>
  <si>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</si>
  <si>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Underwriting Guidelines</t>
  </si>
  <si>
    <t>Complete Printed Rate and Rule Manual Pages</t>
  </si>
  <si>
    <t>Filing Type and Filing Checklist, Page 3</t>
  </si>
  <si>
    <r>
      <t>1</t>
    </r>
    <r>
      <rPr>
        <sz val="11"/>
        <color rgb="FF000000"/>
        <rFont val="Calibri"/>
        <family val="2"/>
        <scheme val="minor"/>
      </rPr>
      <t xml:space="preserve"> See Prior Approval Rate Filing Instructions.</t>
    </r>
  </si>
  <si>
    <r>
      <t>2</t>
    </r>
    <r>
      <rPr>
        <sz val="11"/>
        <color rgb="FF000000"/>
        <rFont val="Calibri"/>
        <family val="2"/>
        <scheme val="minor"/>
      </rPr>
      <t xml:space="preserve"> Attach all independent forms and list all advisory organization forms.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</si>
  <si>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</si>
  <si>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</si>
  <si>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</si>
  <si>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</si>
  <si>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</si>
  <si>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</si>
  <si>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</si>
  <si>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r>
      <rPr>
        <b/>
        <sz val="11"/>
        <color theme="1"/>
        <rFont val="Calibri"/>
        <family val="2"/>
        <scheme val="minor"/>
      </rPr>
      <t xml:space="preserve">2.  </t>
    </r>
    <r>
      <rPr>
        <sz val="11"/>
        <color theme="1"/>
        <rFont val="Calibri"/>
        <family val="2"/>
        <scheme val="minor"/>
      </rPr>
      <t xml:space="preserve">  Is this a Rate filing?</t>
    </r>
  </si>
  <si>
    <r>
      <rPr>
        <b/>
        <sz val="11"/>
        <color theme="1"/>
        <rFont val="Calibri"/>
        <family val="2"/>
        <scheme val="minor"/>
      </rPr>
      <t>3.a.</t>
    </r>
    <r>
      <rPr>
        <sz val="11"/>
        <color theme="1"/>
        <rFont val="Calibri"/>
        <family val="2"/>
        <scheme val="minor"/>
      </rPr>
      <t xml:space="preserve"> Do the Rule change(s) have a rate impact?</t>
    </r>
  </si>
  <si>
    <r>
      <rPr>
        <b/>
        <sz val="11"/>
        <color theme="1"/>
        <rFont val="Calibri"/>
        <family val="2"/>
        <scheme val="minor"/>
      </rPr>
      <t>4.a.</t>
    </r>
    <r>
      <rPr>
        <sz val="11"/>
        <color theme="1"/>
        <rFont val="Calibri"/>
        <family val="2"/>
        <scheme val="minor"/>
      </rPr>
      <t xml:space="preserve"> Do the Form change(s) have a rate impact?</t>
    </r>
  </si>
  <si>
    <t xml:space="preserve">Question 3: Rule change(s) include new rule(s) and changes to existing rule(s). </t>
  </si>
  <si>
    <t xml:space="preserve">Question 4: Form change(s) include new, withdrawn or replacement form(s). </t>
  </si>
  <si>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</si>
  <si>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</si>
  <si>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</si>
  <si>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</si>
  <si>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</si>
  <si>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</si>
  <si>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</si>
  <si>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</si>
  <si>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</si>
  <si>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</si>
  <si>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</si>
  <si>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r>
      <rPr>
        <b/>
        <sz val="11"/>
        <color theme="1"/>
        <rFont val="Calibri"/>
        <family val="2"/>
        <scheme val="minor"/>
      </rPr>
      <t xml:space="preserve">3.  </t>
    </r>
    <r>
      <rPr>
        <sz val="11"/>
        <color theme="1"/>
        <rFont val="Calibri"/>
        <family val="2"/>
        <scheme val="minor"/>
      </rPr>
      <t xml:space="preserve">  Does this filing propose new Rule(s) or any changes to Rule(s)?</t>
    </r>
  </si>
  <si>
    <r>
      <rPr>
        <b/>
        <sz val="11"/>
        <color theme="1"/>
        <rFont val="Calibri"/>
        <family val="2"/>
        <scheme val="minor"/>
      </rPr>
      <t xml:space="preserve">4.   </t>
    </r>
    <r>
      <rPr>
        <sz val="11"/>
        <color theme="1"/>
        <rFont val="Calibri"/>
        <family val="2"/>
        <scheme val="minor"/>
      </rPr>
      <t xml:space="preserve"> Does this filing propose new Form(s) or any changes to Form(s)?</t>
    </r>
  </si>
  <si>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</si>
  <si>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</si>
  <si>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</si>
  <si>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</si>
  <si>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</si>
  <si>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</si>
  <si>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</si>
  <si>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</si>
  <si>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</si>
  <si>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</si>
  <si>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</si>
  <si>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</si>
  <si>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</si>
  <si>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</si>
  <si>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r>
      <t>5.</t>
    </r>
    <r>
      <rPr>
        <sz val="11"/>
        <color theme="1"/>
        <rFont val="Calibri"/>
        <family val="2"/>
        <scheme val="minor"/>
      </rPr>
      <t xml:space="preserve">    Does this filing include a variance request? (as per '1.General')</t>
    </r>
  </si>
  <si>
    <t>Error Messages, if Any, Associated with Information to the Left</t>
  </si>
  <si>
    <t>Change_Fees</t>
  </si>
  <si>
    <t>Outside Firm</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</si>
  <si>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</si>
  <si>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</si>
  <si>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</si>
  <si>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</si>
  <si>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</si>
  <si>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</si>
  <si>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</si>
  <si>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</si>
  <si>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</si>
  <si>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Multivariate Adaptive Regression Splines</t>
  </si>
  <si>
    <t>Machine Learning</t>
  </si>
  <si>
    <t>Logistic Regression</t>
  </si>
  <si>
    <t>Generalized Linear Model</t>
  </si>
  <si>
    <t>Decision Trees</t>
  </si>
  <si>
    <t>Cluster Analysis</t>
  </si>
  <si>
    <t>Model Structure:</t>
  </si>
  <si>
    <t>Wildfire</t>
  </si>
  <si>
    <t>Territory</t>
  </si>
  <si>
    <t>Rating Plan</t>
  </si>
  <si>
    <t>Fire Following Earthquake</t>
  </si>
  <si>
    <t>Non-Catastrophe Model Type (check all that apply):</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</si>
  <si>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</si>
  <si>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</si>
  <si>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</si>
  <si>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</si>
  <si>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</si>
  <si>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</si>
  <si>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</si>
  <si>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</si>
  <si>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</si>
  <si>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Type:</t>
  </si>
  <si>
    <t>Model Name/Model Version:</t>
  </si>
  <si>
    <t>Other:</t>
  </si>
  <si>
    <t>MODEL DISCLOSURE</t>
  </si>
  <si>
    <t>Proposed Overall Rate Change for Filing:</t>
  </si>
  <si>
    <t>Model Disclosure</t>
  </si>
  <si>
    <t>Number of Pages</t>
  </si>
  <si>
    <t>Model Disclosure(s), Page 12</t>
  </si>
  <si>
    <t>Affidavit</t>
  </si>
  <si>
    <t>Other Liability and Product Liability</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</si>
  <si>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</si>
  <si>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</si>
  <si>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</si>
  <si>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</si>
  <si>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</si>
  <si>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</si>
  <si>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</si>
  <si>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</si>
  <si>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Fire Folloing Earthquake</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</si>
  <si>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</si>
  <si>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</si>
  <si>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</si>
  <si>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</si>
  <si>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</si>
  <si>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</si>
  <si>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</si>
  <si>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</si>
  <si>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</si>
  <si>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</si>
  <si>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</si>
  <si>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(1)  Insurance Services Organization (ISO)</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</si>
  <si>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</si>
  <si>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</si>
  <si>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</si>
  <si>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</si>
  <si>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</si>
  <si>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</si>
  <si>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</si>
  <si>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</si>
  <si>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</si>
  <si>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</si>
  <si>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</si>
  <si>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</si>
  <si>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t>1/11/2022</t>
  </si>
  <si>
    <t>Nicole Pettis</t>
  </si>
  <si>
    <t>HO-44712</t>
  </si>
  <si>
    <t>None</t>
  </si>
  <si>
    <t>21-2474</t>
  </si>
  <si>
    <t>State Farm General Insurance Company</t>
  </si>
  <si>
    <t>State Farm Insurance Companies</t>
  </si>
  <si>
    <t>Illinois</t>
  </si>
  <si>
    <t>One State Farm Plaza; Bloomington, Illinois 61710</t>
  </si>
  <si>
    <t>Adam Swope, Actuary and Assistant Vice President</t>
  </si>
  <si>
    <t>(309) 766-0225</t>
  </si>
  <si>
    <t>adam.swope.hdbi@statefarm.com</t>
  </si>
  <si>
    <t>One State Farm Plaza, D-4; Bloomington, IL 61710</t>
  </si>
  <si>
    <t>CoreLogic RQE v18</t>
  </si>
  <si>
    <t>N/A</t>
  </si>
  <si>
    <t>AIR Touchstone v6</t>
  </si>
  <si>
    <t>RMS RiskLink 18.1</t>
  </si>
  <si>
    <t>Fire Following EQ</t>
  </si>
  <si>
    <t>CoreLogic RQE v19.0</t>
  </si>
  <si>
    <t>AIR Touchstone 7.0</t>
  </si>
  <si>
    <t>RMS RiskLink 17.0.1</t>
  </si>
  <si>
    <t>CoreLogic RQE v17.0</t>
  </si>
  <si>
    <t>AIR Touchstone 6.0</t>
  </si>
  <si>
    <t>Risk Management Solutions, Inc</t>
  </si>
  <si>
    <t>GRID Fire Model</t>
  </si>
  <si>
    <t>AIR Worldwide Corporation</t>
  </si>
  <si>
    <t xml:space="preserve">CoreLogic, Inc. </t>
  </si>
  <si>
    <t>Probabilistic</t>
  </si>
  <si>
    <t>21-1404</t>
  </si>
  <si>
    <t>SFMA-132818767</t>
  </si>
  <si>
    <t>lzJdKTRx</t>
  </si>
  <si>
    <t xml:space="preserve">Corelogic Brushfire and Firebreak+     
</t>
  </si>
  <si>
    <t xml:space="preserve">Deterministic model where the four wildfire risk factors (low, moderate, high or very high) are used to determine eligibility.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</si>
</sst>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3"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sz val="11"/>
      <color rgb="FFFFC000"/>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name val="Segoe UI"/>
      <family val="2"/>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631">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pplyProtection="1">
      <alignment horizontal="centerContinuous" vertical="center"/>
    </xf>
    <xf numFmtId="0" fontId="0" fillId="0" borderId="0" xfId="0" applyAlignment="1" applyProtection="1">
      <alignment horizontal="centerContinuous" vertical="center"/>
    </xf>
    <xf numFmtId="0" fontId="0" fillId="0" borderId="0" xfId="0" applyAlignment="1" applyProtection="1">
      <alignment vertical="center"/>
    </xf>
    <xf numFmtId="0" fontId="0" fillId="0" borderId="0" xfId="0" applyProtection="1"/>
    <xf numFmtId="0" fontId="0" fillId="0" borderId="0" xfId="0" applyAlignment="1" applyProtection="1">
      <alignment horizontal="right"/>
    </xf>
    <xf numFmtId="0" fontId="7" fillId="0" borderId="0" xfId="0" applyFont="1" applyAlignment="1" applyProtection="1">
      <alignment vertical="center"/>
    </xf>
    <xf numFmtId="164" fontId="9" fillId="0" borderId="0" xfId="0" applyNumberFormat="1" applyFont="1" applyBorder="1" applyAlignment="1" applyProtection="1">
      <alignment horizontal="center" vertical="center"/>
    </xf>
    <xf numFmtId="0" fontId="10" fillId="0" borderId="0" xfId="0" applyFont="1" applyAlignment="1" applyProtection="1">
      <alignment vertical="center"/>
    </xf>
    <xf numFmtId="0" fontId="0" fillId="0" borderId="0" xfId="0" applyAlignment="1" applyProtection="1">
      <alignment horizontal="right" vertical="center"/>
    </xf>
    <xf numFmtId="0" fontId="0" fillId="0" borderId="0" xfId="0" applyBorder="1" applyAlignment="1" applyProtection="1">
      <alignment vertical="center"/>
    </xf>
    <xf numFmtId="0" fontId="0" fillId="0" borderId="0" xfId="0" applyAlignment="1" applyProtection="1">
      <alignment horizontal="left" vertical="center"/>
    </xf>
    <xf numFmtId="0" fontId="0" fillId="0" borderId="0" xfId="0" applyFont="1" applyAlignment="1" applyProtection="1">
      <alignment horizontal="left" vertical="center"/>
    </xf>
    <xf numFmtId="0" fontId="0" fillId="0" borderId="0" xfId="0" applyBorder="1" applyProtection="1"/>
    <xf numFmtId="0" fontId="9" fillId="0" borderId="0" xfId="0" applyFont="1" applyAlignment="1" applyProtection="1">
      <alignment vertical="center"/>
    </xf>
    <xf numFmtId="0" fontId="7" fillId="0" borderId="0" xfId="0" applyFont="1" applyAlignment="1" applyProtection="1">
      <alignment horizontal="centerContinuous" vertical="center"/>
    </xf>
    <xf numFmtId="0" fontId="7" fillId="0" borderId="0" xfId="0" applyFont="1" applyAlignment="1" applyProtection="1">
      <alignment horizontal="centerContinuous"/>
    </xf>
    <xf numFmtId="0" fontId="7" fillId="0" borderId="0" xfId="0" applyFont="1" applyProtection="1"/>
    <xf numFmtId="0" fontId="12" fillId="0" borderId="0" xfId="0" applyFont="1" applyProtection="1"/>
    <xf numFmtId="0" fontId="0" fillId="0" borderId="0" xfId="0" applyAlignment="1" applyProtection="1">
      <alignment vertical="center"/>
      <protection locked="0"/>
    </xf>
    <xf numFmtId="0" fontId="0" fillId="0" borderId="0" xfId="0" applyAlignment="1" applyProtection="1">
      <alignment horizontal="left" vertical="center" indent="1"/>
    </xf>
    <xf numFmtId="0" fontId="0" fillId="0" borderId="0" xfId="0" applyFont="1"/>
    <xf numFmtId="0" fontId="14" fillId="0" borderId="0" xfId="0" applyFont="1" applyAlignment="1" applyProtection="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applyProtection="1"/>
    <xf numFmtId="0" fontId="18" fillId="0" borderId="0" xfId="1" applyFont="1" applyProtection="1"/>
    <xf numFmtId="0" fontId="0" fillId="0" borderId="0" xfId="0" applyAlignment="1" applyProtection="1">
      <alignment horizontal="left" vertical="center" indent="2"/>
    </xf>
    <xf numFmtId="0" fontId="16" fillId="0" borderId="0" xfId="0" quotePrefix="1" applyFont="1" applyAlignment="1">
      <alignment horizontal="left" vertical="center" indent="2"/>
    </xf>
    <xf numFmtId="0" fontId="7" fillId="0" borderId="0" xfId="0" applyFont="1" applyAlignment="1" applyProtection="1">
      <alignment horizontal="right"/>
    </xf>
    <xf numFmtId="0" fontId="7" fillId="0" borderId="0" xfId="0" applyFont="1" applyAlignment="1" applyProtection="1">
      <alignment horizontal="left"/>
    </xf>
    <xf numFmtId="0" fontId="9" fillId="0" borderId="0" xfId="0" applyFont="1" applyBorder="1" applyProtection="1">
      <protection locked="0"/>
    </xf>
    <xf numFmtId="49" fontId="9" fillId="0" borderId="0" xfId="0" applyNumberFormat="1" applyFont="1" applyBorder="1" applyProtection="1">
      <protection locked="0"/>
    </xf>
    <xf numFmtId="0" fontId="0" fillId="2" borderId="4" xfId="0" applyFill="1" applyBorder="1" applyAlignment="1" applyProtection="1">
      <alignment vertical="center"/>
    </xf>
    <xf numFmtId="0" fontId="0" fillId="2" borderId="2" xfId="0" applyFill="1" applyBorder="1" applyAlignment="1" applyProtection="1">
      <alignment vertical="center"/>
    </xf>
    <xf numFmtId="0" fontId="7" fillId="2" borderId="6" xfId="0" applyFont="1" applyFill="1" applyBorder="1" applyAlignment="1" applyProtection="1">
      <alignment horizontal="centerContinuous" vertical="center"/>
    </xf>
    <xf numFmtId="0" fontId="7" fillId="2" borderId="0" xfId="0" applyFont="1" applyFill="1" applyBorder="1" applyAlignment="1" applyProtection="1">
      <alignment horizontal="centerContinuous" vertical="center"/>
    </xf>
    <xf numFmtId="0" fontId="0" fillId="2" borderId="6" xfId="0" applyFill="1" applyBorder="1" applyAlignment="1" applyProtection="1">
      <alignment horizontal="left" vertical="center" indent="1"/>
    </xf>
    <xf numFmtId="0" fontId="0" fillId="2" borderId="6" xfId="0" applyFill="1" applyBorder="1" applyAlignment="1" applyProtection="1">
      <alignment horizontal="left" vertical="center"/>
    </xf>
    <xf numFmtId="0" fontId="0" fillId="2" borderId="6" xfId="0" applyFill="1" applyBorder="1" applyProtection="1"/>
    <xf numFmtId="0" fontId="0" fillId="2" borderId="0" xfId="0" applyFill="1" applyBorder="1" applyProtection="1"/>
    <xf numFmtId="0" fontId="0" fillId="2" borderId="0" xfId="0" applyFill="1" applyBorder="1" applyAlignment="1" applyProtection="1">
      <alignment vertical="center"/>
    </xf>
    <xf numFmtId="0" fontId="0" fillId="0" borderId="0" xfId="0" applyAlignment="1">
      <alignment vertical="center"/>
    </xf>
    <xf numFmtId="0" fontId="0" fillId="0" borderId="0" xfId="0" applyAlignment="1"/>
    <xf numFmtId="0" fontId="0" fillId="0" borderId="0" xfId="0" applyBorder="1"/>
    <xf numFmtId="0" fontId="0" fillId="0" borderId="0" xfId="0" applyAlignment="1">
      <alignment horizontal="center" vertical="center"/>
    </xf>
    <xf numFmtId="0" fontId="19" fillId="0" borderId="0" xfId="0" applyFont="1"/>
    <xf numFmtId="0" fontId="0" fillId="0" borderId="0" xfId="0" applyFont="1" applyFill="1"/>
    <xf numFmtId="0" fontId="13" fillId="0" borderId="0" xfId="0" applyFont="1" applyFill="1" applyAlignment="1" applyProtection="1">
      <alignment vertical="center"/>
      <protection locked="0"/>
    </xf>
    <xf numFmtId="0" fontId="20" fillId="0" borderId="0" xfId="0" applyFont="1" applyFill="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Fill="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0" fontId="9" fillId="2" borderId="0" xfId="0" applyFont="1" applyFill="1" applyBorder="1" applyAlignment="1" applyProtection="1">
      <alignment horizontal="right" vertical="center"/>
    </xf>
    <xf numFmtId="0" fontId="22" fillId="0" borderId="0" xfId="0" applyFont="1" applyAlignment="1" applyProtection="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Fill="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Fill="1" applyAlignment="1">
      <alignment horizontal="left"/>
    </xf>
    <xf numFmtId="0" fontId="7" fillId="0" borderId="0" xfId="0" applyFont="1" applyBorder="1"/>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Border="1" applyAlignment="1">
      <alignment horizontal="centerContinuous" vertical="center"/>
    </xf>
    <xf numFmtId="0" fontId="0" fillId="0" borderId="0" xfId="0" applyBorder="1" applyAlignment="1">
      <alignment horizontal="centerContinuous" vertical="center"/>
    </xf>
    <xf numFmtId="0" fontId="7" fillId="0" borderId="0" xfId="0" applyFont="1" applyBorder="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49" fontId="0" fillId="4" borderId="7" xfId="0" applyNumberFormat="1" applyFon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0" fontId="0" fillId="0" borderId="0" xfId="0" applyAlignment="1">
      <alignment horizontal="centerContinuous"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pplyProtection="1">
      <alignment horizontal="left" vertical="center"/>
    </xf>
    <xf numFmtId="0" fontId="7" fillId="0" borderId="0" xfId="0" applyFont="1" applyAlignment="1" applyProtection="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0" fontId="7" fillId="0" borderId="0" xfId="0" applyFont="1" applyAlignment="1">
      <alignment vertical="center"/>
    </xf>
    <xf numFmtId="0" fontId="7" fillId="0" borderId="0" xfId="0" applyFont="1" applyBorder="1" applyAlignment="1">
      <alignment vertical="center"/>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14" fontId="0" fillId="0" borderId="0" xfId="0" applyNumberFormat="1" applyProtection="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ont="1" applyFill="1" applyAlignment="1" applyProtection="1">
      <alignment horizontal="left"/>
      <protection locked="0"/>
    </xf>
    <xf numFmtId="14" fontId="0" fillId="3" borderId="0" xfId="0" applyNumberFormat="1" applyFill="1" applyAlignment="1" applyProtection="1">
      <alignment horizontal="left"/>
      <protection locked="0"/>
    </xf>
    <xf numFmtId="0" fontId="0" fillId="3" borderId="0" xfId="0" applyFill="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Continuous"/>
    </xf>
    <xf numFmtId="0" fontId="19" fillId="0" borderId="0" xfId="0" applyFont="1" applyProtection="1"/>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pplyProtection="1">
      <alignment horizontal="right" vertical="center"/>
    </xf>
    <xf numFmtId="0" fontId="0" fillId="0" borderId="8" xfId="0" applyNumberFormat="1" applyBorder="1" applyAlignment="1">
      <alignment horizontal="left" vertical="center" wrapText="1"/>
    </xf>
    <xf numFmtId="0" fontId="31" fillId="0" borderId="9" xfId="0" applyFont="1" applyBorder="1" applyAlignment="1">
      <alignment horizontal="left" vertical="center"/>
    </xf>
    <xf numFmtId="0" fontId="31" fillId="0" borderId="0" xfId="0" applyFont="1" applyBorder="1" applyAlignment="1">
      <alignment horizontal="left" vertical="center"/>
    </xf>
    <xf numFmtId="0" fontId="17" fillId="0" borderId="0" xfId="0" applyFont="1" applyBorder="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7" fillId="0" borderId="0" xfId="0" applyFont="1" applyAlignment="1">
      <alignment horizontal="left" vertical="center"/>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Border="1" applyAlignment="1" applyProtection="1">
      <alignment vertical="center"/>
    </xf>
    <xf numFmtId="0" fontId="9" fillId="0" borderId="0" xfId="0" applyFont="1" applyBorder="1" applyAlignment="1" applyProtection="1">
      <alignment horizontal="centerContinuous" vertical="center"/>
    </xf>
    <xf numFmtId="0" fontId="36" fillId="0" borderId="0" xfId="0" applyFont="1"/>
    <xf numFmtId="0" fontId="0" fillId="0" borderId="0" xfId="0" applyFill="1" applyAlignment="1">
      <alignment vertical="center"/>
    </xf>
    <xf numFmtId="0" fontId="0" fillId="0" borderId="0" xfId="0" quotePrefix="1" applyAlignment="1"/>
    <xf numFmtId="37" fontId="7" fillId="3" borderId="40" xfId="0" applyNumberFormat="1" applyFont="1" applyFill="1" applyBorder="1" applyAlignment="1" applyProtection="1">
      <alignment horizontal="center" vertical="center"/>
    </xf>
    <xf numFmtId="49" fontId="9" fillId="3" borderId="41" xfId="0" applyNumberFormat="1" applyFont="1" applyFill="1" applyBorder="1" applyAlignment="1" applyProtection="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pplyProtection="1">
      <alignment horizontal="center" vertical="center"/>
    </xf>
    <xf numFmtId="49" fontId="9" fillId="3" borderId="17" xfId="0" applyNumberFormat="1" applyFont="1" applyFill="1" applyBorder="1" applyAlignment="1" applyProtection="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pplyProtection="1">
      <alignment horizontal="centerContinuous" vertical="center"/>
    </xf>
    <xf numFmtId="0" fontId="0" fillId="2" borderId="7" xfId="0" applyFill="1" applyBorder="1" applyAlignment="1" applyProtection="1">
      <alignment vertical="center"/>
    </xf>
    <xf numFmtId="0" fontId="0" fillId="2" borderId="7" xfId="0" applyFill="1" applyBorder="1" applyProtection="1"/>
    <xf numFmtId="0" fontId="0" fillId="2" borderId="5" xfId="0" applyFill="1" applyBorder="1" applyAlignment="1" applyProtection="1">
      <alignment vertical="center"/>
    </xf>
    <xf numFmtId="0" fontId="24" fillId="3" borderId="7" xfId="0" applyFont="1" applyFill="1" applyBorder="1" applyAlignment="1" applyProtection="1">
      <alignment vertical="center"/>
      <protection locked="0"/>
    </xf>
    <xf numFmtId="0" fontId="0" fillId="0" borderId="9" xfId="0" applyBorder="1" applyProtection="1"/>
    <xf numFmtId="0" fontId="0" fillId="0" borderId="6" xfId="0" applyFill="1" applyBorder="1" applyAlignment="1" applyProtection="1">
      <alignment vertical="center"/>
    </xf>
    <xf numFmtId="0" fontId="7" fillId="0" borderId="6" xfId="0" applyFont="1" applyFill="1" applyBorder="1" applyAlignment="1" applyProtection="1">
      <alignment horizontal="centerContinuous" vertical="center"/>
    </xf>
    <xf numFmtId="0" fontId="0" fillId="0" borderId="6" xfId="0" applyFill="1" applyBorder="1" applyProtection="1"/>
    <xf numFmtId="0" fontId="0" fillId="0" borderId="0" xfId="0" applyFill="1" applyBorder="1" applyProtection="1"/>
    <xf numFmtId="0" fontId="7" fillId="2" borderId="20" xfId="0" applyFont="1" applyFill="1" applyBorder="1" applyAlignment="1" applyProtection="1">
      <alignment horizontal="centerContinuous" vertical="center"/>
    </xf>
    <xf numFmtId="0" fontId="7" fillId="0" borderId="6" xfId="0" applyFont="1" applyFill="1" applyBorder="1" applyAlignment="1" applyProtection="1">
      <alignment vertical="center"/>
    </xf>
    <xf numFmtId="0" fontId="0" fillId="0" borderId="6" xfId="0" applyFill="1"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pplyProtection="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NumberFormat="1" applyFont="1" applyBorder="1"/>
    <xf numFmtId="0" fontId="24" fillId="0" borderId="20" xfId="0" applyFont="1" applyBorder="1" applyAlignment="1">
      <alignment horizontal="left" indent="2"/>
    </xf>
    <xf numFmtId="0" fontId="23" fillId="0" borderId="2" xfId="0" applyFont="1" applyFill="1" applyBorder="1" applyAlignment="1" applyProtection="1">
      <alignment horizontal="center"/>
      <protection locked="0"/>
    </xf>
    <xf numFmtId="0" fontId="25" fillId="0" borderId="0" xfId="0" applyFont="1" applyFill="1" applyBorder="1" applyAlignment="1" applyProtection="1">
      <alignment horizontal="center"/>
    </xf>
    <xf numFmtId="0" fontId="25" fillId="0" borderId="1" xfId="0" applyFont="1" applyFill="1" applyBorder="1" applyAlignment="1" applyProtection="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4" xfId="0" applyNumberFormat="1" applyFont="1" applyFill="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49" fontId="9" fillId="0" borderId="56" xfId="0" applyNumberFormat="1" applyFont="1" applyFill="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Fill="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0" fillId="0" borderId="0" xfId="0" applyAlignment="1">
      <alignment horizontal="left" vertical="center" wrapText="1"/>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pplyProtection="1">
      <alignment vertical="center"/>
    </xf>
    <xf numFmtId="0" fontId="0" fillId="0" borderId="0" xfId="0" applyAlignment="1">
      <alignment horizontal="left" indent="2"/>
    </xf>
    <xf numFmtId="0" fontId="17" fillId="0" borderId="0" xfId="0" applyFont="1" applyAlignment="1" applyProtection="1">
      <alignment horizontal="left" vertical="center"/>
    </xf>
    <xf numFmtId="0" fontId="43" fillId="0" borderId="0" xfId="0" applyFont="1" applyFill="1" applyAlignment="1" applyProtection="1">
      <alignment horizontal="left" indent="1"/>
      <protection locked="0"/>
    </xf>
    <xf numFmtId="0" fontId="0" fillId="2" borderId="76" xfId="0" applyFill="1" applyBorder="1" applyAlignment="1" applyProtection="1">
      <alignment vertical="center"/>
    </xf>
    <xf numFmtId="0" fontId="9" fillId="2" borderId="76" xfId="0" applyFont="1" applyFill="1" applyBorder="1" applyAlignment="1" applyProtection="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applyAlignment="1"/>
    <xf numFmtId="0" fontId="46" fillId="0" borderId="0" xfId="0" applyFont="1"/>
    <xf numFmtId="0" fontId="24" fillId="0" borderId="7" xfId="0" applyFont="1" applyBorder="1" applyAlignment="1" applyProtection="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applyProtection="1"/>
    <xf numFmtId="0" fontId="24" fillId="0" borderId="20" xfId="0" quotePrefix="1" applyFont="1" applyBorder="1" applyAlignment="1" applyProtection="1">
      <alignment vertical="center"/>
    </xf>
    <xf numFmtId="0" fontId="24" fillId="0" borderId="20" xfId="0" applyFont="1" applyBorder="1" applyAlignment="1" applyProtection="1">
      <alignment vertical="center"/>
    </xf>
    <xf numFmtId="0" fontId="24" fillId="0" borderId="20" xfId="0" applyFont="1" applyBorder="1" applyProtection="1"/>
    <xf numFmtId="0" fontId="24" fillId="0" borderId="22" xfId="0" applyFont="1" applyBorder="1" applyProtection="1"/>
    <xf numFmtId="0" fontId="24" fillId="0" borderId="0" xfId="0" applyFont="1" applyProtection="1"/>
    <xf numFmtId="0" fontId="24" fillId="0" borderId="7" xfId="0" applyFont="1" applyBorder="1" applyAlignment="1" applyProtection="1">
      <alignment vertical="center" wrapText="1"/>
    </xf>
    <xf numFmtId="1" fontId="9" fillId="0" borderId="48" xfId="0" applyNumberFormat="1" applyFont="1" applyBorder="1" applyAlignment="1" applyProtection="1">
      <alignment horizontal="center" vertical="center"/>
      <protection locked="0"/>
    </xf>
    <xf numFmtId="0" fontId="24" fillId="3" borderId="21" xfId="0" applyFont="1" applyFill="1" applyBorder="1" applyAlignment="1" applyProtection="1">
      <alignment horizontal="center" vertical="center"/>
    </xf>
    <xf numFmtId="0" fontId="24" fillId="3" borderId="39" xfId="0" applyFont="1" applyFill="1" applyBorder="1" applyAlignment="1" applyProtection="1">
      <alignment horizontal="center" vertical="center"/>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0" borderId="0" xfId="0" applyFill="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NumberFormat="1" applyFont="1" applyBorder="1" applyAlignment="1" applyProtection="1">
      <alignment horizontal="left"/>
    </xf>
    <xf numFmtId="0" fontId="0" fillId="0" borderId="77" xfId="0" applyNumberFormat="1" applyFont="1" applyBorder="1" applyAlignment="1" applyProtection="1">
      <alignment horizontal="left"/>
    </xf>
    <xf numFmtId="10" fontId="9" fillId="0" borderId="0" xfId="0" applyNumberFormat="1" applyFont="1" applyAlignment="1" applyProtection="1">
      <alignment horizontal="left"/>
      <protection locked="0"/>
    </xf>
    <xf numFmtId="10" fontId="9" fillId="0" borderId="0" xfId="2" applyNumberFormat="1" applyFont="1" applyFill="1" applyBorder="1" applyAlignment="1" applyProtection="1">
      <alignment horizontal="left"/>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0" fontId="9" fillId="0" borderId="48" xfId="0" applyNumberFormat="1" applyFont="1" applyBorder="1" applyAlignment="1" applyProtection="1">
      <alignment horizontal="center" vertical="center"/>
      <protection locked="0"/>
    </xf>
    <xf numFmtId="0" fontId="50" fillId="0" borderId="0" xfId="0" applyFont="1" applyFill="1" applyBorder="1" applyAlignment="1">
      <alignment horizontal="left" vertical="top"/>
    </xf>
    <xf numFmtId="0" fontId="50" fillId="0" borderId="0" xfId="0" applyFont="1" applyAlignment="1">
      <alignment horizontal="left" vertical="top"/>
    </xf>
    <xf numFmtId="0" fontId="45" fillId="0" borderId="0" xfId="0" applyFont="1" applyAlignment="1">
      <alignment horizontal="left" vertical="top"/>
    </xf>
    <xf numFmtId="0" fontId="0" fillId="0" borderId="3" xfId="0" applyBorder="1" applyAlignment="1"/>
    <xf numFmtId="0" fontId="0" fillId="0" borderId="0" xfId="0" applyBorder="1" applyAlignment="1" applyProtection="1">
      <alignment horizontal="centerContinuous" vertical="center"/>
    </xf>
    <xf numFmtId="0" fontId="7" fillId="0" borderId="0" xfId="0" applyFont="1" applyBorder="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center" vertical="center" wrapText="1"/>
    </xf>
    <xf numFmtId="0" fontId="0" fillId="0" borderId="0" xfId="0" applyBorder="1" applyAlignment="1">
      <alignment horizontal="left" vertical="center"/>
    </xf>
    <xf numFmtId="0" fontId="0" fillId="0" borderId="0" xfId="0" applyFont="1" applyProtection="1"/>
    <xf numFmtId="0" fontId="0" fillId="0" borderId="0" xfId="0" applyFont="1" applyBorder="1" applyAlignment="1" applyProtection="1">
      <alignment horizontal="left" vertical="center"/>
    </xf>
    <xf numFmtId="0" fontId="19" fillId="0" borderId="0" xfId="0" applyFont="1" applyBorder="1" applyAlignment="1">
      <alignment horizontal="left" vertical="center"/>
    </xf>
    <xf numFmtId="0" fontId="7" fillId="0" borderId="0" xfId="0" applyFont="1" applyBorder="1" applyAlignment="1">
      <alignment horizontal="left" vertical="center"/>
    </xf>
    <xf numFmtId="0" fontId="52" fillId="0" borderId="0" xfId="0" applyFont="1" applyBorder="1" applyAlignment="1">
      <alignment horizontal="left" vertical="center"/>
    </xf>
    <xf numFmtId="0" fontId="7" fillId="0" borderId="0" xfId="0" applyFont="1" applyFill="1" applyBorder="1" applyAlignment="1">
      <alignment horizontal="left" vertical="center"/>
    </xf>
    <xf numFmtId="0" fontId="52" fillId="0" borderId="0" xfId="0" applyFont="1" applyBorder="1"/>
    <xf numFmtId="0" fontId="53" fillId="0" borderId="0" xfId="0" applyFont="1" applyBorder="1" applyAlignment="1">
      <alignment horizontal="left" vertical="center"/>
    </xf>
    <xf numFmtId="0" fontId="19" fillId="0" borderId="0" xfId="0" applyFont="1" applyBorder="1" applyAlignment="1" applyProtection="1">
      <alignment horizontal="left" vertical="center"/>
    </xf>
    <xf numFmtId="0" fontId="0" fillId="0" borderId="0" xfId="0" applyBorder="1" applyAlignment="1" applyProtection="1">
      <alignment horizontal="center"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ont="1" applyFill="1" applyBorder="1" applyAlignment="1">
      <alignment horizontal="center"/>
    </xf>
    <xf numFmtId="0" fontId="53" fillId="4" borderId="6" xfId="0" applyFont="1" applyFill="1" applyBorder="1" applyAlignment="1">
      <alignment horizontal="left" vertical="center"/>
    </xf>
    <xf numFmtId="0" fontId="10" fillId="0" borderId="0" xfId="0" applyFont="1" applyBorder="1" applyAlignment="1">
      <alignment horizontal="left" vertical="center"/>
    </xf>
    <xf numFmtId="0" fontId="53" fillId="4" borderId="8" xfId="0" applyFont="1" applyFill="1" applyBorder="1" applyAlignment="1">
      <alignment horizontal="left" vertical="center" wrapText="1"/>
    </xf>
    <xf numFmtId="0" fontId="0" fillId="6" borderId="6" xfId="0" applyFont="1" applyFill="1" applyBorder="1" applyAlignment="1">
      <alignment horizontal="center"/>
    </xf>
    <xf numFmtId="0" fontId="13" fillId="6" borderId="6" xfId="0" applyFont="1" applyFill="1" applyBorder="1" applyAlignment="1">
      <alignment horizontal="center"/>
    </xf>
    <xf numFmtId="0" fontId="55" fillId="0" borderId="0" xfId="0" applyFont="1" applyAlignment="1"/>
    <xf numFmtId="0" fontId="0" fillId="0" borderId="0" xfId="0" applyFill="1" applyBorder="1" applyAlignment="1" applyProtection="1">
      <alignment vertical="center"/>
    </xf>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0" xfId="0" applyFill="1" applyBorder="1" applyAlignment="1" applyProtection="1">
      <alignment horizontal="left" vertical="center" indent="1"/>
    </xf>
    <xf numFmtId="0" fontId="0" fillId="0" borderId="7" xfId="0" applyBorder="1" applyAlignment="1" applyProtection="1">
      <alignment vertical="center"/>
    </xf>
    <xf numFmtId="0" fontId="0" fillId="0" borderId="7" xfId="0" applyBorder="1" applyProtection="1"/>
    <xf numFmtId="0" fontId="0" fillId="4" borderId="46" xfId="0" applyFill="1" applyBorder="1" applyAlignment="1">
      <alignment vertical="center"/>
    </xf>
    <xf numFmtId="0" fontId="24" fillId="3" borderId="7" xfId="0" applyFont="1" applyFill="1" applyBorder="1" applyAlignment="1" applyProtection="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Border="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Border="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Border="1" applyAlignment="1">
      <alignment horizontal="center"/>
    </xf>
    <xf numFmtId="0" fontId="7" fillId="4" borderId="20" xfId="0" applyFont="1" applyFill="1" applyBorder="1" applyAlignment="1">
      <alignment wrapText="1"/>
    </xf>
    <xf numFmtId="0" fontId="13" fillId="4" borderId="0" xfId="0" applyFont="1" applyFill="1" applyBorder="1" applyAlignment="1">
      <alignment vertical="center" textRotation="180"/>
    </xf>
    <xf numFmtId="0" fontId="13" fillId="4" borderId="0" xfId="0" applyFont="1" applyFill="1" applyBorder="1" applyAlignment="1" applyProtection="1">
      <alignment horizontal="center" vertical="center" textRotation="180"/>
    </xf>
    <xf numFmtId="0" fontId="13" fillId="4" borderId="0" xfId="0" applyFont="1" applyFill="1" applyBorder="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Border="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Border="1" applyAlignment="1">
      <alignment horizontal="center"/>
    </xf>
    <xf numFmtId="0" fontId="13" fillId="3" borderId="6" xfId="0" applyFont="1" applyFill="1" applyBorder="1" applyAlignment="1">
      <alignment horizontal="center"/>
    </xf>
    <xf numFmtId="0" fontId="0" fillId="4" borderId="6" xfId="0" applyFont="1" applyFill="1" applyBorder="1" applyAlignment="1">
      <alignment horizontal="left" vertic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pplyProtection="1">
      <alignment horizontal="left"/>
    </xf>
    <xf numFmtId="0" fontId="24" fillId="0" borderId="20" xfId="0" quotePrefix="1" applyFont="1" applyBorder="1" applyAlignment="1" applyProtection="1">
      <alignment horizontal="left" vertical="center"/>
    </xf>
    <xf numFmtId="0" fontId="24" fillId="0" borderId="20" xfId="0" applyFont="1" applyBorder="1" applyAlignment="1" applyProtection="1">
      <alignment horizontal="left" vertical="center"/>
    </xf>
    <xf numFmtId="0" fontId="24" fillId="0" borderId="7" xfId="0" applyFont="1" applyBorder="1" applyAlignment="1" applyProtection="1">
      <alignment horizontal="left" vertical="center"/>
    </xf>
    <xf numFmtId="0" fontId="24" fillId="0" borderId="10" xfId="0" applyFont="1" applyBorder="1" applyAlignment="1" applyProtection="1">
      <alignment horizontal="left" vertical="center"/>
    </xf>
    <xf numFmtId="0" fontId="13" fillId="0" borderId="79" xfId="0" applyNumberFormat="1" applyFont="1" applyBorder="1" applyAlignment="1" applyProtection="1">
      <alignment horizontal="center" vertical="center"/>
    </xf>
    <xf numFmtId="0" fontId="0" fillId="3" borderId="0" xfId="0" applyFill="1" applyAlignment="1">
      <alignment horizontal="left"/>
    </xf>
    <xf numFmtId="0" fontId="0" fillId="0" borderId="0" xfId="0" applyAlignment="1">
      <alignment horizontal="right"/>
    </xf>
    <xf numFmtId="0" fontId="8" fillId="0" borderId="0" xfId="0" applyFont="1" applyAlignment="1">
      <alignment horizontal="centerContinuous"/>
    </xf>
    <xf numFmtId="0" fontId="7" fillId="0" borderId="0" xfId="0" applyFont="1" applyAlignment="1">
      <alignment horizontal="right"/>
    </xf>
    <xf numFmtId="0" fontId="57" fillId="0" borderId="0" xfId="0" applyFont="1"/>
    <xf numFmtId="166" fontId="27" fillId="3" borderId="16" xfId="3" quotePrefix="1" applyNumberFormat="1" applyFont="1" applyFill="1" applyBorder="1" applyAlignment="1">
      <alignment vertical="center"/>
    </xf>
    <xf numFmtId="0" fontId="0" fillId="0" borderId="0" xfId="0" applyFill="1" applyBorder="1" applyAlignment="1" applyProtection="1">
      <alignment vertical="center"/>
      <protection locked="0"/>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pplyProtection="1">
      <alignment horizontal="center"/>
    </xf>
    <xf numFmtId="0" fontId="0" fillId="0" borderId="0" xfId="0" applyFill="1" applyBorder="1" applyAlignment="1">
      <alignment horizontal="left" vertical="center"/>
    </xf>
    <xf numFmtId="0" fontId="58" fillId="0" borderId="0" xfId="0" applyFont="1" applyAlignment="1" applyProtection="1">
      <alignment horizontal="centerContinuous" vertical="center"/>
    </xf>
    <xf numFmtId="37" fontId="0" fillId="0" borderId="20" xfId="0" applyNumberFormat="1" applyBorder="1" applyAlignment="1" applyProtection="1">
      <alignment vertical="center" shrinkToFit="1"/>
    </xf>
    <xf numFmtId="37" fontId="0" fillId="2" borderId="20" xfId="0" applyNumberFormat="1" applyFill="1" applyBorder="1" applyAlignment="1" applyProtection="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0" fillId="2" borderId="20" xfId="0" applyNumberFormat="1" applyFill="1" applyBorder="1" applyAlignment="1">
      <alignment vertical="center" shrinkToFit="1"/>
    </xf>
    <xf numFmtId="37" fontId="7" fillId="0" borderId="20" xfId="0" applyNumberFormat="1" applyFont="1" applyBorder="1" applyAlignment="1" applyProtection="1">
      <alignment horizontal="center" vertical="center" shrinkToFit="1"/>
    </xf>
    <xf numFmtId="37" fontId="7" fillId="2" borderId="20" xfId="0" applyNumberFormat="1" applyFont="1" applyFill="1" applyBorder="1" applyAlignment="1" applyProtection="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Border="1" applyAlignment="1">
      <alignment vertical="top"/>
    </xf>
    <xf numFmtId="0" fontId="7" fillId="0" borderId="9" xfId="0" applyFont="1" applyBorder="1" applyAlignment="1">
      <alignment vertical="top"/>
    </xf>
    <xf numFmtId="0" fontId="0" fillId="0" borderId="2" xfId="0" applyFont="1" applyBorder="1" applyAlignment="1">
      <alignment vertical="top"/>
    </xf>
    <xf numFmtId="0" fontId="0" fillId="0" borderId="0" xfId="0" applyFont="1" applyBorder="1" applyAlignment="1">
      <alignment vertical="top"/>
    </xf>
    <xf numFmtId="0" fontId="0" fillId="0" borderId="9" xfId="0" applyFont="1" applyBorder="1" applyAlignment="1">
      <alignment vertical="top"/>
    </xf>
    <xf numFmtId="0" fontId="0" fillId="0" borderId="2" xfId="0" applyFont="1" applyBorder="1" applyAlignment="1">
      <alignment vertical="top" readingOrder="1"/>
    </xf>
    <xf numFmtId="0" fontId="0" fillId="0" borderId="0" xfId="0" applyFont="1" applyBorder="1" applyAlignment="1">
      <alignment vertical="top" readingOrder="1"/>
    </xf>
    <xf numFmtId="0" fontId="0" fillId="0" borderId="9" xfId="0" applyFont="1" applyBorder="1" applyAlignment="1">
      <alignment vertical="top" readingOrder="1"/>
    </xf>
    <xf numFmtId="0" fontId="0" fillId="0" borderId="7" xfId="0" applyFont="1" applyBorder="1" applyAlignment="1">
      <alignment vertical="top"/>
    </xf>
    <xf numFmtId="0" fontId="0" fillId="0" borderId="10" xfId="0" applyFont="1"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Font="1" applyBorder="1" applyAlignment="1">
      <alignment vertical="top"/>
    </xf>
    <xf numFmtId="0" fontId="0" fillId="0" borderId="22" xfId="0" applyFont="1" applyBorder="1" applyAlignment="1">
      <alignment vertical="top"/>
    </xf>
    <xf numFmtId="0" fontId="0" fillId="0" borderId="5" xfId="0" applyFont="1"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pplyProtection="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pplyProtection="1">
      <alignment horizontal="left" vertical="center" wrapText="1"/>
    </xf>
    <xf numFmtId="0" fontId="9" fillId="0" borderId="41" xfId="0" applyFont="1" applyBorder="1" applyAlignment="1" applyProtection="1">
      <alignment horizontal="center" vertical="center"/>
    </xf>
    <xf numFmtId="49" fontId="9" fillId="0" borderId="41" xfId="0" quotePrefix="1" applyNumberFormat="1" applyFont="1" applyBorder="1" applyAlignment="1" applyProtection="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pplyProtection="1">
      <alignment horizontal="center" vertical="center"/>
    </xf>
    <xf numFmtId="49" fontId="9" fillId="0" borderId="16" xfId="0" applyNumberFormat="1" applyFont="1" applyBorder="1" applyAlignment="1" applyProtection="1">
      <alignment horizontal="left" vertical="center" wrapText="1"/>
    </xf>
    <xf numFmtId="0" fontId="9" fillId="0" borderId="16" xfId="0" applyFont="1" applyBorder="1" applyAlignment="1" applyProtection="1">
      <alignment horizontal="center" vertical="center"/>
    </xf>
    <xf numFmtId="0" fontId="9" fillId="5" borderId="16" xfId="0" applyFont="1" applyFill="1" applyBorder="1" applyAlignment="1" applyProtection="1">
      <alignment horizontal="center" vertical="center"/>
    </xf>
    <xf numFmtId="0" fontId="9" fillId="5" borderId="24" xfId="0" applyFont="1" applyFill="1" applyBorder="1" applyAlignment="1" applyProtection="1">
      <alignment horizontal="center" vertical="center"/>
    </xf>
    <xf numFmtId="49" fontId="9" fillId="0" borderId="31" xfId="0" applyNumberFormat="1" applyFont="1" applyBorder="1" applyAlignment="1" applyProtection="1">
      <alignment horizontal="center" vertical="center"/>
    </xf>
    <xf numFmtId="49" fontId="9" fillId="0" borderId="19" xfId="0" applyNumberFormat="1" applyFont="1" applyBorder="1" applyAlignment="1" applyProtection="1">
      <alignment horizontal="center" vertical="center"/>
    </xf>
    <xf numFmtId="0" fontId="7" fillId="2" borderId="1" xfId="0" applyFont="1" applyFill="1" applyBorder="1" applyAlignment="1" applyProtection="1">
      <alignment horizontal="left" vertical="center"/>
      <protection locked="0"/>
    </xf>
    <xf numFmtId="0" fontId="60" fillId="0" borderId="0" xfId="0" applyFont="1"/>
    <xf numFmtId="37" fontId="7" fillId="0" borderId="39" xfId="0" applyNumberFormat="1" applyFont="1" applyBorder="1" applyAlignment="1" applyProtection="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37" fontId="0" fillId="2" borderId="22" xfId="0" applyNumberFormat="1" applyFill="1" applyBorder="1" applyAlignment="1">
      <alignment vertical="center" shrinkToFit="1"/>
    </xf>
    <xf numFmtId="167" fontId="60"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pplyProtection="1">
      <alignment horizontal="center" vertical="center"/>
    </xf>
    <xf numFmtId="0" fontId="7" fillId="0" borderId="81" xfId="0" applyFont="1" applyBorder="1" applyAlignment="1" applyProtection="1">
      <alignment horizontal="center" vertical="center"/>
    </xf>
    <xf numFmtId="37" fontId="7" fillId="2" borderId="36" xfId="0" applyNumberFormat="1" applyFont="1" applyFill="1" applyBorder="1" applyAlignment="1" applyProtection="1">
      <alignment horizontal="center" vertical="center"/>
    </xf>
    <xf numFmtId="0" fontId="7" fillId="2" borderId="37" xfId="0" applyFont="1" applyFill="1" applyBorder="1" applyAlignment="1" applyProtection="1">
      <alignment horizontal="center" vertical="center"/>
    </xf>
    <xf numFmtId="0" fontId="7" fillId="0" borderId="9" xfId="0" applyFont="1" applyBorder="1"/>
    <xf numFmtId="49" fontId="9" fillId="0" borderId="9" xfId="0" applyNumberFormat="1" applyFont="1" applyBorder="1"/>
    <xf numFmtId="0" fontId="0" fillId="0" borderId="29" xfId="0" applyBorder="1"/>
    <xf numFmtId="49" fontId="9" fillId="0" borderId="0" xfId="0" applyNumberFormat="1" applyFont="1" applyBorder="1" applyAlignment="1" applyProtection="1">
      <alignment horizontal="center" vertical="center"/>
      <protection locked="0"/>
    </xf>
    <xf numFmtId="49" fontId="13" fillId="0" borderId="0" xfId="0" applyNumberFormat="1" applyFont="1" applyBorder="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66" fontId="13" fillId="2" borderId="53" xfId="3" applyNumberFormat="1" applyFont="1" applyFill="1" applyBorder="1" applyAlignment="1" applyProtection="1">
      <alignment horizontal="left" vertical="center"/>
    </xf>
    <xf numFmtId="170" fontId="9" fillId="0" borderId="0" xfId="0" applyNumberFormat="1" applyFont="1" applyBorder="1" applyAlignment="1" applyProtection="1">
      <alignment horizontal="center" vertical="center"/>
      <protection locked="0"/>
    </xf>
    <xf numFmtId="49" fontId="9" fillId="2" borderId="53" xfId="0" applyNumberFormat="1" applyFont="1" applyFill="1" applyBorder="1" applyAlignment="1" applyProtection="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164" fontId="0" fillId="0" borderId="53" xfId="0" applyNumberFormat="1" applyBorder="1" applyAlignment="1" applyProtection="1">
      <alignment horizontal="left" vertical="center"/>
    </xf>
    <xf numFmtId="0" fontId="9" fillId="2" borderId="53" xfId="0" applyNumberFormat="1" applyFont="1" applyFill="1" applyBorder="1" applyAlignment="1" applyProtection="1">
      <alignment horizontal="left" vertical="center"/>
    </xf>
    <xf numFmtId="0" fontId="0" fillId="0" borderId="53" xfId="0" applyNumberFormat="1" applyBorder="1" applyAlignment="1" applyProtection="1">
      <alignment horizontal="left" vertical="center"/>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0" fontId="23" fillId="0" borderId="0" xfId="0" applyFont="1" applyFill="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9"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9" fillId="2" borderId="87" xfId="0" applyFont="1" applyFill="1" applyBorder="1" applyAlignment="1" applyProtection="1">
      <alignment horizontal="left" vertical="center" wrapText="1"/>
      <protection locked="0"/>
    </xf>
    <xf numFmtId="0" fontId="59" fillId="2" borderId="88" xfId="0" applyFont="1" applyFill="1" applyBorder="1" applyAlignment="1" applyProtection="1">
      <alignment horizontal="left" vertical="center" wrapText="1"/>
      <protection locked="0"/>
    </xf>
    <xf numFmtId="49" fontId="59" fillId="0" borderId="0" xfId="0" applyNumberFormat="1" applyFont="1" applyFill="1" applyBorder="1" applyAlignment="1" applyProtection="1">
      <alignment horizontal="left" vertical="top" wrapText="1"/>
      <protection locked="0"/>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Border="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9" fillId="0" borderId="38" xfId="0" applyNumberFormat="1" applyFont="1" applyFill="1" applyBorder="1" applyAlignment="1" applyProtection="1">
      <alignment horizontal="left" vertical="top" wrapText="1"/>
      <protection locked="0"/>
    </xf>
    <xf numFmtId="0" fontId="59" fillId="0" borderId="87" xfId="0" applyFont="1" applyFill="1" applyBorder="1" applyAlignment="1" applyProtection="1">
      <alignment horizontal="left" vertical="center" wrapText="1"/>
      <protection locked="0"/>
    </xf>
    <xf numFmtId="0" fontId="59" fillId="0" borderId="88" xfId="0" applyFont="1" applyFill="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9" fillId="2" borderId="38" xfId="0" applyNumberFormat="1" applyFont="1" applyFill="1" applyBorder="1" applyAlignment="1" applyProtection="1">
      <alignment horizontal="left" vertical="top" wrapText="1"/>
      <protection locked="0"/>
    </xf>
    <xf numFmtId="0" fontId="59" fillId="2" borderId="84"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protection locked="0"/>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49" fontId="9" fillId="0" borderId="16" xfId="0" applyNumberFormat="1" applyFont="1" applyBorder="1" applyAlignment="1" applyProtection="1">
      <alignment horizontal="left" vertical="top" wrapText="1"/>
    </xf>
    <xf numFmtId="49" fontId="9" fillId="0" borderId="24" xfId="0" applyNumberFormat="1" applyFont="1" applyBorder="1" applyAlignment="1" applyProtection="1">
      <alignment horizontal="left" vertical="top" wrapText="1"/>
    </xf>
    <xf numFmtId="0" fontId="59" fillId="0" borderId="0" xfId="0" applyFont="1" applyFill="1" applyBorder="1" applyAlignment="1" applyProtection="1">
      <alignment horizontal="left" vertical="center" wrapText="1"/>
    </xf>
    <xf numFmtId="0" fontId="0" fillId="2" borderId="82" xfId="0" applyFill="1" applyBorder="1" applyAlignment="1" applyProtection="1">
      <alignment horizontal="left" vertical="top" wrapText="1"/>
    </xf>
    <xf numFmtId="0" fontId="0" fillId="2" borderId="37" xfId="0" applyFill="1" applyBorder="1" applyAlignment="1" applyProtection="1">
      <alignment horizontal="left" vertical="top" wrapText="1"/>
    </xf>
    <xf numFmtId="0" fontId="0" fillId="2" borderId="82" xfId="0" applyFill="1" applyBorder="1" applyAlignment="1" applyProtection="1">
      <alignment horizontal="left" vertical="center" wrapText="1"/>
    </xf>
    <xf numFmtId="0" fontId="0" fillId="2" borderId="37" xfId="0" applyFill="1" applyBorder="1" applyAlignment="1" applyProtection="1">
      <alignment horizontal="left" vertical="center" wrapText="1"/>
    </xf>
    <xf numFmtId="0" fontId="59" fillId="0" borderId="0" xfId="0" applyFont="1" applyFill="1" applyBorder="1" applyAlignment="1" applyProtection="1">
      <alignment horizontal="left" vertical="center" wrapText="1"/>
      <protection locked="0"/>
    </xf>
    <xf numFmtId="0" fontId="59" fillId="2" borderId="38" xfId="0" applyFont="1" applyFill="1" applyBorder="1" applyAlignment="1" applyProtection="1">
      <alignment horizontal="left" vertical="center" wrapText="1"/>
    </xf>
    <xf numFmtId="0" fontId="19" fillId="0" borderId="6" xfId="0" applyFont="1" applyBorder="1" applyAlignment="1">
      <alignment horizontal="left" vertical="center" wrapText="1"/>
    </xf>
    <xf numFmtId="0" fontId="19" fillId="0" borderId="0" xfId="0" applyFont="1" applyBorder="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49" xfId="0" applyNumberFormat="1" applyFont="1" applyBorder="1" applyAlignment="1" applyProtection="1">
      <alignment horizontal="left" vertical="center" wrapText="1"/>
      <protection locked="0"/>
    </xf>
  </cellXfs>
  <cellStyles count="7">
    <cellStyle name="Comma" xfId="5" builtinId="3"/>
    <cellStyle name="Hyperlink" xfId="1" builtinId="8"/>
    <cellStyle name="Normal" xfId="0" builtinId="0"/>
    <cellStyle name="Normal 2" xfId="2"/>
    <cellStyle name="Normal 2 2" xfId="6"/>
    <cellStyle name="Percent" xfId="3" builtinId="5"/>
    <cellStyle name="Percent 3" xfId="4"/>
  </cellStyles>
  <dxfs count="26">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2" dropStyle="combo" dx="16" fmlaLink="References!$F$5" fmlaRange="List_GeneralLine" sel="14"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39" fmlaRange="References!$B$5:$B$7" sel="0" val="0"/>
</file>

<file path=xl/ctrlProps/ctrlProp19.xml><?xml version="1.0" encoding="utf-8"?>
<formControlPr xmlns="http://schemas.microsoft.com/office/spreadsheetml/2009/9/main" objectType="Drop" dropLines="3" dropStyle="combo" dx="16" fmlaLink="$M$39" fmlaRange="References!$B$5:$B$7" sel="0" val="0"/>
</file>

<file path=xl/ctrlProps/ctrlProp20.xml><?xml version="1.0" encoding="utf-8"?>
<formControlPr xmlns="http://schemas.microsoft.com/office/spreadsheetml/2009/9/main" objectType="Drop" dropLines="3" dropStyle="combo" dx="16" fmlaLink="$M$39" fmlaRange="References!$B$5:$B$7" sel="0" val="0"/>
</file>

<file path=xl/ctrlProps/ctrlProp21.xml><?xml version="1.0" encoding="utf-8"?>
<formControlPr xmlns="http://schemas.microsoft.com/office/spreadsheetml/2009/9/main" objectType="Drop" dropLines="3" dropStyle="combo" dx="16" fmlaLink="$K$39" fmlaRange="References!$B$5:$B$7" sel="1" val="0"/>
</file>

<file path=xl/ctrlProps/ctrlProp22.xml><?xml version="1.0" encoding="utf-8"?>
<formControlPr xmlns="http://schemas.microsoft.com/office/spreadsheetml/2009/9/main" objectType="Drop" dropLines="11" dropStyle="combo" dx="16" fmlaLink="References!$Y$4" fmlaRange="References!$Y$6:$Y$16" sel="11" val="0"/>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Drop" dropLines="2" dropStyle="combo" dx="16" fmlaLink="$F$6" fmlaRange="List_YNIndicator" sel="2" val="0"/>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fmlaLink="No_Fees"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fmlaLink="Change_Fees" lockText="1"/>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fmlaLink="$E$12"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checked="Checked" lockText="1"/>
</file>

<file path=xl/ctrlProps/ctrlProp97.xml><?xml version="1.0" encoding="utf-8"?>
<formControlPr xmlns="http://schemas.microsoft.com/office/spreadsheetml/2009/9/main" objectType="CheckBox" checked="Checked" lockText="1"/>
</file>

<file path=xl/ctrlProps/ctrlProp98.xml><?xml version="1.0" encoding="utf-8"?>
<formControlPr xmlns="http://schemas.microsoft.com/office/spreadsheetml/2009/9/main" objectType="Drop" dropLines="23" dropStyle="combo" dx="16" fmlaLink="$H$23" fmlaRange="References!$H$6:$H$28" sel="23" val="0"/>
</file>

<file path=xl/ctrlProps/ctrlProp99.xml><?xml version="1.0" encoding="utf-8"?>
<formControlPr xmlns="http://schemas.microsoft.com/office/spreadsheetml/2009/9/main" objectType="Drop" dropLines="23" dropStyle="combo" dx="16" fmlaLink="$H$26" fmlaRange="References!$H$6:$H$28" sel="23" val="0"/>
</file>

<file path=xl/ctrlProps/ctrlProp100.xml><?xml version="1.0" encoding="utf-8"?>
<formControlPr xmlns="http://schemas.microsoft.com/office/spreadsheetml/2009/9/main" objectType="Drop" dropLines="23" dropStyle="combo" dx="16" fmlaLink="$H$29" fmlaRange="References!$H$6:$H$28" sel="23" val="0"/>
</file>

<file path=xl/ctrlProps/ctrlProp101.xml><?xml version="1.0" encoding="utf-8"?>
<formControlPr xmlns="http://schemas.microsoft.com/office/spreadsheetml/2009/9/main" objectType="Drop" dropLines="23" dropStyle="combo" dx="16" fmlaLink="$H$16" fmlaRange="References!$H$6:$H$28" sel="23" val="0"/>
</file>

<file path=xl/ctrlProps/ctrlProp102.xml><?xml version="1.0" encoding="utf-8"?>
<formControlPr xmlns="http://schemas.microsoft.com/office/spreadsheetml/2009/9/main" objectType="Drop" dropLines="23" dropStyle="combo" dx="16" fmlaLink="$H$20" fmlaRange="References!$H$6:$H$28" sel="23" val="0"/>
</file>

<file path=xl/ctrlProps/ctrlProp103.xml><?xml version="1.0" encoding="utf-8"?>
<formControlPr xmlns="http://schemas.microsoft.com/office/spreadsheetml/2009/9/main" objectType="Drop" dropLines="23" dropStyle="combo" dx="16" fmlaLink="$H$32" fmlaRange="References!$H$6:$H$28" sel="23" val="0"/>
</file>

<file path=xl/ctrlProps/ctrlProp104.xml><?xml version="1.0" encoding="utf-8"?>
<formControlPr xmlns="http://schemas.microsoft.com/office/spreadsheetml/2009/9/main" objectType="Drop" dropLines="23" dropStyle="combo" dx="16" fmlaLink="$H$35" fmlaRange="References!$H$6:$H$28" sel="23" val="0"/>
</file>

<file path=xl/ctrlProps/ctrlProp105.xml><?xml version="1.0" encoding="utf-8"?>
<formControlPr xmlns="http://schemas.microsoft.com/office/spreadsheetml/2009/9/main" objectType="Drop" dropLines="23" dropStyle="combo" dx="16" fmlaLink="$H$38" fmlaRange="References!$H$6:$H$28" sel="23" val="0"/>
</file>

<file path=xl/ctrlProps/ctrlProp106.xml><?xml version="1.0" encoding="utf-8"?>
<formControlPr xmlns="http://schemas.microsoft.com/office/spreadsheetml/2009/9/main" objectType="Drop" dropLines="23" dropStyle="combo" dx="16" fmlaLink="$H$41" fmlaRange="References!$H$6:$H$28" sel="23" val="0"/>
</file>

<file path=xl/ctrlProps/ctrlProp107.xml><?xml version="1.0" encoding="utf-8"?>
<formControlPr xmlns="http://schemas.microsoft.com/office/spreadsheetml/2009/9/main" objectType="Drop" dropLines="23" dropStyle="combo" dx="16" fmlaLink="$H$44" fmlaRange="References!$H$6:$H$28" sel="23" val="0"/>
</file>

<file path=xl/ctrlProps/ctrlProp108.xml><?xml version="1.0" encoding="utf-8"?>
<formControlPr xmlns="http://schemas.microsoft.com/office/spreadsheetml/2009/9/main" objectType="CheckBox" checked="Checked" fmlaLink="B9" lockText="1" noThreeD="1"/>
</file>

<file path=xl/ctrlProps/ctrlProp109.xml><?xml version="1.0" encoding="utf-8"?>
<formControlPr xmlns="http://schemas.microsoft.com/office/spreadsheetml/2009/9/main" objectType="CheckBox" fmlaLink="G9" lockText="1" noThreeD="1"/>
</file>

<file path=xl/ctrlProps/ctrlProp110.xml><?xml version="1.0" encoding="utf-8"?>
<formControlPr xmlns="http://schemas.microsoft.com/office/spreadsheetml/2009/9/main" objectType="CheckBox" fmlaLink="G12" lockText="1" noThreeD="1"/>
</file>

<file path=xl/ctrlProps/ctrlProp111.xml><?xml version="1.0" encoding="utf-8"?>
<formControlPr xmlns="http://schemas.microsoft.com/office/spreadsheetml/2009/9/main" objectType="CheckBox" fmlaLink="G13" lockText="1" noThreeD="1"/>
</file>

<file path=xl/ctrlProps/ctrlProp112.xml><?xml version="1.0" encoding="utf-8"?>
<formControlPr xmlns="http://schemas.microsoft.com/office/spreadsheetml/2009/9/main" objectType="CheckBox" fmlaLink="G16" lockText="1" noThreeD="1"/>
</file>

<file path=xl/ctrlProps/ctrlProp113.xml><?xml version="1.0" encoding="utf-8"?>
<formControlPr xmlns="http://schemas.microsoft.com/office/spreadsheetml/2009/9/main" objectType="CheckBox" checked="Checked" fmlaLink="G17" lockText="1" noThreeD="1"/>
</file>

<file path=xl/ctrlProps/ctrlProp114.xml><?xml version="1.0" encoding="utf-8"?>
<formControlPr xmlns="http://schemas.microsoft.com/office/spreadsheetml/2009/9/main" objectType="CheckBox" fmlaLink="L16" lockText="1" noThreeD="1"/>
</file>

<file path=xl/ctrlProps/ctrlProp115.xml><?xml version="1.0" encoding="utf-8"?>
<formControlPr xmlns="http://schemas.microsoft.com/office/spreadsheetml/2009/9/main" objectType="CheckBox" fmlaLink="L17" lockText="1" noThreeD="1"/>
</file>

<file path=xl/ctrlProps/ctrlProp116.xml><?xml version="1.0" encoding="utf-8"?>
<formControlPr xmlns="http://schemas.microsoft.com/office/spreadsheetml/2009/9/main" objectType="CheckBox" fmlaLink="B16" lockText="1" noThreeD="1"/>
</file>

<file path=xl/ctrlProps/ctrlProp117.xml><?xml version="1.0" encoding="utf-8"?>
<formControlPr xmlns="http://schemas.microsoft.com/office/spreadsheetml/2009/9/main" objectType="CheckBox" fmlaLink="B17" lockText="1" noThreeD="1"/>
</file>

<file path=xl/ctrlProps/ctrlProp118.xml><?xml version="1.0" encoding="utf-8"?>
<formControlPr xmlns="http://schemas.microsoft.com/office/spreadsheetml/2009/9/main" objectType="CheckBox" checked="Checked" fmlaLink="B12" lockText="1" noThreeD="1"/>
</file>

<file path=xl/ctrlProps/ctrlProp119.xml><?xml version="1.0" encoding="utf-8"?>
<formControlPr xmlns="http://schemas.microsoft.com/office/spreadsheetml/2009/9/main" objectType="CheckBox" checked="Checked" fmlaLink="B13" lockText="1" noThreeD="1"/>
</file>

<file path=xl/ctrlProps/ctrlProp120.xml><?xml version="1.0" encoding="utf-8"?>
<formControlPr xmlns="http://schemas.microsoft.com/office/spreadsheetml/2009/9/main" objectType="CheckBox" fmlaLink="B21" lockText="1" noThreeD="1"/>
</file>

<file path=xl/ctrlProps/ctrlProp121.xml><?xml version="1.0" encoding="utf-8"?>
<formControlPr xmlns="http://schemas.microsoft.com/office/spreadsheetml/2009/9/main" objectType="CheckBox" fmlaLink="B25" lockText="1" noThreeD="1"/>
</file>

<file path=xl/ctrlProps/ctrlProp122.xml><?xml version="1.0" encoding="utf-8"?>
<formControlPr xmlns="http://schemas.microsoft.com/office/spreadsheetml/2009/9/main" objectType="CheckBox" fmlaLink="G25" lockText="1" noThreeD="1"/>
</file>

<file path=xl/ctrlProps/ctrlProp123.xml><?xml version="1.0" encoding="utf-8"?>
<formControlPr xmlns="http://schemas.microsoft.com/office/spreadsheetml/2009/9/main" objectType="CheckBox" fmlaLink="L25" lockText="1" noThreeD="1"/>
</file>

<file path=xl/ctrlProps/ctrlProp124.xml><?xml version="1.0" encoding="utf-8"?>
<formControlPr xmlns="http://schemas.microsoft.com/office/spreadsheetml/2009/9/main" objectType="CheckBox" fmlaLink="G21" lockText="1" noThreeD="1"/>
</file>

<file path=xl/ctrlProps/ctrlProp125.xml><?xml version="1.0" encoding="utf-8"?>
<formControlPr xmlns="http://schemas.microsoft.com/office/spreadsheetml/2009/9/main" objectType="CheckBox" fmlaLink="B29" lockText="1" noThreeD="1"/>
</file>

<file path=xl/ctrlProps/ctrlProp126.xml><?xml version="1.0" encoding="utf-8"?>
<formControlPr xmlns="http://schemas.microsoft.com/office/spreadsheetml/2009/9/main" objectType="CheckBox" fmlaLink="B30" lockText="1" noThreeD="1"/>
</file>

<file path=xl/ctrlProps/ctrlProp127.xml><?xml version="1.0" encoding="utf-8"?>
<formControlPr xmlns="http://schemas.microsoft.com/office/spreadsheetml/2009/9/main" objectType="CheckBox" fmlaLink="B31" lockText="1" noThreeD="1"/>
</file>

<file path=xl/ctrlProps/ctrlProp128.xml><?xml version="1.0" encoding="utf-8"?>
<formControlPr xmlns="http://schemas.microsoft.com/office/spreadsheetml/2009/9/main" objectType="CheckBox" fmlaLink="G29" lockText="1" noThreeD="1"/>
</file>

<file path=xl/ctrlProps/ctrlProp129.xml><?xml version="1.0" encoding="utf-8"?>
<formControlPr xmlns="http://schemas.microsoft.com/office/spreadsheetml/2009/9/main" objectType="CheckBox" fmlaLink="G30" lockText="1" noThreeD="1"/>
</file>

<file path=xl/ctrlProps/ctrlProp130.xml><?xml version="1.0" encoding="utf-8"?>
<formControlPr xmlns="http://schemas.microsoft.com/office/spreadsheetml/2009/9/main" objectType="CheckBox" checked="Checked" fmlaLink="G31" lockText="1" noThreeD="1"/>
</file>

<file path=xl/ctrlProps/ctrlProp131.xml><?xml version="1.0" encoding="utf-8"?>
<formControlPr xmlns="http://schemas.microsoft.com/office/spreadsheetml/2009/9/main" objectType="CheckBox" fmlaLink="L29" lockText="1" noThreeD="1"/>
</file>

<file path=xl/ctrlProps/ctrlProp132.xml><?xml version="1.0" encoding="utf-8"?>
<formControlPr xmlns="http://schemas.microsoft.com/office/spreadsheetml/2009/9/main" objectType="CheckBox" fmlaLink="L30" lockText="1" noThreeD="1"/>
</file>

<file path=xl/ctrlProps/ctrlProp133.xml><?xml version="1.0" encoding="utf-8"?>
<formControlPr xmlns="http://schemas.microsoft.com/office/spreadsheetml/2009/9/main" objectType="CheckBox" fmlaLink="B34" lockText="1" noThreeD="1"/>
</file>

<file path=xl/ctrlProps/ctrlProp134.xml><?xml version="1.0" encoding="utf-8"?>
<formControlPr xmlns="http://schemas.microsoft.com/office/spreadsheetml/2009/9/main" objectType="CheckBox" fmlaLink="G34" lockText="1" noThreeD="1"/>
</file>

<file path=xl/ctrlProps/ctrlProp135.xml><?xml version="1.0" encoding="utf-8"?>
<formControlPr xmlns="http://schemas.microsoft.com/office/spreadsheetml/2009/9/main" objectType="CheckBox" fmlaLink="L34" lockText="1" noThreeD="1"/>
</file>

<file path=xl/ctrlProps/ctrlProp136.xml><?xml version="1.0" encoding="utf-8"?>
<formControlPr xmlns="http://schemas.microsoft.com/office/spreadsheetml/2009/9/main" objectType="CheckBox" fmlaLink="B40" lockText="1" noThreeD="1"/>
</file>

<file path=xl/ctrlProps/ctrlProp137.xml><?xml version="1.0" encoding="utf-8"?>
<formControlPr xmlns="http://schemas.microsoft.com/office/spreadsheetml/2009/9/main" objectType="CheckBox" checked="Checked" fmlaLink="G40" lockText="1" noThreeD="1"/>
</file>

<file path=xl/ctrlProps/ctrlProp138.xml><?xml version="1.0" encoding="utf-8"?>
<formControlPr xmlns="http://schemas.microsoft.com/office/spreadsheetml/2009/9/main" objectType="CheckBox" checked="Checked" fmlaLink="B35" lockText="1" noThreeD="1"/>
</file>

<file path=xl/ctrlProps/ctrlProp139.xml><?xml version="1.0" encoding="utf-8"?>
<formControlPr xmlns="http://schemas.microsoft.com/office/spreadsheetml/2009/9/main" objectType="CheckBox" fmlaLink="B18" lockText="1" noThreeD="1"/>
</file>

<file path=xl/ctrlProps/ctrlProp140.xml><?xml version="1.0" encoding="utf-8"?>
<formControlPr xmlns="http://schemas.microsoft.com/office/spreadsheetml/2009/9/main" objectType="CheckBox" checked="Checked" fmlaLink="B9" lockText="1" noThreeD="1"/>
</file>

<file path=xl/ctrlProps/ctrlProp141.xml><?xml version="1.0" encoding="utf-8"?>
<formControlPr xmlns="http://schemas.microsoft.com/office/spreadsheetml/2009/9/main" objectType="CheckBox" fmlaLink="G9" lockText="1" noThreeD="1"/>
</file>

<file path=xl/ctrlProps/ctrlProp142.xml><?xml version="1.0" encoding="utf-8"?>
<formControlPr xmlns="http://schemas.microsoft.com/office/spreadsheetml/2009/9/main" objectType="CheckBox" fmlaLink="G12" lockText="1" noThreeD="1"/>
</file>

<file path=xl/ctrlProps/ctrlProp143.xml><?xml version="1.0" encoding="utf-8"?>
<formControlPr xmlns="http://schemas.microsoft.com/office/spreadsheetml/2009/9/main" objectType="CheckBox" fmlaLink="G13" lockText="1" noThreeD="1"/>
</file>

<file path=xl/ctrlProps/ctrlProp144.xml><?xml version="1.0" encoding="utf-8"?>
<formControlPr xmlns="http://schemas.microsoft.com/office/spreadsheetml/2009/9/main" objectType="CheckBox" fmlaLink="G16" lockText="1" noThreeD="1"/>
</file>

<file path=xl/ctrlProps/ctrlProp145.xml><?xml version="1.0" encoding="utf-8"?>
<formControlPr xmlns="http://schemas.microsoft.com/office/spreadsheetml/2009/9/main" objectType="CheckBox" fmlaLink="G17" lockText="1" noThreeD="1"/>
</file>

<file path=xl/ctrlProps/ctrlProp146.xml><?xml version="1.0" encoding="utf-8"?>
<formControlPr xmlns="http://schemas.microsoft.com/office/spreadsheetml/2009/9/main" objectType="CheckBox" fmlaLink="L16" lockText="1" noThreeD="1"/>
</file>

<file path=xl/ctrlProps/ctrlProp147.xml><?xml version="1.0" encoding="utf-8"?>
<formControlPr xmlns="http://schemas.microsoft.com/office/spreadsheetml/2009/9/main" objectType="CheckBox" fmlaLink="L17" lockText="1" noThreeD="1"/>
</file>

<file path=xl/ctrlProps/ctrlProp148.xml><?xml version="1.0" encoding="utf-8"?>
<formControlPr xmlns="http://schemas.microsoft.com/office/spreadsheetml/2009/9/main" objectType="CheckBox" fmlaLink="B16" lockText="1" noThreeD="1"/>
</file>

<file path=xl/ctrlProps/ctrlProp149.xml><?xml version="1.0" encoding="utf-8"?>
<formControlPr xmlns="http://schemas.microsoft.com/office/spreadsheetml/2009/9/main" objectType="CheckBox" checked="Checked" fmlaLink="B17" lockText="1" noThreeD="1"/>
</file>

<file path=xl/ctrlProps/ctrlProp150.xml><?xml version="1.0" encoding="utf-8"?>
<formControlPr xmlns="http://schemas.microsoft.com/office/spreadsheetml/2009/9/main" objectType="CheckBox" checked="Checked" fmlaLink="B12" lockText="1" noThreeD="1"/>
</file>

<file path=xl/ctrlProps/ctrlProp151.xml><?xml version="1.0" encoding="utf-8"?>
<formControlPr xmlns="http://schemas.microsoft.com/office/spreadsheetml/2009/9/main" objectType="CheckBox" checked="Checked" fmlaLink="B13" lockText="1" noThreeD="1"/>
</file>

<file path=xl/ctrlProps/ctrlProp152.xml><?xml version="1.0" encoding="utf-8"?>
<formControlPr xmlns="http://schemas.microsoft.com/office/spreadsheetml/2009/9/main" objectType="CheckBox" fmlaLink="B21" lockText="1" noThreeD="1"/>
</file>

<file path=xl/ctrlProps/ctrlProp153.xml><?xml version="1.0" encoding="utf-8"?>
<formControlPr xmlns="http://schemas.microsoft.com/office/spreadsheetml/2009/9/main" objectType="CheckBox" fmlaLink="B25" lockText="1" noThreeD="1"/>
</file>

<file path=xl/ctrlProps/ctrlProp154.xml><?xml version="1.0" encoding="utf-8"?>
<formControlPr xmlns="http://schemas.microsoft.com/office/spreadsheetml/2009/9/main" objectType="CheckBox" fmlaLink="G25" lockText="1" noThreeD="1"/>
</file>

<file path=xl/ctrlProps/ctrlProp155.xml><?xml version="1.0" encoding="utf-8"?>
<formControlPr xmlns="http://schemas.microsoft.com/office/spreadsheetml/2009/9/main" objectType="CheckBox" fmlaLink="L25" lockText="1" noThreeD="1"/>
</file>

<file path=xl/ctrlProps/ctrlProp156.xml><?xml version="1.0" encoding="utf-8"?>
<formControlPr xmlns="http://schemas.microsoft.com/office/spreadsheetml/2009/9/main" objectType="CheckBox" fmlaLink="G21" lockText="1" noThreeD="1"/>
</file>

<file path=xl/ctrlProps/ctrlProp157.xml><?xml version="1.0" encoding="utf-8"?>
<formControlPr xmlns="http://schemas.microsoft.com/office/spreadsheetml/2009/9/main" objectType="CheckBox" fmlaLink="B29" lockText="1" noThreeD="1"/>
</file>

<file path=xl/ctrlProps/ctrlProp158.xml><?xml version="1.0" encoding="utf-8"?>
<formControlPr xmlns="http://schemas.microsoft.com/office/spreadsheetml/2009/9/main" objectType="CheckBox" fmlaLink="B30" lockText="1" noThreeD="1"/>
</file>

<file path=xl/ctrlProps/ctrlProp159.xml><?xml version="1.0" encoding="utf-8"?>
<formControlPr xmlns="http://schemas.microsoft.com/office/spreadsheetml/2009/9/main" objectType="CheckBox" fmlaLink="B31" lockText="1" noThreeD="1"/>
</file>

<file path=xl/ctrlProps/ctrlProp160.xml><?xml version="1.0" encoding="utf-8"?>
<formControlPr xmlns="http://schemas.microsoft.com/office/spreadsheetml/2009/9/main" objectType="CheckBox" fmlaLink="G29" lockText="1" noThreeD="1"/>
</file>

<file path=xl/ctrlProps/ctrlProp161.xml><?xml version="1.0" encoding="utf-8"?>
<formControlPr xmlns="http://schemas.microsoft.com/office/spreadsheetml/2009/9/main" objectType="CheckBox" fmlaLink="G30" lockText="1" noThreeD="1"/>
</file>

<file path=xl/ctrlProps/ctrlProp162.xml><?xml version="1.0" encoding="utf-8"?>
<formControlPr xmlns="http://schemas.microsoft.com/office/spreadsheetml/2009/9/main" objectType="CheckBox" checked="Checked" fmlaLink="G31" lockText="1" noThreeD="1"/>
</file>

<file path=xl/ctrlProps/ctrlProp163.xml><?xml version="1.0" encoding="utf-8"?>
<formControlPr xmlns="http://schemas.microsoft.com/office/spreadsheetml/2009/9/main" objectType="CheckBox" fmlaLink="L29" lockText="1" noThreeD="1"/>
</file>

<file path=xl/ctrlProps/ctrlProp164.xml><?xml version="1.0" encoding="utf-8"?>
<formControlPr xmlns="http://schemas.microsoft.com/office/spreadsheetml/2009/9/main" objectType="CheckBox" fmlaLink="L30" lockText="1" noThreeD="1"/>
</file>

<file path=xl/ctrlProps/ctrlProp165.xml><?xml version="1.0" encoding="utf-8"?>
<formControlPr xmlns="http://schemas.microsoft.com/office/spreadsheetml/2009/9/main" objectType="CheckBox" fmlaLink="B34" lockText="1" noThreeD="1"/>
</file>

<file path=xl/ctrlProps/ctrlProp166.xml><?xml version="1.0" encoding="utf-8"?>
<formControlPr xmlns="http://schemas.microsoft.com/office/spreadsheetml/2009/9/main" objectType="CheckBox" fmlaLink="G34" lockText="1" noThreeD="1"/>
</file>

<file path=xl/ctrlProps/ctrlProp167.xml><?xml version="1.0" encoding="utf-8"?>
<formControlPr xmlns="http://schemas.microsoft.com/office/spreadsheetml/2009/9/main" objectType="CheckBox" fmlaLink="L34" lockText="1" noThreeD="1"/>
</file>

<file path=xl/ctrlProps/ctrlProp168.xml><?xml version="1.0" encoding="utf-8"?>
<formControlPr xmlns="http://schemas.microsoft.com/office/spreadsheetml/2009/9/main" objectType="CheckBox" fmlaLink="B40" lockText="1" noThreeD="1"/>
</file>

<file path=xl/ctrlProps/ctrlProp169.xml><?xml version="1.0" encoding="utf-8"?>
<formControlPr xmlns="http://schemas.microsoft.com/office/spreadsheetml/2009/9/main" objectType="CheckBox" checked="Checked" fmlaLink="G40" lockText="1" noThreeD="1"/>
</file>

<file path=xl/ctrlProps/ctrlProp170.xml><?xml version="1.0" encoding="utf-8"?>
<formControlPr xmlns="http://schemas.microsoft.com/office/spreadsheetml/2009/9/main" objectType="CheckBox" checked="Checked" fmlaLink="B35" lockText="1" noThreeD="1"/>
</file>

<file path=xl/ctrlProps/ctrlProp171.xml><?xml version="1.0" encoding="utf-8"?>
<formControlPr xmlns="http://schemas.microsoft.com/office/spreadsheetml/2009/9/main" objectType="CheckBox" fmlaLink="B18" lockText="1" noThreeD="1"/>
</file>

<file path=xl/ctrlProps/ctrlProp172.xml><?xml version="1.0" encoding="utf-8"?>
<formControlPr xmlns="http://schemas.microsoft.com/office/spreadsheetml/2009/9/main" objectType="CheckBox" checked="Checked" fmlaLink="B9" lockText="1" noThreeD="1"/>
</file>

<file path=xl/ctrlProps/ctrlProp173.xml><?xml version="1.0" encoding="utf-8"?>
<formControlPr xmlns="http://schemas.microsoft.com/office/spreadsheetml/2009/9/main" objectType="CheckBox" fmlaLink="G9" lockText="1" noThreeD="1"/>
</file>

<file path=xl/ctrlProps/ctrlProp174.xml><?xml version="1.0" encoding="utf-8"?>
<formControlPr xmlns="http://schemas.microsoft.com/office/spreadsheetml/2009/9/main" objectType="CheckBox" checked="Checked" fmlaLink="G12" lockText="1" noThreeD="1"/>
</file>

<file path=xl/ctrlProps/ctrlProp175.xml><?xml version="1.0" encoding="utf-8"?>
<formControlPr xmlns="http://schemas.microsoft.com/office/spreadsheetml/2009/9/main" objectType="CheckBox" fmlaLink="G13" lockText="1" noThreeD="1"/>
</file>

<file path=xl/ctrlProps/ctrlProp176.xml><?xml version="1.0" encoding="utf-8"?>
<formControlPr xmlns="http://schemas.microsoft.com/office/spreadsheetml/2009/9/main" objectType="CheckBox" fmlaLink="G16" lockText="1" noThreeD="1"/>
</file>

<file path=xl/ctrlProps/ctrlProp177.xml><?xml version="1.0" encoding="utf-8"?>
<formControlPr xmlns="http://schemas.microsoft.com/office/spreadsheetml/2009/9/main" objectType="CheckBox" fmlaLink="G17" lockText="1" noThreeD="1"/>
</file>

<file path=xl/ctrlProps/ctrlProp178.xml><?xml version="1.0" encoding="utf-8"?>
<formControlPr xmlns="http://schemas.microsoft.com/office/spreadsheetml/2009/9/main" objectType="CheckBox" fmlaLink="L16" lockText="1" noThreeD="1"/>
</file>

<file path=xl/ctrlProps/ctrlProp179.xml><?xml version="1.0" encoding="utf-8"?>
<formControlPr xmlns="http://schemas.microsoft.com/office/spreadsheetml/2009/9/main" objectType="CheckBox" fmlaLink="L17" lockText="1" noThreeD="1"/>
</file>

<file path=xl/ctrlProps/ctrlProp180.xml><?xml version="1.0" encoding="utf-8"?>
<formControlPr xmlns="http://schemas.microsoft.com/office/spreadsheetml/2009/9/main" objectType="CheckBox" fmlaLink="B16" lockText="1" noThreeD="1"/>
</file>

<file path=xl/ctrlProps/ctrlProp181.xml><?xml version="1.0" encoding="utf-8"?>
<formControlPr xmlns="http://schemas.microsoft.com/office/spreadsheetml/2009/9/main" objectType="CheckBox" fmlaLink="B17" lockText="1" noThreeD="1"/>
</file>

<file path=xl/ctrlProps/ctrlProp182.xml><?xml version="1.0" encoding="utf-8"?>
<formControlPr xmlns="http://schemas.microsoft.com/office/spreadsheetml/2009/9/main" objectType="CheckBox" fmlaLink="B12" lockText="1" noThreeD="1"/>
</file>

<file path=xl/ctrlProps/ctrlProp183.xml><?xml version="1.0" encoding="utf-8"?>
<formControlPr xmlns="http://schemas.microsoft.com/office/spreadsheetml/2009/9/main" objectType="CheckBox" fmlaLink="B13" lockText="1" noThreeD="1"/>
</file>

<file path=xl/ctrlProps/ctrlProp184.xml><?xml version="1.0" encoding="utf-8"?>
<formControlPr xmlns="http://schemas.microsoft.com/office/spreadsheetml/2009/9/main" objectType="CheckBox" fmlaLink="B21" lockText="1" noThreeD="1"/>
</file>

<file path=xl/ctrlProps/ctrlProp185.xml><?xml version="1.0" encoding="utf-8"?>
<formControlPr xmlns="http://schemas.microsoft.com/office/spreadsheetml/2009/9/main" objectType="CheckBox" fmlaLink="B25" lockText="1" noThreeD="1"/>
</file>

<file path=xl/ctrlProps/ctrlProp186.xml><?xml version="1.0" encoding="utf-8"?>
<formControlPr xmlns="http://schemas.microsoft.com/office/spreadsheetml/2009/9/main" objectType="CheckBox" fmlaLink="G25" lockText="1" noThreeD="1"/>
</file>

<file path=xl/ctrlProps/ctrlProp187.xml><?xml version="1.0" encoding="utf-8"?>
<formControlPr xmlns="http://schemas.microsoft.com/office/spreadsheetml/2009/9/main" objectType="CheckBox" fmlaLink="L25" lockText="1" noThreeD="1"/>
</file>

<file path=xl/ctrlProps/ctrlProp188.xml><?xml version="1.0" encoding="utf-8"?>
<formControlPr xmlns="http://schemas.microsoft.com/office/spreadsheetml/2009/9/main" objectType="CheckBox" checked="Checked" fmlaLink="G21" lockText="1" noThreeD="1"/>
</file>

<file path=xl/ctrlProps/ctrlProp189.xml><?xml version="1.0" encoding="utf-8"?>
<formControlPr xmlns="http://schemas.microsoft.com/office/spreadsheetml/2009/9/main" objectType="CheckBox" fmlaLink="B29" lockText="1" noThreeD="1"/>
</file>

<file path=xl/ctrlProps/ctrlProp190.xml><?xml version="1.0" encoding="utf-8"?>
<formControlPr xmlns="http://schemas.microsoft.com/office/spreadsheetml/2009/9/main" objectType="CheckBox" fmlaLink="B30" lockText="1" noThreeD="1"/>
</file>

<file path=xl/ctrlProps/ctrlProp191.xml><?xml version="1.0" encoding="utf-8"?>
<formControlPr xmlns="http://schemas.microsoft.com/office/spreadsheetml/2009/9/main" objectType="CheckBox" fmlaLink="B31" lockText="1" noThreeD="1"/>
</file>

<file path=xl/ctrlProps/ctrlProp192.xml><?xml version="1.0" encoding="utf-8"?>
<formControlPr xmlns="http://schemas.microsoft.com/office/spreadsheetml/2009/9/main" objectType="CheckBox" fmlaLink="G29" lockText="1" noThreeD="1"/>
</file>

<file path=xl/ctrlProps/ctrlProp193.xml><?xml version="1.0" encoding="utf-8"?>
<formControlPr xmlns="http://schemas.microsoft.com/office/spreadsheetml/2009/9/main" objectType="CheckBox" fmlaLink="G30" lockText="1" noThreeD="1"/>
</file>

<file path=xl/ctrlProps/ctrlProp194.xml><?xml version="1.0" encoding="utf-8"?>
<formControlPr xmlns="http://schemas.microsoft.com/office/spreadsheetml/2009/9/main" objectType="CheckBox" checked="Checked" fmlaLink="G31" lockText="1" noThreeD="1"/>
</file>

<file path=xl/ctrlProps/ctrlProp195.xml><?xml version="1.0" encoding="utf-8"?>
<formControlPr xmlns="http://schemas.microsoft.com/office/spreadsheetml/2009/9/main" objectType="CheckBox" fmlaLink="L29" lockText="1" noThreeD="1"/>
</file>

<file path=xl/ctrlProps/ctrlProp196.xml><?xml version="1.0" encoding="utf-8"?>
<formControlPr xmlns="http://schemas.microsoft.com/office/spreadsheetml/2009/9/main" objectType="CheckBox" fmlaLink="L30" lockText="1" noThreeD="1"/>
</file>

<file path=xl/ctrlProps/ctrlProp197.xml><?xml version="1.0" encoding="utf-8"?>
<formControlPr xmlns="http://schemas.microsoft.com/office/spreadsheetml/2009/9/main" objectType="CheckBox" fmlaLink="B34" lockText="1" noThreeD="1"/>
</file>

<file path=xl/ctrlProps/ctrlProp198.xml><?xml version="1.0" encoding="utf-8"?>
<formControlPr xmlns="http://schemas.microsoft.com/office/spreadsheetml/2009/9/main" objectType="CheckBox" fmlaLink="G34" lockText="1" noThreeD="1"/>
</file>

<file path=xl/ctrlProps/ctrlProp199.xml><?xml version="1.0" encoding="utf-8"?>
<formControlPr xmlns="http://schemas.microsoft.com/office/spreadsheetml/2009/9/main" objectType="CheckBox" fmlaLink="L34" lockText="1" noThreeD="1"/>
</file>

<file path=xl/ctrlProps/ctrlProp200.xml><?xml version="1.0" encoding="utf-8"?>
<formControlPr xmlns="http://schemas.microsoft.com/office/spreadsheetml/2009/9/main" objectType="CheckBox" fmlaLink="B40" lockText="1" noThreeD="1"/>
</file>

<file path=xl/ctrlProps/ctrlProp201.xml><?xml version="1.0" encoding="utf-8"?>
<formControlPr xmlns="http://schemas.microsoft.com/office/spreadsheetml/2009/9/main" objectType="CheckBox" checked="Checked" fmlaLink="G40" lockText="1" noThreeD="1"/>
</file>

<file path=xl/ctrlProps/ctrlProp202.xml><?xml version="1.0" encoding="utf-8"?>
<formControlPr xmlns="http://schemas.microsoft.com/office/spreadsheetml/2009/9/main" objectType="CheckBox" checked="Checked" fmlaLink="B35" lockText="1" noThreeD="1"/>
</file>

<file path=xl/ctrlProps/ctrlProp203.xml><?xml version="1.0" encoding="utf-8"?>
<formControlPr xmlns="http://schemas.microsoft.com/office/spreadsheetml/2009/9/main" objectType="CheckBox" fmlaLink="B18" lockText="1" noThreeD="1"/>
</file>

<file path=xl/ctrlProps/ctrlProp204.xml><?xml version="1.0" encoding="utf-8"?>
<formControlPr xmlns="http://schemas.microsoft.com/office/spreadsheetml/2009/9/main" objectType="CheckBox" checked="Checked" fmlaLink="B9" lockText="1" noThreeD="1"/>
</file>

<file path=xl/ctrlProps/ctrlProp205.xml><?xml version="1.0" encoding="utf-8"?>
<formControlPr xmlns="http://schemas.microsoft.com/office/spreadsheetml/2009/9/main" objectType="CheckBox" fmlaLink="G9" lockText="1" noThreeD="1"/>
</file>

<file path=xl/ctrlProps/ctrlProp206.xml><?xml version="1.0" encoding="utf-8"?>
<formControlPr xmlns="http://schemas.microsoft.com/office/spreadsheetml/2009/9/main" objectType="CheckBox" checked="Checked" fmlaLink="G12" lockText="1" noThreeD="1"/>
</file>

<file path=xl/ctrlProps/ctrlProp207.xml><?xml version="1.0" encoding="utf-8"?>
<formControlPr xmlns="http://schemas.microsoft.com/office/spreadsheetml/2009/9/main" objectType="CheckBox" fmlaLink="G13" lockText="1" noThreeD="1"/>
</file>

<file path=xl/ctrlProps/ctrlProp208.xml><?xml version="1.0" encoding="utf-8"?>
<formControlPr xmlns="http://schemas.microsoft.com/office/spreadsheetml/2009/9/main" objectType="CheckBox" fmlaLink="G16" lockText="1" noThreeD="1"/>
</file>

<file path=xl/ctrlProps/ctrlProp209.xml><?xml version="1.0" encoding="utf-8"?>
<formControlPr xmlns="http://schemas.microsoft.com/office/spreadsheetml/2009/9/main" objectType="CheckBox" fmlaLink="G17" lockText="1" noThreeD="1"/>
</file>

<file path=xl/ctrlProps/ctrlProp210.xml><?xml version="1.0" encoding="utf-8"?>
<formControlPr xmlns="http://schemas.microsoft.com/office/spreadsheetml/2009/9/main" objectType="CheckBox" fmlaLink="L16" lockText="1" noThreeD="1"/>
</file>

<file path=xl/ctrlProps/ctrlProp211.xml><?xml version="1.0" encoding="utf-8"?>
<formControlPr xmlns="http://schemas.microsoft.com/office/spreadsheetml/2009/9/main" objectType="CheckBox" fmlaLink="L17" lockText="1" noThreeD="1"/>
</file>

<file path=xl/ctrlProps/ctrlProp212.xml><?xml version="1.0" encoding="utf-8"?>
<formControlPr xmlns="http://schemas.microsoft.com/office/spreadsheetml/2009/9/main" objectType="CheckBox" fmlaLink="B16" lockText="1" noThreeD="1"/>
</file>

<file path=xl/ctrlProps/ctrlProp213.xml><?xml version="1.0" encoding="utf-8"?>
<formControlPr xmlns="http://schemas.microsoft.com/office/spreadsheetml/2009/9/main" objectType="CheckBox" fmlaLink="B17" lockText="1" noThreeD="1"/>
</file>

<file path=xl/ctrlProps/ctrlProp214.xml><?xml version="1.0" encoding="utf-8"?>
<formControlPr xmlns="http://schemas.microsoft.com/office/spreadsheetml/2009/9/main" objectType="CheckBox" fmlaLink="B12" lockText="1" noThreeD="1"/>
</file>

<file path=xl/ctrlProps/ctrlProp215.xml><?xml version="1.0" encoding="utf-8"?>
<formControlPr xmlns="http://schemas.microsoft.com/office/spreadsheetml/2009/9/main" objectType="CheckBox" fmlaLink="B13" lockText="1" noThreeD="1"/>
</file>

<file path=xl/ctrlProps/ctrlProp216.xml><?xml version="1.0" encoding="utf-8"?>
<formControlPr xmlns="http://schemas.microsoft.com/office/spreadsheetml/2009/9/main" objectType="CheckBox" fmlaLink="B21" lockText="1" noThreeD="1"/>
</file>

<file path=xl/ctrlProps/ctrlProp217.xml><?xml version="1.0" encoding="utf-8"?>
<formControlPr xmlns="http://schemas.microsoft.com/office/spreadsheetml/2009/9/main" objectType="CheckBox" fmlaLink="B25" lockText="1" noThreeD="1"/>
</file>

<file path=xl/ctrlProps/ctrlProp218.xml><?xml version="1.0" encoding="utf-8"?>
<formControlPr xmlns="http://schemas.microsoft.com/office/spreadsheetml/2009/9/main" objectType="CheckBox" fmlaLink="G25" lockText="1" noThreeD="1"/>
</file>

<file path=xl/ctrlProps/ctrlProp219.xml><?xml version="1.0" encoding="utf-8"?>
<formControlPr xmlns="http://schemas.microsoft.com/office/spreadsheetml/2009/9/main" objectType="CheckBox" fmlaLink="L25" lockText="1" noThreeD="1"/>
</file>

<file path=xl/ctrlProps/ctrlProp220.xml><?xml version="1.0" encoding="utf-8"?>
<formControlPr xmlns="http://schemas.microsoft.com/office/spreadsheetml/2009/9/main" objectType="CheckBox" checked="Checked" fmlaLink="G21" lockText="1" noThreeD="1"/>
</file>

<file path=xl/ctrlProps/ctrlProp221.xml><?xml version="1.0" encoding="utf-8"?>
<formControlPr xmlns="http://schemas.microsoft.com/office/spreadsheetml/2009/9/main" objectType="CheckBox" fmlaLink="B29" lockText="1" noThreeD="1"/>
</file>

<file path=xl/ctrlProps/ctrlProp222.xml><?xml version="1.0" encoding="utf-8"?>
<formControlPr xmlns="http://schemas.microsoft.com/office/spreadsheetml/2009/9/main" objectType="CheckBox" fmlaLink="B30" lockText="1" noThreeD="1"/>
</file>

<file path=xl/ctrlProps/ctrlProp223.xml><?xml version="1.0" encoding="utf-8"?>
<formControlPr xmlns="http://schemas.microsoft.com/office/spreadsheetml/2009/9/main" objectType="CheckBox" fmlaLink="B31" lockText="1" noThreeD="1"/>
</file>

<file path=xl/ctrlProps/ctrlProp224.xml><?xml version="1.0" encoding="utf-8"?>
<formControlPr xmlns="http://schemas.microsoft.com/office/spreadsheetml/2009/9/main" objectType="CheckBox" fmlaLink="G29" lockText="1" noThreeD="1"/>
</file>

<file path=xl/ctrlProps/ctrlProp225.xml><?xml version="1.0" encoding="utf-8"?>
<formControlPr xmlns="http://schemas.microsoft.com/office/spreadsheetml/2009/9/main" objectType="CheckBox" fmlaLink="G30" lockText="1" noThreeD="1"/>
</file>

<file path=xl/ctrlProps/ctrlProp226.xml><?xml version="1.0" encoding="utf-8"?>
<formControlPr xmlns="http://schemas.microsoft.com/office/spreadsheetml/2009/9/main" objectType="CheckBox" checked="Checked" fmlaLink="G31" lockText="1" noThreeD="1"/>
</file>

<file path=xl/ctrlProps/ctrlProp227.xml><?xml version="1.0" encoding="utf-8"?>
<formControlPr xmlns="http://schemas.microsoft.com/office/spreadsheetml/2009/9/main" objectType="CheckBox" fmlaLink="L29" lockText="1" noThreeD="1"/>
</file>

<file path=xl/ctrlProps/ctrlProp228.xml><?xml version="1.0" encoding="utf-8"?>
<formControlPr xmlns="http://schemas.microsoft.com/office/spreadsheetml/2009/9/main" objectType="CheckBox" fmlaLink="L30" lockText="1" noThreeD="1"/>
</file>

<file path=xl/ctrlProps/ctrlProp229.xml><?xml version="1.0" encoding="utf-8"?>
<formControlPr xmlns="http://schemas.microsoft.com/office/spreadsheetml/2009/9/main" objectType="CheckBox" fmlaLink="B34" lockText="1" noThreeD="1"/>
</file>

<file path=xl/ctrlProps/ctrlProp230.xml><?xml version="1.0" encoding="utf-8"?>
<formControlPr xmlns="http://schemas.microsoft.com/office/spreadsheetml/2009/9/main" objectType="CheckBox" fmlaLink="G34" lockText="1" noThreeD="1"/>
</file>

<file path=xl/ctrlProps/ctrlProp231.xml><?xml version="1.0" encoding="utf-8"?>
<formControlPr xmlns="http://schemas.microsoft.com/office/spreadsheetml/2009/9/main" objectType="CheckBox" fmlaLink="L34" lockText="1" noThreeD="1"/>
</file>

<file path=xl/ctrlProps/ctrlProp232.xml><?xml version="1.0" encoding="utf-8"?>
<formControlPr xmlns="http://schemas.microsoft.com/office/spreadsheetml/2009/9/main" objectType="CheckBox" fmlaLink="B40" lockText="1" noThreeD="1"/>
</file>

<file path=xl/ctrlProps/ctrlProp233.xml><?xml version="1.0" encoding="utf-8"?>
<formControlPr xmlns="http://schemas.microsoft.com/office/spreadsheetml/2009/9/main" objectType="CheckBox" checked="Checked" fmlaLink="G40" lockText="1" noThreeD="1"/>
</file>

<file path=xl/ctrlProps/ctrlProp234.xml><?xml version="1.0" encoding="utf-8"?>
<formControlPr xmlns="http://schemas.microsoft.com/office/spreadsheetml/2009/9/main" objectType="CheckBox" checked="Checked" fmlaLink="B35" lockText="1" noThreeD="1"/>
</file>

<file path=xl/ctrlProps/ctrlProp235.xml><?xml version="1.0" encoding="utf-8"?>
<formControlPr xmlns="http://schemas.microsoft.com/office/spreadsheetml/2009/9/main" objectType="CheckBox" fmlaLink="B18" lockText="1" noThreeD="1"/>
</file>

<file path=xl/ctrlProps/ctrlProp236.xml><?xml version="1.0" encoding="utf-8"?>
<formControlPr xmlns="http://schemas.microsoft.com/office/spreadsheetml/2009/9/main" objectType="CheckBox" checked="Checked" fmlaLink="B9" lockText="1" noThreeD="1"/>
</file>

<file path=xl/ctrlProps/ctrlProp237.xml><?xml version="1.0" encoding="utf-8"?>
<formControlPr xmlns="http://schemas.microsoft.com/office/spreadsheetml/2009/9/main" objectType="CheckBox" fmlaLink="G9" lockText="1" noThreeD="1"/>
</file>

<file path=xl/ctrlProps/ctrlProp238.xml><?xml version="1.0" encoding="utf-8"?>
<formControlPr xmlns="http://schemas.microsoft.com/office/spreadsheetml/2009/9/main" objectType="CheckBox" checked="Checked" fmlaLink="G12" lockText="1" noThreeD="1"/>
</file>

<file path=xl/ctrlProps/ctrlProp239.xml><?xml version="1.0" encoding="utf-8"?>
<formControlPr xmlns="http://schemas.microsoft.com/office/spreadsheetml/2009/9/main" objectType="CheckBox" fmlaLink="G13" lockText="1" noThreeD="1"/>
</file>

<file path=xl/ctrlProps/ctrlProp240.xml><?xml version="1.0" encoding="utf-8"?>
<formControlPr xmlns="http://schemas.microsoft.com/office/spreadsheetml/2009/9/main" objectType="CheckBox" fmlaLink="G16" lockText="1" noThreeD="1"/>
</file>

<file path=xl/ctrlProps/ctrlProp241.xml><?xml version="1.0" encoding="utf-8"?>
<formControlPr xmlns="http://schemas.microsoft.com/office/spreadsheetml/2009/9/main" objectType="CheckBox" fmlaLink="G17" lockText="1" noThreeD="1"/>
</file>

<file path=xl/ctrlProps/ctrlProp242.xml><?xml version="1.0" encoding="utf-8"?>
<formControlPr xmlns="http://schemas.microsoft.com/office/spreadsheetml/2009/9/main" objectType="CheckBox" fmlaLink="L16" lockText="1" noThreeD="1"/>
</file>

<file path=xl/ctrlProps/ctrlProp243.xml><?xml version="1.0" encoding="utf-8"?>
<formControlPr xmlns="http://schemas.microsoft.com/office/spreadsheetml/2009/9/main" objectType="CheckBox" fmlaLink="L17" lockText="1" noThreeD="1"/>
</file>

<file path=xl/ctrlProps/ctrlProp244.xml><?xml version="1.0" encoding="utf-8"?>
<formControlPr xmlns="http://schemas.microsoft.com/office/spreadsheetml/2009/9/main" objectType="CheckBox" fmlaLink="B16" lockText="1" noThreeD="1"/>
</file>

<file path=xl/ctrlProps/ctrlProp245.xml><?xml version="1.0" encoding="utf-8"?>
<formControlPr xmlns="http://schemas.microsoft.com/office/spreadsheetml/2009/9/main" objectType="CheckBox" fmlaLink="B17" lockText="1" noThreeD="1"/>
</file>

<file path=xl/ctrlProps/ctrlProp246.xml><?xml version="1.0" encoding="utf-8"?>
<formControlPr xmlns="http://schemas.microsoft.com/office/spreadsheetml/2009/9/main" objectType="CheckBox" fmlaLink="B12" lockText="1" noThreeD="1"/>
</file>

<file path=xl/ctrlProps/ctrlProp247.xml><?xml version="1.0" encoding="utf-8"?>
<formControlPr xmlns="http://schemas.microsoft.com/office/spreadsheetml/2009/9/main" objectType="CheckBox" fmlaLink="B13" lockText="1" noThreeD="1"/>
</file>

<file path=xl/ctrlProps/ctrlProp248.xml><?xml version="1.0" encoding="utf-8"?>
<formControlPr xmlns="http://schemas.microsoft.com/office/spreadsheetml/2009/9/main" objectType="CheckBox" fmlaLink="B21" lockText="1" noThreeD="1"/>
</file>

<file path=xl/ctrlProps/ctrlProp249.xml><?xml version="1.0" encoding="utf-8"?>
<formControlPr xmlns="http://schemas.microsoft.com/office/spreadsheetml/2009/9/main" objectType="CheckBox" fmlaLink="B25" lockText="1" noThreeD="1"/>
</file>

<file path=xl/ctrlProps/ctrlProp250.xml><?xml version="1.0" encoding="utf-8"?>
<formControlPr xmlns="http://schemas.microsoft.com/office/spreadsheetml/2009/9/main" objectType="CheckBox" fmlaLink="G25" lockText="1" noThreeD="1"/>
</file>

<file path=xl/ctrlProps/ctrlProp251.xml><?xml version="1.0" encoding="utf-8"?>
<formControlPr xmlns="http://schemas.microsoft.com/office/spreadsheetml/2009/9/main" objectType="CheckBox" fmlaLink="L25" lockText="1" noThreeD="1"/>
</file>

<file path=xl/ctrlProps/ctrlProp252.xml><?xml version="1.0" encoding="utf-8"?>
<formControlPr xmlns="http://schemas.microsoft.com/office/spreadsheetml/2009/9/main" objectType="CheckBox" checked="Checked" fmlaLink="G21" lockText="1" noThreeD="1"/>
</file>

<file path=xl/ctrlProps/ctrlProp253.xml><?xml version="1.0" encoding="utf-8"?>
<formControlPr xmlns="http://schemas.microsoft.com/office/spreadsheetml/2009/9/main" objectType="CheckBox" fmlaLink="B29" lockText="1" noThreeD="1"/>
</file>

<file path=xl/ctrlProps/ctrlProp254.xml><?xml version="1.0" encoding="utf-8"?>
<formControlPr xmlns="http://schemas.microsoft.com/office/spreadsheetml/2009/9/main" objectType="CheckBox" fmlaLink="B30" lockText="1" noThreeD="1"/>
</file>

<file path=xl/ctrlProps/ctrlProp255.xml><?xml version="1.0" encoding="utf-8"?>
<formControlPr xmlns="http://schemas.microsoft.com/office/spreadsheetml/2009/9/main" objectType="CheckBox" fmlaLink="B31" lockText="1" noThreeD="1"/>
</file>

<file path=xl/ctrlProps/ctrlProp256.xml><?xml version="1.0" encoding="utf-8"?>
<formControlPr xmlns="http://schemas.microsoft.com/office/spreadsheetml/2009/9/main" objectType="CheckBox" fmlaLink="G29" lockText="1" noThreeD="1"/>
</file>

<file path=xl/ctrlProps/ctrlProp257.xml><?xml version="1.0" encoding="utf-8"?>
<formControlPr xmlns="http://schemas.microsoft.com/office/spreadsheetml/2009/9/main" objectType="CheckBox" fmlaLink="G30" lockText="1" noThreeD="1"/>
</file>

<file path=xl/ctrlProps/ctrlProp258.xml><?xml version="1.0" encoding="utf-8"?>
<formControlPr xmlns="http://schemas.microsoft.com/office/spreadsheetml/2009/9/main" objectType="CheckBox" checked="Checked" fmlaLink="G31" lockText="1" noThreeD="1"/>
</file>

<file path=xl/ctrlProps/ctrlProp259.xml><?xml version="1.0" encoding="utf-8"?>
<formControlPr xmlns="http://schemas.microsoft.com/office/spreadsheetml/2009/9/main" objectType="CheckBox" fmlaLink="L29" lockText="1" noThreeD="1"/>
</file>

<file path=xl/ctrlProps/ctrlProp260.xml><?xml version="1.0" encoding="utf-8"?>
<formControlPr xmlns="http://schemas.microsoft.com/office/spreadsheetml/2009/9/main" objectType="CheckBox" fmlaLink="L30" lockText="1" noThreeD="1"/>
</file>

<file path=xl/ctrlProps/ctrlProp261.xml><?xml version="1.0" encoding="utf-8"?>
<formControlPr xmlns="http://schemas.microsoft.com/office/spreadsheetml/2009/9/main" objectType="CheckBox" fmlaLink="B34" lockText="1" noThreeD="1"/>
</file>

<file path=xl/ctrlProps/ctrlProp262.xml><?xml version="1.0" encoding="utf-8"?>
<formControlPr xmlns="http://schemas.microsoft.com/office/spreadsheetml/2009/9/main" objectType="CheckBox" fmlaLink="G34" lockText="1" noThreeD="1"/>
</file>

<file path=xl/ctrlProps/ctrlProp263.xml><?xml version="1.0" encoding="utf-8"?>
<formControlPr xmlns="http://schemas.microsoft.com/office/spreadsheetml/2009/9/main" objectType="CheckBox" fmlaLink="L34" lockText="1" noThreeD="1"/>
</file>

<file path=xl/ctrlProps/ctrlProp264.xml><?xml version="1.0" encoding="utf-8"?>
<formControlPr xmlns="http://schemas.microsoft.com/office/spreadsheetml/2009/9/main" objectType="CheckBox" fmlaLink="B40" lockText="1" noThreeD="1"/>
</file>

<file path=xl/ctrlProps/ctrlProp265.xml><?xml version="1.0" encoding="utf-8"?>
<formControlPr xmlns="http://schemas.microsoft.com/office/spreadsheetml/2009/9/main" objectType="CheckBox" checked="Checked" fmlaLink="G40" lockText="1" noThreeD="1"/>
</file>

<file path=xl/ctrlProps/ctrlProp266.xml><?xml version="1.0" encoding="utf-8"?>
<formControlPr xmlns="http://schemas.microsoft.com/office/spreadsheetml/2009/9/main" objectType="CheckBox" checked="Checked" fmlaLink="B35" lockText="1" noThreeD="1"/>
</file>

<file path=xl/ctrlProps/ctrlProp267.xml><?xml version="1.0" encoding="utf-8"?>
<formControlPr xmlns="http://schemas.microsoft.com/office/spreadsheetml/2009/9/main" objectType="CheckBox" fmlaLink="B18" lockText="1" noThreeD="1"/>
</file>

<file path=xl/ctrlProps/ctrlProp268.xml><?xml version="1.0" encoding="utf-8"?>
<formControlPr xmlns="http://schemas.microsoft.com/office/spreadsheetml/2009/9/main" objectType="CheckBox" checked="Checked" fmlaLink="B9" lockText="1" noThreeD="1"/>
</file>

<file path=xl/ctrlProps/ctrlProp269.xml><?xml version="1.0" encoding="utf-8"?>
<formControlPr xmlns="http://schemas.microsoft.com/office/spreadsheetml/2009/9/main" objectType="CheckBox" fmlaLink="G9" lockText="1" noThreeD="1"/>
</file>

<file path=xl/ctrlProps/ctrlProp270.xml><?xml version="1.0" encoding="utf-8"?>
<formControlPr xmlns="http://schemas.microsoft.com/office/spreadsheetml/2009/9/main" objectType="CheckBox" fmlaLink="G12" lockText="1" noThreeD="1"/>
</file>

<file path=xl/ctrlProps/ctrlProp271.xml><?xml version="1.0" encoding="utf-8"?>
<formControlPr xmlns="http://schemas.microsoft.com/office/spreadsheetml/2009/9/main" objectType="CheckBox" fmlaLink="G13" lockText="1" noThreeD="1"/>
</file>

<file path=xl/ctrlProps/ctrlProp272.xml><?xml version="1.0" encoding="utf-8"?>
<formControlPr xmlns="http://schemas.microsoft.com/office/spreadsheetml/2009/9/main" objectType="CheckBox" fmlaLink="G16" lockText="1" noThreeD="1"/>
</file>

<file path=xl/ctrlProps/ctrlProp273.xml><?xml version="1.0" encoding="utf-8"?>
<formControlPr xmlns="http://schemas.microsoft.com/office/spreadsheetml/2009/9/main" objectType="CheckBox" fmlaLink="G17" lockText="1" noThreeD="1"/>
</file>

<file path=xl/ctrlProps/ctrlProp274.xml><?xml version="1.0" encoding="utf-8"?>
<formControlPr xmlns="http://schemas.microsoft.com/office/spreadsheetml/2009/9/main" objectType="CheckBox" fmlaLink="L16" lockText="1" noThreeD="1"/>
</file>

<file path=xl/ctrlProps/ctrlProp275.xml><?xml version="1.0" encoding="utf-8"?>
<formControlPr xmlns="http://schemas.microsoft.com/office/spreadsheetml/2009/9/main" objectType="CheckBox" fmlaLink="L17" lockText="1" noThreeD="1"/>
</file>

<file path=xl/ctrlProps/ctrlProp276.xml><?xml version="1.0" encoding="utf-8"?>
<formControlPr xmlns="http://schemas.microsoft.com/office/spreadsheetml/2009/9/main" objectType="CheckBox" fmlaLink="B16" lockText="1" noThreeD="1"/>
</file>

<file path=xl/ctrlProps/ctrlProp277.xml><?xml version="1.0" encoding="utf-8"?>
<formControlPr xmlns="http://schemas.microsoft.com/office/spreadsheetml/2009/9/main" objectType="CheckBox" fmlaLink="B17" lockText="1" noThreeD="1"/>
</file>

<file path=xl/ctrlProps/ctrlProp278.xml><?xml version="1.0" encoding="utf-8"?>
<formControlPr xmlns="http://schemas.microsoft.com/office/spreadsheetml/2009/9/main" objectType="CheckBox" checked="Checked" fmlaLink="B12" lockText="1" noThreeD="1"/>
</file>

<file path=xl/ctrlProps/ctrlProp279.xml><?xml version="1.0" encoding="utf-8"?>
<formControlPr xmlns="http://schemas.microsoft.com/office/spreadsheetml/2009/9/main" objectType="CheckBox" checked="Checked" fmlaLink="B13" lockText="1" noThreeD="1"/>
</file>

<file path=xl/ctrlProps/ctrlProp280.xml><?xml version="1.0" encoding="utf-8"?>
<formControlPr xmlns="http://schemas.microsoft.com/office/spreadsheetml/2009/9/main" objectType="CheckBox" fmlaLink="B21" lockText="1" noThreeD="1"/>
</file>

<file path=xl/ctrlProps/ctrlProp281.xml><?xml version="1.0" encoding="utf-8"?>
<formControlPr xmlns="http://schemas.microsoft.com/office/spreadsheetml/2009/9/main" objectType="CheckBox" fmlaLink="B25" lockText="1" noThreeD="1"/>
</file>

<file path=xl/ctrlProps/ctrlProp282.xml><?xml version="1.0" encoding="utf-8"?>
<formControlPr xmlns="http://schemas.microsoft.com/office/spreadsheetml/2009/9/main" objectType="CheckBox" fmlaLink="G25" lockText="1" noThreeD="1"/>
</file>

<file path=xl/ctrlProps/ctrlProp283.xml><?xml version="1.0" encoding="utf-8"?>
<formControlPr xmlns="http://schemas.microsoft.com/office/spreadsheetml/2009/9/main" objectType="CheckBox" fmlaLink="L25" lockText="1" noThreeD="1"/>
</file>

<file path=xl/ctrlProps/ctrlProp284.xml><?xml version="1.0" encoding="utf-8"?>
<formControlPr xmlns="http://schemas.microsoft.com/office/spreadsheetml/2009/9/main" objectType="CheckBox" fmlaLink="G21" lockText="1" noThreeD="1"/>
</file>

<file path=xl/ctrlProps/ctrlProp285.xml><?xml version="1.0" encoding="utf-8"?>
<formControlPr xmlns="http://schemas.microsoft.com/office/spreadsheetml/2009/9/main" objectType="CheckBox" fmlaLink="B29" lockText="1" noThreeD="1"/>
</file>

<file path=xl/ctrlProps/ctrlProp286.xml><?xml version="1.0" encoding="utf-8"?>
<formControlPr xmlns="http://schemas.microsoft.com/office/spreadsheetml/2009/9/main" objectType="CheckBox" fmlaLink="B30" lockText="1" noThreeD="1"/>
</file>

<file path=xl/ctrlProps/ctrlProp287.xml><?xml version="1.0" encoding="utf-8"?>
<formControlPr xmlns="http://schemas.microsoft.com/office/spreadsheetml/2009/9/main" objectType="CheckBox" fmlaLink="B31" lockText="1" noThreeD="1"/>
</file>

<file path=xl/ctrlProps/ctrlProp288.xml><?xml version="1.0" encoding="utf-8"?>
<formControlPr xmlns="http://schemas.microsoft.com/office/spreadsheetml/2009/9/main" objectType="CheckBox" fmlaLink="G29" lockText="1" noThreeD="1"/>
</file>

<file path=xl/ctrlProps/ctrlProp289.xml><?xml version="1.0" encoding="utf-8"?>
<formControlPr xmlns="http://schemas.microsoft.com/office/spreadsheetml/2009/9/main" objectType="CheckBox" fmlaLink="G30" lockText="1" noThreeD="1"/>
</file>

<file path=xl/ctrlProps/ctrlProp290.xml><?xml version="1.0" encoding="utf-8"?>
<formControlPr xmlns="http://schemas.microsoft.com/office/spreadsheetml/2009/9/main" objectType="CheckBox" checked="Checked" fmlaLink="G31" lockText="1" noThreeD="1"/>
</file>

<file path=xl/ctrlProps/ctrlProp291.xml><?xml version="1.0" encoding="utf-8"?>
<formControlPr xmlns="http://schemas.microsoft.com/office/spreadsheetml/2009/9/main" objectType="CheckBox" fmlaLink="L29" lockText="1" noThreeD="1"/>
</file>

<file path=xl/ctrlProps/ctrlProp292.xml><?xml version="1.0" encoding="utf-8"?>
<formControlPr xmlns="http://schemas.microsoft.com/office/spreadsheetml/2009/9/main" objectType="CheckBox" fmlaLink="L30" lockText="1" noThreeD="1"/>
</file>

<file path=xl/ctrlProps/ctrlProp293.xml><?xml version="1.0" encoding="utf-8"?>
<formControlPr xmlns="http://schemas.microsoft.com/office/spreadsheetml/2009/9/main" objectType="CheckBox" fmlaLink="B34" lockText="1" noThreeD="1"/>
</file>

<file path=xl/ctrlProps/ctrlProp294.xml><?xml version="1.0" encoding="utf-8"?>
<formControlPr xmlns="http://schemas.microsoft.com/office/spreadsheetml/2009/9/main" objectType="CheckBox" fmlaLink="G34" lockText="1" noThreeD="1"/>
</file>

<file path=xl/ctrlProps/ctrlProp295.xml><?xml version="1.0" encoding="utf-8"?>
<formControlPr xmlns="http://schemas.microsoft.com/office/spreadsheetml/2009/9/main" objectType="CheckBox" fmlaLink="L34" lockText="1" noThreeD="1"/>
</file>

<file path=xl/ctrlProps/ctrlProp296.xml><?xml version="1.0" encoding="utf-8"?>
<formControlPr xmlns="http://schemas.microsoft.com/office/spreadsheetml/2009/9/main" objectType="CheckBox" fmlaLink="B40" lockText="1" noThreeD="1"/>
</file>

<file path=xl/ctrlProps/ctrlProp297.xml><?xml version="1.0" encoding="utf-8"?>
<formControlPr xmlns="http://schemas.microsoft.com/office/spreadsheetml/2009/9/main" objectType="CheckBox" checked="Checked" fmlaLink="G40" lockText="1" noThreeD="1"/>
</file>

<file path=xl/ctrlProps/ctrlProp298.xml><?xml version="1.0" encoding="utf-8"?>
<formControlPr xmlns="http://schemas.microsoft.com/office/spreadsheetml/2009/9/main" objectType="CheckBox" checked="Checked" fmlaLink="B35" lockText="1" noThreeD="1"/>
</file>

<file path=xl/ctrlProps/ctrlProp299.xml><?xml version="1.0" encoding="utf-8"?>
<formControlPr xmlns="http://schemas.microsoft.com/office/spreadsheetml/2009/9/main" objectType="CheckBox" checked="Checked" fmlaLink="B18" lockText="1" noThreeD="1"/>
</file>

<file path=xl/ctrlProps/ctrlProp300.xml><?xml version="1.0" encoding="utf-8"?>
<formControlPr xmlns="http://schemas.microsoft.com/office/spreadsheetml/2009/9/main" objectType="CheckBox" checked="Checked" fmlaLink="B9" lockText="1" noThreeD="1"/>
</file>

<file path=xl/ctrlProps/ctrlProp301.xml><?xml version="1.0" encoding="utf-8"?>
<formControlPr xmlns="http://schemas.microsoft.com/office/spreadsheetml/2009/9/main" objectType="CheckBox" fmlaLink="G9" lockText="1" noThreeD="1"/>
</file>

<file path=xl/ctrlProps/ctrlProp302.xml><?xml version="1.0" encoding="utf-8"?>
<formControlPr xmlns="http://schemas.microsoft.com/office/spreadsheetml/2009/9/main" objectType="CheckBox" fmlaLink="G12" lockText="1" noThreeD="1"/>
</file>

<file path=xl/ctrlProps/ctrlProp303.xml><?xml version="1.0" encoding="utf-8"?>
<formControlPr xmlns="http://schemas.microsoft.com/office/spreadsheetml/2009/9/main" objectType="CheckBox" fmlaLink="G13" lockText="1" noThreeD="1"/>
</file>

<file path=xl/ctrlProps/ctrlProp304.xml><?xml version="1.0" encoding="utf-8"?>
<formControlPr xmlns="http://schemas.microsoft.com/office/spreadsheetml/2009/9/main" objectType="CheckBox" fmlaLink="G16" lockText="1" noThreeD="1"/>
</file>

<file path=xl/ctrlProps/ctrlProp305.xml><?xml version="1.0" encoding="utf-8"?>
<formControlPr xmlns="http://schemas.microsoft.com/office/spreadsheetml/2009/9/main" objectType="CheckBox" fmlaLink="G17" lockText="1" noThreeD="1"/>
</file>

<file path=xl/ctrlProps/ctrlProp306.xml><?xml version="1.0" encoding="utf-8"?>
<formControlPr xmlns="http://schemas.microsoft.com/office/spreadsheetml/2009/9/main" objectType="CheckBox" fmlaLink="L16" lockText="1" noThreeD="1"/>
</file>

<file path=xl/ctrlProps/ctrlProp307.xml><?xml version="1.0" encoding="utf-8"?>
<formControlPr xmlns="http://schemas.microsoft.com/office/spreadsheetml/2009/9/main" objectType="CheckBox" fmlaLink="L17" lockText="1" noThreeD="1"/>
</file>

<file path=xl/ctrlProps/ctrlProp308.xml><?xml version="1.0" encoding="utf-8"?>
<formControlPr xmlns="http://schemas.microsoft.com/office/spreadsheetml/2009/9/main" objectType="CheckBox" fmlaLink="B16" lockText="1" noThreeD="1"/>
</file>

<file path=xl/ctrlProps/ctrlProp309.xml><?xml version="1.0" encoding="utf-8"?>
<formControlPr xmlns="http://schemas.microsoft.com/office/spreadsheetml/2009/9/main" objectType="CheckBox" fmlaLink="B17" lockText="1" noThreeD="1"/>
</file>

<file path=xl/ctrlProps/ctrlProp310.xml><?xml version="1.0" encoding="utf-8"?>
<formControlPr xmlns="http://schemas.microsoft.com/office/spreadsheetml/2009/9/main" objectType="CheckBox" checked="Checked" fmlaLink="B12" lockText="1" noThreeD="1"/>
</file>

<file path=xl/ctrlProps/ctrlProp311.xml><?xml version="1.0" encoding="utf-8"?>
<formControlPr xmlns="http://schemas.microsoft.com/office/spreadsheetml/2009/9/main" objectType="CheckBox" checked="Checked" fmlaLink="B13" lockText="1" noThreeD="1"/>
</file>

<file path=xl/ctrlProps/ctrlProp312.xml><?xml version="1.0" encoding="utf-8"?>
<formControlPr xmlns="http://schemas.microsoft.com/office/spreadsheetml/2009/9/main" objectType="CheckBox" fmlaLink="B21" lockText="1" noThreeD="1"/>
</file>

<file path=xl/ctrlProps/ctrlProp313.xml><?xml version="1.0" encoding="utf-8"?>
<formControlPr xmlns="http://schemas.microsoft.com/office/spreadsheetml/2009/9/main" objectType="CheckBox" fmlaLink="B25" lockText="1" noThreeD="1"/>
</file>

<file path=xl/ctrlProps/ctrlProp314.xml><?xml version="1.0" encoding="utf-8"?>
<formControlPr xmlns="http://schemas.microsoft.com/office/spreadsheetml/2009/9/main" objectType="CheckBox" fmlaLink="G25" lockText="1" noThreeD="1"/>
</file>

<file path=xl/ctrlProps/ctrlProp315.xml><?xml version="1.0" encoding="utf-8"?>
<formControlPr xmlns="http://schemas.microsoft.com/office/spreadsheetml/2009/9/main" objectType="CheckBox" fmlaLink="L25" lockText="1" noThreeD="1"/>
</file>

<file path=xl/ctrlProps/ctrlProp316.xml><?xml version="1.0" encoding="utf-8"?>
<formControlPr xmlns="http://schemas.microsoft.com/office/spreadsheetml/2009/9/main" objectType="CheckBox" fmlaLink="G21" lockText="1" noThreeD="1"/>
</file>

<file path=xl/ctrlProps/ctrlProp317.xml><?xml version="1.0" encoding="utf-8"?>
<formControlPr xmlns="http://schemas.microsoft.com/office/spreadsheetml/2009/9/main" objectType="CheckBox" fmlaLink="B29" lockText="1" noThreeD="1"/>
</file>

<file path=xl/ctrlProps/ctrlProp318.xml><?xml version="1.0" encoding="utf-8"?>
<formControlPr xmlns="http://schemas.microsoft.com/office/spreadsheetml/2009/9/main" objectType="CheckBox" fmlaLink="B30" lockText="1" noThreeD="1"/>
</file>

<file path=xl/ctrlProps/ctrlProp319.xml><?xml version="1.0" encoding="utf-8"?>
<formControlPr xmlns="http://schemas.microsoft.com/office/spreadsheetml/2009/9/main" objectType="CheckBox" fmlaLink="B31" lockText="1" noThreeD="1"/>
</file>

<file path=xl/ctrlProps/ctrlProp320.xml><?xml version="1.0" encoding="utf-8"?>
<formControlPr xmlns="http://schemas.microsoft.com/office/spreadsheetml/2009/9/main" objectType="CheckBox" fmlaLink="G29" lockText="1" noThreeD="1"/>
</file>

<file path=xl/ctrlProps/ctrlProp321.xml><?xml version="1.0" encoding="utf-8"?>
<formControlPr xmlns="http://schemas.microsoft.com/office/spreadsheetml/2009/9/main" objectType="CheckBox" fmlaLink="G30" lockText="1" noThreeD="1"/>
</file>

<file path=xl/ctrlProps/ctrlProp322.xml><?xml version="1.0" encoding="utf-8"?>
<formControlPr xmlns="http://schemas.microsoft.com/office/spreadsheetml/2009/9/main" objectType="CheckBox" checked="Checked" fmlaLink="G31" lockText="1" noThreeD="1"/>
</file>

<file path=xl/ctrlProps/ctrlProp323.xml><?xml version="1.0" encoding="utf-8"?>
<formControlPr xmlns="http://schemas.microsoft.com/office/spreadsheetml/2009/9/main" objectType="CheckBox" fmlaLink="L29" lockText="1" noThreeD="1"/>
</file>

<file path=xl/ctrlProps/ctrlProp324.xml><?xml version="1.0" encoding="utf-8"?>
<formControlPr xmlns="http://schemas.microsoft.com/office/spreadsheetml/2009/9/main" objectType="CheckBox" fmlaLink="L30" lockText="1" noThreeD="1"/>
</file>

<file path=xl/ctrlProps/ctrlProp325.xml><?xml version="1.0" encoding="utf-8"?>
<formControlPr xmlns="http://schemas.microsoft.com/office/spreadsheetml/2009/9/main" objectType="CheckBox" fmlaLink="B34" lockText="1" noThreeD="1"/>
</file>

<file path=xl/ctrlProps/ctrlProp326.xml><?xml version="1.0" encoding="utf-8"?>
<formControlPr xmlns="http://schemas.microsoft.com/office/spreadsheetml/2009/9/main" objectType="CheckBox" fmlaLink="G34" lockText="1" noThreeD="1"/>
</file>

<file path=xl/ctrlProps/ctrlProp327.xml><?xml version="1.0" encoding="utf-8"?>
<formControlPr xmlns="http://schemas.microsoft.com/office/spreadsheetml/2009/9/main" objectType="CheckBox" fmlaLink="L34" lockText="1" noThreeD="1"/>
</file>

<file path=xl/ctrlProps/ctrlProp328.xml><?xml version="1.0" encoding="utf-8"?>
<formControlPr xmlns="http://schemas.microsoft.com/office/spreadsheetml/2009/9/main" objectType="CheckBox" fmlaLink="B40" lockText="1" noThreeD="1"/>
</file>

<file path=xl/ctrlProps/ctrlProp329.xml><?xml version="1.0" encoding="utf-8"?>
<formControlPr xmlns="http://schemas.microsoft.com/office/spreadsheetml/2009/9/main" objectType="CheckBox" checked="Checked" fmlaLink="G40" lockText="1" noThreeD="1"/>
</file>

<file path=xl/ctrlProps/ctrlProp330.xml><?xml version="1.0" encoding="utf-8"?>
<formControlPr xmlns="http://schemas.microsoft.com/office/spreadsheetml/2009/9/main" objectType="CheckBox" checked="Checked" fmlaLink="B35" lockText="1" noThreeD="1"/>
</file>

<file path=xl/ctrlProps/ctrlProp331.xml><?xml version="1.0" encoding="utf-8"?>
<formControlPr xmlns="http://schemas.microsoft.com/office/spreadsheetml/2009/9/main" objectType="CheckBox" checked="Checked" fmlaLink="B18" lockText="1" noThreeD="1"/>
</file>

<file path=xl/ctrlProps/ctrlProp332.xml><?xml version="1.0" encoding="utf-8"?>
<formControlPr xmlns="http://schemas.microsoft.com/office/spreadsheetml/2009/9/main" objectType="CheckBox" checked="Checked" fmlaLink="B9" lockText="1" noThreeD="1"/>
</file>

<file path=xl/ctrlProps/ctrlProp333.xml><?xml version="1.0" encoding="utf-8"?>
<formControlPr xmlns="http://schemas.microsoft.com/office/spreadsheetml/2009/9/main" objectType="CheckBox" fmlaLink="G9" lockText="1" noThreeD="1"/>
</file>

<file path=xl/ctrlProps/ctrlProp334.xml><?xml version="1.0" encoding="utf-8"?>
<formControlPr xmlns="http://schemas.microsoft.com/office/spreadsheetml/2009/9/main" objectType="CheckBox" fmlaLink="G12" lockText="1" noThreeD="1"/>
</file>

<file path=xl/ctrlProps/ctrlProp335.xml><?xml version="1.0" encoding="utf-8"?>
<formControlPr xmlns="http://schemas.microsoft.com/office/spreadsheetml/2009/9/main" objectType="CheckBox" fmlaLink="G13" lockText="1" noThreeD="1"/>
</file>

<file path=xl/ctrlProps/ctrlProp336.xml><?xml version="1.0" encoding="utf-8"?>
<formControlPr xmlns="http://schemas.microsoft.com/office/spreadsheetml/2009/9/main" objectType="CheckBox" fmlaLink="G16" lockText="1" noThreeD="1"/>
</file>

<file path=xl/ctrlProps/ctrlProp337.xml><?xml version="1.0" encoding="utf-8"?>
<formControlPr xmlns="http://schemas.microsoft.com/office/spreadsheetml/2009/9/main" objectType="CheckBox" fmlaLink="G17" lockText="1" noThreeD="1"/>
</file>

<file path=xl/ctrlProps/ctrlProp338.xml><?xml version="1.0" encoding="utf-8"?>
<formControlPr xmlns="http://schemas.microsoft.com/office/spreadsheetml/2009/9/main" objectType="CheckBox" fmlaLink="L16" lockText="1" noThreeD="1"/>
</file>

<file path=xl/ctrlProps/ctrlProp339.xml><?xml version="1.0" encoding="utf-8"?>
<formControlPr xmlns="http://schemas.microsoft.com/office/spreadsheetml/2009/9/main" objectType="CheckBox" fmlaLink="L17" lockText="1" noThreeD="1"/>
</file>

<file path=xl/ctrlProps/ctrlProp340.xml><?xml version="1.0" encoding="utf-8"?>
<formControlPr xmlns="http://schemas.microsoft.com/office/spreadsheetml/2009/9/main" objectType="CheckBox" fmlaLink="B16" lockText="1" noThreeD="1"/>
</file>

<file path=xl/ctrlProps/ctrlProp341.xml><?xml version="1.0" encoding="utf-8"?>
<formControlPr xmlns="http://schemas.microsoft.com/office/spreadsheetml/2009/9/main" objectType="CheckBox" fmlaLink="B17" lockText="1" noThreeD="1"/>
</file>

<file path=xl/ctrlProps/ctrlProp342.xml><?xml version="1.0" encoding="utf-8"?>
<formControlPr xmlns="http://schemas.microsoft.com/office/spreadsheetml/2009/9/main" objectType="CheckBox" checked="Checked" fmlaLink="B12" lockText="1" noThreeD="1"/>
</file>

<file path=xl/ctrlProps/ctrlProp343.xml><?xml version="1.0" encoding="utf-8"?>
<formControlPr xmlns="http://schemas.microsoft.com/office/spreadsheetml/2009/9/main" objectType="CheckBox" checked="Checked" fmlaLink="B13" lockText="1" noThreeD="1"/>
</file>

<file path=xl/ctrlProps/ctrlProp344.xml><?xml version="1.0" encoding="utf-8"?>
<formControlPr xmlns="http://schemas.microsoft.com/office/spreadsheetml/2009/9/main" objectType="CheckBox" fmlaLink="B21" lockText="1" noThreeD="1"/>
</file>

<file path=xl/ctrlProps/ctrlProp345.xml><?xml version="1.0" encoding="utf-8"?>
<formControlPr xmlns="http://schemas.microsoft.com/office/spreadsheetml/2009/9/main" objectType="CheckBox" fmlaLink="B25" lockText="1" noThreeD="1"/>
</file>

<file path=xl/ctrlProps/ctrlProp346.xml><?xml version="1.0" encoding="utf-8"?>
<formControlPr xmlns="http://schemas.microsoft.com/office/spreadsheetml/2009/9/main" objectType="CheckBox" fmlaLink="G25" lockText="1" noThreeD="1"/>
</file>

<file path=xl/ctrlProps/ctrlProp347.xml><?xml version="1.0" encoding="utf-8"?>
<formControlPr xmlns="http://schemas.microsoft.com/office/spreadsheetml/2009/9/main" objectType="CheckBox" fmlaLink="L25" lockText="1" noThreeD="1"/>
</file>

<file path=xl/ctrlProps/ctrlProp348.xml><?xml version="1.0" encoding="utf-8"?>
<formControlPr xmlns="http://schemas.microsoft.com/office/spreadsheetml/2009/9/main" objectType="CheckBox" fmlaLink="G21" lockText="1" noThreeD="1"/>
</file>

<file path=xl/ctrlProps/ctrlProp349.xml><?xml version="1.0" encoding="utf-8"?>
<formControlPr xmlns="http://schemas.microsoft.com/office/spreadsheetml/2009/9/main" objectType="CheckBox" fmlaLink="B29" lockText="1" noThreeD="1"/>
</file>

<file path=xl/ctrlProps/ctrlProp350.xml><?xml version="1.0" encoding="utf-8"?>
<formControlPr xmlns="http://schemas.microsoft.com/office/spreadsheetml/2009/9/main" objectType="CheckBox" fmlaLink="B30" lockText="1" noThreeD="1"/>
</file>

<file path=xl/ctrlProps/ctrlProp351.xml><?xml version="1.0" encoding="utf-8"?>
<formControlPr xmlns="http://schemas.microsoft.com/office/spreadsheetml/2009/9/main" objectType="CheckBox" fmlaLink="B31" lockText="1" noThreeD="1"/>
</file>

<file path=xl/ctrlProps/ctrlProp352.xml><?xml version="1.0" encoding="utf-8"?>
<formControlPr xmlns="http://schemas.microsoft.com/office/spreadsheetml/2009/9/main" objectType="CheckBox" fmlaLink="G29" lockText="1" noThreeD="1"/>
</file>

<file path=xl/ctrlProps/ctrlProp353.xml><?xml version="1.0" encoding="utf-8"?>
<formControlPr xmlns="http://schemas.microsoft.com/office/spreadsheetml/2009/9/main" objectType="CheckBox" fmlaLink="G30" lockText="1" noThreeD="1"/>
</file>

<file path=xl/ctrlProps/ctrlProp354.xml><?xml version="1.0" encoding="utf-8"?>
<formControlPr xmlns="http://schemas.microsoft.com/office/spreadsheetml/2009/9/main" objectType="CheckBox" checked="Checked" fmlaLink="G31" lockText="1" noThreeD="1"/>
</file>

<file path=xl/ctrlProps/ctrlProp355.xml><?xml version="1.0" encoding="utf-8"?>
<formControlPr xmlns="http://schemas.microsoft.com/office/spreadsheetml/2009/9/main" objectType="CheckBox" fmlaLink="L29" lockText="1" noThreeD="1"/>
</file>

<file path=xl/ctrlProps/ctrlProp356.xml><?xml version="1.0" encoding="utf-8"?>
<formControlPr xmlns="http://schemas.microsoft.com/office/spreadsheetml/2009/9/main" objectType="CheckBox" fmlaLink="L30" lockText="1" noThreeD="1"/>
</file>

<file path=xl/ctrlProps/ctrlProp357.xml><?xml version="1.0" encoding="utf-8"?>
<formControlPr xmlns="http://schemas.microsoft.com/office/spreadsheetml/2009/9/main" objectType="CheckBox" fmlaLink="B34" lockText="1" noThreeD="1"/>
</file>

<file path=xl/ctrlProps/ctrlProp358.xml><?xml version="1.0" encoding="utf-8"?>
<formControlPr xmlns="http://schemas.microsoft.com/office/spreadsheetml/2009/9/main" objectType="CheckBox" fmlaLink="G34" lockText="1" noThreeD="1"/>
</file>

<file path=xl/ctrlProps/ctrlProp359.xml><?xml version="1.0" encoding="utf-8"?>
<formControlPr xmlns="http://schemas.microsoft.com/office/spreadsheetml/2009/9/main" objectType="CheckBox" fmlaLink="L34" lockText="1" noThreeD="1"/>
</file>

<file path=xl/ctrlProps/ctrlProp360.xml><?xml version="1.0" encoding="utf-8"?>
<formControlPr xmlns="http://schemas.microsoft.com/office/spreadsheetml/2009/9/main" objectType="CheckBox" fmlaLink="B40" lockText="1" noThreeD="1"/>
</file>

<file path=xl/ctrlProps/ctrlProp361.xml><?xml version="1.0" encoding="utf-8"?>
<formControlPr xmlns="http://schemas.microsoft.com/office/spreadsheetml/2009/9/main" objectType="CheckBox" checked="Checked" fmlaLink="G40" lockText="1" noThreeD="1"/>
</file>

<file path=xl/ctrlProps/ctrlProp362.xml><?xml version="1.0" encoding="utf-8"?>
<formControlPr xmlns="http://schemas.microsoft.com/office/spreadsheetml/2009/9/main" objectType="CheckBox" checked="Checked" fmlaLink="B35" lockText="1" noThreeD="1"/>
</file>

<file path=xl/ctrlProps/ctrlProp363.xml><?xml version="1.0" encoding="utf-8"?>
<formControlPr xmlns="http://schemas.microsoft.com/office/spreadsheetml/2009/9/main" objectType="CheckBox" checked="Checked" fmlaLink="B18" lockText="1" noThreeD="1"/>
</file>

<file path=xl/ctrlProps/ctrlProp364.xml><?xml version="1.0" encoding="utf-8"?>
<formControlPr xmlns="http://schemas.microsoft.com/office/spreadsheetml/2009/9/main" objectType="CheckBox" fmlaLink="B9" lockText="1" noThreeD="1"/>
</file>

<file path=xl/ctrlProps/ctrlProp365.xml><?xml version="1.0" encoding="utf-8"?>
<formControlPr xmlns="http://schemas.microsoft.com/office/spreadsheetml/2009/9/main" objectType="CheckBox" checked="Checked" fmlaLink="G9" lockText="1" noThreeD="1"/>
</file>

<file path=xl/ctrlProps/ctrlProp366.xml><?xml version="1.0" encoding="utf-8"?>
<formControlPr xmlns="http://schemas.microsoft.com/office/spreadsheetml/2009/9/main" objectType="CheckBox" fmlaLink="G12" lockText="1" noThreeD="1"/>
</file>

<file path=xl/ctrlProps/ctrlProp367.xml><?xml version="1.0" encoding="utf-8"?>
<formControlPr xmlns="http://schemas.microsoft.com/office/spreadsheetml/2009/9/main" objectType="CheckBox" fmlaLink="G13" lockText="1" noThreeD="1"/>
</file>

<file path=xl/ctrlProps/ctrlProp368.xml><?xml version="1.0" encoding="utf-8"?>
<formControlPr xmlns="http://schemas.microsoft.com/office/spreadsheetml/2009/9/main" objectType="CheckBox" fmlaLink="G16" lockText="1" noThreeD="1"/>
</file>

<file path=xl/ctrlProps/ctrlProp369.xml><?xml version="1.0" encoding="utf-8"?>
<formControlPr xmlns="http://schemas.microsoft.com/office/spreadsheetml/2009/9/main" objectType="CheckBox" fmlaLink="G17" lockText="1" noThreeD="1"/>
</file>

<file path=xl/ctrlProps/ctrlProp370.xml><?xml version="1.0" encoding="utf-8"?>
<formControlPr xmlns="http://schemas.microsoft.com/office/spreadsheetml/2009/9/main" objectType="CheckBox" fmlaLink="L16" lockText="1" noThreeD="1"/>
</file>

<file path=xl/ctrlProps/ctrlProp371.xml><?xml version="1.0" encoding="utf-8"?>
<formControlPr xmlns="http://schemas.microsoft.com/office/spreadsheetml/2009/9/main" objectType="CheckBox" fmlaLink="L17" lockText="1" noThreeD="1"/>
</file>

<file path=xl/ctrlProps/ctrlProp372.xml><?xml version="1.0" encoding="utf-8"?>
<formControlPr xmlns="http://schemas.microsoft.com/office/spreadsheetml/2009/9/main" objectType="CheckBox" fmlaLink="B16" lockText="1" noThreeD="1"/>
</file>

<file path=xl/ctrlProps/ctrlProp373.xml><?xml version="1.0" encoding="utf-8"?>
<formControlPr xmlns="http://schemas.microsoft.com/office/spreadsheetml/2009/9/main" objectType="CheckBox" fmlaLink="B17" lockText="1" noThreeD="1"/>
</file>

<file path=xl/ctrlProps/ctrlProp374.xml><?xml version="1.0" encoding="utf-8"?>
<formControlPr xmlns="http://schemas.microsoft.com/office/spreadsheetml/2009/9/main" objectType="CheckBox" fmlaLink="B12" lockText="1" noThreeD="1"/>
</file>

<file path=xl/ctrlProps/ctrlProp375.xml><?xml version="1.0" encoding="utf-8"?>
<formControlPr xmlns="http://schemas.microsoft.com/office/spreadsheetml/2009/9/main" objectType="CheckBox" checked="Checked" fmlaLink="B13" lockText="1" noThreeD="1"/>
</file>

<file path=xl/ctrlProps/ctrlProp376.xml><?xml version="1.0" encoding="utf-8"?>
<formControlPr xmlns="http://schemas.microsoft.com/office/spreadsheetml/2009/9/main" objectType="CheckBox" fmlaLink="B21" lockText="1" noThreeD="1"/>
</file>

<file path=xl/ctrlProps/ctrlProp377.xml><?xml version="1.0" encoding="utf-8"?>
<formControlPr xmlns="http://schemas.microsoft.com/office/spreadsheetml/2009/9/main" objectType="CheckBox" checked="Checked" fmlaLink="B25" lockText="1" noThreeD="1"/>
</file>

<file path=xl/ctrlProps/ctrlProp378.xml><?xml version="1.0" encoding="utf-8"?>
<formControlPr xmlns="http://schemas.microsoft.com/office/spreadsheetml/2009/9/main" objectType="CheckBox" checked="Checked" fmlaLink="G25" lockText="1" noThreeD="1"/>
</file>

<file path=xl/ctrlProps/ctrlProp379.xml><?xml version="1.0" encoding="utf-8"?>
<formControlPr xmlns="http://schemas.microsoft.com/office/spreadsheetml/2009/9/main" objectType="CheckBox" fmlaLink="L25" lockText="1" noThreeD="1"/>
</file>

<file path=xl/ctrlProps/ctrlProp380.xml><?xml version="1.0" encoding="utf-8"?>
<formControlPr xmlns="http://schemas.microsoft.com/office/spreadsheetml/2009/9/main" objectType="CheckBox" fmlaLink="G21" lockText="1" noThreeD="1"/>
</file>

<file path=xl/ctrlProps/ctrlProp381.xml><?xml version="1.0" encoding="utf-8"?>
<formControlPr xmlns="http://schemas.microsoft.com/office/spreadsheetml/2009/9/main" objectType="CheckBox" fmlaLink="B29" lockText="1" noThreeD="1"/>
</file>

<file path=xl/ctrlProps/ctrlProp382.xml><?xml version="1.0" encoding="utf-8"?>
<formControlPr xmlns="http://schemas.microsoft.com/office/spreadsheetml/2009/9/main" objectType="CheckBox" fmlaLink="B30" lockText="1" noThreeD="1"/>
</file>

<file path=xl/ctrlProps/ctrlProp383.xml><?xml version="1.0" encoding="utf-8"?>
<formControlPr xmlns="http://schemas.microsoft.com/office/spreadsheetml/2009/9/main" objectType="CheckBox" fmlaLink="B31" lockText="1" noThreeD="1"/>
</file>

<file path=xl/ctrlProps/ctrlProp384.xml><?xml version="1.0" encoding="utf-8"?>
<formControlPr xmlns="http://schemas.microsoft.com/office/spreadsheetml/2009/9/main" objectType="CheckBox" fmlaLink="G29" lockText="1" noThreeD="1"/>
</file>

<file path=xl/ctrlProps/ctrlProp385.xml><?xml version="1.0" encoding="utf-8"?>
<formControlPr xmlns="http://schemas.microsoft.com/office/spreadsheetml/2009/9/main" objectType="CheckBox" fmlaLink="G30" lockText="1" noThreeD="1"/>
</file>

<file path=xl/ctrlProps/ctrlProp386.xml><?xml version="1.0" encoding="utf-8"?>
<formControlPr xmlns="http://schemas.microsoft.com/office/spreadsheetml/2009/9/main" objectType="CheckBox" fmlaLink="G31" lockText="1" noThreeD="1"/>
</file>

<file path=xl/ctrlProps/ctrlProp387.xml><?xml version="1.0" encoding="utf-8"?>
<formControlPr xmlns="http://schemas.microsoft.com/office/spreadsheetml/2009/9/main" objectType="CheckBox" checked="Checked" fmlaLink="L29" lockText="1" noThreeD="1"/>
</file>

<file path=xl/ctrlProps/ctrlProp388.xml><?xml version="1.0" encoding="utf-8"?>
<formControlPr xmlns="http://schemas.microsoft.com/office/spreadsheetml/2009/9/main" objectType="CheckBox" fmlaLink="L30" lockText="1" noThreeD="1"/>
</file>

<file path=xl/ctrlProps/ctrlProp389.xml><?xml version="1.0" encoding="utf-8"?>
<formControlPr xmlns="http://schemas.microsoft.com/office/spreadsheetml/2009/9/main" objectType="CheckBox" fmlaLink="B34" lockText="1" noThreeD="1"/>
</file>

<file path=xl/ctrlProps/ctrlProp390.xml><?xml version="1.0" encoding="utf-8"?>
<formControlPr xmlns="http://schemas.microsoft.com/office/spreadsheetml/2009/9/main" objectType="CheckBox" fmlaLink="G34" lockText="1" noThreeD="1"/>
</file>

<file path=xl/ctrlProps/ctrlProp391.xml><?xml version="1.0" encoding="utf-8"?>
<formControlPr xmlns="http://schemas.microsoft.com/office/spreadsheetml/2009/9/main" objectType="CheckBox" fmlaLink="L34" lockText="1" noThreeD="1"/>
</file>

<file path=xl/ctrlProps/ctrlProp392.xml><?xml version="1.0" encoding="utf-8"?>
<formControlPr xmlns="http://schemas.microsoft.com/office/spreadsheetml/2009/9/main" objectType="CheckBox" checked="Checked" fmlaLink="B40" lockText="1" noThreeD="1"/>
</file>

<file path=xl/ctrlProps/ctrlProp393.xml><?xml version="1.0" encoding="utf-8"?>
<formControlPr xmlns="http://schemas.microsoft.com/office/spreadsheetml/2009/9/main" objectType="CheckBox" fmlaLink="G40" lockText="1" noThreeD="1"/>
</file>

<file path=xl/ctrlProps/ctrlProp394.xml><?xml version="1.0" encoding="utf-8"?>
<formControlPr xmlns="http://schemas.microsoft.com/office/spreadsheetml/2009/9/main" objectType="CheckBox" checked="Checked" fmlaLink="B35" lockText="1" noThreeD="1"/>
</file>

<file path=xl/ctrlProps/ctrlProp395.xml><?xml version="1.0" encoding="utf-8"?>
<formControlPr xmlns="http://schemas.microsoft.com/office/spreadsheetml/2009/9/main" objectType="CheckBox" fmlaLink="B18" lockText="1" noThreeD="1"/>
</file>

<file path=xl/ctrlProps/ctrlProp396.xml><?xml version="1.0" encoding="utf-8"?>
<formControlPr xmlns="http://schemas.microsoft.com/office/spreadsheetml/2009/9/main" objectType="CheckBox" fmlaLink="B9" lockText="1" noThreeD="1"/>
</file>

<file path=xl/ctrlProps/ctrlProp397.xml><?xml version="1.0" encoding="utf-8"?>
<formControlPr xmlns="http://schemas.microsoft.com/office/spreadsheetml/2009/9/main" objectType="CheckBox" checked="Checked" fmlaLink="G9" lockText="1" noThreeD="1"/>
</file>

<file path=xl/ctrlProps/ctrlProp398.xml><?xml version="1.0" encoding="utf-8"?>
<formControlPr xmlns="http://schemas.microsoft.com/office/spreadsheetml/2009/9/main" objectType="CheckBox" fmlaLink="G12" lockText="1" noThreeD="1"/>
</file>

<file path=xl/ctrlProps/ctrlProp399.xml><?xml version="1.0" encoding="utf-8"?>
<formControlPr xmlns="http://schemas.microsoft.com/office/spreadsheetml/2009/9/main" objectType="CheckBox" fmlaLink="G13" lockText="1" noThreeD="1"/>
</file>

<file path=xl/ctrlProps/ctrlProp400.xml><?xml version="1.0" encoding="utf-8"?>
<formControlPr xmlns="http://schemas.microsoft.com/office/spreadsheetml/2009/9/main" objectType="CheckBox" fmlaLink="G16" lockText="1" noThreeD="1"/>
</file>

<file path=xl/ctrlProps/ctrlProp401.xml><?xml version="1.0" encoding="utf-8"?>
<formControlPr xmlns="http://schemas.microsoft.com/office/spreadsheetml/2009/9/main" objectType="CheckBox" fmlaLink="G17" lockText="1" noThreeD="1"/>
</file>

<file path=xl/ctrlProps/ctrlProp402.xml><?xml version="1.0" encoding="utf-8"?>
<formControlPr xmlns="http://schemas.microsoft.com/office/spreadsheetml/2009/9/main" objectType="CheckBox" fmlaLink="L16" lockText="1" noThreeD="1"/>
</file>

<file path=xl/ctrlProps/ctrlProp403.xml><?xml version="1.0" encoding="utf-8"?>
<formControlPr xmlns="http://schemas.microsoft.com/office/spreadsheetml/2009/9/main" objectType="CheckBox" fmlaLink="L17" lockText="1" noThreeD="1"/>
</file>

<file path=xl/ctrlProps/ctrlProp404.xml><?xml version="1.0" encoding="utf-8"?>
<formControlPr xmlns="http://schemas.microsoft.com/office/spreadsheetml/2009/9/main" objectType="CheckBox" fmlaLink="B16" lockText="1" noThreeD="1"/>
</file>

<file path=xl/ctrlProps/ctrlProp405.xml><?xml version="1.0" encoding="utf-8"?>
<formControlPr xmlns="http://schemas.microsoft.com/office/spreadsheetml/2009/9/main" objectType="CheckBox" fmlaLink="B17" lockText="1" noThreeD="1"/>
</file>

<file path=xl/ctrlProps/ctrlProp406.xml><?xml version="1.0" encoding="utf-8"?>
<formControlPr xmlns="http://schemas.microsoft.com/office/spreadsheetml/2009/9/main" objectType="CheckBox" checked="Checked" fmlaLink="B12" lockText="1" noThreeD="1"/>
</file>

<file path=xl/ctrlProps/ctrlProp407.xml><?xml version="1.0" encoding="utf-8"?>
<formControlPr xmlns="http://schemas.microsoft.com/office/spreadsheetml/2009/9/main" objectType="CheckBox" fmlaLink="B13" lockText="1" noThreeD="1"/>
</file>

<file path=xl/ctrlProps/ctrlProp408.xml><?xml version="1.0" encoding="utf-8"?>
<formControlPr xmlns="http://schemas.microsoft.com/office/spreadsheetml/2009/9/main" objectType="CheckBox" fmlaLink="B21" lockText="1" noThreeD="1"/>
</file>

<file path=xl/ctrlProps/ctrlProp409.xml><?xml version="1.0" encoding="utf-8"?>
<formControlPr xmlns="http://schemas.microsoft.com/office/spreadsheetml/2009/9/main" objectType="CheckBox" fmlaLink="B25" lockText="1" noThreeD="1"/>
</file>

<file path=xl/ctrlProps/ctrlProp410.xml><?xml version="1.0" encoding="utf-8"?>
<formControlPr xmlns="http://schemas.microsoft.com/office/spreadsheetml/2009/9/main" objectType="CheckBox" fmlaLink="G25" lockText="1" noThreeD="1"/>
</file>

<file path=xl/ctrlProps/ctrlProp411.xml><?xml version="1.0" encoding="utf-8"?>
<formControlPr xmlns="http://schemas.microsoft.com/office/spreadsheetml/2009/9/main" objectType="CheckBox" fmlaLink="L25" lockText="1" noThreeD="1"/>
</file>

<file path=xl/ctrlProps/ctrlProp412.xml><?xml version="1.0" encoding="utf-8"?>
<formControlPr xmlns="http://schemas.microsoft.com/office/spreadsheetml/2009/9/main" objectType="CheckBox" fmlaLink="G21" lockText="1" noThreeD="1"/>
</file>

<file path=xl/ctrlProps/ctrlProp413.xml><?xml version="1.0" encoding="utf-8"?>
<formControlPr xmlns="http://schemas.microsoft.com/office/spreadsheetml/2009/9/main" objectType="CheckBox" fmlaLink="B29" lockText="1" noThreeD="1"/>
</file>

<file path=xl/ctrlProps/ctrlProp414.xml><?xml version="1.0" encoding="utf-8"?>
<formControlPr xmlns="http://schemas.microsoft.com/office/spreadsheetml/2009/9/main" objectType="CheckBox" fmlaLink="B30" lockText="1" noThreeD="1"/>
</file>

<file path=xl/ctrlProps/ctrlProp415.xml><?xml version="1.0" encoding="utf-8"?>
<formControlPr xmlns="http://schemas.microsoft.com/office/spreadsheetml/2009/9/main" objectType="CheckBox" fmlaLink="B31" lockText="1" noThreeD="1"/>
</file>

<file path=xl/ctrlProps/ctrlProp416.xml><?xml version="1.0" encoding="utf-8"?>
<formControlPr xmlns="http://schemas.microsoft.com/office/spreadsheetml/2009/9/main" objectType="CheckBox" fmlaLink="G29" lockText="1" noThreeD="1"/>
</file>

<file path=xl/ctrlProps/ctrlProp417.xml><?xml version="1.0" encoding="utf-8"?>
<formControlPr xmlns="http://schemas.microsoft.com/office/spreadsheetml/2009/9/main" objectType="CheckBox" fmlaLink="G30" lockText="1" noThreeD="1"/>
</file>

<file path=xl/ctrlProps/ctrlProp418.xml><?xml version="1.0" encoding="utf-8"?>
<formControlPr xmlns="http://schemas.microsoft.com/office/spreadsheetml/2009/9/main" objectType="CheckBox" checked="Checked" fmlaLink="G31" lockText="1" noThreeD="1"/>
</file>

<file path=xl/ctrlProps/ctrlProp419.xml><?xml version="1.0" encoding="utf-8"?>
<formControlPr xmlns="http://schemas.microsoft.com/office/spreadsheetml/2009/9/main" objectType="CheckBox" fmlaLink="L29" lockText="1" noThreeD="1"/>
</file>

<file path=xl/ctrlProps/ctrlProp420.xml><?xml version="1.0" encoding="utf-8"?>
<formControlPr xmlns="http://schemas.microsoft.com/office/spreadsheetml/2009/9/main" objectType="CheckBox" fmlaLink="L30" lockText="1" noThreeD="1"/>
</file>

<file path=xl/ctrlProps/ctrlProp421.xml><?xml version="1.0" encoding="utf-8"?>
<formControlPr xmlns="http://schemas.microsoft.com/office/spreadsheetml/2009/9/main" objectType="CheckBox" fmlaLink="B34" lockText="1" noThreeD="1"/>
</file>

<file path=xl/ctrlProps/ctrlProp422.xml><?xml version="1.0" encoding="utf-8"?>
<formControlPr xmlns="http://schemas.microsoft.com/office/spreadsheetml/2009/9/main" objectType="CheckBox" fmlaLink="G34" lockText="1" noThreeD="1"/>
</file>

<file path=xl/ctrlProps/ctrlProp423.xml><?xml version="1.0" encoding="utf-8"?>
<formControlPr xmlns="http://schemas.microsoft.com/office/spreadsheetml/2009/9/main" objectType="CheckBox" checked="Checked" fmlaLink="L34" lockText="1" noThreeD="1"/>
</file>

<file path=xl/ctrlProps/ctrlProp424.xml><?xml version="1.0" encoding="utf-8"?>
<formControlPr xmlns="http://schemas.microsoft.com/office/spreadsheetml/2009/9/main" objectType="CheckBox" fmlaLink="B40" lockText="1" noThreeD="1"/>
</file>

<file path=xl/ctrlProps/ctrlProp425.xml><?xml version="1.0" encoding="utf-8"?>
<formControlPr xmlns="http://schemas.microsoft.com/office/spreadsheetml/2009/9/main" objectType="CheckBox" checked="Checked" fmlaLink="G40" lockText="1" noThreeD="1"/>
</file>

<file path=xl/ctrlProps/ctrlProp426.xml><?xml version="1.0" encoding="utf-8"?>
<formControlPr xmlns="http://schemas.microsoft.com/office/spreadsheetml/2009/9/main" objectType="CheckBox" fmlaLink="B35" lockText="1" noThreeD="1"/>
</file>

<file path=xl/ctrlProps/ctrlProp427.xml><?xml version="1.0" encoding="utf-8"?>
<formControlPr xmlns="http://schemas.microsoft.com/office/spreadsheetml/2009/9/main" objectType="CheckBox" fmlaLink="B18"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xmlns=""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xmlns=""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xmlns=""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xmlns=""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xmlns=""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xmlns=""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xmlns=""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xmlns=""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xmlns=""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xmlns=""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xmlns=""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xmlns=""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xmlns=""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xmlns=""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438150</xdr:colOff>
          <xdr:row>38</xdr:row>
          <xdr:rowOff>200025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xmlns=""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38</xdr:row>
          <xdr:rowOff>0</xdr:rowOff>
        </xdr:from>
        <xdr:to>
          <xdr:col>3</xdr:col>
          <xdr:colOff>419100</xdr:colOff>
          <xdr:row>38</xdr:row>
          <xdr:rowOff>209550</xdr:rowOff>
        </xdr:to>
        <xdr:sp macro="" textlink="">
          <xdr:nvSpPr>
            <xdr:cNvPr id="1141" name="SuperGroup" hidden="1">
              <a:extLst>
                <a:ext uri="{63B3BB69-23CF-44E3-9099-C40C66FF867C}">
                  <a14:compatExt spid="_x0000_s1141"/>
                </a:ext>
                <a:ext uri="{FF2B5EF4-FFF2-40B4-BE49-F238E27FC236}">
                  <a16:creationId xmlns:a16="http://schemas.microsoft.com/office/drawing/2014/main" xmlns="" id="{00000000-0008-0000-03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41</xdr:row>
          <xdr:rowOff>28575</xdr:rowOff>
        </xdr:to>
        <xdr:sp macro="" textlink="">
          <xdr:nvSpPr>
            <xdr:cNvPr id="1145" name="Drop Down 121" hidden="1">
              <a:extLst>
                <a:ext uri="{63B3BB69-23CF-44E3-9099-C40C66FF867C}">
                  <a14:compatExt spid="_x0000_s1145"/>
                </a:ext>
                <a:ext uri="{FF2B5EF4-FFF2-40B4-BE49-F238E27FC236}">
                  <a16:creationId xmlns:a16="http://schemas.microsoft.com/office/drawing/2014/main" xmlns="" id="{00000000-0008-0000-03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xmlns=""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xmlns=""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295275</xdr:colOff>
          <xdr:row>20</xdr:row>
          <xdr:rowOff>19050</xdr:rowOff>
        </xdr:to>
        <xdr:sp macro="" textlink="">
          <xdr:nvSpPr>
            <xdr:cNvPr id="87089" name="Check Box 49" hidden="1">
              <a:extLst>
                <a:ext uri="{63B3BB69-23CF-44E3-9099-C40C66FF867C}">
                  <a14:compatExt spid="_x0000_s870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0</xdr:rowOff>
        </xdr:from>
        <xdr:to>
          <xdr:col>1</xdr:col>
          <xdr:colOff>295275</xdr:colOff>
          <xdr:row>20</xdr:row>
          <xdr:rowOff>19050</xdr:rowOff>
        </xdr:to>
        <xdr:sp macro="" textlink="">
          <xdr:nvSpPr>
            <xdr:cNvPr id="87090" name="Check Box 50" hidden="1">
              <a:extLst>
                <a:ext uri="{63B3BB69-23CF-44E3-9099-C40C66FF867C}">
                  <a14:compatExt spid="_x0000_s870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295275</xdr:colOff>
          <xdr:row>27</xdr:row>
          <xdr:rowOff>19050</xdr:rowOff>
        </xdr:to>
        <xdr:sp macro="" textlink="">
          <xdr:nvSpPr>
            <xdr:cNvPr id="87091" name="Check Box 51" hidden="1">
              <a:extLst>
                <a:ext uri="{63B3BB69-23CF-44E3-9099-C40C66FF867C}">
                  <a14:compatExt spid="_x0000_s8709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0</xdr:rowOff>
        </xdr:from>
        <xdr:to>
          <xdr:col>1</xdr:col>
          <xdr:colOff>295275</xdr:colOff>
          <xdr:row>27</xdr:row>
          <xdr:rowOff>19050</xdr:rowOff>
        </xdr:to>
        <xdr:sp macro="" textlink="">
          <xdr:nvSpPr>
            <xdr:cNvPr id="87092" name="Check Box 52" hidden="1">
              <a:extLst>
                <a:ext uri="{63B3BB69-23CF-44E3-9099-C40C66FF867C}">
                  <a14:compatExt spid="_x0000_s870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29</xdr:row>
          <xdr:rowOff>19050</xdr:rowOff>
        </xdr:to>
        <xdr:sp macro="" textlink="">
          <xdr:nvSpPr>
            <xdr:cNvPr id="87093" name="Check Box 53" hidden="1">
              <a:extLst>
                <a:ext uri="{63B3BB69-23CF-44E3-9099-C40C66FF867C}">
                  <a14:compatExt spid="_x0000_s870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295275</xdr:colOff>
          <xdr:row>29</xdr:row>
          <xdr:rowOff>19050</xdr:rowOff>
        </xdr:to>
        <xdr:sp macro="" textlink="">
          <xdr:nvSpPr>
            <xdr:cNvPr id="87094" name="Check Box 54" hidden="1">
              <a:extLst>
                <a:ext uri="{63B3BB69-23CF-44E3-9099-C40C66FF867C}">
                  <a14:compatExt spid="_x0000_s870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19050</xdr:rowOff>
        </xdr:to>
        <xdr:sp macro="" textlink="">
          <xdr:nvSpPr>
            <xdr:cNvPr id="87095" name="Check Box 55" hidden="1">
              <a:extLst>
                <a:ext uri="{63B3BB69-23CF-44E3-9099-C40C66FF867C}">
                  <a14:compatExt spid="_x0000_s870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295275</xdr:colOff>
          <xdr:row>30</xdr:row>
          <xdr:rowOff>19050</xdr:rowOff>
        </xdr:to>
        <xdr:sp macro="" textlink="">
          <xdr:nvSpPr>
            <xdr:cNvPr id="87096" name="Check Box 56" hidden="1">
              <a:extLst>
                <a:ext uri="{63B3BB69-23CF-44E3-9099-C40C66FF867C}">
                  <a14:compatExt spid="_x0000_s8709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87097" name="Check Box 57" hidden="1">
              <a:extLst>
                <a:ext uri="{63B3BB69-23CF-44E3-9099-C40C66FF867C}">
                  <a14:compatExt spid="_x0000_s8709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49</xdr:row>
          <xdr:rowOff>19050</xdr:rowOff>
        </xdr:to>
        <xdr:sp macro="" textlink="">
          <xdr:nvSpPr>
            <xdr:cNvPr id="87098" name="Check Box 58" hidden="1">
              <a:extLst>
                <a:ext uri="{63B3BB69-23CF-44E3-9099-C40C66FF867C}">
                  <a14:compatExt spid="_x0000_s870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19050</xdr:rowOff>
        </xdr:to>
        <xdr:sp macro="" textlink="">
          <xdr:nvSpPr>
            <xdr:cNvPr id="87099" name="Check Box 59" hidden="1">
              <a:extLst>
                <a:ext uri="{63B3BB69-23CF-44E3-9099-C40C66FF867C}">
                  <a14:compatExt spid="_x0000_s870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295275</xdr:colOff>
          <xdr:row>53</xdr:row>
          <xdr:rowOff>19050</xdr:rowOff>
        </xdr:to>
        <xdr:sp macro="" textlink="">
          <xdr:nvSpPr>
            <xdr:cNvPr id="87100" name="Check Box 60" hidden="1">
              <a:extLst>
                <a:ext uri="{63B3BB69-23CF-44E3-9099-C40C66FF867C}">
                  <a14:compatExt spid="_x0000_s871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1</xdr:col>
          <xdr:colOff>295275</xdr:colOff>
          <xdr:row>53</xdr:row>
          <xdr:rowOff>19050</xdr:rowOff>
        </xdr:to>
        <xdr:sp macro="" textlink="">
          <xdr:nvSpPr>
            <xdr:cNvPr id="87101" name="Check Box 61" hidden="1">
              <a:extLst>
                <a:ext uri="{63B3BB69-23CF-44E3-9099-C40C66FF867C}">
                  <a14:compatExt spid="_x0000_s871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56</xdr:row>
          <xdr:rowOff>19050</xdr:rowOff>
        </xdr:to>
        <xdr:sp macro="" textlink="">
          <xdr:nvSpPr>
            <xdr:cNvPr id="87102" name="Check Box 62" hidden="1">
              <a:extLst>
                <a:ext uri="{63B3BB69-23CF-44E3-9099-C40C66FF867C}">
                  <a14:compatExt spid="_x0000_s8710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87103" name="Check Box 63" hidden="1">
              <a:extLst>
                <a:ext uri="{63B3BB69-23CF-44E3-9099-C40C66FF867C}">
                  <a14:compatExt spid="_x0000_s871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64</xdr:row>
          <xdr:rowOff>19050</xdr:rowOff>
        </xdr:to>
        <xdr:sp macro="" textlink="">
          <xdr:nvSpPr>
            <xdr:cNvPr id="87104" name="Check Box 64" hidden="1">
              <a:extLst>
                <a:ext uri="{63B3BB69-23CF-44E3-9099-C40C66FF867C}">
                  <a14:compatExt spid="_x0000_s8710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xmlns=""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xmlns=""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xmlns=""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xmlns=""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xmlns=""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xmlns=""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xmlns=""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xmlns=""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xmlns=""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xmlns=""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xmlns=""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xmlns=""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xmlns=""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xmlns=""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xmlns=""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xmlns=""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xmlns=""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xmlns=""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xmlns=""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xmlns=""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xmlns=""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xmlns=""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xmlns=""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xmlns=""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xmlns=""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xmlns=""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xmlns=""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xmlns=""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xmlns=""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xmlns=""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xmlns=""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xmlns=""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xmlns=""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xmlns=""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xmlns=""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xmlns=""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xmlns=""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xmlns=""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xmlns=""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xmlns=""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xmlns=""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xmlns=""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xmlns=""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xmlns=""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xmlns=""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xmlns=""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xmlns=""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xmlns=""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xmlns=""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xmlns=""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xmlns=""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xmlns=""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xmlns=""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xmlns=""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xmlns=""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xmlns=""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xmlns=""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xmlns=""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xmlns=""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xmlns=""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xmlns=""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xmlns=""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xmlns=""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xmlns=""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xmlns=""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xmlns=""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xmlns=""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4753" name="Check Box Cat" descr="Catastrophe Model" hidden="1">
              <a:extLst>
                <a:ext uri="{63B3BB69-23CF-44E3-9099-C40C66FF867C}">
                  <a14:compatExt spid="_x0000_s74753"/>
                </a:ext>
                <a:ext uri="{FF2B5EF4-FFF2-40B4-BE49-F238E27FC236}">
                  <a16:creationId xmlns:a16="http://schemas.microsoft.com/office/drawing/2014/main" xmlns="" id="{00000000-0008-0000-0E00-000001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4754" name="Check Box NonCat" descr="Non-Catastrophe Model" hidden="1">
              <a:extLst>
                <a:ext uri="{63B3BB69-23CF-44E3-9099-C40C66FF867C}">
                  <a14:compatExt spid="_x0000_s74754"/>
                </a:ext>
                <a:ext uri="{FF2B5EF4-FFF2-40B4-BE49-F238E27FC236}">
                  <a16:creationId xmlns:a16="http://schemas.microsoft.com/office/drawing/2014/main" xmlns="" id="{00000000-0008-0000-0E00-00000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4755" name="Check Box OverallRateLvl" descr="Overall Rate Level" hidden="1">
              <a:extLst>
                <a:ext uri="{63B3BB69-23CF-44E3-9099-C40C66FF867C}">
                  <a14:compatExt spid="_x0000_s74755"/>
                </a:ext>
                <a:ext uri="{FF2B5EF4-FFF2-40B4-BE49-F238E27FC236}">
                  <a16:creationId xmlns:a16="http://schemas.microsoft.com/office/drawing/2014/main" xmlns="" id="{00000000-0008-0000-0E00-00000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4756" name="Check Box 4" descr="Other Model Usage" hidden="1">
              <a:extLst>
                <a:ext uri="{63B3BB69-23CF-44E3-9099-C40C66FF867C}">
                  <a14:compatExt spid="_x0000_s74756"/>
                </a:ext>
                <a:ext uri="{FF2B5EF4-FFF2-40B4-BE49-F238E27FC236}">
                  <a16:creationId xmlns:a16="http://schemas.microsoft.com/office/drawing/2014/main" xmlns="" id="{00000000-0008-0000-0E00-00000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4757" name="Check Box 5" hidden="1">
              <a:extLst>
                <a:ext uri="{63B3BB69-23CF-44E3-9099-C40C66FF867C}">
                  <a14:compatExt spid="_x0000_s74757"/>
                </a:ext>
                <a:ext uri="{FF2B5EF4-FFF2-40B4-BE49-F238E27FC236}">
                  <a16:creationId xmlns:a16="http://schemas.microsoft.com/office/drawing/2014/main" xmlns="" id="{00000000-0008-0000-0E00-00000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4758" name="Check Box 6" hidden="1">
              <a:extLst>
                <a:ext uri="{63B3BB69-23CF-44E3-9099-C40C66FF867C}">
                  <a14:compatExt spid="_x0000_s74758"/>
                </a:ext>
                <a:ext uri="{FF2B5EF4-FFF2-40B4-BE49-F238E27FC236}">
                  <a16:creationId xmlns:a16="http://schemas.microsoft.com/office/drawing/2014/main" xmlns="" id="{00000000-0008-0000-0E00-00000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4759" name="Check Box 7" hidden="1">
              <a:extLst>
                <a:ext uri="{63B3BB69-23CF-44E3-9099-C40C66FF867C}">
                  <a14:compatExt spid="_x0000_s74759"/>
                </a:ext>
                <a:ext uri="{FF2B5EF4-FFF2-40B4-BE49-F238E27FC236}">
                  <a16:creationId xmlns:a16="http://schemas.microsoft.com/office/drawing/2014/main" xmlns="" id="{00000000-0008-0000-0E00-00000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4760" name="Check Box 8" hidden="1">
              <a:extLst>
                <a:ext uri="{63B3BB69-23CF-44E3-9099-C40C66FF867C}">
                  <a14:compatExt spid="_x0000_s74760"/>
                </a:ext>
                <a:ext uri="{FF2B5EF4-FFF2-40B4-BE49-F238E27FC236}">
                  <a16:creationId xmlns:a16="http://schemas.microsoft.com/office/drawing/2014/main" xmlns="" id="{00000000-0008-0000-0E00-00000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4761" name="Check Box 9" hidden="1">
              <a:extLst>
                <a:ext uri="{63B3BB69-23CF-44E3-9099-C40C66FF867C}">
                  <a14:compatExt spid="_x0000_s74761"/>
                </a:ext>
                <a:ext uri="{FF2B5EF4-FFF2-40B4-BE49-F238E27FC236}">
                  <a16:creationId xmlns:a16="http://schemas.microsoft.com/office/drawing/2014/main" xmlns="" id="{00000000-0008-0000-0E00-00000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4762" name="Check Box 10" hidden="1">
              <a:extLst>
                <a:ext uri="{63B3BB69-23CF-44E3-9099-C40C66FF867C}">
                  <a14:compatExt spid="_x0000_s74762"/>
                </a:ext>
                <a:ext uri="{FF2B5EF4-FFF2-40B4-BE49-F238E27FC236}">
                  <a16:creationId xmlns:a16="http://schemas.microsoft.com/office/drawing/2014/main" xmlns="" id="{00000000-0008-0000-0E00-00000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4763" name="Check Box 11" descr="Underwriting Eligibility" hidden="1">
              <a:extLst>
                <a:ext uri="{63B3BB69-23CF-44E3-9099-C40C66FF867C}">
                  <a14:compatExt spid="_x0000_s74763"/>
                </a:ext>
                <a:ext uri="{FF2B5EF4-FFF2-40B4-BE49-F238E27FC236}">
                  <a16:creationId xmlns:a16="http://schemas.microsoft.com/office/drawing/2014/main" xmlns="" id="{00000000-0008-0000-0E00-00000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4764" name="Check Box RateSeg" descr="Rate Segmentation" hidden="1">
              <a:extLst>
                <a:ext uri="{63B3BB69-23CF-44E3-9099-C40C66FF867C}">
                  <a14:compatExt spid="_x0000_s74764"/>
                </a:ext>
                <a:ext uri="{FF2B5EF4-FFF2-40B4-BE49-F238E27FC236}">
                  <a16:creationId xmlns:a16="http://schemas.microsoft.com/office/drawing/2014/main" xmlns="" id="{00000000-0008-0000-0E00-00000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4765" name="Check Box 13" hidden="1">
              <a:extLst>
                <a:ext uri="{63B3BB69-23CF-44E3-9099-C40C66FF867C}">
                  <a14:compatExt spid="_x0000_s74765"/>
                </a:ext>
                <a:ext uri="{FF2B5EF4-FFF2-40B4-BE49-F238E27FC236}">
                  <a16:creationId xmlns:a16="http://schemas.microsoft.com/office/drawing/2014/main" xmlns="" id="{00000000-0008-0000-0E00-00000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4766" name="Check Box 14" hidden="1">
              <a:extLst>
                <a:ext uri="{63B3BB69-23CF-44E3-9099-C40C66FF867C}">
                  <a14:compatExt spid="_x0000_s74766"/>
                </a:ext>
                <a:ext uri="{FF2B5EF4-FFF2-40B4-BE49-F238E27FC236}">
                  <a16:creationId xmlns:a16="http://schemas.microsoft.com/office/drawing/2014/main" xmlns="" id="{00000000-0008-0000-0E00-00000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4768" name="Check Box 16" hidden="1">
              <a:extLst>
                <a:ext uri="{63B3BB69-23CF-44E3-9099-C40C66FF867C}">
                  <a14:compatExt spid="_x0000_s74768"/>
                </a:ext>
                <a:ext uri="{FF2B5EF4-FFF2-40B4-BE49-F238E27FC236}">
                  <a16:creationId xmlns:a16="http://schemas.microsoft.com/office/drawing/2014/main" xmlns="" id="{00000000-0008-0000-0E00-00001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4770" name="Check Box 18" hidden="1">
              <a:extLst>
                <a:ext uri="{63B3BB69-23CF-44E3-9099-C40C66FF867C}">
                  <a14:compatExt spid="_x0000_s74770"/>
                </a:ext>
                <a:ext uri="{FF2B5EF4-FFF2-40B4-BE49-F238E27FC236}">
                  <a16:creationId xmlns:a16="http://schemas.microsoft.com/office/drawing/2014/main" xmlns="" id="{00000000-0008-0000-0E00-00001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4771" name="Check Box 19" hidden="1">
              <a:extLst>
                <a:ext uri="{63B3BB69-23CF-44E3-9099-C40C66FF867C}">
                  <a14:compatExt spid="_x0000_s74771"/>
                </a:ext>
                <a:ext uri="{FF2B5EF4-FFF2-40B4-BE49-F238E27FC236}">
                  <a16:creationId xmlns:a16="http://schemas.microsoft.com/office/drawing/2014/main" xmlns="" id="{00000000-0008-0000-0E00-00001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4772" name="Check Box 20" descr="Cluster Analysis" hidden="1">
              <a:extLst>
                <a:ext uri="{63B3BB69-23CF-44E3-9099-C40C66FF867C}">
                  <a14:compatExt spid="_x0000_s74772"/>
                </a:ext>
                <a:ext uri="{FF2B5EF4-FFF2-40B4-BE49-F238E27FC236}">
                  <a16:creationId xmlns:a16="http://schemas.microsoft.com/office/drawing/2014/main" xmlns="" id="{00000000-0008-0000-0E00-000014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4773" name="Check Box 21" descr="Logistic Regression" hidden="1">
              <a:extLst>
                <a:ext uri="{63B3BB69-23CF-44E3-9099-C40C66FF867C}">
                  <a14:compatExt spid="_x0000_s74773"/>
                </a:ext>
                <a:ext uri="{FF2B5EF4-FFF2-40B4-BE49-F238E27FC236}">
                  <a16:creationId xmlns:a16="http://schemas.microsoft.com/office/drawing/2014/main" xmlns="" id="{00000000-0008-0000-0E00-000015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4774" name="Check Box 22" descr="Neural Network" hidden="1">
              <a:extLst>
                <a:ext uri="{63B3BB69-23CF-44E3-9099-C40C66FF867C}">
                  <a14:compatExt spid="_x0000_s74774"/>
                </a:ext>
                <a:ext uri="{FF2B5EF4-FFF2-40B4-BE49-F238E27FC236}">
                  <a16:creationId xmlns:a16="http://schemas.microsoft.com/office/drawing/2014/main" xmlns="" id="{00000000-0008-0000-0E00-000016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4775" name="Check Box 23" descr="Decision Trees" hidden="1">
              <a:extLst>
                <a:ext uri="{63B3BB69-23CF-44E3-9099-C40C66FF867C}">
                  <a14:compatExt spid="_x0000_s74775"/>
                </a:ext>
                <a:ext uri="{FF2B5EF4-FFF2-40B4-BE49-F238E27FC236}">
                  <a16:creationId xmlns:a16="http://schemas.microsoft.com/office/drawing/2014/main" xmlns="" id="{00000000-0008-0000-0E00-000017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4776" name="Check Box 24" descr="Machine Learning" hidden="1">
              <a:extLst>
                <a:ext uri="{63B3BB69-23CF-44E3-9099-C40C66FF867C}">
                  <a14:compatExt spid="_x0000_s74776"/>
                </a:ext>
                <a:ext uri="{FF2B5EF4-FFF2-40B4-BE49-F238E27FC236}">
                  <a16:creationId xmlns:a16="http://schemas.microsoft.com/office/drawing/2014/main" xmlns="" id="{00000000-0008-0000-0E00-000018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4777" name="Check Box 25" hidden="1">
              <a:extLst>
                <a:ext uri="{63B3BB69-23CF-44E3-9099-C40C66FF867C}">
                  <a14:compatExt spid="_x0000_s74777"/>
                </a:ext>
                <a:ext uri="{FF2B5EF4-FFF2-40B4-BE49-F238E27FC236}">
                  <a16:creationId xmlns:a16="http://schemas.microsoft.com/office/drawing/2014/main" xmlns="" id="{00000000-0008-0000-0E00-000019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4778" name="Check Box 26" descr="Generalized Linear Model" hidden="1">
              <a:extLst>
                <a:ext uri="{63B3BB69-23CF-44E3-9099-C40C66FF867C}">
                  <a14:compatExt spid="_x0000_s74778"/>
                </a:ext>
                <a:ext uri="{FF2B5EF4-FFF2-40B4-BE49-F238E27FC236}">
                  <a16:creationId xmlns:a16="http://schemas.microsoft.com/office/drawing/2014/main" xmlns="" id="{00000000-0008-0000-0E00-00001A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4779" name="Check Box 27" descr="Multivariate Adaptive Regression Splines" hidden="1">
              <a:extLst>
                <a:ext uri="{63B3BB69-23CF-44E3-9099-C40C66FF867C}">
                  <a14:compatExt spid="_x0000_s74779"/>
                </a:ext>
                <a:ext uri="{FF2B5EF4-FFF2-40B4-BE49-F238E27FC236}">
                  <a16:creationId xmlns:a16="http://schemas.microsoft.com/office/drawing/2014/main" xmlns="" id="{00000000-0008-0000-0E00-00001B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4780" name="Check Box 28" descr="New/Initial" hidden="1">
              <a:extLst>
                <a:ext uri="{63B3BB69-23CF-44E3-9099-C40C66FF867C}">
                  <a14:compatExt spid="_x0000_s74780"/>
                </a:ext>
                <a:ext uri="{FF2B5EF4-FFF2-40B4-BE49-F238E27FC236}">
                  <a16:creationId xmlns:a16="http://schemas.microsoft.com/office/drawing/2014/main" xmlns="" id="{00000000-0008-0000-0E00-00001C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4781" name="Check Box 29" descr="Revision to Existing Model" hidden="1">
              <a:extLst>
                <a:ext uri="{63B3BB69-23CF-44E3-9099-C40C66FF867C}">
                  <a14:compatExt spid="_x0000_s74781"/>
                </a:ext>
                <a:ext uri="{FF2B5EF4-FFF2-40B4-BE49-F238E27FC236}">
                  <a16:creationId xmlns:a16="http://schemas.microsoft.com/office/drawing/2014/main" xmlns="" id="{00000000-0008-0000-0E00-00001D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4782" name="Check Box 30" descr="Refresh of Data to Existing Model" hidden="1">
              <a:extLst>
                <a:ext uri="{63B3BB69-23CF-44E3-9099-C40C66FF867C}">
                  <a14:compatExt spid="_x0000_s74782"/>
                </a:ext>
                <a:ext uri="{FF2B5EF4-FFF2-40B4-BE49-F238E27FC236}">
                  <a16:creationId xmlns:a16="http://schemas.microsoft.com/office/drawing/2014/main" xmlns="" id="{00000000-0008-0000-0E00-00001E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4783" name="Check Box 31" descr="Company Developed (&quot;In-House&quot;)" hidden="1">
              <a:extLst>
                <a:ext uri="{63B3BB69-23CF-44E3-9099-C40C66FF867C}">
                  <a14:compatExt spid="_x0000_s74783"/>
                </a:ext>
                <a:ext uri="{FF2B5EF4-FFF2-40B4-BE49-F238E27FC236}">
                  <a16:creationId xmlns:a16="http://schemas.microsoft.com/office/drawing/2014/main" xmlns="" id="{00000000-0008-0000-0E00-00001F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4784" name="Check Box 32" descr="Outside Firm" hidden="1">
              <a:extLst>
                <a:ext uri="{63B3BB69-23CF-44E3-9099-C40C66FF867C}">
                  <a14:compatExt spid="_x0000_s74784"/>
                </a:ext>
                <a:ext uri="{FF2B5EF4-FFF2-40B4-BE49-F238E27FC236}">
                  <a16:creationId xmlns:a16="http://schemas.microsoft.com/office/drawing/2014/main" xmlns="" id="{00000000-0008-0000-0E00-000020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4786" name="Check Box 34" descr="No Revision to Existing Model" hidden="1">
              <a:extLst>
                <a:ext uri="{63B3BB69-23CF-44E3-9099-C40C66FF867C}">
                  <a14:compatExt spid="_x0000_s74786"/>
                </a:ext>
                <a:ext uri="{FF2B5EF4-FFF2-40B4-BE49-F238E27FC236}">
                  <a16:creationId xmlns:a16="http://schemas.microsoft.com/office/drawing/2014/main" xmlns="" id="{00000000-0008-0000-0E00-000022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4787" name="Check Box 35" hidden="1">
              <a:extLst>
                <a:ext uri="{63B3BB69-23CF-44E3-9099-C40C66FF867C}">
                  <a14:compatExt spid="_x0000_s74787"/>
                </a:ext>
                <a:ext uri="{FF2B5EF4-FFF2-40B4-BE49-F238E27FC236}">
                  <a16:creationId xmlns:a16="http://schemas.microsoft.com/office/drawing/2014/main" xmlns="" id="{00000000-0008-0000-0E00-0000232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5777" name="Check Box Cat" descr="Catastrophe Model" hidden="1">
              <a:extLst>
                <a:ext uri="{63B3BB69-23CF-44E3-9099-C40C66FF867C}">
                  <a14:compatExt spid="_x0000_s75777"/>
                </a:ext>
                <a:ext uri="{FF2B5EF4-FFF2-40B4-BE49-F238E27FC236}">
                  <a16:creationId xmlns:a16="http://schemas.microsoft.com/office/drawing/2014/main" xmlns="" id="{00000000-0008-0000-0F00-000001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5778" name="Check Box NonCat" descr="Non-Catastrophe Model" hidden="1">
              <a:extLst>
                <a:ext uri="{63B3BB69-23CF-44E3-9099-C40C66FF867C}">
                  <a14:compatExt spid="_x0000_s75778"/>
                </a:ext>
                <a:ext uri="{FF2B5EF4-FFF2-40B4-BE49-F238E27FC236}">
                  <a16:creationId xmlns:a16="http://schemas.microsoft.com/office/drawing/2014/main" xmlns="" id="{00000000-0008-0000-0F00-00000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5779" name="Check Box OverallRateLvl" descr="Overall Rate Level" hidden="1">
              <a:extLst>
                <a:ext uri="{63B3BB69-23CF-44E3-9099-C40C66FF867C}">
                  <a14:compatExt spid="_x0000_s75779"/>
                </a:ext>
                <a:ext uri="{FF2B5EF4-FFF2-40B4-BE49-F238E27FC236}">
                  <a16:creationId xmlns:a16="http://schemas.microsoft.com/office/drawing/2014/main" xmlns="" id="{00000000-0008-0000-0F00-00000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5780" name="Check Box 4" descr="Other Model Usage" hidden="1">
              <a:extLst>
                <a:ext uri="{63B3BB69-23CF-44E3-9099-C40C66FF867C}">
                  <a14:compatExt spid="_x0000_s75780"/>
                </a:ext>
                <a:ext uri="{FF2B5EF4-FFF2-40B4-BE49-F238E27FC236}">
                  <a16:creationId xmlns:a16="http://schemas.microsoft.com/office/drawing/2014/main" xmlns="" id="{00000000-0008-0000-0F00-00000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5781" name="Check Box 5" hidden="1">
              <a:extLst>
                <a:ext uri="{63B3BB69-23CF-44E3-9099-C40C66FF867C}">
                  <a14:compatExt spid="_x0000_s75781"/>
                </a:ext>
                <a:ext uri="{FF2B5EF4-FFF2-40B4-BE49-F238E27FC236}">
                  <a16:creationId xmlns:a16="http://schemas.microsoft.com/office/drawing/2014/main" xmlns="" id="{00000000-0008-0000-0F00-00000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5782" name="Check Box 6" hidden="1">
              <a:extLst>
                <a:ext uri="{63B3BB69-23CF-44E3-9099-C40C66FF867C}">
                  <a14:compatExt spid="_x0000_s75782"/>
                </a:ext>
                <a:ext uri="{FF2B5EF4-FFF2-40B4-BE49-F238E27FC236}">
                  <a16:creationId xmlns:a16="http://schemas.microsoft.com/office/drawing/2014/main" xmlns="" id="{00000000-0008-0000-0F00-00000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5783" name="Check Box 7" hidden="1">
              <a:extLst>
                <a:ext uri="{63B3BB69-23CF-44E3-9099-C40C66FF867C}">
                  <a14:compatExt spid="_x0000_s75783"/>
                </a:ext>
                <a:ext uri="{FF2B5EF4-FFF2-40B4-BE49-F238E27FC236}">
                  <a16:creationId xmlns:a16="http://schemas.microsoft.com/office/drawing/2014/main" xmlns="" id="{00000000-0008-0000-0F00-00000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5784" name="Check Box 8" hidden="1">
              <a:extLst>
                <a:ext uri="{63B3BB69-23CF-44E3-9099-C40C66FF867C}">
                  <a14:compatExt spid="_x0000_s75784"/>
                </a:ext>
                <a:ext uri="{FF2B5EF4-FFF2-40B4-BE49-F238E27FC236}">
                  <a16:creationId xmlns:a16="http://schemas.microsoft.com/office/drawing/2014/main" xmlns="" id="{00000000-0008-0000-0F00-00000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5785" name="Check Box 9" hidden="1">
              <a:extLst>
                <a:ext uri="{63B3BB69-23CF-44E3-9099-C40C66FF867C}">
                  <a14:compatExt spid="_x0000_s75785"/>
                </a:ext>
                <a:ext uri="{FF2B5EF4-FFF2-40B4-BE49-F238E27FC236}">
                  <a16:creationId xmlns:a16="http://schemas.microsoft.com/office/drawing/2014/main" xmlns="" id="{00000000-0008-0000-0F00-00000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5786" name="Check Box 10" hidden="1">
              <a:extLst>
                <a:ext uri="{63B3BB69-23CF-44E3-9099-C40C66FF867C}">
                  <a14:compatExt spid="_x0000_s75786"/>
                </a:ext>
                <a:ext uri="{FF2B5EF4-FFF2-40B4-BE49-F238E27FC236}">
                  <a16:creationId xmlns:a16="http://schemas.microsoft.com/office/drawing/2014/main" xmlns="" id="{00000000-0008-0000-0F00-00000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5787" name="Check Box 11" descr="Underwriting Eligibility" hidden="1">
              <a:extLst>
                <a:ext uri="{63B3BB69-23CF-44E3-9099-C40C66FF867C}">
                  <a14:compatExt spid="_x0000_s75787"/>
                </a:ext>
                <a:ext uri="{FF2B5EF4-FFF2-40B4-BE49-F238E27FC236}">
                  <a16:creationId xmlns:a16="http://schemas.microsoft.com/office/drawing/2014/main" xmlns="" id="{00000000-0008-0000-0F00-00000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5788" name="Check Box RateSeg" descr="Rate Segmentation" hidden="1">
              <a:extLst>
                <a:ext uri="{63B3BB69-23CF-44E3-9099-C40C66FF867C}">
                  <a14:compatExt spid="_x0000_s75788"/>
                </a:ext>
                <a:ext uri="{FF2B5EF4-FFF2-40B4-BE49-F238E27FC236}">
                  <a16:creationId xmlns:a16="http://schemas.microsoft.com/office/drawing/2014/main" xmlns="" id="{00000000-0008-0000-0F00-00000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5789" name="Check Box 13" hidden="1">
              <a:extLst>
                <a:ext uri="{63B3BB69-23CF-44E3-9099-C40C66FF867C}">
                  <a14:compatExt spid="_x0000_s75789"/>
                </a:ext>
                <a:ext uri="{FF2B5EF4-FFF2-40B4-BE49-F238E27FC236}">
                  <a16:creationId xmlns:a16="http://schemas.microsoft.com/office/drawing/2014/main" xmlns="" id="{00000000-0008-0000-0F00-00000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5790" name="Check Box 14" hidden="1">
              <a:extLst>
                <a:ext uri="{63B3BB69-23CF-44E3-9099-C40C66FF867C}">
                  <a14:compatExt spid="_x0000_s75790"/>
                </a:ext>
                <a:ext uri="{FF2B5EF4-FFF2-40B4-BE49-F238E27FC236}">
                  <a16:creationId xmlns:a16="http://schemas.microsoft.com/office/drawing/2014/main" xmlns="" id="{00000000-0008-0000-0F00-00000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5792" name="Check Box 16" hidden="1">
              <a:extLst>
                <a:ext uri="{63B3BB69-23CF-44E3-9099-C40C66FF867C}">
                  <a14:compatExt spid="_x0000_s75792"/>
                </a:ext>
                <a:ext uri="{FF2B5EF4-FFF2-40B4-BE49-F238E27FC236}">
                  <a16:creationId xmlns:a16="http://schemas.microsoft.com/office/drawing/2014/main" xmlns="" id="{00000000-0008-0000-0F00-00001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5794" name="Check Box 18" hidden="1">
              <a:extLst>
                <a:ext uri="{63B3BB69-23CF-44E3-9099-C40C66FF867C}">
                  <a14:compatExt spid="_x0000_s75794"/>
                </a:ext>
                <a:ext uri="{FF2B5EF4-FFF2-40B4-BE49-F238E27FC236}">
                  <a16:creationId xmlns:a16="http://schemas.microsoft.com/office/drawing/2014/main" xmlns="" id="{00000000-0008-0000-0F00-00001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5795" name="Check Box 19" hidden="1">
              <a:extLst>
                <a:ext uri="{63B3BB69-23CF-44E3-9099-C40C66FF867C}">
                  <a14:compatExt spid="_x0000_s75795"/>
                </a:ext>
                <a:ext uri="{FF2B5EF4-FFF2-40B4-BE49-F238E27FC236}">
                  <a16:creationId xmlns:a16="http://schemas.microsoft.com/office/drawing/2014/main" xmlns="" id="{00000000-0008-0000-0F00-00001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5796" name="Check Box 20" descr="Cluster Analysis" hidden="1">
              <a:extLst>
                <a:ext uri="{63B3BB69-23CF-44E3-9099-C40C66FF867C}">
                  <a14:compatExt spid="_x0000_s75796"/>
                </a:ext>
                <a:ext uri="{FF2B5EF4-FFF2-40B4-BE49-F238E27FC236}">
                  <a16:creationId xmlns:a16="http://schemas.microsoft.com/office/drawing/2014/main" xmlns="" id="{00000000-0008-0000-0F00-000014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5797" name="Check Box 21" descr="Logistic Regression" hidden="1">
              <a:extLst>
                <a:ext uri="{63B3BB69-23CF-44E3-9099-C40C66FF867C}">
                  <a14:compatExt spid="_x0000_s75797"/>
                </a:ext>
                <a:ext uri="{FF2B5EF4-FFF2-40B4-BE49-F238E27FC236}">
                  <a16:creationId xmlns:a16="http://schemas.microsoft.com/office/drawing/2014/main" xmlns="" id="{00000000-0008-0000-0F00-000015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5798" name="Check Box 22" descr="Neural Network" hidden="1">
              <a:extLst>
                <a:ext uri="{63B3BB69-23CF-44E3-9099-C40C66FF867C}">
                  <a14:compatExt spid="_x0000_s75798"/>
                </a:ext>
                <a:ext uri="{FF2B5EF4-FFF2-40B4-BE49-F238E27FC236}">
                  <a16:creationId xmlns:a16="http://schemas.microsoft.com/office/drawing/2014/main" xmlns="" id="{00000000-0008-0000-0F00-000016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5799" name="Check Box 23" descr="Decision Trees" hidden="1">
              <a:extLst>
                <a:ext uri="{63B3BB69-23CF-44E3-9099-C40C66FF867C}">
                  <a14:compatExt spid="_x0000_s75799"/>
                </a:ext>
                <a:ext uri="{FF2B5EF4-FFF2-40B4-BE49-F238E27FC236}">
                  <a16:creationId xmlns:a16="http://schemas.microsoft.com/office/drawing/2014/main" xmlns="" id="{00000000-0008-0000-0F00-000017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5800" name="Check Box 24" descr="Machine Learning" hidden="1">
              <a:extLst>
                <a:ext uri="{63B3BB69-23CF-44E3-9099-C40C66FF867C}">
                  <a14:compatExt spid="_x0000_s75800"/>
                </a:ext>
                <a:ext uri="{FF2B5EF4-FFF2-40B4-BE49-F238E27FC236}">
                  <a16:creationId xmlns:a16="http://schemas.microsoft.com/office/drawing/2014/main" xmlns="" id="{00000000-0008-0000-0F00-000018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5801" name="Check Box 25" hidden="1">
              <a:extLst>
                <a:ext uri="{63B3BB69-23CF-44E3-9099-C40C66FF867C}">
                  <a14:compatExt spid="_x0000_s75801"/>
                </a:ext>
                <a:ext uri="{FF2B5EF4-FFF2-40B4-BE49-F238E27FC236}">
                  <a16:creationId xmlns:a16="http://schemas.microsoft.com/office/drawing/2014/main" xmlns="" id="{00000000-0008-0000-0F00-000019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5802" name="Check Box 26" descr="Generalized Linear Model" hidden="1">
              <a:extLst>
                <a:ext uri="{63B3BB69-23CF-44E3-9099-C40C66FF867C}">
                  <a14:compatExt spid="_x0000_s75802"/>
                </a:ext>
                <a:ext uri="{FF2B5EF4-FFF2-40B4-BE49-F238E27FC236}">
                  <a16:creationId xmlns:a16="http://schemas.microsoft.com/office/drawing/2014/main" xmlns="" id="{00000000-0008-0000-0F00-00001A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5803" name="Check Box 27" descr="Multivariate Adaptive Regression Splines" hidden="1">
              <a:extLst>
                <a:ext uri="{63B3BB69-23CF-44E3-9099-C40C66FF867C}">
                  <a14:compatExt spid="_x0000_s75803"/>
                </a:ext>
                <a:ext uri="{FF2B5EF4-FFF2-40B4-BE49-F238E27FC236}">
                  <a16:creationId xmlns:a16="http://schemas.microsoft.com/office/drawing/2014/main" xmlns="" id="{00000000-0008-0000-0F00-00001B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5804" name="Check Box 28" descr="New/Initial" hidden="1">
              <a:extLst>
                <a:ext uri="{63B3BB69-23CF-44E3-9099-C40C66FF867C}">
                  <a14:compatExt spid="_x0000_s75804"/>
                </a:ext>
                <a:ext uri="{FF2B5EF4-FFF2-40B4-BE49-F238E27FC236}">
                  <a16:creationId xmlns:a16="http://schemas.microsoft.com/office/drawing/2014/main" xmlns="" id="{00000000-0008-0000-0F00-00001C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5805" name="Check Box 29" descr="Revision to Existing Model" hidden="1">
              <a:extLst>
                <a:ext uri="{63B3BB69-23CF-44E3-9099-C40C66FF867C}">
                  <a14:compatExt spid="_x0000_s75805"/>
                </a:ext>
                <a:ext uri="{FF2B5EF4-FFF2-40B4-BE49-F238E27FC236}">
                  <a16:creationId xmlns:a16="http://schemas.microsoft.com/office/drawing/2014/main" xmlns="" id="{00000000-0008-0000-0F00-00001D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5806" name="Check Box 30" descr="Refresh of Data to Existing Model" hidden="1">
              <a:extLst>
                <a:ext uri="{63B3BB69-23CF-44E3-9099-C40C66FF867C}">
                  <a14:compatExt spid="_x0000_s75806"/>
                </a:ext>
                <a:ext uri="{FF2B5EF4-FFF2-40B4-BE49-F238E27FC236}">
                  <a16:creationId xmlns:a16="http://schemas.microsoft.com/office/drawing/2014/main" xmlns="" id="{00000000-0008-0000-0F00-00001E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5807" name="Check Box 31" descr="Company Developed (&quot;In-House&quot;)" hidden="1">
              <a:extLst>
                <a:ext uri="{63B3BB69-23CF-44E3-9099-C40C66FF867C}">
                  <a14:compatExt spid="_x0000_s75807"/>
                </a:ext>
                <a:ext uri="{FF2B5EF4-FFF2-40B4-BE49-F238E27FC236}">
                  <a16:creationId xmlns:a16="http://schemas.microsoft.com/office/drawing/2014/main" xmlns="" id="{00000000-0008-0000-0F00-00001F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5808" name="Check Box 32" descr="Outside Firm" hidden="1">
              <a:extLst>
                <a:ext uri="{63B3BB69-23CF-44E3-9099-C40C66FF867C}">
                  <a14:compatExt spid="_x0000_s75808"/>
                </a:ext>
                <a:ext uri="{FF2B5EF4-FFF2-40B4-BE49-F238E27FC236}">
                  <a16:creationId xmlns:a16="http://schemas.microsoft.com/office/drawing/2014/main" xmlns="" id="{00000000-0008-0000-0F00-000020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5810" name="Check Box 34" descr="No Revision to Existing Model" hidden="1">
              <a:extLst>
                <a:ext uri="{63B3BB69-23CF-44E3-9099-C40C66FF867C}">
                  <a14:compatExt spid="_x0000_s75810"/>
                </a:ext>
                <a:ext uri="{FF2B5EF4-FFF2-40B4-BE49-F238E27FC236}">
                  <a16:creationId xmlns:a16="http://schemas.microsoft.com/office/drawing/2014/main" xmlns="" id="{00000000-0008-0000-0F00-000022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5811" name="Check Box 35" hidden="1">
              <a:extLst>
                <a:ext uri="{63B3BB69-23CF-44E3-9099-C40C66FF867C}">
                  <a14:compatExt spid="_x0000_s75811"/>
                </a:ext>
                <a:ext uri="{FF2B5EF4-FFF2-40B4-BE49-F238E27FC236}">
                  <a16:creationId xmlns:a16="http://schemas.microsoft.com/office/drawing/2014/main" xmlns="" id="{00000000-0008-0000-0F00-0000232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6801" name="Check Box Cat" descr="Catastrophe Model" hidden="1">
              <a:extLst>
                <a:ext uri="{63B3BB69-23CF-44E3-9099-C40C66FF867C}">
                  <a14:compatExt spid="_x0000_s76801"/>
                </a:ext>
                <a:ext uri="{FF2B5EF4-FFF2-40B4-BE49-F238E27FC236}">
                  <a16:creationId xmlns:a16="http://schemas.microsoft.com/office/drawing/2014/main" xmlns="" id="{00000000-0008-0000-1000-00000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6802" name="Check Box NonCat" descr="Non-Catastrophe Model" hidden="1">
              <a:extLst>
                <a:ext uri="{63B3BB69-23CF-44E3-9099-C40C66FF867C}">
                  <a14:compatExt spid="_x0000_s76802"/>
                </a:ext>
                <a:ext uri="{FF2B5EF4-FFF2-40B4-BE49-F238E27FC236}">
                  <a16:creationId xmlns:a16="http://schemas.microsoft.com/office/drawing/2014/main" xmlns="" id="{00000000-0008-0000-1000-00000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6803" name="Check Box OverallRateLvl" descr="Overall Rate Level" hidden="1">
              <a:extLst>
                <a:ext uri="{63B3BB69-23CF-44E3-9099-C40C66FF867C}">
                  <a14:compatExt spid="_x0000_s76803"/>
                </a:ext>
                <a:ext uri="{FF2B5EF4-FFF2-40B4-BE49-F238E27FC236}">
                  <a16:creationId xmlns:a16="http://schemas.microsoft.com/office/drawing/2014/main" xmlns="" id="{00000000-0008-0000-1000-00000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6804" name="Check Box 4" descr="Other Model Usage" hidden="1">
              <a:extLst>
                <a:ext uri="{63B3BB69-23CF-44E3-9099-C40C66FF867C}">
                  <a14:compatExt spid="_x0000_s76804"/>
                </a:ext>
                <a:ext uri="{FF2B5EF4-FFF2-40B4-BE49-F238E27FC236}">
                  <a16:creationId xmlns:a16="http://schemas.microsoft.com/office/drawing/2014/main" xmlns="" id="{00000000-0008-0000-1000-00000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6805" name="Check Box 5" hidden="1">
              <a:extLst>
                <a:ext uri="{63B3BB69-23CF-44E3-9099-C40C66FF867C}">
                  <a14:compatExt spid="_x0000_s76805"/>
                </a:ext>
                <a:ext uri="{FF2B5EF4-FFF2-40B4-BE49-F238E27FC236}">
                  <a16:creationId xmlns:a16="http://schemas.microsoft.com/office/drawing/2014/main" xmlns="" id="{00000000-0008-0000-1000-00000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6806" name="Check Box 6" hidden="1">
              <a:extLst>
                <a:ext uri="{63B3BB69-23CF-44E3-9099-C40C66FF867C}">
                  <a14:compatExt spid="_x0000_s76806"/>
                </a:ext>
                <a:ext uri="{FF2B5EF4-FFF2-40B4-BE49-F238E27FC236}">
                  <a16:creationId xmlns:a16="http://schemas.microsoft.com/office/drawing/2014/main" xmlns="" id="{00000000-0008-0000-1000-00000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6807" name="Check Box 7" hidden="1">
              <a:extLst>
                <a:ext uri="{63B3BB69-23CF-44E3-9099-C40C66FF867C}">
                  <a14:compatExt spid="_x0000_s76807"/>
                </a:ext>
                <a:ext uri="{FF2B5EF4-FFF2-40B4-BE49-F238E27FC236}">
                  <a16:creationId xmlns:a16="http://schemas.microsoft.com/office/drawing/2014/main" xmlns="" id="{00000000-0008-0000-1000-00000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6808" name="Check Box 8" hidden="1">
              <a:extLst>
                <a:ext uri="{63B3BB69-23CF-44E3-9099-C40C66FF867C}">
                  <a14:compatExt spid="_x0000_s76808"/>
                </a:ext>
                <a:ext uri="{FF2B5EF4-FFF2-40B4-BE49-F238E27FC236}">
                  <a16:creationId xmlns:a16="http://schemas.microsoft.com/office/drawing/2014/main" xmlns="" id="{00000000-0008-0000-1000-00000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6809" name="Check Box 9" hidden="1">
              <a:extLst>
                <a:ext uri="{63B3BB69-23CF-44E3-9099-C40C66FF867C}">
                  <a14:compatExt spid="_x0000_s76809"/>
                </a:ext>
                <a:ext uri="{FF2B5EF4-FFF2-40B4-BE49-F238E27FC236}">
                  <a16:creationId xmlns:a16="http://schemas.microsoft.com/office/drawing/2014/main" xmlns="" id="{00000000-0008-0000-1000-00000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6810" name="Check Box 10" hidden="1">
              <a:extLst>
                <a:ext uri="{63B3BB69-23CF-44E3-9099-C40C66FF867C}">
                  <a14:compatExt spid="_x0000_s76810"/>
                </a:ext>
                <a:ext uri="{FF2B5EF4-FFF2-40B4-BE49-F238E27FC236}">
                  <a16:creationId xmlns:a16="http://schemas.microsoft.com/office/drawing/2014/main" xmlns="" id="{00000000-0008-0000-1000-00000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6811" name="Check Box 11" descr="Underwriting Eligibility" hidden="1">
              <a:extLst>
                <a:ext uri="{63B3BB69-23CF-44E3-9099-C40C66FF867C}">
                  <a14:compatExt spid="_x0000_s76811"/>
                </a:ext>
                <a:ext uri="{FF2B5EF4-FFF2-40B4-BE49-F238E27FC236}">
                  <a16:creationId xmlns:a16="http://schemas.microsoft.com/office/drawing/2014/main" xmlns="" id="{00000000-0008-0000-1000-00000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6812" name="Check Box RateSeg" descr="Rate Segmentation" hidden="1">
              <a:extLst>
                <a:ext uri="{63B3BB69-23CF-44E3-9099-C40C66FF867C}">
                  <a14:compatExt spid="_x0000_s76812"/>
                </a:ext>
                <a:ext uri="{FF2B5EF4-FFF2-40B4-BE49-F238E27FC236}">
                  <a16:creationId xmlns:a16="http://schemas.microsoft.com/office/drawing/2014/main" xmlns="" id="{00000000-0008-0000-1000-00000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6813" name="Check Box 13" hidden="1">
              <a:extLst>
                <a:ext uri="{63B3BB69-23CF-44E3-9099-C40C66FF867C}">
                  <a14:compatExt spid="_x0000_s76813"/>
                </a:ext>
                <a:ext uri="{FF2B5EF4-FFF2-40B4-BE49-F238E27FC236}">
                  <a16:creationId xmlns:a16="http://schemas.microsoft.com/office/drawing/2014/main" xmlns="" id="{00000000-0008-0000-1000-00000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6814" name="Check Box 14" hidden="1">
              <a:extLst>
                <a:ext uri="{63B3BB69-23CF-44E3-9099-C40C66FF867C}">
                  <a14:compatExt spid="_x0000_s76814"/>
                </a:ext>
                <a:ext uri="{FF2B5EF4-FFF2-40B4-BE49-F238E27FC236}">
                  <a16:creationId xmlns:a16="http://schemas.microsoft.com/office/drawing/2014/main" xmlns="" id="{00000000-0008-0000-1000-00000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6815" name="Check Box 15" hidden="1">
              <a:extLst>
                <a:ext uri="{63B3BB69-23CF-44E3-9099-C40C66FF867C}">
                  <a14:compatExt spid="_x0000_s76815"/>
                </a:ext>
                <a:ext uri="{FF2B5EF4-FFF2-40B4-BE49-F238E27FC236}">
                  <a16:creationId xmlns:a16="http://schemas.microsoft.com/office/drawing/2014/main" xmlns="" id="{00000000-0008-0000-1000-00000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6816" name="Check Box 16" hidden="1">
              <a:extLst>
                <a:ext uri="{63B3BB69-23CF-44E3-9099-C40C66FF867C}">
                  <a14:compatExt spid="_x0000_s76816"/>
                </a:ext>
                <a:ext uri="{FF2B5EF4-FFF2-40B4-BE49-F238E27FC236}">
                  <a16:creationId xmlns:a16="http://schemas.microsoft.com/office/drawing/2014/main" xmlns="" id="{00000000-0008-0000-1000-00001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6817" name="Check Box 17" hidden="1">
              <a:extLst>
                <a:ext uri="{63B3BB69-23CF-44E3-9099-C40C66FF867C}">
                  <a14:compatExt spid="_x0000_s76817"/>
                </a:ext>
                <a:ext uri="{FF2B5EF4-FFF2-40B4-BE49-F238E27FC236}">
                  <a16:creationId xmlns:a16="http://schemas.microsoft.com/office/drawing/2014/main" xmlns="" id="{00000000-0008-0000-1000-000011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6818" name="Check Box 18" descr="Cluster Analysis" hidden="1">
              <a:extLst>
                <a:ext uri="{63B3BB69-23CF-44E3-9099-C40C66FF867C}">
                  <a14:compatExt spid="_x0000_s76818"/>
                </a:ext>
                <a:ext uri="{FF2B5EF4-FFF2-40B4-BE49-F238E27FC236}">
                  <a16:creationId xmlns:a16="http://schemas.microsoft.com/office/drawing/2014/main" xmlns="" id="{00000000-0008-0000-1000-000012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6819" name="Check Box 19" descr="Logistic Regression" hidden="1">
              <a:extLst>
                <a:ext uri="{63B3BB69-23CF-44E3-9099-C40C66FF867C}">
                  <a14:compatExt spid="_x0000_s76819"/>
                </a:ext>
                <a:ext uri="{FF2B5EF4-FFF2-40B4-BE49-F238E27FC236}">
                  <a16:creationId xmlns:a16="http://schemas.microsoft.com/office/drawing/2014/main" xmlns="" id="{00000000-0008-0000-1000-000013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6820" name="Check Box 20" descr="Neural Network" hidden="1">
              <a:extLst>
                <a:ext uri="{63B3BB69-23CF-44E3-9099-C40C66FF867C}">
                  <a14:compatExt spid="_x0000_s76820"/>
                </a:ext>
                <a:ext uri="{FF2B5EF4-FFF2-40B4-BE49-F238E27FC236}">
                  <a16:creationId xmlns:a16="http://schemas.microsoft.com/office/drawing/2014/main" xmlns="" id="{00000000-0008-0000-1000-000014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6821" name="Check Box 21" descr="Decision Trees" hidden="1">
              <a:extLst>
                <a:ext uri="{63B3BB69-23CF-44E3-9099-C40C66FF867C}">
                  <a14:compatExt spid="_x0000_s76821"/>
                </a:ext>
                <a:ext uri="{FF2B5EF4-FFF2-40B4-BE49-F238E27FC236}">
                  <a16:creationId xmlns:a16="http://schemas.microsoft.com/office/drawing/2014/main" xmlns="" id="{00000000-0008-0000-1000-000015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6822" name="Check Box 22" descr="Machine Learning" hidden="1">
              <a:extLst>
                <a:ext uri="{63B3BB69-23CF-44E3-9099-C40C66FF867C}">
                  <a14:compatExt spid="_x0000_s76822"/>
                </a:ext>
                <a:ext uri="{FF2B5EF4-FFF2-40B4-BE49-F238E27FC236}">
                  <a16:creationId xmlns:a16="http://schemas.microsoft.com/office/drawing/2014/main" xmlns="" id="{00000000-0008-0000-1000-000016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6823" name="Check Box 23" hidden="1">
              <a:extLst>
                <a:ext uri="{63B3BB69-23CF-44E3-9099-C40C66FF867C}">
                  <a14:compatExt spid="_x0000_s76823"/>
                </a:ext>
                <a:ext uri="{FF2B5EF4-FFF2-40B4-BE49-F238E27FC236}">
                  <a16:creationId xmlns:a16="http://schemas.microsoft.com/office/drawing/2014/main" xmlns="" id="{00000000-0008-0000-1000-000017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6824" name="Check Box 24" descr="Generalized Linear Model" hidden="1">
              <a:extLst>
                <a:ext uri="{63B3BB69-23CF-44E3-9099-C40C66FF867C}">
                  <a14:compatExt spid="_x0000_s76824"/>
                </a:ext>
                <a:ext uri="{FF2B5EF4-FFF2-40B4-BE49-F238E27FC236}">
                  <a16:creationId xmlns:a16="http://schemas.microsoft.com/office/drawing/2014/main" xmlns="" id="{00000000-0008-0000-1000-000018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6825" name="Check Box 27" descr="Multivariate Adaptive Regression Splines" hidden="1">
              <a:extLst>
                <a:ext uri="{63B3BB69-23CF-44E3-9099-C40C66FF867C}">
                  <a14:compatExt spid="_x0000_s76825"/>
                </a:ext>
                <a:ext uri="{FF2B5EF4-FFF2-40B4-BE49-F238E27FC236}">
                  <a16:creationId xmlns:a16="http://schemas.microsoft.com/office/drawing/2014/main" xmlns="" id="{00000000-0008-0000-1000-000019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6826" name="Check Box 26" descr="New/Initial" hidden="1">
              <a:extLst>
                <a:ext uri="{63B3BB69-23CF-44E3-9099-C40C66FF867C}">
                  <a14:compatExt spid="_x0000_s76826"/>
                </a:ext>
                <a:ext uri="{FF2B5EF4-FFF2-40B4-BE49-F238E27FC236}">
                  <a16:creationId xmlns:a16="http://schemas.microsoft.com/office/drawing/2014/main" xmlns="" id="{00000000-0008-0000-1000-00001A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6827" name="Check Box 27" descr="Revision to Existing Model" hidden="1">
              <a:extLst>
                <a:ext uri="{63B3BB69-23CF-44E3-9099-C40C66FF867C}">
                  <a14:compatExt spid="_x0000_s76827"/>
                </a:ext>
                <a:ext uri="{FF2B5EF4-FFF2-40B4-BE49-F238E27FC236}">
                  <a16:creationId xmlns:a16="http://schemas.microsoft.com/office/drawing/2014/main" xmlns="" id="{00000000-0008-0000-1000-00001B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6828" name="Check Box 28" descr="Refresh of Data to Existing Model" hidden="1">
              <a:extLst>
                <a:ext uri="{63B3BB69-23CF-44E3-9099-C40C66FF867C}">
                  <a14:compatExt spid="_x0000_s76828"/>
                </a:ext>
                <a:ext uri="{FF2B5EF4-FFF2-40B4-BE49-F238E27FC236}">
                  <a16:creationId xmlns:a16="http://schemas.microsoft.com/office/drawing/2014/main" xmlns="" id="{00000000-0008-0000-1000-00001C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6829" name="Check Box 29" descr="Company Developed (&quot;In-House&quot;)" hidden="1">
              <a:extLst>
                <a:ext uri="{63B3BB69-23CF-44E3-9099-C40C66FF867C}">
                  <a14:compatExt spid="_x0000_s76829"/>
                </a:ext>
                <a:ext uri="{FF2B5EF4-FFF2-40B4-BE49-F238E27FC236}">
                  <a16:creationId xmlns:a16="http://schemas.microsoft.com/office/drawing/2014/main" xmlns="" id="{00000000-0008-0000-1000-00001D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6830" name="Check Box 30" descr="Outside Firm" hidden="1">
              <a:extLst>
                <a:ext uri="{63B3BB69-23CF-44E3-9099-C40C66FF867C}">
                  <a14:compatExt spid="_x0000_s76830"/>
                </a:ext>
                <a:ext uri="{FF2B5EF4-FFF2-40B4-BE49-F238E27FC236}">
                  <a16:creationId xmlns:a16="http://schemas.microsoft.com/office/drawing/2014/main" xmlns="" id="{00000000-0008-0000-1000-00001E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6831" name="Check Box 31" descr="No Revision to Existing Model" hidden="1">
              <a:extLst>
                <a:ext uri="{63B3BB69-23CF-44E3-9099-C40C66FF867C}">
                  <a14:compatExt spid="_x0000_s76831"/>
                </a:ext>
                <a:ext uri="{FF2B5EF4-FFF2-40B4-BE49-F238E27FC236}">
                  <a16:creationId xmlns:a16="http://schemas.microsoft.com/office/drawing/2014/main" xmlns="" id="{00000000-0008-0000-1000-00001F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6832" name="Check Box 32" hidden="1">
              <a:extLst>
                <a:ext uri="{63B3BB69-23CF-44E3-9099-C40C66FF867C}">
                  <a14:compatExt spid="_x0000_s76832"/>
                </a:ext>
                <a:ext uri="{FF2B5EF4-FFF2-40B4-BE49-F238E27FC236}">
                  <a16:creationId xmlns:a16="http://schemas.microsoft.com/office/drawing/2014/main" xmlns="" id="{00000000-0008-0000-1000-0000202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7825" name="Check Box Cat" descr="Catastrophe Model" hidden="1">
              <a:extLst>
                <a:ext uri="{63B3BB69-23CF-44E3-9099-C40C66FF867C}">
                  <a14:compatExt spid="_x0000_s77825"/>
                </a:ext>
                <a:ext uri="{FF2B5EF4-FFF2-40B4-BE49-F238E27FC236}">
                  <a16:creationId xmlns:a16="http://schemas.microsoft.com/office/drawing/2014/main" xmlns="" id="{00000000-0008-0000-1100-00000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7826" name="Check Box NonCat" descr="Non-Catastrophe Model" hidden="1">
              <a:extLst>
                <a:ext uri="{63B3BB69-23CF-44E3-9099-C40C66FF867C}">
                  <a14:compatExt spid="_x0000_s77826"/>
                </a:ext>
                <a:ext uri="{FF2B5EF4-FFF2-40B4-BE49-F238E27FC236}">
                  <a16:creationId xmlns:a16="http://schemas.microsoft.com/office/drawing/2014/main" xmlns="" id="{00000000-0008-0000-1100-00000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7827" name="Check Box OverallRateLvl" descr="Overall Rate Level" hidden="1">
              <a:extLst>
                <a:ext uri="{63B3BB69-23CF-44E3-9099-C40C66FF867C}">
                  <a14:compatExt spid="_x0000_s77827"/>
                </a:ext>
                <a:ext uri="{FF2B5EF4-FFF2-40B4-BE49-F238E27FC236}">
                  <a16:creationId xmlns:a16="http://schemas.microsoft.com/office/drawing/2014/main" xmlns="" id="{00000000-0008-0000-1100-00000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7828" name="Check Box 4" descr="Other Model Usage" hidden="1">
              <a:extLst>
                <a:ext uri="{63B3BB69-23CF-44E3-9099-C40C66FF867C}">
                  <a14:compatExt spid="_x0000_s77828"/>
                </a:ext>
                <a:ext uri="{FF2B5EF4-FFF2-40B4-BE49-F238E27FC236}">
                  <a16:creationId xmlns:a16="http://schemas.microsoft.com/office/drawing/2014/main" xmlns="" id="{00000000-0008-0000-1100-00000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7829" name="Check Box 5" hidden="1">
              <a:extLst>
                <a:ext uri="{63B3BB69-23CF-44E3-9099-C40C66FF867C}">
                  <a14:compatExt spid="_x0000_s77829"/>
                </a:ext>
                <a:ext uri="{FF2B5EF4-FFF2-40B4-BE49-F238E27FC236}">
                  <a16:creationId xmlns:a16="http://schemas.microsoft.com/office/drawing/2014/main" xmlns="" id="{00000000-0008-0000-1100-00000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7830" name="Check Box 6" hidden="1">
              <a:extLst>
                <a:ext uri="{63B3BB69-23CF-44E3-9099-C40C66FF867C}">
                  <a14:compatExt spid="_x0000_s77830"/>
                </a:ext>
                <a:ext uri="{FF2B5EF4-FFF2-40B4-BE49-F238E27FC236}">
                  <a16:creationId xmlns:a16="http://schemas.microsoft.com/office/drawing/2014/main" xmlns="" id="{00000000-0008-0000-1100-00000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7831" name="Check Box 7" hidden="1">
              <a:extLst>
                <a:ext uri="{63B3BB69-23CF-44E3-9099-C40C66FF867C}">
                  <a14:compatExt spid="_x0000_s77831"/>
                </a:ext>
                <a:ext uri="{FF2B5EF4-FFF2-40B4-BE49-F238E27FC236}">
                  <a16:creationId xmlns:a16="http://schemas.microsoft.com/office/drawing/2014/main" xmlns="" id="{00000000-0008-0000-1100-00000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7832" name="Check Box 8" hidden="1">
              <a:extLst>
                <a:ext uri="{63B3BB69-23CF-44E3-9099-C40C66FF867C}">
                  <a14:compatExt spid="_x0000_s77832"/>
                </a:ext>
                <a:ext uri="{FF2B5EF4-FFF2-40B4-BE49-F238E27FC236}">
                  <a16:creationId xmlns:a16="http://schemas.microsoft.com/office/drawing/2014/main" xmlns="" id="{00000000-0008-0000-1100-00000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7833" name="Check Box 9" hidden="1">
              <a:extLst>
                <a:ext uri="{63B3BB69-23CF-44E3-9099-C40C66FF867C}">
                  <a14:compatExt spid="_x0000_s77833"/>
                </a:ext>
                <a:ext uri="{FF2B5EF4-FFF2-40B4-BE49-F238E27FC236}">
                  <a16:creationId xmlns:a16="http://schemas.microsoft.com/office/drawing/2014/main" xmlns="" id="{00000000-0008-0000-1100-00000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7834" name="Check Box 10" hidden="1">
              <a:extLst>
                <a:ext uri="{63B3BB69-23CF-44E3-9099-C40C66FF867C}">
                  <a14:compatExt spid="_x0000_s77834"/>
                </a:ext>
                <a:ext uri="{FF2B5EF4-FFF2-40B4-BE49-F238E27FC236}">
                  <a16:creationId xmlns:a16="http://schemas.microsoft.com/office/drawing/2014/main" xmlns="" id="{00000000-0008-0000-1100-00000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7835" name="Check Box 11" descr="Underwriting Eligibility" hidden="1">
              <a:extLst>
                <a:ext uri="{63B3BB69-23CF-44E3-9099-C40C66FF867C}">
                  <a14:compatExt spid="_x0000_s77835"/>
                </a:ext>
                <a:ext uri="{FF2B5EF4-FFF2-40B4-BE49-F238E27FC236}">
                  <a16:creationId xmlns:a16="http://schemas.microsoft.com/office/drawing/2014/main" xmlns="" id="{00000000-0008-0000-1100-00000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7836" name="Check Box RateSeg" descr="Rate Segmentation" hidden="1">
              <a:extLst>
                <a:ext uri="{63B3BB69-23CF-44E3-9099-C40C66FF867C}">
                  <a14:compatExt spid="_x0000_s77836"/>
                </a:ext>
                <a:ext uri="{FF2B5EF4-FFF2-40B4-BE49-F238E27FC236}">
                  <a16:creationId xmlns:a16="http://schemas.microsoft.com/office/drawing/2014/main" xmlns="" id="{00000000-0008-0000-1100-00000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7837" name="Check Box 13" hidden="1">
              <a:extLst>
                <a:ext uri="{63B3BB69-23CF-44E3-9099-C40C66FF867C}">
                  <a14:compatExt spid="_x0000_s77837"/>
                </a:ext>
                <a:ext uri="{FF2B5EF4-FFF2-40B4-BE49-F238E27FC236}">
                  <a16:creationId xmlns:a16="http://schemas.microsoft.com/office/drawing/2014/main" xmlns="" id="{00000000-0008-0000-1100-00000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7838" name="Check Box 14" hidden="1">
              <a:extLst>
                <a:ext uri="{63B3BB69-23CF-44E3-9099-C40C66FF867C}">
                  <a14:compatExt spid="_x0000_s77838"/>
                </a:ext>
                <a:ext uri="{FF2B5EF4-FFF2-40B4-BE49-F238E27FC236}">
                  <a16:creationId xmlns:a16="http://schemas.microsoft.com/office/drawing/2014/main" xmlns="" id="{00000000-0008-0000-1100-00000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7839" name="Check Box 15" hidden="1">
              <a:extLst>
                <a:ext uri="{63B3BB69-23CF-44E3-9099-C40C66FF867C}">
                  <a14:compatExt spid="_x0000_s77839"/>
                </a:ext>
                <a:ext uri="{FF2B5EF4-FFF2-40B4-BE49-F238E27FC236}">
                  <a16:creationId xmlns:a16="http://schemas.microsoft.com/office/drawing/2014/main" xmlns="" id="{00000000-0008-0000-1100-00000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7840" name="Check Box 16" hidden="1">
              <a:extLst>
                <a:ext uri="{63B3BB69-23CF-44E3-9099-C40C66FF867C}">
                  <a14:compatExt spid="_x0000_s77840"/>
                </a:ext>
                <a:ext uri="{FF2B5EF4-FFF2-40B4-BE49-F238E27FC236}">
                  <a16:creationId xmlns:a16="http://schemas.microsoft.com/office/drawing/2014/main" xmlns="" id="{00000000-0008-0000-1100-00001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7841" name="Check Box 17" hidden="1">
              <a:extLst>
                <a:ext uri="{63B3BB69-23CF-44E3-9099-C40C66FF867C}">
                  <a14:compatExt spid="_x0000_s77841"/>
                </a:ext>
                <a:ext uri="{FF2B5EF4-FFF2-40B4-BE49-F238E27FC236}">
                  <a16:creationId xmlns:a16="http://schemas.microsoft.com/office/drawing/2014/main" xmlns="" id="{00000000-0008-0000-1100-000011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7842" name="Check Box 18" descr="Cluster Analysis" hidden="1">
              <a:extLst>
                <a:ext uri="{63B3BB69-23CF-44E3-9099-C40C66FF867C}">
                  <a14:compatExt spid="_x0000_s77842"/>
                </a:ext>
                <a:ext uri="{FF2B5EF4-FFF2-40B4-BE49-F238E27FC236}">
                  <a16:creationId xmlns:a16="http://schemas.microsoft.com/office/drawing/2014/main" xmlns="" id="{00000000-0008-0000-1100-000012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7843" name="Check Box 19" descr="Logistic Regression" hidden="1">
              <a:extLst>
                <a:ext uri="{63B3BB69-23CF-44E3-9099-C40C66FF867C}">
                  <a14:compatExt spid="_x0000_s77843"/>
                </a:ext>
                <a:ext uri="{FF2B5EF4-FFF2-40B4-BE49-F238E27FC236}">
                  <a16:creationId xmlns:a16="http://schemas.microsoft.com/office/drawing/2014/main" xmlns="" id="{00000000-0008-0000-1100-000013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7844" name="Check Box 20" descr="Neural Network" hidden="1">
              <a:extLst>
                <a:ext uri="{63B3BB69-23CF-44E3-9099-C40C66FF867C}">
                  <a14:compatExt spid="_x0000_s77844"/>
                </a:ext>
                <a:ext uri="{FF2B5EF4-FFF2-40B4-BE49-F238E27FC236}">
                  <a16:creationId xmlns:a16="http://schemas.microsoft.com/office/drawing/2014/main" xmlns="" id="{00000000-0008-0000-1100-000014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7845" name="Check Box 21" descr="Decision Trees" hidden="1">
              <a:extLst>
                <a:ext uri="{63B3BB69-23CF-44E3-9099-C40C66FF867C}">
                  <a14:compatExt spid="_x0000_s77845"/>
                </a:ext>
                <a:ext uri="{FF2B5EF4-FFF2-40B4-BE49-F238E27FC236}">
                  <a16:creationId xmlns:a16="http://schemas.microsoft.com/office/drawing/2014/main" xmlns="" id="{00000000-0008-0000-1100-000015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7846" name="Check Box 22" descr="Machine Learning" hidden="1">
              <a:extLst>
                <a:ext uri="{63B3BB69-23CF-44E3-9099-C40C66FF867C}">
                  <a14:compatExt spid="_x0000_s77846"/>
                </a:ext>
                <a:ext uri="{FF2B5EF4-FFF2-40B4-BE49-F238E27FC236}">
                  <a16:creationId xmlns:a16="http://schemas.microsoft.com/office/drawing/2014/main" xmlns="" id="{00000000-0008-0000-1100-000016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7847" name="Check Box 23" hidden="1">
              <a:extLst>
                <a:ext uri="{63B3BB69-23CF-44E3-9099-C40C66FF867C}">
                  <a14:compatExt spid="_x0000_s77847"/>
                </a:ext>
                <a:ext uri="{FF2B5EF4-FFF2-40B4-BE49-F238E27FC236}">
                  <a16:creationId xmlns:a16="http://schemas.microsoft.com/office/drawing/2014/main" xmlns="" id="{00000000-0008-0000-1100-000017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7848" name="Check Box 24" descr="Generalized Linear Model" hidden="1">
              <a:extLst>
                <a:ext uri="{63B3BB69-23CF-44E3-9099-C40C66FF867C}">
                  <a14:compatExt spid="_x0000_s77848"/>
                </a:ext>
                <a:ext uri="{FF2B5EF4-FFF2-40B4-BE49-F238E27FC236}">
                  <a16:creationId xmlns:a16="http://schemas.microsoft.com/office/drawing/2014/main" xmlns="" id="{00000000-0008-0000-1100-000018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7849" name="Check Box 27" descr="Multivariate Adaptive Regression Splines" hidden="1">
              <a:extLst>
                <a:ext uri="{63B3BB69-23CF-44E3-9099-C40C66FF867C}">
                  <a14:compatExt spid="_x0000_s77849"/>
                </a:ext>
                <a:ext uri="{FF2B5EF4-FFF2-40B4-BE49-F238E27FC236}">
                  <a16:creationId xmlns:a16="http://schemas.microsoft.com/office/drawing/2014/main" xmlns="" id="{00000000-0008-0000-1100-000019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7850" name="Check Box 26" descr="New/Initial" hidden="1">
              <a:extLst>
                <a:ext uri="{63B3BB69-23CF-44E3-9099-C40C66FF867C}">
                  <a14:compatExt spid="_x0000_s77850"/>
                </a:ext>
                <a:ext uri="{FF2B5EF4-FFF2-40B4-BE49-F238E27FC236}">
                  <a16:creationId xmlns:a16="http://schemas.microsoft.com/office/drawing/2014/main" xmlns="" id="{00000000-0008-0000-1100-00001A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7851" name="Check Box 27" descr="Revision to Existing Model" hidden="1">
              <a:extLst>
                <a:ext uri="{63B3BB69-23CF-44E3-9099-C40C66FF867C}">
                  <a14:compatExt spid="_x0000_s77851"/>
                </a:ext>
                <a:ext uri="{FF2B5EF4-FFF2-40B4-BE49-F238E27FC236}">
                  <a16:creationId xmlns:a16="http://schemas.microsoft.com/office/drawing/2014/main" xmlns="" id="{00000000-0008-0000-1100-00001B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7852" name="Check Box 28" descr="Refresh of Data to Existing Model" hidden="1">
              <a:extLst>
                <a:ext uri="{63B3BB69-23CF-44E3-9099-C40C66FF867C}">
                  <a14:compatExt spid="_x0000_s77852"/>
                </a:ext>
                <a:ext uri="{FF2B5EF4-FFF2-40B4-BE49-F238E27FC236}">
                  <a16:creationId xmlns:a16="http://schemas.microsoft.com/office/drawing/2014/main" xmlns="" id="{00000000-0008-0000-1100-00001C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7853" name="Check Box 29" descr="Company Developed (&quot;In-House&quot;)" hidden="1">
              <a:extLst>
                <a:ext uri="{63B3BB69-23CF-44E3-9099-C40C66FF867C}">
                  <a14:compatExt spid="_x0000_s77853"/>
                </a:ext>
                <a:ext uri="{FF2B5EF4-FFF2-40B4-BE49-F238E27FC236}">
                  <a16:creationId xmlns:a16="http://schemas.microsoft.com/office/drawing/2014/main" xmlns="" id="{00000000-0008-0000-1100-00001D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7854" name="Check Box 30" descr="Outside Firm" hidden="1">
              <a:extLst>
                <a:ext uri="{63B3BB69-23CF-44E3-9099-C40C66FF867C}">
                  <a14:compatExt spid="_x0000_s77854"/>
                </a:ext>
                <a:ext uri="{FF2B5EF4-FFF2-40B4-BE49-F238E27FC236}">
                  <a16:creationId xmlns:a16="http://schemas.microsoft.com/office/drawing/2014/main" xmlns="" id="{00000000-0008-0000-1100-00001E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7855" name="Check Box 31" descr="No Revision to Existing Model" hidden="1">
              <a:extLst>
                <a:ext uri="{63B3BB69-23CF-44E3-9099-C40C66FF867C}">
                  <a14:compatExt spid="_x0000_s77855"/>
                </a:ext>
                <a:ext uri="{FF2B5EF4-FFF2-40B4-BE49-F238E27FC236}">
                  <a16:creationId xmlns:a16="http://schemas.microsoft.com/office/drawing/2014/main" xmlns="" id="{00000000-0008-0000-1100-00001F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7856" name="Check Box 32" hidden="1">
              <a:extLst>
                <a:ext uri="{63B3BB69-23CF-44E3-9099-C40C66FF867C}">
                  <a14:compatExt spid="_x0000_s77856"/>
                </a:ext>
                <a:ext uri="{FF2B5EF4-FFF2-40B4-BE49-F238E27FC236}">
                  <a16:creationId xmlns:a16="http://schemas.microsoft.com/office/drawing/2014/main" xmlns="" id="{00000000-0008-0000-1100-0000203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8849" name="Check Box Cat" descr="Catastrophe Model" hidden="1">
              <a:extLst>
                <a:ext uri="{63B3BB69-23CF-44E3-9099-C40C66FF867C}">
                  <a14:compatExt spid="_x0000_s78849"/>
                </a:ext>
                <a:ext uri="{FF2B5EF4-FFF2-40B4-BE49-F238E27FC236}">
                  <a16:creationId xmlns:a16="http://schemas.microsoft.com/office/drawing/2014/main" xmlns="" id="{00000000-0008-0000-12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8850" name="Check Box NonCat" descr="Non-Catastrophe Model" hidden="1">
              <a:extLst>
                <a:ext uri="{63B3BB69-23CF-44E3-9099-C40C66FF867C}">
                  <a14:compatExt spid="_x0000_s78850"/>
                </a:ext>
                <a:ext uri="{FF2B5EF4-FFF2-40B4-BE49-F238E27FC236}">
                  <a16:creationId xmlns:a16="http://schemas.microsoft.com/office/drawing/2014/main" xmlns="" id="{00000000-0008-0000-12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8851" name="Check Box OverallRateLvl" descr="Overall Rate Level" hidden="1">
              <a:extLst>
                <a:ext uri="{63B3BB69-23CF-44E3-9099-C40C66FF867C}">
                  <a14:compatExt spid="_x0000_s78851"/>
                </a:ext>
                <a:ext uri="{FF2B5EF4-FFF2-40B4-BE49-F238E27FC236}">
                  <a16:creationId xmlns:a16="http://schemas.microsoft.com/office/drawing/2014/main" xmlns="" id="{00000000-0008-0000-12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8852" name="Check Box 4" descr="Other Model Usage" hidden="1">
              <a:extLst>
                <a:ext uri="{63B3BB69-23CF-44E3-9099-C40C66FF867C}">
                  <a14:compatExt spid="_x0000_s78852"/>
                </a:ext>
                <a:ext uri="{FF2B5EF4-FFF2-40B4-BE49-F238E27FC236}">
                  <a16:creationId xmlns:a16="http://schemas.microsoft.com/office/drawing/2014/main" xmlns="" id="{00000000-0008-0000-12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xmlns="" id="{00000000-0008-0000-12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xmlns="" id="{00000000-0008-0000-12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xmlns="" id="{00000000-0008-0000-12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xmlns="" id="{00000000-0008-0000-12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xmlns="" id="{00000000-0008-0000-12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xmlns="" id="{00000000-0008-0000-12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8859" name="Check Box 11" descr="Underwriting Eligibility" hidden="1">
              <a:extLst>
                <a:ext uri="{63B3BB69-23CF-44E3-9099-C40C66FF867C}">
                  <a14:compatExt spid="_x0000_s78859"/>
                </a:ext>
                <a:ext uri="{FF2B5EF4-FFF2-40B4-BE49-F238E27FC236}">
                  <a16:creationId xmlns:a16="http://schemas.microsoft.com/office/drawing/2014/main" xmlns="" id="{00000000-0008-0000-1200-00000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8860" name="Check Box RateSeg" descr="Rate Segmentation" hidden="1">
              <a:extLst>
                <a:ext uri="{63B3BB69-23CF-44E3-9099-C40C66FF867C}">
                  <a14:compatExt spid="_x0000_s78860"/>
                </a:ext>
                <a:ext uri="{FF2B5EF4-FFF2-40B4-BE49-F238E27FC236}">
                  <a16:creationId xmlns:a16="http://schemas.microsoft.com/office/drawing/2014/main" xmlns="" id="{00000000-0008-0000-1200-00000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8861" name="Check Box 13" hidden="1">
              <a:extLst>
                <a:ext uri="{63B3BB69-23CF-44E3-9099-C40C66FF867C}">
                  <a14:compatExt spid="_x0000_s78861"/>
                </a:ext>
                <a:ext uri="{FF2B5EF4-FFF2-40B4-BE49-F238E27FC236}">
                  <a16:creationId xmlns:a16="http://schemas.microsoft.com/office/drawing/2014/main" xmlns="" id="{00000000-0008-0000-1200-00000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8862" name="Check Box 14" hidden="1">
              <a:extLst>
                <a:ext uri="{63B3BB69-23CF-44E3-9099-C40C66FF867C}">
                  <a14:compatExt spid="_x0000_s78862"/>
                </a:ext>
                <a:ext uri="{FF2B5EF4-FFF2-40B4-BE49-F238E27FC236}">
                  <a16:creationId xmlns:a16="http://schemas.microsoft.com/office/drawing/2014/main" xmlns="" id="{00000000-0008-0000-1200-00000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8863" name="Check Box 15" hidden="1">
              <a:extLst>
                <a:ext uri="{63B3BB69-23CF-44E3-9099-C40C66FF867C}">
                  <a14:compatExt spid="_x0000_s78863"/>
                </a:ext>
                <a:ext uri="{FF2B5EF4-FFF2-40B4-BE49-F238E27FC236}">
                  <a16:creationId xmlns:a16="http://schemas.microsoft.com/office/drawing/2014/main" xmlns="" id="{00000000-0008-0000-1200-00000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8864" name="Check Box 16" hidden="1">
              <a:extLst>
                <a:ext uri="{63B3BB69-23CF-44E3-9099-C40C66FF867C}">
                  <a14:compatExt spid="_x0000_s78864"/>
                </a:ext>
                <a:ext uri="{FF2B5EF4-FFF2-40B4-BE49-F238E27FC236}">
                  <a16:creationId xmlns:a16="http://schemas.microsoft.com/office/drawing/2014/main" xmlns="" id="{00000000-0008-0000-1200-00001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xmlns="" id="{00000000-0008-0000-12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8866" name="Check Box 18" descr="Cluster Analysis" hidden="1">
              <a:extLst>
                <a:ext uri="{63B3BB69-23CF-44E3-9099-C40C66FF867C}">
                  <a14:compatExt spid="_x0000_s78866"/>
                </a:ext>
                <a:ext uri="{FF2B5EF4-FFF2-40B4-BE49-F238E27FC236}">
                  <a16:creationId xmlns:a16="http://schemas.microsoft.com/office/drawing/2014/main" xmlns="" id="{00000000-0008-0000-12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8867" name="Check Box 19" descr="Logistic Regression" hidden="1">
              <a:extLst>
                <a:ext uri="{63B3BB69-23CF-44E3-9099-C40C66FF867C}">
                  <a14:compatExt spid="_x0000_s78867"/>
                </a:ext>
                <a:ext uri="{FF2B5EF4-FFF2-40B4-BE49-F238E27FC236}">
                  <a16:creationId xmlns:a16="http://schemas.microsoft.com/office/drawing/2014/main" xmlns="" id="{00000000-0008-0000-1200-00001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8868" name="Check Box 20" descr="Neural Network" hidden="1">
              <a:extLst>
                <a:ext uri="{63B3BB69-23CF-44E3-9099-C40C66FF867C}">
                  <a14:compatExt spid="_x0000_s78868"/>
                </a:ext>
                <a:ext uri="{FF2B5EF4-FFF2-40B4-BE49-F238E27FC236}">
                  <a16:creationId xmlns:a16="http://schemas.microsoft.com/office/drawing/2014/main" xmlns="" id="{00000000-0008-0000-1200-00001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8869" name="Check Box 21" descr="Decision Trees" hidden="1">
              <a:extLst>
                <a:ext uri="{63B3BB69-23CF-44E3-9099-C40C66FF867C}">
                  <a14:compatExt spid="_x0000_s78869"/>
                </a:ext>
                <a:ext uri="{FF2B5EF4-FFF2-40B4-BE49-F238E27FC236}">
                  <a16:creationId xmlns:a16="http://schemas.microsoft.com/office/drawing/2014/main" xmlns="" id="{00000000-0008-0000-1200-00001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8870" name="Check Box 22" descr="Machine Learning" hidden="1">
              <a:extLst>
                <a:ext uri="{63B3BB69-23CF-44E3-9099-C40C66FF867C}">
                  <a14:compatExt spid="_x0000_s78870"/>
                </a:ext>
                <a:ext uri="{FF2B5EF4-FFF2-40B4-BE49-F238E27FC236}">
                  <a16:creationId xmlns:a16="http://schemas.microsoft.com/office/drawing/2014/main" xmlns="" id="{00000000-0008-0000-12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xmlns="" id="{00000000-0008-0000-12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8872" name="Check Box 24" descr="Generalized Linear Model" hidden="1">
              <a:extLst>
                <a:ext uri="{63B3BB69-23CF-44E3-9099-C40C66FF867C}">
                  <a14:compatExt spid="_x0000_s78872"/>
                </a:ext>
                <a:ext uri="{FF2B5EF4-FFF2-40B4-BE49-F238E27FC236}">
                  <a16:creationId xmlns:a16="http://schemas.microsoft.com/office/drawing/2014/main" xmlns="" id="{00000000-0008-0000-12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8873" name="Check Box 27" descr="Multivariate Adaptive Regression Splines" hidden="1">
              <a:extLst>
                <a:ext uri="{63B3BB69-23CF-44E3-9099-C40C66FF867C}">
                  <a14:compatExt spid="_x0000_s78873"/>
                </a:ext>
                <a:ext uri="{FF2B5EF4-FFF2-40B4-BE49-F238E27FC236}">
                  <a16:creationId xmlns:a16="http://schemas.microsoft.com/office/drawing/2014/main" xmlns="" id="{00000000-0008-0000-12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8874" name="Check Box 26" descr="New/Initial" hidden="1">
              <a:extLst>
                <a:ext uri="{63B3BB69-23CF-44E3-9099-C40C66FF867C}">
                  <a14:compatExt spid="_x0000_s78874"/>
                </a:ext>
                <a:ext uri="{FF2B5EF4-FFF2-40B4-BE49-F238E27FC236}">
                  <a16:creationId xmlns:a16="http://schemas.microsoft.com/office/drawing/2014/main" xmlns="" id="{00000000-0008-0000-12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8875" name="Check Box 27" descr="Revision to Existing Model" hidden="1">
              <a:extLst>
                <a:ext uri="{63B3BB69-23CF-44E3-9099-C40C66FF867C}">
                  <a14:compatExt spid="_x0000_s78875"/>
                </a:ext>
                <a:ext uri="{FF2B5EF4-FFF2-40B4-BE49-F238E27FC236}">
                  <a16:creationId xmlns:a16="http://schemas.microsoft.com/office/drawing/2014/main" xmlns="" id="{00000000-0008-0000-12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8876" name="Check Box 28" descr="Refresh of Data to Existing Model" hidden="1">
              <a:extLst>
                <a:ext uri="{63B3BB69-23CF-44E3-9099-C40C66FF867C}">
                  <a14:compatExt spid="_x0000_s78876"/>
                </a:ext>
                <a:ext uri="{FF2B5EF4-FFF2-40B4-BE49-F238E27FC236}">
                  <a16:creationId xmlns:a16="http://schemas.microsoft.com/office/drawing/2014/main" xmlns="" id="{00000000-0008-0000-1200-00001C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8877" name="Check Box 29" descr="Company Developed (&quot;In-House&quot;)" hidden="1">
              <a:extLst>
                <a:ext uri="{63B3BB69-23CF-44E3-9099-C40C66FF867C}">
                  <a14:compatExt spid="_x0000_s78877"/>
                </a:ext>
                <a:ext uri="{FF2B5EF4-FFF2-40B4-BE49-F238E27FC236}">
                  <a16:creationId xmlns:a16="http://schemas.microsoft.com/office/drawing/2014/main" xmlns="" id="{00000000-0008-0000-1200-00001D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8878" name="Check Box 30" descr="Outside Firm" hidden="1">
              <a:extLst>
                <a:ext uri="{63B3BB69-23CF-44E3-9099-C40C66FF867C}">
                  <a14:compatExt spid="_x0000_s78878"/>
                </a:ext>
                <a:ext uri="{FF2B5EF4-FFF2-40B4-BE49-F238E27FC236}">
                  <a16:creationId xmlns:a16="http://schemas.microsoft.com/office/drawing/2014/main" xmlns="" id="{00000000-0008-0000-1200-00001E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8879" name="Check Box 31" descr="No Revision to Existing Model" hidden="1">
              <a:extLst>
                <a:ext uri="{63B3BB69-23CF-44E3-9099-C40C66FF867C}">
                  <a14:compatExt spid="_x0000_s78879"/>
                </a:ext>
                <a:ext uri="{FF2B5EF4-FFF2-40B4-BE49-F238E27FC236}">
                  <a16:creationId xmlns:a16="http://schemas.microsoft.com/office/drawing/2014/main" xmlns="" id="{00000000-0008-0000-1200-00001F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8880" name="Check Box 32" hidden="1">
              <a:extLst>
                <a:ext uri="{63B3BB69-23CF-44E3-9099-C40C66FF867C}">
                  <a14:compatExt spid="_x0000_s78880"/>
                </a:ext>
                <a:ext uri="{FF2B5EF4-FFF2-40B4-BE49-F238E27FC236}">
                  <a16:creationId xmlns:a16="http://schemas.microsoft.com/office/drawing/2014/main" xmlns="" id="{00000000-0008-0000-1200-000020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79873" name="Check Box Cat" descr="Catastrophe Model" hidden="1">
              <a:extLst>
                <a:ext uri="{63B3BB69-23CF-44E3-9099-C40C66FF867C}">
                  <a14:compatExt spid="_x0000_s79873"/>
                </a:ext>
                <a:ext uri="{FF2B5EF4-FFF2-40B4-BE49-F238E27FC236}">
                  <a16:creationId xmlns:a16="http://schemas.microsoft.com/office/drawing/2014/main" xmlns="" id="{00000000-0008-0000-13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79874" name="Check Box NonCat" descr="Non-Catastrophe Model" hidden="1">
              <a:extLst>
                <a:ext uri="{63B3BB69-23CF-44E3-9099-C40C66FF867C}">
                  <a14:compatExt spid="_x0000_s79874"/>
                </a:ext>
                <a:ext uri="{FF2B5EF4-FFF2-40B4-BE49-F238E27FC236}">
                  <a16:creationId xmlns:a16="http://schemas.microsoft.com/office/drawing/2014/main" xmlns="" id="{00000000-0008-0000-13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79875" name="Check Box OverallRateLvl" descr="Overall Rate Level" hidden="1">
              <a:extLst>
                <a:ext uri="{63B3BB69-23CF-44E3-9099-C40C66FF867C}">
                  <a14:compatExt spid="_x0000_s79875"/>
                </a:ext>
                <a:ext uri="{FF2B5EF4-FFF2-40B4-BE49-F238E27FC236}">
                  <a16:creationId xmlns:a16="http://schemas.microsoft.com/office/drawing/2014/main" xmlns="" id="{00000000-0008-0000-13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79876" name="Check Box 4" descr="Other Model Usage" hidden="1">
              <a:extLst>
                <a:ext uri="{63B3BB69-23CF-44E3-9099-C40C66FF867C}">
                  <a14:compatExt spid="_x0000_s79876"/>
                </a:ext>
                <a:ext uri="{FF2B5EF4-FFF2-40B4-BE49-F238E27FC236}">
                  <a16:creationId xmlns:a16="http://schemas.microsoft.com/office/drawing/2014/main" xmlns="" id="{00000000-0008-0000-13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xmlns="" id="{00000000-0008-0000-13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xmlns="" id="{00000000-0008-0000-13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xmlns="" id="{00000000-0008-0000-13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xmlns="" id="{00000000-0008-0000-13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xmlns="" id="{00000000-0008-0000-13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xmlns="" id="{00000000-0008-0000-13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79883" name="Check Box 11" descr="Underwriting Eligibility" hidden="1">
              <a:extLst>
                <a:ext uri="{63B3BB69-23CF-44E3-9099-C40C66FF867C}">
                  <a14:compatExt spid="_x0000_s79883"/>
                </a:ext>
                <a:ext uri="{FF2B5EF4-FFF2-40B4-BE49-F238E27FC236}">
                  <a16:creationId xmlns:a16="http://schemas.microsoft.com/office/drawing/2014/main" xmlns="" id="{00000000-0008-0000-13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79884" name="Check Box RateSeg" descr="Rate Segmentation" hidden="1">
              <a:extLst>
                <a:ext uri="{63B3BB69-23CF-44E3-9099-C40C66FF867C}">
                  <a14:compatExt spid="_x0000_s79884"/>
                </a:ext>
                <a:ext uri="{FF2B5EF4-FFF2-40B4-BE49-F238E27FC236}">
                  <a16:creationId xmlns:a16="http://schemas.microsoft.com/office/drawing/2014/main" xmlns="" id="{00000000-0008-0000-13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xmlns="" id="{00000000-0008-0000-13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79886" name="Check Box 14" hidden="1">
              <a:extLst>
                <a:ext uri="{63B3BB69-23CF-44E3-9099-C40C66FF867C}">
                  <a14:compatExt spid="_x0000_s79886"/>
                </a:ext>
                <a:ext uri="{FF2B5EF4-FFF2-40B4-BE49-F238E27FC236}">
                  <a16:creationId xmlns:a16="http://schemas.microsoft.com/office/drawing/2014/main" xmlns="" id="{00000000-0008-0000-1300-00000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79887" name="Check Box 15" hidden="1">
              <a:extLst>
                <a:ext uri="{63B3BB69-23CF-44E3-9099-C40C66FF867C}">
                  <a14:compatExt spid="_x0000_s79887"/>
                </a:ext>
                <a:ext uri="{FF2B5EF4-FFF2-40B4-BE49-F238E27FC236}">
                  <a16:creationId xmlns:a16="http://schemas.microsoft.com/office/drawing/2014/main" xmlns="" id="{00000000-0008-0000-1300-00000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79888" name="Check Box 16" hidden="1">
              <a:extLst>
                <a:ext uri="{63B3BB69-23CF-44E3-9099-C40C66FF867C}">
                  <a14:compatExt spid="_x0000_s79888"/>
                </a:ext>
                <a:ext uri="{FF2B5EF4-FFF2-40B4-BE49-F238E27FC236}">
                  <a16:creationId xmlns:a16="http://schemas.microsoft.com/office/drawing/2014/main" xmlns="" id="{00000000-0008-0000-1300-00001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79889" name="Check Box 17" hidden="1">
              <a:extLst>
                <a:ext uri="{63B3BB69-23CF-44E3-9099-C40C66FF867C}">
                  <a14:compatExt spid="_x0000_s79889"/>
                </a:ext>
                <a:ext uri="{FF2B5EF4-FFF2-40B4-BE49-F238E27FC236}">
                  <a16:creationId xmlns:a16="http://schemas.microsoft.com/office/drawing/2014/main" xmlns="" id="{00000000-0008-0000-1300-00001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79890" name="Check Box 18" descr="Cluster Analysis" hidden="1">
              <a:extLst>
                <a:ext uri="{63B3BB69-23CF-44E3-9099-C40C66FF867C}">
                  <a14:compatExt spid="_x0000_s79890"/>
                </a:ext>
                <a:ext uri="{FF2B5EF4-FFF2-40B4-BE49-F238E27FC236}">
                  <a16:creationId xmlns:a16="http://schemas.microsoft.com/office/drawing/2014/main" xmlns="" id="{00000000-0008-0000-1300-00001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79891" name="Check Box 19" descr="Logistic Regression" hidden="1">
              <a:extLst>
                <a:ext uri="{63B3BB69-23CF-44E3-9099-C40C66FF867C}">
                  <a14:compatExt spid="_x0000_s79891"/>
                </a:ext>
                <a:ext uri="{FF2B5EF4-FFF2-40B4-BE49-F238E27FC236}">
                  <a16:creationId xmlns:a16="http://schemas.microsoft.com/office/drawing/2014/main" xmlns="" id="{00000000-0008-0000-1300-00001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79892" name="Check Box 20" descr="Neural Network" hidden="1">
              <a:extLst>
                <a:ext uri="{63B3BB69-23CF-44E3-9099-C40C66FF867C}">
                  <a14:compatExt spid="_x0000_s79892"/>
                </a:ext>
                <a:ext uri="{FF2B5EF4-FFF2-40B4-BE49-F238E27FC236}">
                  <a16:creationId xmlns:a16="http://schemas.microsoft.com/office/drawing/2014/main" xmlns="" id="{00000000-0008-0000-1300-00001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79893" name="Check Box 21" descr="Decision Trees" hidden="1">
              <a:extLst>
                <a:ext uri="{63B3BB69-23CF-44E3-9099-C40C66FF867C}">
                  <a14:compatExt spid="_x0000_s79893"/>
                </a:ext>
                <a:ext uri="{FF2B5EF4-FFF2-40B4-BE49-F238E27FC236}">
                  <a16:creationId xmlns:a16="http://schemas.microsoft.com/office/drawing/2014/main" xmlns="" id="{00000000-0008-0000-1300-00001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79894" name="Check Box 22" descr="Machine Learning" hidden="1">
              <a:extLst>
                <a:ext uri="{63B3BB69-23CF-44E3-9099-C40C66FF867C}">
                  <a14:compatExt spid="_x0000_s79894"/>
                </a:ext>
                <a:ext uri="{FF2B5EF4-FFF2-40B4-BE49-F238E27FC236}">
                  <a16:creationId xmlns:a16="http://schemas.microsoft.com/office/drawing/2014/main" xmlns="" id="{00000000-0008-0000-1300-00001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79895" name="Check Box 23" hidden="1">
              <a:extLst>
                <a:ext uri="{63B3BB69-23CF-44E3-9099-C40C66FF867C}">
                  <a14:compatExt spid="_x0000_s79895"/>
                </a:ext>
                <a:ext uri="{FF2B5EF4-FFF2-40B4-BE49-F238E27FC236}">
                  <a16:creationId xmlns:a16="http://schemas.microsoft.com/office/drawing/2014/main" xmlns="" id="{00000000-0008-0000-1300-00001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79896" name="Check Box 24" descr="Generalized Linear Model" hidden="1">
              <a:extLst>
                <a:ext uri="{63B3BB69-23CF-44E3-9099-C40C66FF867C}">
                  <a14:compatExt spid="_x0000_s79896"/>
                </a:ext>
                <a:ext uri="{FF2B5EF4-FFF2-40B4-BE49-F238E27FC236}">
                  <a16:creationId xmlns:a16="http://schemas.microsoft.com/office/drawing/2014/main" xmlns="" id="{00000000-0008-0000-1300-00001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79897" name="Check Box 27" descr="Multivariate Adaptive Regression Splines" hidden="1">
              <a:extLst>
                <a:ext uri="{63B3BB69-23CF-44E3-9099-C40C66FF867C}">
                  <a14:compatExt spid="_x0000_s79897"/>
                </a:ext>
                <a:ext uri="{FF2B5EF4-FFF2-40B4-BE49-F238E27FC236}">
                  <a16:creationId xmlns:a16="http://schemas.microsoft.com/office/drawing/2014/main" xmlns="" id="{00000000-0008-0000-1300-00001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79898" name="Check Box 26" descr="New/Initial" hidden="1">
              <a:extLst>
                <a:ext uri="{63B3BB69-23CF-44E3-9099-C40C66FF867C}">
                  <a14:compatExt spid="_x0000_s79898"/>
                </a:ext>
                <a:ext uri="{FF2B5EF4-FFF2-40B4-BE49-F238E27FC236}">
                  <a16:creationId xmlns:a16="http://schemas.microsoft.com/office/drawing/2014/main" xmlns="" id="{00000000-0008-0000-1300-00001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79899" name="Check Box 27" descr="Revision to Existing Model" hidden="1">
              <a:extLst>
                <a:ext uri="{63B3BB69-23CF-44E3-9099-C40C66FF867C}">
                  <a14:compatExt spid="_x0000_s79899"/>
                </a:ext>
                <a:ext uri="{FF2B5EF4-FFF2-40B4-BE49-F238E27FC236}">
                  <a16:creationId xmlns:a16="http://schemas.microsoft.com/office/drawing/2014/main" xmlns="" id="{00000000-0008-0000-1300-00001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79900" name="Check Box 28" descr="Refresh of Data to Existing Model" hidden="1">
              <a:extLst>
                <a:ext uri="{63B3BB69-23CF-44E3-9099-C40C66FF867C}">
                  <a14:compatExt spid="_x0000_s79900"/>
                </a:ext>
                <a:ext uri="{FF2B5EF4-FFF2-40B4-BE49-F238E27FC236}">
                  <a16:creationId xmlns:a16="http://schemas.microsoft.com/office/drawing/2014/main" xmlns="" id="{00000000-0008-0000-1300-00001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79901" name="Check Box 29" descr="Company Developed (&quot;In-House&quot;)" hidden="1">
              <a:extLst>
                <a:ext uri="{63B3BB69-23CF-44E3-9099-C40C66FF867C}">
                  <a14:compatExt spid="_x0000_s79901"/>
                </a:ext>
                <a:ext uri="{FF2B5EF4-FFF2-40B4-BE49-F238E27FC236}">
                  <a16:creationId xmlns:a16="http://schemas.microsoft.com/office/drawing/2014/main" xmlns="" id="{00000000-0008-0000-1300-00001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79902" name="Check Box 30" descr="Outside Firm" hidden="1">
              <a:extLst>
                <a:ext uri="{63B3BB69-23CF-44E3-9099-C40C66FF867C}">
                  <a14:compatExt spid="_x0000_s79902"/>
                </a:ext>
                <a:ext uri="{FF2B5EF4-FFF2-40B4-BE49-F238E27FC236}">
                  <a16:creationId xmlns:a16="http://schemas.microsoft.com/office/drawing/2014/main" xmlns="" id="{00000000-0008-0000-1300-00001E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79903" name="Check Box 31" descr="No Revision to Existing Model" hidden="1">
              <a:extLst>
                <a:ext uri="{63B3BB69-23CF-44E3-9099-C40C66FF867C}">
                  <a14:compatExt spid="_x0000_s79903"/>
                </a:ext>
                <a:ext uri="{FF2B5EF4-FFF2-40B4-BE49-F238E27FC236}">
                  <a16:creationId xmlns:a16="http://schemas.microsoft.com/office/drawing/2014/main" xmlns="" id="{00000000-0008-0000-1300-00001F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79904" name="Check Box 32" hidden="1">
              <a:extLst>
                <a:ext uri="{63B3BB69-23CF-44E3-9099-C40C66FF867C}">
                  <a14:compatExt spid="_x0000_s79904"/>
                </a:ext>
                <a:ext uri="{FF2B5EF4-FFF2-40B4-BE49-F238E27FC236}">
                  <a16:creationId xmlns:a16="http://schemas.microsoft.com/office/drawing/2014/main" xmlns="" id="{00000000-0008-0000-1300-000020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0897" name="Check Box Cat" descr="Catastrophe Model" hidden="1">
              <a:extLst>
                <a:ext uri="{63B3BB69-23CF-44E3-9099-C40C66FF867C}">
                  <a14:compatExt spid="_x0000_s80897"/>
                </a:ext>
                <a:ext uri="{FF2B5EF4-FFF2-40B4-BE49-F238E27FC236}">
                  <a16:creationId xmlns:a16="http://schemas.microsoft.com/office/drawing/2014/main" xmlns="" id="{00000000-0008-0000-1400-00000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0898" name="Check Box NonCat" descr="Non-Catastrophe Model" hidden="1">
              <a:extLst>
                <a:ext uri="{63B3BB69-23CF-44E3-9099-C40C66FF867C}">
                  <a14:compatExt spid="_x0000_s80898"/>
                </a:ext>
                <a:ext uri="{FF2B5EF4-FFF2-40B4-BE49-F238E27FC236}">
                  <a16:creationId xmlns:a16="http://schemas.microsoft.com/office/drawing/2014/main" xmlns="" id="{00000000-0008-0000-1400-00000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0899" name="Check Box OverallRateLvl" descr="Overall Rate Level" hidden="1">
              <a:extLst>
                <a:ext uri="{63B3BB69-23CF-44E3-9099-C40C66FF867C}">
                  <a14:compatExt spid="_x0000_s80899"/>
                </a:ext>
                <a:ext uri="{FF2B5EF4-FFF2-40B4-BE49-F238E27FC236}">
                  <a16:creationId xmlns:a16="http://schemas.microsoft.com/office/drawing/2014/main" xmlns="" id="{00000000-0008-0000-1400-00000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0900" name="Check Box 4" descr="Other Model Usage" hidden="1">
              <a:extLst>
                <a:ext uri="{63B3BB69-23CF-44E3-9099-C40C66FF867C}">
                  <a14:compatExt spid="_x0000_s80900"/>
                </a:ext>
                <a:ext uri="{FF2B5EF4-FFF2-40B4-BE49-F238E27FC236}">
                  <a16:creationId xmlns:a16="http://schemas.microsoft.com/office/drawing/2014/main" xmlns="" id="{00000000-0008-0000-1400-00000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0901" name="Check Box 5" hidden="1">
              <a:extLst>
                <a:ext uri="{63B3BB69-23CF-44E3-9099-C40C66FF867C}">
                  <a14:compatExt spid="_x0000_s80901"/>
                </a:ext>
                <a:ext uri="{FF2B5EF4-FFF2-40B4-BE49-F238E27FC236}">
                  <a16:creationId xmlns:a16="http://schemas.microsoft.com/office/drawing/2014/main" xmlns="" id="{00000000-0008-0000-1400-00000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0902" name="Check Box 6" hidden="1">
              <a:extLst>
                <a:ext uri="{63B3BB69-23CF-44E3-9099-C40C66FF867C}">
                  <a14:compatExt spid="_x0000_s80902"/>
                </a:ext>
                <a:ext uri="{FF2B5EF4-FFF2-40B4-BE49-F238E27FC236}">
                  <a16:creationId xmlns:a16="http://schemas.microsoft.com/office/drawing/2014/main" xmlns="" id="{00000000-0008-0000-1400-00000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0903" name="Check Box 7" hidden="1">
              <a:extLst>
                <a:ext uri="{63B3BB69-23CF-44E3-9099-C40C66FF867C}">
                  <a14:compatExt spid="_x0000_s80903"/>
                </a:ext>
                <a:ext uri="{FF2B5EF4-FFF2-40B4-BE49-F238E27FC236}">
                  <a16:creationId xmlns:a16="http://schemas.microsoft.com/office/drawing/2014/main" xmlns="" id="{00000000-0008-0000-1400-00000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0904" name="Check Box 8" hidden="1">
              <a:extLst>
                <a:ext uri="{63B3BB69-23CF-44E3-9099-C40C66FF867C}">
                  <a14:compatExt spid="_x0000_s80904"/>
                </a:ext>
                <a:ext uri="{FF2B5EF4-FFF2-40B4-BE49-F238E27FC236}">
                  <a16:creationId xmlns:a16="http://schemas.microsoft.com/office/drawing/2014/main" xmlns="" id="{00000000-0008-0000-1400-00000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0905" name="Check Box 9" hidden="1">
              <a:extLst>
                <a:ext uri="{63B3BB69-23CF-44E3-9099-C40C66FF867C}">
                  <a14:compatExt spid="_x0000_s80905"/>
                </a:ext>
                <a:ext uri="{FF2B5EF4-FFF2-40B4-BE49-F238E27FC236}">
                  <a16:creationId xmlns:a16="http://schemas.microsoft.com/office/drawing/2014/main" xmlns="" id="{00000000-0008-0000-1400-00000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0906" name="Check Box 10" hidden="1">
              <a:extLst>
                <a:ext uri="{63B3BB69-23CF-44E3-9099-C40C66FF867C}">
                  <a14:compatExt spid="_x0000_s80906"/>
                </a:ext>
                <a:ext uri="{FF2B5EF4-FFF2-40B4-BE49-F238E27FC236}">
                  <a16:creationId xmlns:a16="http://schemas.microsoft.com/office/drawing/2014/main" xmlns="" id="{00000000-0008-0000-1400-00000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0907" name="Check Box 11" descr="Underwriting Eligibility" hidden="1">
              <a:extLst>
                <a:ext uri="{63B3BB69-23CF-44E3-9099-C40C66FF867C}">
                  <a14:compatExt spid="_x0000_s80907"/>
                </a:ext>
                <a:ext uri="{FF2B5EF4-FFF2-40B4-BE49-F238E27FC236}">
                  <a16:creationId xmlns:a16="http://schemas.microsoft.com/office/drawing/2014/main" xmlns="" id="{00000000-0008-0000-1400-00000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0908" name="Check Box RateSeg" descr="Rate Segmentation" hidden="1">
              <a:extLst>
                <a:ext uri="{63B3BB69-23CF-44E3-9099-C40C66FF867C}">
                  <a14:compatExt spid="_x0000_s80908"/>
                </a:ext>
                <a:ext uri="{FF2B5EF4-FFF2-40B4-BE49-F238E27FC236}">
                  <a16:creationId xmlns:a16="http://schemas.microsoft.com/office/drawing/2014/main" xmlns="" id="{00000000-0008-0000-1400-00000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0909" name="Check Box 13" hidden="1">
              <a:extLst>
                <a:ext uri="{63B3BB69-23CF-44E3-9099-C40C66FF867C}">
                  <a14:compatExt spid="_x0000_s80909"/>
                </a:ext>
                <a:ext uri="{FF2B5EF4-FFF2-40B4-BE49-F238E27FC236}">
                  <a16:creationId xmlns:a16="http://schemas.microsoft.com/office/drawing/2014/main" xmlns="" id="{00000000-0008-0000-1400-00000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0910" name="Check Box 14" hidden="1">
              <a:extLst>
                <a:ext uri="{63B3BB69-23CF-44E3-9099-C40C66FF867C}">
                  <a14:compatExt spid="_x0000_s80910"/>
                </a:ext>
                <a:ext uri="{FF2B5EF4-FFF2-40B4-BE49-F238E27FC236}">
                  <a16:creationId xmlns:a16="http://schemas.microsoft.com/office/drawing/2014/main" xmlns="" id="{00000000-0008-0000-1400-00000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xmlns="" id="{00000000-0008-0000-1400-00000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xmlns="" id="{00000000-0008-0000-1400-00001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xmlns="" id="{00000000-0008-0000-1400-000011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0914" name="Check Box 18" descr="Cluster Analysis" hidden="1">
              <a:extLst>
                <a:ext uri="{63B3BB69-23CF-44E3-9099-C40C66FF867C}">
                  <a14:compatExt spid="_x0000_s80914"/>
                </a:ext>
                <a:ext uri="{FF2B5EF4-FFF2-40B4-BE49-F238E27FC236}">
                  <a16:creationId xmlns:a16="http://schemas.microsoft.com/office/drawing/2014/main" xmlns="" id="{00000000-0008-0000-1400-000012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0915" name="Check Box 19" descr="Logistic Regression" hidden="1">
              <a:extLst>
                <a:ext uri="{63B3BB69-23CF-44E3-9099-C40C66FF867C}">
                  <a14:compatExt spid="_x0000_s80915"/>
                </a:ext>
                <a:ext uri="{FF2B5EF4-FFF2-40B4-BE49-F238E27FC236}">
                  <a16:creationId xmlns:a16="http://schemas.microsoft.com/office/drawing/2014/main" xmlns="" id="{00000000-0008-0000-1400-000013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0916" name="Check Box 20" descr="Neural Network" hidden="1">
              <a:extLst>
                <a:ext uri="{63B3BB69-23CF-44E3-9099-C40C66FF867C}">
                  <a14:compatExt spid="_x0000_s80916"/>
                </a:ext>
                <a:ext uri="{FF2B5EF4-FFF2-40B4-BE49-F238E27FC236}">
                  <a16:creationId xmlns:a16="http://schemas.microsoft.com/office/drawing/2014/main" xmlns="" id="{00000000-0008-0000-1400-000014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0917" name="Check Box 21" descr="Decision Trees" hidden="1">
              <a:extLst>
                <a:ext uri="{63B3BB69-23CF-44E3-9099-C40C66FF867C}">
                  <a14:compatExt spid="_x0000_s80917"/>
                </a:ext>
                <a:ext uri="{FF2B5EF4-FFF2-40B4-BE49-F238E27FC236}">
                  <a16:creationId xmlns:a16="http://schemas.microsoft.com/office/drawing/2014/main" xmlns="" id="{00000000-0008-0000-1400-000015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0918" name="Check Box 22" descr="Machine Learning" hidden="1">
              <a:extLst>
                <a:ext uri="{63B3BB69-23CF-44E3-9099-C40C66FF867C}">
                  <a14:compatExt spid="_x0000_s80918"/>
                </a:ext>
                <a:ext uri="{FF2B5EF4-FFF2-40B4-BE49-F238E27FC236}">
                  <a16:creationId xmlns:a16="http://schemas.microsoft.com/office/drawing/2014/main" xmlns="" id="{00000000-0008-0000-1400-000016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xmlns="" id="{00000000-0008-0000-1400-000017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0920" name="Check Box 24" descr="Generalized Linear Model" hidden="1">
              <a:extLst>
                <a:ext uri="{63B3BB69-23CF-44E3-9099-C40C66FF867C}">
                  <a14:compatExt spid="_x0000_s80920"/>
                </a:ext>
                <a:ext uri="{FF2B5EF4-FFF2-40B4-BE49-F238E27FC236}">
                  <a16:creationId xmlns:a16="http://schemas.microsoft.com/office/drawing/2014/main" xmlns="" id="{00000000-0008-0000-1400-000018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0921" name="Check Box 27" descr="Multivariate Adaptive Regression Splines" hidden="1">
              <a:extLst>
                <a:ext uri="{63B3BB69-23CF-44E3-9099-C40C66FF867C}">
                  <a14:compatExt spid="_x0000_s80921"/>
                </a:ext>
                <a:ext uri="{FF2B5EF4-FFF2-40B4-BE49-F238E27FC236}">
                  <a16:creationId xmlns:a16="http://schemas.microsoft.com/office/drawing/2014/main" xmlns="" id="{00000000-0008-0000-1400-000019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0922" name="Check Box 26" descr="New/Initial" hidden="1">
              <a:extLst>
                <a:ext uri="{63B3BB69-23CF-44E3-9099-C40C66FF867C}">
                  <a14:compatExt spid="_x0000_s80922"/>
                </a:ext>
                <a:ext uri="{FF2B5EF4-FFF2-40B4-BE49-F238E27FC236}">
                  <a16:creationId xmlns:a16="http://schemas.microsoft.com/office/drawing/2014/main" xmlns="" id="{00000000-0008-0000-1400-00001A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0923" name="Check Box 27" descr="Revision to Existing Model" hidden="1">
              <a:extLst>
                <a:ext uri="{63B3BB69-23CF-44E3-9099-C40C66FF867C}">
                  <a14:compatExt spid="_x0000_s80923"/>
                </a:ext>
                <a:ext uri="{FF2B5EF4-FFF2-40B4-BE49-F238E27FC236}">
                  <a16:creationId xmlns:a16="http://schemas.microsoft.com/office/drawing/2014/main" xmlns="" id="{00000000-0008-0000-1400-00001B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0924" name="Check Box 28" descr="Refresh of Data to Existing Model" hidden="1">
              <a:extLst>
                <a:ext uri="{63B3BB69-23CF-44E3-9099-C40C66FF867C}">
                  <a14:compatExt spid="_x0000_s80924"/>
                </a:ext>
                <a:ext uri="{FF2B5EF4-FFF2-40B4-BE49-F238E27FC236}">
                  <a16:creationId xmlns:a16="http://schemas.microsoft.com/office/drawing/2014/main" xmlns="" id="{00000000-0008-0000-1400-00001C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0925" name="Check Box 29" descr="Company Developed (&quot;In-House&quot;)" hidden="1">
              <a:extLst>
                <a:ext uri="{63B3BB69-23CF-44E3-9099-C40C66FF867C}">
                  <a14:compatExt spid="_x0000_s80925"/>
                </a:ext>
                <a:ext uri="{FF2B5EF4-FFF2-40B4-BE49-F238E27FC236}">
                  <a16:creationId xmlns:a16="http://schemas.microsoft.com/office/drawing/2014/main" xmlns="" id="{00000000-0008-0000-1400-00001D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0926" name="Check Box 30" descr="Outside Firm" hidden="1">
              <a:extLst>
                <a:ext uri="{63B3BB69-23CF-44E3-9099-C40C66FF867C}">
                  <a14:compatExt spid="_x0000_s80926"/>
                </a:ext>
                <a:ext uri="{FF2B5EF4-FFF2-40B4-BE49-F238E27FC236}">
                  <a16:creationId xmlns:a16="http://schemas.microsoft.com/office/drawing/2014/main" xmlns="" id="{00000000-0008-0000-1400-00001E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0927" name="Check Box 31" descr="No Revision to Existing Model" hidden="1">
              <a:extLst>
                <a:ext uri="{63B3BB69-23CF-44E3-9099-C40C66FF867C}">
                  <a14:compatExt spid="_x0000_s80927"/>
                </a:ext>
                <a:ext uri="{FF2B5EF4-FFF2-40B4-BE49-F238E27FC236}">
                  <a16:creationId xmlns:a16="http://schemas.microsoft.com/office/drawing/2014/main" xmlns="" id="{00000000-0008-0000-1400-00001F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xmlns="" id="{00000000-0008-0000-1400-0000203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1921" name="Check Box Cat" descr="Catastrophe Model" hidden="1">
              <a:extLst>
                <a:ext uri="{63B3BB69-23CF-44E3-9099-C40C66FF867C}">
                  <a14:compatExt spid="_x0000_s81921"/>
                </a:ext>
                <a:ext uri="{FF2B5EF4-FFF2-40B4-BE49-F238E27FC236}">
                  <a16:creationId xmlns:a16="http://schemas.microsoft.com/office/drawing/2014/main" xmlns="" id="{00000000-0008-0000-1500-00000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1922" name="Check Box NonCat" descr="Non-Catastrophe Model" hidden="1">
              <a:extLst>
                <a:ext uri="{63B3BB69-23CF-44E3-9099-C40C66FF867C}">
                  <a14:compatExt spid="_x0000_s81922"/>
                </a:ext>
                <a:ext uri="{FF2B5EF4-FFF2-40B4-BE49-F238E27FC236}">
                  <a16:creationId xmlns:a16="http://schemas.microsoft.com/office/drawing/2014/main" xmlns="" id="{00000000-0008-0000-1500-00000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1923" name="Check Box OverallRateLvl" descr="Overall Rate Level" hidden="1">
              <a:extLst>
                <a:ext uri="{63B3BB69-23CF-44E3-9099-C40C66FF867C}">
                  <a14:compatExt spid="_x0000_s81923"/>
                </a:ext>
                <a:ext uri="{FF2B5EF4-FFF2-40B4-BE49-F238E27FC236}">
                  <a16:creationId xmlns:a16="http://schemas.microsoft.com/office/drawing/2014/main" xmlns="" id="{00000000-0008-0000-1500-00000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1924" name="Check Box 4" descr="Other Model Usage" hidden="1">
              <a:extLst>
                <a:ext uri="{63B3BB69-23CF-44E3-9099-C40C66FF867C}">
                  <a14:compatExt spid="_x0000_s81924"/>
                </a:ext>
                <a:ext uri="{FF2B5EF4-FFF2-40B4-BE49-F238E27FC236}">
                  <a16:creationId xmlns:a16="http://schemas.microsoft.com/office/drawing/2014/main" xmlns="" id="{00000000-0008-0000-1500-00000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1925" name="Check Box 5" hidden="1">
              <a:extLst>
                <a:ext uri="{63B3BB69-23CF-44E3-9099-C40C66FF867C}">
                  <a14:compatExt spid="_x0000_s81925"/>
                </a:ext>
                <a:ext uri="{FF2B5EF4-FFF2-40B4-BE49-F238E27FC236}">
                  <a16:creationId xmlns:a16="http://schemas.microsoft.com/office/drawing/2014/main" xmlns="" id="{00000000-0008-0000-1500-00000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1926" name="Check Box 6" hidden="1">
              <a:extLst>
                <a:ext uri="{63B3BB69-23CF-44E3-9099-C40C66FF867C}">
                  <a14:compatExt spid="_x0000_s81926"/>
                </a:ext>
                <a:ext uri="{FF2B5EF4-FFF2-40B4-BE49-F238E27FC236}">
                  <a16:creationId xmlns:a16="http://schemas.microsoft.com/office/drawing/2014/main" xmlns="" id="{00000000-0008-0000-1500-00000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1927" name="Check Box 7" hidden="1">
              <a:extLst>
                <a:ext uri="{63B3BB69-23CF-44E3-9099-C40C66FF867C}">
                  <a14:compatExt spid="_x0000_s81927"/>
                </a:ext>
                <a:ext uri="{FF2B5EF4-FFF2-40B4-BE49-F238E27FC236}">
                  <a16:creationId xmlns:a16="http://schemas.microsoft.com/office/drawing/2014/main" xmlns="" id="{00000000-0008-0000-1500-00000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1928" name="Check Box 8" hidden="1">
              <a:extLst>
                <a:ext uri="{63B3BB69-23CF-44E3-9099-C40C66FF867C}">
                  <a14:compatExt spid="_x0000_s81928"/>
                </a:ext>
                <a:ext uri="{FF2B5EF4-FFF2-40B4-BE49-F238E27FC236}">
                  <a16:creationId xmlns:a16="http://schemas.microsoft.com/office/drawing/2014/main" xmlns="" id="{00000000-0008-0000-1500-00000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1929" name="Check Box 9" hidden="1">
              <a:extLst>
                <a:ext uri="{63B3BB69-23CF-44E3-9099-C40C66FF867C}">
                  <a14:compatExt spid="_x0000_s81929"/>
                </a:ext>
                <a:ext uri="{FF2B5EF4-FFF2-40B4-BE49-F238E27FC236}">
                  <a16:creationId xmlns:a16="http://schemas.microsoft.com/office/drawing/2014/main" xmlns="" id="{00000000-0008-0000-1500-00000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1930" name="Check Box 10" hidden="1">
              <a:extLst>
                <a:ext uri="{63B3BB69-23CF-44E3-9099-C40C66FF867C}">
                  <a14:compatExt spid="_x0000_s81930"/>
                </a:ext>
                <a:ext uri="{FF2B5EF4-FFF2-40B4-BE49-F238E27FC236}">
                  <a16:creationId xmlns:a16="http://schemas.microsoft.com/office/drawing/2014/main" xmlns="" id="{00000000-0008-0000-1500-00000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1931" name="Check Box 11" descr="Underwriting Eligibility" hidden="1">
              <a:extLst>
                <a:ext uri="{63B3BB69-23CF-44E3-9099-C40C66FF867C}">
                  <a14:compatExt spid="_x0000_s81931"/>
                </a:ext>
                <a:ext uri="{FF2B5EF4-FFF2-40B4-BE49-F238E27FC236}">
                  <a16:creationId xmlns:a16="http://schemas.microsoft.com/office/drawing/2014/main" xmlns="" id="{00000000-0008-0000-1500-00000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1932" name="Check Box RateSeg" descr="Rate Segmentation" hidden="1">
              <a:extLst>
                <a:ext uri="{63B3BB69-23CF-44E3-9099-C40C66FF867C}">
                  <a14:compatExt spid="_x0000_s81932"/>
                </a:ext>
                <a:ext uri="{FF2B5EF4-FFF2-40B4-BE49-F238E27FC236}">
                  <a16:creationId xmlns:a16="http://schemas.microsoft.com/office/drawing/2014/main" xmlns="" id="{00000000-0008-0000-1500-00000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1933" name="Check Box 13" hidden="1">
              <a:extLst>
                <a:ext uri="{63B3BB69-23CF-44E3-9099-C40C66FF867C}">
                  <a14:compatExt spid="_x0000_s81933"/>
                </a:ext>
                <a:ext uri="{FF2B5EF4-FFF2-40B4-BE49-F238E27FC236}">
                  <a16:creationId xmlns:a16="http://schemas.microsoft.com/office/drawing/2014/main" xmlns="" id="{00000000-0008-0000-1500-00000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1934" name="Check Box 14" hidden="1">
              <a:extLst>
                <a:ext uri="{63B3BB69-23CF-44E3-9099-C40C66FF867C}">
                  <a14:compatExt spid="_x0000_s81934"/>
                </a:ext>
                <a:ext uri="{FF2B5EF4-FFF2-40B4-BE49-F238E27FC236}">
                  <a16:creationId xmlns:a16="http://schemas.microsoft.com/office/drawing/2014/main" xmlns="" id="{00000000-0008-0000-1500-00000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1935" name="Check Box 15" hidden="1">
              <a:extLst>
                <a:ext uri="{63B3BB69-23CF-44E3-9099-C40C66FF867C}">
                  <a14:compatExt spid="_x0000_s81935"/>
                </a:ext>
                <a:ext uri="{FF2B5EF4-FFF2-40B4-BE49-F238E27FC236}">
                  <a16:creationId xmlns:a16="http://schemas.microsoft.com/office/drawing/2014/main" xmlns="" id="{00000000-0008-0000-1500-00000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1936" name="Check Box 16" hidden="1">
              <a:extLst>
                <a:ext uri="{63B3BB69-23CF-44E3-9099-C40C66FF867C}">
                  <a14:compatExt spid="_x0000_s81936"/>
                </a:ext>
                <a:ext uri="{FF2B5EF4-FFF2-40B4-BE49-F238E27FC236}">
                  <a16:creationId xmlns:a16="http://schemas.microsoft.com/office/drawing/2014/main" xmlns="" id="{00000000-0008-0000-1500-00001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1937" name="Check Box 17" hidden="1">
              <a:extLst>
                <a:ext uri="{63B3BB69-23CF-44E3-9099-C40C66FF867C}">
                  <a14:compatExt spid="_x0000_s81937"/>
                </a:ext>
                <a:ext uri="{FF2B5EF4-FFF2-40B4-BE49-F238E27FC236}">
                  <a16:creationId xmlns:a16="http://schemas.microsoft.com/office/drawing/2014/main" xmlns="" id="{00000000-0008-0000-1500-000011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1938" name="Check Box 18" descr="Cluster Analysis" hidden="1">
              <a:extLst>
                <a:ext uri="{63B3BB69-23CF-44E3-9099-C40C66FF867C}">
                  <a14:compatExt spid="_x0000_s81938"/>
                </a:ext>
                <a:ext uri="{FF2B5EF4-FFF2-40B4-BE49-F238E27FC236}">
                  <a16:creationId xmlns:a16="http://schemas.microsoft.com/office/drawing/2014/main" xmlns="" id="{00000000-0008-0000-1500-000012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1939" name="Check Box 19" descr="Logistic Regression" hidden="1">
              <a:extLst>
                <a:ext uri="{63B3BB69-23CF-44E3-9099-C40C66FF867C}">
                  <a14:compatExt spid="_x0000_s81939"/>
                </a:ext>
                <a:ext uri="{FF2B5EF4-FFF2-40B4-BE49-F238E27FC236}">
                  <a16:creationId xmlns:a16="http://schemas.microsoft.com/office/drawing/2014/main" xmlns="" id="{00000000-0008-0000-1500-000013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1940" name="Check Box 20" descr="Neural Network" hidden="1">
              <a:extLst>
                <a:ext uri="{63B3BB69-23CF-44E3-9099-C40C66FF867C}">
                  <a14:compatExt spid="_x0000_s81940"/>
                </a:ext>
                <a:ext uri="{FF2B5EF4-FFF2-40B4-BE49-F238E27FC236}">
                  <a16:creationId xmlns:a16="http://schemas.microsoft.com/office/drawing/2014/main" xmlns="" id="{00000000-0008-0000-1500-000014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1941" name="Check Box 21" descr="Decision Trees" hidden="1">
              <a:extLst>
                <a:ext uri="{63B3BB69-23CF-44E3-9099-C40C66FF867C}">
                  <a14:compatExt spid="_x0000_s81941"/>
                </a:ext>
                <a:ext uri="{FF2B5EF4-FFF2-40B4-BE49-F238E27FC236}">
                  <a16:creationId xmlns:a16="http://schemas.microsoft.com/office/drawing/2014/main" xmlns="" id="{00000000-0008-0000-1500-000015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1942" name="Check Box 22" descr="Machine Learning" hidden="1">
              <a:extLst>
                <a:ext uri="{63B3BB69-23CF-44E3-9099-C40C66FF867C}">
                  <a14:compatExt spid="_x0000_s81942"/>
                </a:ext>
                <a:ext uri="{FF2B5EF4-FFF2-40B4-BE49-F238E27FC236}">
                  <a16:creationId xmlns:a16="http://schemas.microsoft.com/office/drawing/2014/main" xmlns="" id="{00000000-0008-0000-1500-000016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1943" name="Check Box 23" hidden="1">
              <a:extLst>
                <a:ext uri="{63B3BB69-23CF-44E3-9099-C40C66FF867C}">
                  <a14:compatExt spid="_x0000_s81943"/>
                </a:ext>
                <a:ext uri="{FF2B5EF4-FFF2-40B4-BE49-F238E27FC236}">
                  <a16:creationId xmlns:a16="http://schemas.microsoft.com/office/drawing/2014/main" xmlns="" id="{00000000-0008-0000-1500-000017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1944" name="Check Box 24" descr="Generalized Linear Model" hidden="1">
              <a:extLst>
                <a:ext uri="{63B3BB69-23CF-44E3-9099-C40C66FF867C}">
                  <a14:compatExt spid="_x0000_s81944"/>
                </a:ext>
                <a:ext uri="{FF2B5EF4-FFF2-40B4-BE49-F238E27FC236}">
                  <a16:creationId xmlns:a16="http://schemas.microsoft.com/office/drawing/2014/main" xmlns="" id="{00000000-0008-0000-1500-000018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1945" name="Check Box 27" descr="Multivariate Adaptive Regression Splines" hidden="1">
              <a:extLst>
                <a:ext uri="{63B3BB69-23CF-44E3-9099-C40C66FF867C}">
                  <a14:compatExt spid="_x0000_s81945"/>
                </a:ext>
                <a:ext uri="{FF2B5EF4-FFF2-40B4-BE49-F238E27FC236}">
                  <a16:creationId xmlns:a16="http://schemas.microsoft.com/office/drawing/2014/main" xmlns="" id="{00000000-0008-0000-1500-000019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1946" name="Check Box 26" descr="New/Initial" hidden="1">
              <a:extLst>
                <a:ext uri="{63B3BB69-23CF-44E3-9099-C40C66FF867C}">
                  <a14:compatExt spid="_x0000_s81946"/>
                </a:ext>
                <a:ext uri="{FF2B5EF4-FFF2-40B4-BE49-F238E27FC236}">
                  <a16:creationId xmlns:a16="http://schemas.microsoft.com/office/drawing/2014/main" xmlns="" id="{00000000-0008-0000-1500-00001A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1947" name="Check Box 27" descr="Revision to Existing Model" hidden="1">
              <a:extLst>
                <a:ext uri="{63B3BB69-23CF-44E3-9099-C40C66FF867C}">
                  <a14:compatExt spid="_x0000_s81947"/>
                </a:ext>
                <a:ext uri="{FF2B5EF4-FFF2-40B4-BE49-F238E27FC236}">
                  <a16:creationId xmlns:a16="http://schemas.microsoft.com/office/drawing/2014/main" xmlns="" id="{00000000-0008-0000-1500-00001B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1948" name="Check Box 28" descr="Refresh of Data to Existing Model" hidden="1">
              <a:extLst>
                <a:ext uri="{63B3BB69-23CF-44E3-9099-C40C66FF867C}">
                  <a14:compatExt spid="_x0000_s81948"/>
                </a:ext>
                <a:ext uri="{FF2B5EF4-FFF2-40B4-BE49-F238E27FC236}">
                  <a16:creationId xmlns:a16="http://schemas.microsoft.com/office/drawing/2014/main" xmlns="" id="{00000000-0008-0000-1500-00001C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1949" name="Check Box 29" descr="Company Developed (&quot;In-House&quot;)" hidden="1">
              <a:extLst>
                <a:ext uri="{63B3BB69-23CF-44E3-9099-C40C66FF867C}">
                  <a14:compatExt spid="_x0000_s81949"/>
                </a:ext>
                <a:ext uri="{FF2B5EF4-FFF2-40B4-BE49-F238E27FC236}">
                  <a16:creationId xmlns:a16="http://schemas.microsoft.com/office/drawing/2014/main" xmlns="" id="{00000000-0008-0000-1500-00001D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1950" name="Check Box 30" descr="Outside Firm" hidden="1">
              <a:extLst>
                <a:ext uri="{63B3BB69-23CF-44E3-9099-C40C66FF867C}">
                  <a14:compatExt spid="_x0000_s81950"/>
                </a:ext>
                <a:ext uri="{FF2B5EF4-FFF2-40B4-BE49-F238E27FC236}">
                  <a16:creationId xmlns:a16="http://schemas.microsoft.com/office/drawing/2014/main" xmlns="" id="{00000000-0008-0000-1500-00001E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1951" name="Check Box 31" descr="No Revision to Existing Model" hidden="1">
              <a:extLst>
                <a:ext uri="{63B3BB69-23CF-44E3-9099-C40C66FF867C}">
                  <a14:compatExt spid="_x0000_s81951"/>
                </a:ext>
                <a:ext uri="{FF2B5EF4-FFF2-40B4-BE49-F238E27FC236}">
                  <a16:creationId xmlns:a16="http://schemas.microsoft.com/office/drawing/2014/main" xmlns="" id="{00000000-0008-0000-1500-00001F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1952" name="Check Box 32" hidden="1">
              <a:extLst>
                <a:ext uri="{63B3BB69-23CF-44E3-9099-C40C66FF867C}">
                  <a14:compatExt spid="_x0000_s81952"/>
                </a:ext>
                <a:ext uri="{FF2B5EF4-FFF2-40B4-BE49-F238E27FC236}">
                  <a16:creationId xmlns:a16="http://schemas.microsoft.com/office/drawing/2014/main" xmlns="" id="{00000000-0008-0000-1500-0000204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2945" name="Check Box Cat" descr="Catastrophe Model" hidden="1">
              <a:extLst>
                <a:ext uri="{63B3BB69-23CF-44E3-9099-C40C66FF867C}">
                  <a14:compatExt spid="_x0000_s82945"/>
                </a:ext>
                <a:ext uri="{FF2B5EF4-FFF2-40B4-BE49-F238E27FC236}">
                  <a16:creationId xmlns:a16="http://schemas.microsoft.com/office/drawing/2014/main" xmlns="" id="{00000000-0008-0000-16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2946" name="Check Box NonCat" descr="Non-Catastrophe Model" hidden="1">
              <a:extLst>
                <a:ext uri="{63B3BB69-23CF-44E3-9099-C40C66FF867C}">
                  <a14:compatExt spid="_x0000_s82946"/>
                </a:ext>
                <a:ext uri="{FF2B5EF4-FFF2-40B4-BE49-F238E27FC236}">
                  <a16:creationId xmlns:a16="http://schemas.microsoft.com/office/drawing/2014/main" xmlns="" id="{00000000-0008-0000-16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2947" name="Check Box OverallRateLvl" descr="Overall Rate Level" hidden="1">
              <a:extLst>
                <a:ext uri="{63B3BB69-23CF-44E3-9099-C40C66FF867C}">
                  <a14:compatExt spid="_x0000_s82947"/>
                </a:ext>
                <a:ext uri="{FF2B5EF4-FFF2-40B4-BE49-F238E27FC236}">
                  <a16:creationId xmlns:a16="http://schemas.microsoft.com/office/drawing/2014/main" xmlns="" id="{00000000-0008-0000-16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2948" name="Check Box 4" descr="Other Model Usage" hidden="1">
              <a:extLst>
                <a:ext uri="{63B3BB69-23CF-44E3-9099-C40C66FF867C}">
                  <a14:compatExt spid="_x0000_s82948"/>
                </a:ext>
                <a:ext uri="{FF2B5EF4-FFF2-40B4-BE49-F238E27FC236}">
                  <a16:creationId xmlns:a16="http://schemas.microsoft.com/office/drawing/2014/main" xmlns="" id="{00000000-0008-0000-16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xmlns="" id="{00000000-0008-0000-16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xmlns="" id="{00000000-0008-0000-16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xmlns="" id="{00000000-0008-0000-16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xmlns="" id="{00000000-0008-0000-16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xmlns="" id="{00000000-0008-0000-16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xmlns="" id="{00000000-0008-0000-16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2955" name="Check Box 11" descr="Underwriting Eligibility" hidden="1">
              <a:extLst>
                <a:ext uri="{63B3BB69-23CF-44E3-9099-C40C66FF867C}">
                  <a14:compatExt spid="_x0000_s82955"/>
                </a:ext>
                <a:ext uri="{FF2B5EF4-FFF2-40B4-BE49-F238E27FC236}">
                  <a16:creationId xmlns:a16="http://schemas.microsoft.com/office/drawing/2014/main" xmlns="" id="{00000000-0008-0000-16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2956" name="Check Box RateSeg" descr="Rate Segmentation" hidden="1">
              <a:extLst>
                <a:ext uri="{63B3BB69-23CF-44E3-9099-C40C66FF867C}">
                  <a14:compatExt spid="_x0000_s82956"/>
                </a:ext>
                <a:ext uri="{FF2B5EF4-FFF2-40B4-BE49-F238E27FC236}">
                  <a16:creationId xmlns:a16="http://schemas.microsoft.com/office/drawing/2014/main" xmlns="" id="{00000000-0008-0000-1600-00000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2957" name="Check Box 13" hidden="1">
              <a:extLst>
                <a:ext uri="{63B3BB69-23CF-44E3-9099-C40C66FF867C}">
                  <a14:compatExt spid="_x0000_s82957"/>
                </a:ext>
                <a:ext uri="{FF2B5EF4-FFF2-40B4-BE49-F238E27FC236}">
                  <a16:creationId xmlns:a16="http://schemas.microsoft.com/office/drawing/2014/main" xmlns="" id="{00000000-0008-0000-1600-00000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2958" name="Check Box 14" hidden="1">
              <a:extLst>
                <a:ext uri="{63B3BB69-23CF-44E3-9099-C40C66FF867C}">
                  <a14:compatExt spid="_x0000_s82958"/>
                </a:ext>
                <a:ext uri="{FF2B5EF4-FFF2-40B4-BE49-F238E27FC236}">
                  <a16:creationId xmlns:a16="http://schemas.microsoft.com/office/drawing/2014/main" xmlns="" id="{00000000-0008-0000-1600-00000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2959" name="Check Box 15" hidden="1">
              <a:extLst>
                <a:ext uri="{63B3BB69-23CF-44E3-9099-C40C66FF867C}">
                  <a14:compatExt spid="_x0000_s82959"/>
                </a:ext>
                <a:ext uri="{FF2B5EF4-FFF2-40B4-BE49-F238E27FC236}">
                  <a16:creationId xmlns:a16="http://schemas.microsoft.com/office/drawing/2014/main" xmlns="" id="{00000000-0008-0000-1600-00000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2960" name="Check Box 16" hidden="1">
              <a:extLst>
                <a:ext uri="{63B3BB69-23CF-44E3-9099-C40C66FF867C}">
                  <a14:compatExt spid="_x0000_s82960"/>
                </a:ext>
                <a:ext uri="{FF2B5EF4-FFF2-40B4-BE49-F238E27FC236}">
                  <a16:creationId xmlns:a16="http://schemas.microsoft.com/office/drawing/2014/main" xmlns="" id="{00000000-0008-0000-1600-00001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2961" name="Check Box 17" hidden="1">
              <a:extLst>
                <a:ext uri="{63B3BB69-23CF-44E3-9099-C40C66FF867C}">
                  <a14:compatExt spid="_x0000_s82961"/>
                </a:ext>
                <a:ext uri="{FF2B5EF4-FFF2-40B4-BE49-F238E27FC236}">
                  <a16:creationId xmlns:a16="http://schemas.microsoft.com/office/drawing/2014/main" xmlns="" id="{00000000-0008-0000-1600-00001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2962" name="Check Box 18" descr="Cluster Analysis" hidden="1">
              <a:extLst>
                <a:ext uri="{63B3BB69-23CF-44E3-9099-C40C66FF867C}">
                  <a14:compatExt spid="_x0000_s82962"/>
                </a:ext>
                <a:ext uri="{FF2B5EF4-FFF2-40B4-BE49-F238E27FC236}">
                  <a16:creationId xmlns:a16="http://schemas.microsoft.com/office/drawing/2014/main" xmlns="" id="{00000000-0008-0000-1600-00001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2963" name="Check Box 19" descr="Logistic Regression" hidden="1">
              <a:extLst>
                <a:ext uri="{63B3BB69-23CF-44E3-9099-C40C66FF867C}">
                  <a14:compatExt spid="_x0000_s82963"/>
                </a:ext>
                <a:ext uri="{FF2B5EF4-FFF2-40B4-BE49-F238E27FC236}">
                  <a16:creationId xmlns:a16="http://schemas.microsoft.com/office/drawing/2014/main" xmlns="" id="{00000000-0008-0000-1600-00001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2964" name="Check Box 20" descr="Neural Network" hidden="1">
              <a:extLst>
                <a:ext uri="{63B3BB69-23CF-44E3-9099-C40C66FF867C}">
                  <a14:compatExt spid="_x0000_s82964"/>
                </a:ext>
                <a:ext uri="{FF2B5EF4-FFF2-40B4-BE49-F238E27FC236}">
                  <a16:creationId xmlns:a16="http://schemas.microsoft.com/office/drawing/2014/main" xmlns="" id="{00000000-0008-0000-1600-00001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2965" name="Check Box 21" descr="Decision Trees" hidden="1">
              <a:extLst>
                <a:ext uri="{63B3BB69-23CF-44E3-9099-C40C66FF867C}">
                  <a14:compatExt spid="_x0000_s82965"/>
                </a:ext>
                <a:ext uri="{FF2B5EF4-FFF2-40B4-BE49-F238E27FC236}">
                  <a16:creationId xmlns:a16="http://schemas.microsoft.com/office/drawing/2014/main" xmlns="" id="{00000000-0008-0000-1600-00001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2966" name="Check Box 22" descr="Machine Learning" hidden="1">
              <a:extLst>
                <a:ext uri="{63B3BB69-23CF-44E3-9099-C40C66FF867C}">
                  <a14:compatExt spid="_x0000_s82966"/>
                </a:ext>
                <a:ext uri="{FF2B5EF4-FFF2-40B4-BE49-F238E27FC236}">
                  <a16:creationId xmlns:a16="http://schemas.microsoft.com/office/drawing/2014/main" xmlns="" id="{00000000-0008-0000-1600-00001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2967" name="Check Box 23" hidden="1">
              <a:extLst>
                <a:ext uri="{63B3BB69-23CF-44E3-9099-C40C66FF867C}">
                  <a14:compatExt spid="_x0000_s82967"/>
                </a:ext>
                <a:ext uri="{FF2B5EF4-FFF2-40B4-BE49-F238E27FC236}">
                  <a16:creationId xmlns:a16="http://schemas.microsoft.com/office/drawing/2014/main" xmlns="" id="{00000000-0008-0000-1600-00001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2968" name="Check Box 24" descr="Generalized Linear Model" hidden="1">
              <a:extLst>
                <a:ext uri="{63B3BB69-23CF-44E3-9099-C40C66FF867C}">
                  <a14:compatExt spid="_x0000_s82968"/>
                </a:ext>
                <a:ext uri="{FF2B5EF4-FFF2-40B4-BE49-F238E27FC236}">
                  <a16:creationId xmlns:a16="http://schemas.microsoft.com/office/drawing/2014/main" xmlns="" id="{00000000-0008-0000-1600-00001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2969" name="Check Box 27" descr="Multivariate Adaptive Regression Splines" hidden="1">
              <a:extLst>
                <a:ext uri="{63B3BB69-23CF-44E3-9099-C40C66FF867C}">
                  <a14:compatExt spid="_x0000_s82969"/>
                </a:ext>
                <a:ext uri="{FF2B5EF4-FFF2-40B4-BE49-F238E27FC236}">
                  <a16:creationId xmlns:a16="http://schemas.microsoft.com/office/drawing/2014/main" xmlns="" id="{00000000-0008-0000-1600-00001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2970" name="Check Box 26" descr="New/Initial" hidden="1">
              <a:extLst>
                <a:ext uri="{63B3BB69-23CF-44E3-9099-C40C66FF867C}">
                  <a14:compatExt spid="_x0000_s82970"/>
                </a:ext>
                <a:ext uri="{FF2B5EF4-FFF2-40B4-BE49-F238E27FC236}">
                  <a16:creationId xmlns:a16="http://schemas.microsoft.com/office/drawing/2014/main" xmlns="" id="{00000000-0008-0000-1600-00001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2971" name="Check Box 27" descr="Revision to Existing Model" hidden="1">
              <a:extLst>
                <a:ext uri="{63B3BB69-23CF-44E3-9099-C40C66FF867C}">
                  <a14:compatExt spid="_x0000_s82971"/>
                </a:ext>
                <a:ext uri="{FF2B5EF4-FFF2-40B4-BE49-F238E27FC236}">
                  <a16:creationId xmlns:a16="http://schemas.microsoft.com/office/drawing/2014/main" xmlns="" id="{00000000-0008-0000-1600-00001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2972" name="Check Box 28" descr="Refresh of Data to Existing Model" hidden="1">
              <a:extLst>
                <a:ext uri="{63B3BB69-23CF-44E3-9099-C40C66FF867C}">
                  <a14:compatExt spid="_x0000_s82972"/>
                </a:ext>
                <a:ext uri="{FF2B5EF4-FFF2-40B4-BE49-F238E27FC236}">
                  <a16:creationId xmlns:a16="http://schemas.microsoft.com/office/drawing/2014/main" xmlns="" id="{00000000-0008-0000-1600-00001C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2973" name="Check Box 29" descr="Company Developed (&quot;In-House&quot;)" hidden="1">
              <a:extLst>
                <a:ext uri="{63B3BB69-23CF-44E3-9099-C40C66FF867C}">
                  <a14:compatExt spid="_x0000_s82973"/>
                </a:ext>
                <a:ext uri="{FF2B5EF4-FFF2-40B4-BE49-F238E27FC236}">
                  <a16:creationId xmlns:a16="http://schemas.microsoft.com/office/drawing/2014/main" xmlns="" id="{00000000-0008-0000-1600-00001D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2974" name="Check Box 30" descr="Outside Firm" hidden="1">
              <a:extLst>
                <a:ext uri="{63B3BB69-23CF-44E3-9099-C40C66FF867C}">
                  <a14:compatExt spid="_x0000_s82974"/>
                </a:ext>
                <a:ext uri="{FF2B5EF4-FFF2-40B4-BE49-F238E27FC236}">
                  <a16:creationId xmlns:a16="http://schemas.microsoft.com/office/drawing/2014/main" xmlns="" id="{00000000-0008-0000-1600-00001E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2975" name="Check Box 31" descr="No Revision to Existing Model" hidden="1">
              <a:extLst>
                <a:ext uri="{63B3BB69-23CF-44E3-9099-C40C66FF867C}">
                  <a14:compatExt spid="_x0000_s82975"/>
                </a:ext>
                <a:ext uri="{FF2B5EF4-FFF2-40B4-BE49-F238E27FC236}">
                  <a16:creationId xmlns:a16="http://schemas.microsoft.com/office/drawing/2014/main" xmlns="" id="{00000000-0008-0000-1600-00001F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2976" name="Check Box 32" hidden="1">
              <a:extLst>
                <a:ext uri="{63B3BB69-23CF-44E3-9099-C40C66FF867C}">
                  <a14:compatExt spid="_x0000_s82976"/>
                </a:ext>
                <a:ext uri="{FF2B5EF4-FFF2-40B4-BE49-F238E27FC236}">
                  <a16:creationId xmlns:a16="http://schemas.microsoft.com/office/drawing/2014/main" xmlns="" id="{00000000-0008-0000-1600-000020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83969" name="Check Box Cat" descr="Catastrophe Model" hidden="1">
              <a:extLst>
                <a:ext uri="{63B3BB69-23CF-44E3-9099-C40C66FF867C}">
                  <a14:compatExt spid="_x0000_s83969"/>
                </a:ext>
                <a:ext uri="{FF2B5EF4-FFF2-40B4-BE49-F238E27FC236}">
                  <a16:creationId xmlns:a16="http://schemas.microsoft.com/office/drawing/2014/main" xmlns="" id="{00000000-0008-0000-17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83970" name="Check Box NonCat" descr="Non-Catastrophe Model" hidden="1">
              <a:extLst>
                <a:ext uri="{63B3BB69-23CF-44E3-9099-C40C66FF867C}">
                  <a14:compatExt spid="_x0000_s83970"/>
                </a:ext>
                <a:ext uri="{FF2B5EF4-FFF2-40B4-BE49-F238E27FC236}">
                  <a16:creationId xmlns:a16="http://schemas.microsoft.com/office/drawing/2014/main" xmlns="" id="{00000000-0008-0000-17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83971" name="Check Box OverallRateLvl" descr="Overall Rate Level" hidden="1">
              <a:extLst>
                <a:ext uri="{63B3BB69-23CF-44E3-9099-C40C66FF867C}">
                  <a14:compatExt spid="_x0000_s83971"/>
                </a:ext>
                <a:ext uri="{FF2B5EF4-FFF2-40B4-BE49-F238E27FC236}">
                  <a16:creationId xmlns:a16="http://schemas.microsoft.com/office/drawing/2014/main" xmlns="" id="{00000000-0008-0000-17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83972" name="Check Box 4" descr="Other Model Usage" hidden="1">
              <a:extLst>
                <a:ext uri="{63B3BB69-23CF-44E3-9099-C40C66FF867C}">
                  <a14:compatExt spid="_x0000_s83972"/>
                </a:ext>
                <a:ext uri="{FF2B5EF4-FFF2-40B4-BE49-F238E27FC236}">
                  <a16:creationId xmlns:a16="http://schemas.microsoft.com/office/drawing/2014/main" xmlns="" id="{00000000-0008-0000-17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xmlns="" id="{00000000-0008-0000-17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xmlns="" id="{00000000-0008-0000-17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xmlns="" id="{00000000-0008-0000-17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xmlns="" id="{00000000-0008-0000-17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xmlns="" id="{00000000-0008-0000-17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xmlns="" id="{00000000-0008-0000-17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83979" name="Check Box 11" descr="Underwriting Eligibility" hidden="1">
              <a:extLst>
                <a:ext uri="{63B3BB69-23CF-44E3-9099-C40C66FF867C}">
                  <a14:compatExt spid="_x0000_s83979"/>
                </a:ext>
                <a:ext uri="{FF2B5EF4-FFF2-40B4-BE49-F238E27FC236}">
                  <a16:creationId xmlns:a16="http://schemas.microsoft.com/office/drawing/2014/main" xmlns="" id="{00000000-0008-0000-17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83980" name="Check Box RateSeg" descr="Rate Segmentation" hidden="1">
              <a:extLst>
                <a:ext uri="{63B3BB69-23CF-44E3-9099-C40C66FF867C}">
                  <a14:compatExt spid="_x0000_s83980"/>
                </a:ext>
                <a:ext uri="{FF2B5EF4-FFF2-40B4-BE49-F238E27FC236}">
                  <a16:creationId xmlns:a16="http://schemas.microsoft.com/office/drawing/2014/main" xmlns="" id="{00000000-0008-0000-17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xmlns="" id="{00000000-0008-0000-17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xmlns="" id="{00000000-0008-0000-17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xmlns="" id="{00000000-0008-0000-17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xmlns="" id="{00000000-0008-0000-17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xmlns="" id="{00000000-0008-0000-17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83986" name="Check Box 18" descr="Cluster Analysis" hidden="1">
              <a:extLst>
                <a:ext uri="{63B3BB69-23CF-44E3-9099-C40C66FF867C}">
                  <a14:compatExt spid="_x0000_s83986"/>
                </a:ext>
                <a:ext uri="{FF2B5EF4-FFF2-40B4-BE49-F238E27FC236}">
                  <a16:creationId xmlns:a16="http://schemas.microsoft.com/office/drawing/2014/main" xmlns="" id="{00000000-0008-0000-17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29</xdr:row>
          <xdr:rowOff>19050</xdr:rowOff>
        </xdr:from>
        <xdr:to>
          <xdr:col>0</xdr:col>
          <xdr:colOff>581025</xdr:colOff>
          <xdr:row>29</xdr:row>
          <xdr:rowOff>180975</xdr:rowOff>
        </xdr:to>
        <xdr:sp macro="" textlink="">
          <xdr:nvSpPr>
            <xdr:cNvPr id="83987" name="Check Box 19" descr="Logistic Regression" hidden="1">
              <a:extLst>
                <a:ext uri="{63B3BB69-23CF-44E3-9099-C40C66FF867C}">
                  <a14:compatExt spid="_x0000_s83987"/>
                </a:ext>
                <a:ext uri="{FF2B5EF4-FFF2-40B4-BE49-F238E27FC236}">
                  <a16:creationId xmlns:a16="http://schemas.microsoft.com/office/drawing/2014/main" xmlns="" id="{00000000-0008-0000-17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30</xdr:row>
          <xdr:rowOff>19050</xdr:rowOff>
        </xdr:from>
        <xdr:to>
          <xdr:col>0</xdr:col>
          <xdr:colOff>581025</xdr:colOff>
          <xdr:row>30</xdr:row>
          <xdr:rowOff>180975</xdr:rowOff>
        </xdr:to>
        <xdr:sp macro="" textlink="">
          <xdr:nvSpPr>
            <xdr:cNvPr id="83988" name="Check Box 20" descr="Neural Network" hidden="1">
              <a:extLst>
                <a:ext uri="{63B3BB69-23CF-44E3-9099-C40C66FF867C}">
                  <a14:compatExt spid="_x0000_s83988"/>
                </a:ext>
                <a:ext uri="{FF2B5EF4-FFF2-40B4-BE49-F238E27FC236}">
                  <a16:creationId xmlns:a16="http://schemas.microsoft.com/office/drawing/2014/main" xmlns="" id="{00000000-0008-0000-17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83989" name="Check Box 21" descr="Decision Trees" hidden="1">
              <a:extLst>
                <a:ext uri="{63B3BB69-23CF-44E3-9099-C40C66FF867C}">
                  <a14:compatExt spid="_x0000_s83989"/>
                </a:ext>
                <a:ext uri="{FF2B5EF4-FFF2-40B4-BE49-F238E27FC236}">
                  <a16:creationId xmlns:a16="http://schemas.microsoft.com/office/drawing/2014/main" xmlns="" id="{00000000-0008-0000-17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29</xdr:row>
          <xdr:rowOff>19050</xdr:rowOff>
        </xdr:from>
        <xdr:to>
          <xdr:col>5</xdr:col>
          <xdr:colOff>581025</xdr:colOff>
          <xdr:row>29</xdr:row>
          <xdr:rowOff>180975</xdr:rowOff>
        </xdr:to>
        <xdr:sp macro="" textlink="">
          <xdr:nvSpPr>
            <xdr:cNvPr id="83990" name="Check Box 22" descr="Machine Learning" hidden="1">
              <a:extLst>
                <a:ext uri="{63B3BB69-23CF-44E3-9099-C40C66FF867C}">
                  <a14:compatExt spid="_x0000_s83990"/>
                </a:ext>
                <a:ext uri="{FF2B5EF4-FFF2-40B4-BE49-F238E27FC236}">
                  <a16:creationId xmlns:a16="http://schemas.microsoft.com/office/drawing/2014/main" xmlns="" id="{00000000-0008-0000-17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30</xdr:row>
          <xdr:rowOff>19050</xdr:rowOff>
        </xdr:from>
        <xdr:to>
          <xdr:col>5</xdr:col>
          <xdr:colOff>581025</xdr:colOff>
          <xdr:row>30</xdr:row>
          <xdr:rowOff>180975</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xmlns="" id="{00000000-0008-0000-17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83992" name="Check Box 24" descr="Generalized Linear Model" hidden="1">
              <a:extLst>
                <a:ext uri="{63B3BB69-23CF-44E3-9099-C40C66FF867C}">
                  <a14:compatExt spid="_x0000_s83992"/>
                </a:ext>
                <a:ext uri="{FF2B5EF4-FFF2-40B4-BE49-F238E27FC236}">
                  <a16:creationId xmlns:a16="http://schemas.microsoft.com/office/drawing/2014/main" xmlns="" id="{00000000-0008-0000-17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29</xdr:row>
          <xdr:rowOff>19050</xdr:rowOff>
        </xdr:from>
        <xdr:to>
          <xdr:col>10</xdr:col>
          <xdr:colOff>581025</xdr:colOff>
          <xdr:row>29</xdr:row>
          <xdr:rowOff>180975</xdr:rowOff>
        </xdr:to>
        <xdr:sp macro="" textlink="">
          <xdr:nvSpPr>
            <xdr:cNvPr id="83993" name="Check Box 27" descr="Multivariate Adaptive Regression Splines" hidden="1">
              <a:extLst>
                <a:ext uri="{63B3BB69-23CF-44E3-9099-C40C66FF867C}">
                  <a14:compatExt spid="_x0000_s83993"/>
                </a:ext>
                <a:ext uri="{FF2B5EF4-FFF2-40B4-BE49-F238E27FC236}">
                  <a16:creationId xmlns:a16="http://schemas.microsoft.com/office/drawing/2014/main" xmlns="" id="{00000000-0008-0000-17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83994" name="Check Box 26" descr="New/Initial" hidden="1">
              <a:extLst>
                <a:ext uri="{63B3BB69-23CF-44E3-9099-C40C66FF867C}">
                  <a14:compatExt spid="_x0000_s83994"/>
                </a:ext>
                <a:ext uri="{FF2B5EF4-FFF2-40B4-BE49-F238E27FC236}">
                  <a16:creationId xmlns:a16="http://schemas.microsoft.com/office/drawing/2014/main" xmlns="" id="{00000000-0008-0000-17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83995" name="Check Box 27" descr="Revision to Existing Model" hidden="1">
              <a:extLst>
                <a:ext uri="{63B3BB69-23CF-44E3-9099-C40C66FF867C}">
                  <a14:compatExt spid="_x0000_s83995"/>
                </a:ext>
                <a:ext uri="{FF2B5EF4-FFF2-40B4-BE49-F238E27FC236}">
                  <a16:creationId xmlns:a16="http://schemas.microsoft.com/office/drawing/2014/main" xmlns="" id="{00000000-0008-0000-17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33</xdr:row>
          <xdr:rowOff>19050</xdr:rowOff>
        </xdr:from>
        <xdr:to>
          <xdr:col>10</xdr:col>
          <xdr:colOff>581025</xdr:colOff>
          <xdr:row>33</xdr:row>
          <xdr:rowOff>180975</xdr:rowOff>
        </xdr:to>
        <xdr:sp macro="" textlink="">
          <xdr:nvSpPr>
            <xdr:cNvPr id="83996" name="Check Box 28" descr="Refresh of Data to Existing Model" hidden="1">
              <a:extLst>
                <a:ext uri="{63B3BB69-23CF-44E3-9099-C40C66FF867C}">
                  <a14:compatExt spid="_x0000_s83996"/>
                </a:ext>
                <a:ext uri="{FF2B5EF4-FFF2-40B4-BE49-F238E27FC236}">
                  <a16:creationId xmlns:a16="http://schemas.microsoft.com/office/drawing/2014/main" xmlns="" id="{00000000-0008-0000-17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39</xdr:row>
          <xdr:rowOff>19050</xdr:rowOff>
        </xdr:from>
        <xdr:to>
          <xdr:col>0</xdr:col>
          <xdr:colOff>581025</xdr:colOff>
          <xdr:row>39</xdr:row>
          <xdr:rowOff>180975</xdr:rowOff>
        </xdr:to>
        <xdr:sp macro="" textlink="">
          <xdr:nvSpPr>
            <xdr:cNvPr id="83997" name="Check Box 29" descr="Company Developed (&quot;In-House&quot;)" hidden="1">
              <a:extLst>
                <a:ext uri="{63B3BB69-23CF-44E3-9099-C40C66FF867C}">
                  <a14:compatExt spid="_x0000_s83997"/>
                </a:ext>
                <a:ext uri="{FF2B5EF4-FFF2-40B4-BE49-F238E27FC236}">
                  <a16:creationId xmlns:a16="http://schemas.microsoft.com/office/drawing/2014/main" xmlns="" id="{00000000-0008-0000-17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39</xdr:row>
          <xdr:rowOff>19050</xdr:rowOff>
        </xdr:from>
        <xdr:to>
          <xdr:col>5</xdr:col>
          <xdr:colOff>581025</xdr:colOff>
          <xdr:row>39</xdr:row>
          <xdr:rowOff>180975</xdr:rowOff>
        </xdr:to>
        <xdr:sp macro="" textlink="">
          <xdr:nvSpPr>
            <xdr:cNvPr id="83998" name="Check Box 30" descr="Outside Firm" hidden="1">
              <a:extLst>
                <a:ext uri="{63B3BB69-23CF-44E3-9099-C40C66FF867C}">
                  <a14:compatExt spid="_x0000_s83998"/>
                </a:ext>
                <a:ext uri="{FF2B5EF4-FFF2-40B4-BE49-F238E27FC236}">
                  <a16:creationId xmlns:a16="http://schemas.microsoft.com/office/drawing/2014/main" xmlns="" id="{00000000-0008-0000-17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34</xdr:row>
          <xdr:rowOff>19050</xdr:rowOff>
        </xdr:from>
        <xdr:to>
          <xdr:col>0</xdr:col>
          <xdr:colOff>581025</xdr:colOff>
          <xdr:row>34</xdr:row>
          <xdr:rowOff>180975</xdr:rowOff>
        </xdr:to>
        <xdr:sp macro="" textlink="">
          <xdr:nvSpPr>
            <xdr:cNvPr id="83999" name="Check Box 31" descr="No Revision to Existing Model" hidden="1">
              <a:extLst>
                <a:ext uri="{63B3BB69-23CF-44E3-9099-C40C66FF867C}">
                  <a14:compatExt spid="_x0000_s83999"/>
                </a:ext>
                <a:ext uri="{FF2B5EF4-FFF2-40B4-BE49-F238E27FC236}">
                  <a16:creationId xmlns:a16="http://schemas.microsoft.com/office/drawing/2014/main" xmlns="" id="{00000000-0008-0000-17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xmlns="" id="{00000000-0008-0000-17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v>
          </cell>
          <cell r="D2" t="str">
            <v>LA1 /  HUH</v>
          </cell>
          <cell r="E2" t="str">
            <v>LA1 / OKPARA</v>
          </cell>
          <cell r="F2">
            <v>0</v>
          </cell>
          <cell r="G2">
            <v>0</v>
          </cell>
          <cell r="H2">
            <v>0</v>
          </cell>
        </row>
        <row r="3">
          <cell r="A3">
            <v>10807</v>
          </cell>
          <cell r="B3">
            <v>0</v>
          </cell>
          <cell r="C3" t="str">
            <v>ACCC INSURANCE COMPANY</v>
          </cell>
          <cell r="D3" t="str">
            <v>LA2 / BAUTISTA</v>
          </cell>
          <cell r="E3" t="str">
            <v>LA2 / BAUTISTA</v>
          </cell>
          <cell r="F3">
            <v>0</v>
          </cell>
          <cell r="G3">
            <v>0</v>
          </cell>
          <cell r="H3">
            <v>0</v>
          </cell>
        </row>
        <row r="4">
          <cell r="A4">
            <v>11711</v>
          </cell>
          <cell r="B4">
            <v>0</v>
          </cell>
          <cell r="C4" t="str">
            <v>ACCESS INSURANCE COMPANY</v>
          </cell>
          <cell r="D4" t="str">
            <v>SF2 / GOTERA-PITROU</v>
          </cell>
          <cell r="E4" t="str">
            <v>SF2 / GOTERA-PITROU</v>
          </cell>
          <cell r="F4" t="str">
            <v>SF2 / GOTERA-PITROU</v>
          </cell>
          <cell r="G4">
            <v>0</v>
          </cell>
          <cell r="H4">
            <v>0</v>
          </cell>
        </row>
        <row r="5">
          <cell r="A5">
            <v>22950</v>
          </cell>
          <cell r="B5">
            <v>0</v>
          </cell>
          <cell r="C5" t="str">
            <v>ACSTAR INSURANCE COMPANY</v>
          </cell>
          <cell r="D5" t="str">
            <v>SF1 / POON</v>
          </cell>
          <cell r="E5" t="str">
            <v>SF1 / POON</v>
          </cell>
          <cell r="F5">
            <v>0</v>
          </cell>
          <cell r="G5">
            <v>0</v>
          </cell>
          <cell r="H5">
            <v>0</v>
          </cell>
        </row>
        <row r="6">
          <cell r="A6">
            <v>40517</v>
          </cell>
          <cell r="B6">
            <v>0</v>
          </cell>
          <cell r="C6" t="str">
            <v>ADVANTAGE WORKERS COMPENSATION INSURANCE COMPANY</v>
          </cell>
          <cell r="D6" t="str">
            <v>LA3 / BUGGAGE</v>
          </cell>
          <cell r="E6" t="str">
            <v>LA3 / BUGGAGE</v>
          </cell>
          <cell r="F6">
            <v>0</v>
          </cell>
          <cell r="G6">
            <v>0</v>
          </cell>
          <cell r="H6">
            <v>0</v>
          </cell>
        </row>
        <row r="7">
          <cell r="A7">
            <v>99000</v>
          </cell>
          <cell r="B7">
            <v>0</v>
          </cell>
          <cell r="C7" t="str">
            <v>AFIA (JUA)</v>
          </cell>
          <cell r="D7" t="str">
            <v>SF1 / LI</v>
          </cell>
          <cell r="E7" t="str">
            <v>SF1 / LI</v>
          </cell>
          <cell r="F7">
            <v>0</v>
          </cell>
          <cell r="G7">
            <v>0</v>
          </cell>
          <cell r="H7">
            <v>0</v>
          </cell>
        </row>
        <row r="8">
          <cell r="A8">
            <v>99001</v>
          </cell>
          <cell r="B8">
            <v>0</v>
          </cell>
          <cell r="C8" t="str">
            <v>AIRCRAFT PRODUCTS INSURANCE ASSOCIATION (JUA)</v>
          </cell>
          <cell r="D8" t="str">
            <v>LA1 /  HUH</v>
          </cell>
          <cell r="E8" t="str">
            <v>LA1 / OKPARA</v>
          </cell>
          <cell r="F8">
            <v>0</v>
          </cell>
          <cell r="G8">
            <v>0</v>
          </cell>
          <cell r="H8">
            <v>0</v>
          </cell>
        </row>
        <row r="9">
          <cell r="A9">
            <v>38733</v>
          </cell>
          <cell r="B9">
            <v>0</v>
          </cell>
          <cell r="C9" t="str">
            <v>ALASKA NATIONAL INSURANCE COMPANY</v>
          </cell>
          <cell r="D9" t="str">
            <v>LA2 / LEE</v>
          </cell>
          <cell r="E9" t="str">
            <v>LA2 / LEE</v>
          </cell>
          <cell r="F9">
            <v>0</v>
          </cell>
          <cell r="G9">
            <v>0</v>
          </cell>
          <cell r="H9">
            <v>0</v>
          </cell>
        </row>
        <row r="10">
          <cell r="A10">
            <v>10221</v>
          </cell>
          <cell r="B10">
            <v>0</v>
          </cell>
          <cell r="C10" t="str">
            <v>ALISTAR INSURANCE COMPANY</v>
          </cell>
          <cell r="D10" t="str">
            <v>SF1 / CARLSON</v>
          </cell>
          <cell r="E10" t="str">
            <v>SF1 / CARLSON</v>
          </cell>
          <cell r="F10">
            <v>0</v>
          </cell>
          <cell r="G10">
            <v>0</v>
          </cell>
          <cell r="H10">
            <v>0</v>
          </cell>
        </row>
        <row r="11">
          <cell r="A11">
            <v>88001</v>
          </cell>
          <cell r="B11">
            <v>0</v>
          </cell>
          <cell r="C11" t="str">
            <v>ALLIANCE OF AMERICAN INSURERS (AO)</v>
          </cell>
          <cell r="D11" t="str">
            <v>LA3 / LIN</v>
          </cell>
          <cell r="E11" t="str">
            <v>LA3 / LIN</v>
          </cell>
          <cell r="F11">
            <v>0</v>
          </cell>
          <cell r="G11">
            <v>0</v>
          </cell>
          <cell r="H11">
            <v>0</v>
          </cell>
        </row>
        <row r="12">
          <cell r="A12">
            <v>88000</v>
          </cell>
          <cell r="B12">
            <v>0</v>
          </cell>
          <cell r="C12" t="str">
            <v>ALL-INDUSTRY RESEARCH ADVISORY COUNCIL (AO)</v>
          </cell>
          <cell r="D12" t="str">
            <v>LA3 / LIN</v>
          </cell>
          <cell r="E12" t="str">
            <v>LA3 / LIN</v>
          </cell>
          <cell r="F12">
            <v>0</v>
          </cell>
          <cell r="G12">
            <v>0</v>
          </cell>
          <cell r="H12">
            <v>0</v>
          </cell>
        </row>
        <row r="13">
          <cell r="A13">
            <v>30902</v>
          </cell>
          <cell r="B13">
            <v>0</v>
          </cell>
          <cell r="C13" t="str">
            <v>ALPINE INSURANCE COMPANY</v>
          </cell>
          <cell r="D13" t="str">
            <v>LA1 /  HUH</v>
          </cell>
          <cell r="E13" t="str">
            <v>LA1 / OKPARA</v>
          </cell>
          <cell r="F13">
            <v>0</v>
          </cell>
          <cell r="G13">
            <v>0</v>
          </cell>
          <cell r="H13">
            <v>0</v>
          </cell>
        </row>
        <row r="14">
          <cell r="A14">
            <v>88002</v>
          </cell>
          <cell r="B14">
            <v>0</v>
          </cell>
          <cell r="C14" t="str">
            <v>AMERICAN ASSOCIATION OF INSURANCE SERVICES (AO)</v>
          </cell>
          <cell r="D14" t="str">
            <v>LA3 / TAKESHITA</v>
          </cell>
          <cell r="E14" t="str">
            <v>LA3 / TAKESHITA</v>
          </cell>
          <cell r="F14">
            <v>0</v>
          </cell>
          <cell r="G14">
            <v>0</v>
          </cell>
          <cell r="H14">
            <v>0</v>
          </cell>
        </row>
        <row r="15">
          <cell r="A15">
            <v>10138</v>
          </cell>
          <cell r="B15">
            <v>0</v>
          </cell>
          <cell r="C15" t="str">
            <v>AMERICAN BONDING COMPANY</v>
          </cell>
          <cell r="D15" t="str">
            <v>LA1 /  HUH</v>
          </cell>
          <cell r="E15" t="str">
            <v>LA1 / AHN</v>
          </cell>
          <cell r="F15">
            <v>0</v>
          </cell>
          <cell r="G15">
            <v>0</v>
          </cell>
          <cell r="H15">
            <v>0</v>
          </cell>
        </row>
        <row r="16">
          <cell r="A16">
            <v>37931</v>
          </cell>
          <cell r="B16">
            <v>0</v>
          </cell>
          <cell r="C16" t="str">
            <v>AMERICAN FARMERS &amp; RANCHERS INSURANCE COMPANY</v>
          </cell>
          <cell r="D16" t="str">
            <v>LA1 /  HUH</v>
          </cell>
          <cell r="E16" t="str">
            <v>LA1 / OKPARA</v>
          </cell>
          <cell r="F16">
            <v>0</v>
          </cell>
          <cell r="G16">
            <v>0</v>
          </cell>
          <cell r="H16">
            <v>0</v>
          </cell>
        </row>
        <row r="17">
          <cell r="A17">
            <v>16403</v>
          </cell>
          <cell r="B17">
            <v>0</v>
          </cell>
          <cell r="C17" t="str">
            <v>AMERICAN GROWERS INSURANCE COMPANY</v>
          </cell>
          <cell r="D17" t="str">
            <v>SF1 / LI</v>
          </cell>
          <cell r="E17" t="str">
            <v>SF1 / LI</v>
          </cell>
          <cell r="F17">
            <v>0</v>
          </cell>
          <cell r="G17">
            <v>0</v>
          </cell>
          <cell r="H17">
            <v>0</v>
          </cell>
        </row>
        <row r="18">
          <cell r="A18">
            <v>28100</v>
          </cell>
          <cell r="B18">
            <v>0</v>
          </cell>
          <cell r="C18" t="str">
            <v>AMERICAN HORIZON INSURANCE COMPANY</v>
          </cell>
          <cell r="D18" t="str">
            <v>LA2 / BAUTISTA</v>
          </cell>
          <cell r="E18" t="str">
            <v>LA2 / BAUTISTA</v>
          </cell>
          <cell r="F18">
            <v>0</v>
          </cell>
          <cell r="G18">
            <v>0</v>
          </cell>
          <cell r="H18">
            <v>0</v>
          </cell>
        </row>
        <row r="19">
          <cell r="A19">
            <v>88003</v>
          </cell>
          <cell r="B19">
            <v>0</v>
          </cell>
          <cell r="C19" t="str">
            <v>AMERICAN INSURANCE ASSOCIATION (AO)</v>
          </cell>
          <cell r="D19" t="str">
            <v>LA3 / LIN</v>
          </cell>
          <cell r="E19" t="str">
            <v>LA3 / LIN</v>
          </cell>
          <cell r="F19">
            <v>0</v>
          </cell>
          <cell r="G19">
            <v>0</v>
          </cell>
          <cell r="H19">
            <v>0</v>
          </cell>
        </row>
        <row r="20">
          <cell r="A20">
            <v>99003</v>
          </cell>
          <cell r="B20">
            <v>0</v>
          </cell>
          <cell r="C20" t="str">
            <v>AMERICAN NEGATIVE FILM SYNDICATE (JUA)</v>
          </cell>
          <cell r="D20" t="str">
            <v>SF1 / LI</v>
          </cell>
          <cell r="E20" t="str">
            <v>SF1 / LI</v>
          </cell>
          <cell r="F20">
            <v>0</v>
          </cell>
          <cell r="G20">
            <v>0</v>
          </cell>
          <cell r="H20">
            <v>0</v>
          </cell>
        </row>
        <row r="21">
          <cell r="A21">
            <v>12190</v>
          </cell>
          <cell r="B21">
            <v>0</v>
          </cell>
          <cell r="C21" t="str">
            <v>AMERICAN PET INSURANCE COMPANY</v>
          </cell>
          <cell r="D21" t="str">
            <v>SF2 / DEMESA</v>
          </cell>
          <cell r="E21" t="str">
            <v>SF2 / DEMESA</v>
          </cell>
          <cell r="F21" t="str">
            <v>SF2 / DEMESA</v>
          </cell>
          <cell r="G21">
            <v>0</v>
          </cell>
          <cell r="H21">
            <v>0</v>
          </cell>
        </row>
        <row r="22">
          <cell r="A22">
            <v>21806</v>
          </cell>
          <cell r="B22">
            <v>0</v>
          </cell>
          <cell r="C22" t="str">
            <v>AMERICAN PROPERTY INSURANCE COMPANY</v>
          </cell>
          <cell r="D22" t="str">
            <v>SF1 / LI</v>
          </cell>
          <cell r="E22" t="str">
            <v>SF1 / LI</v>
          </cell>
          <cell r="F22">
            <v>0</v>
          </cell>
          <cell r="G22">
            <v>0</v>
          </cell>
          <cell r="H22">
            <v>0</v>
          </cell>
        </row>
        <row r="23">
          <cell r="A23">
            <v>19631</v>
          </cell>
          <cell r="B23">
            <v>0</v>
          </cell>
          <cell r="C23" t="str">
            <v>AMERICAN ROAD INSURANCE COMPANY</v>
          </cell>
          <cell r="D23" t="str">
            <v>LA1 /  HUH</v>
          </cell>
          <cell r="E23" t="str">
            <v>LA1 / OKPARA</v>
          </cell>
          <cell r="F23">
            <v>0</v>
          </cell>
          <cell r="G23">
            <v>0</v>
          </cell>
          <cell r="H23">
            <v>0</v>
          </cell>
        </row>
        <row r="24">
          <cell r="A24">
            <v>40800</v>
          </cell>
          <cell r="B24">
            <v>0</v>
          </cell>
          <cell r="C24" t="str">
            <v>AMERICAN STERLING INSURANCE COMPANY</v>
          </cell>
          <cell r="D24" t="str">
            <v>LA1 /  HUH</v>
          </cell>
          <cell r="E24" t="str">
            <v>LA1 / OKPARA</v>
          </cell>
          <cell r="F24">
            <v>0</v>
          </cell>
          <cell r="G24">
            <v>0</v>
          </cell>
          <cell r="H24">
            <v>0</v>
          </cell>
        </row>
        <row r="25">
          <cell r="A25">
            <v>31380</v>
          </cell>
          <cell r="B25">
            <v>0</v>
          </cell>
          <cell r="C25" t="str">
            <v>AMERICAN SURETY COMPANY</v>
          </cell>
          <cell r="D25" t="str">
            <v>LA1 /  HUH</v>
          </cell>
          <cell r="E25" t="str">
            <v>LA1 / AHN</v>
          </cell>
          <cell r="F25">
            <v>0</v>
          </cell>
          <cell r="G25">
            <v>0</v>
          </cell>
          <cell r="H25">
            <v>0</v>
          </cell>
        </row>
        <row r="26">
          <cell r="A26">
            <v>27928</v>
          </cell>
          <cell r="B26">
            <v>0</v>
          </cell>
          <cell r="C26" t="str">
            <v>AMEX ASSURANCE COMPANY</v>
          </cell>
          <cell r="D26" t="str">
            <v>LA1 /  HUH</v>
          </cell>
          <cell r="E26" t="str">
            <v>LA1 / OKPARA</v>
          </cell>
          <cell r="F26">
            <v>0</v>
          </cell>
          <cell r="G26">
            <v>0</v>
          </cell>
          <cell r="H26">
            <v>0</v>
          </cell>
        </row>
        <row r="27">
          <cell r="A27">
            <v>34738</v>
          </cell>
          <cell r="B27">
            <v>0</v>
          </cell>
          <cell r="C27" t="str">
            <v>ARAG INSURANCE COMPANY</v>
          </cell>
          <cell r="D27" t="str">
            <v>SF1 / POON</v>
          </cell>
          <cell r="E27" t="str">
            <v>SF1 / POON</v>
          </cell>
          <cell r="F27">
            <v>0</v>
          </cell>
          <cell r="G27">
            <v>0</v>
          </cell>
          <cell r="H27">
            <v>0</v>
          </cell>
        </row>
        <row r="28">
          <cell r="A28">
            <v>25291</v>
          </cell>
          <cell r="B28">
            <v>0</v>
          </cell>
          <cell r="C28" t="str">
            <v>ARDI EXCHANGE (Risk Retention Group)</v>
          </cell>
          <cell r="D28" t="str">
            <v>LA1 /  HUH</v>
          </cell>
          <cell r="E28" t="str">
            <v>LA1 / AHN</v>
          </cell>
          <cell r="F28">
            <v>0</v>
          </cell>
          <cell r="G28">
            <v>0</v>
          </cell>
          <cell r="H28">
            <v>0</v>
          </cell>
        </row>
        <row r="29">
          <cell r="A29">
            <v>41459</v>
          </cell>
          <cell r="B29">
            <v>0</v>
          </cell>
          <cell r="C29" t="str">
            <v>ARMED FORCES INSURANCE EXCHANGE</v>
          </cell>
          <cell r="D29" t="str">
            <v>SF1 / LI</v>
          </cell>
          <cell r="E29" t="str">
            <v>SF1 / LI</v>
          </cell>
          <cell r="F29">
            <v>0</v>
          </cell>
          <cell r="G29">
            <v>0</v>
          </cell>
          <cell r="H29">
            <v>0</v>
          </cell>
        </row>
        <row r="30">
          <cell r="A30">
            <v>40398</v>
          </cell>
          <cell r="B30">
            <v>0</v>
          </cell>
          <cell r="C30" t="str">
            <v>ASHMERE INSURANCE COMPANY</v>
          </cell>
          <cell r="D30" t="str">
            <v>SF2 / DEMESA</v>
          </cell>
          <cell r="E30" t="str">
            <v>SF2 / DEMESA</v>
          </cell>
          <cell r="F30" t="str">
            <v>SF2 / DEMESA</v>
          </cell>
          <cell r="G30">
            <v>0</v>
          </cell>
          <cell r="H30">
            <v>0</v>
          </cell>
        </row>
        <row r="31">
          <cell r="A31">
            <v>15290</v>
          </cell>
          <cell r="B31">
            <v>0</v>
          </cell>
          <cell r="C31" t="str">
            <v>ASPIRE GENERAL INSURANCE COMPANY</v>
          </cell>
          <cell r="D31" t="str">
            <v>LA2 / GUAN</v>
          </cell>
          <cell r="E31" t="str">
            <v>LA2 / GUAN</v>
          </cell>
          <cell r="F31">
            <v>0</v>
          </cell>
          <cell r="G31">
            <v>0</v>
          </cell>
          <cell r="H31">
            <v>0</v>
          </cell>
        </row>
        <row r="32">
          <cell r="A32">
            <v>99004</v>
          </cell>
          <cell r="B32">
            <v>0</v>
          </cell>
          <cell r="C32" t="str">
            <v>ASSOCIATED AVIATION UNDERWRITERS (JUA)</v>
          </cell>
          <cell r="D32" t="str">
            <v>LA3 / LIN</v>
          </cell>
          <cell r="E32" t="str">
            <v>LA3 / LIN</v>
          </cell>
          <cell r="F32">
            <v>0</v>
          </cell>
          <cell r="G32">
            <v>0</v>
          </cell>
          <cell r="H32">
            <v>0</v>
          </cell>
        </row>
        <row r="33">
          <cell r="A33">
            <v>99005</v>
          </cell>
          <cell r="B33">
            <v>0</v>
          </cell>
          <cell r="C33" t="str">
            <v>ASSOCIATION OF MILL AND ELEVATOR MUTUAL INSURANCE COMPANIES (JUA)</v>
          </cell>
          <cell r="D33" t="str">
            <v>LA2 / GUAN</v>
          </cell>
          <cell r="E33" t="str">
            <v>LA2 / GUAN</v>
          </cell>
          <cell r="F33">
            <v>0</v>
          </cell>
          <cell r="G33">
            <v>0</v>
          </cell>
          <cell r="H33">
            <v>0</v>
          </cell>
        </row>
        <row r="34">
          <cell r="A34">
            <v>25422</v>
          </cell>
          <cell r="B34">
            <v>0</v>
          </cell>
          <cell r="C34" t="str">
            <v>ATRADIUS TRADE CREDIT INSURANCE, INC.</v>
          </cell>
          <cell r="D34" t="str">
            <v>SF1 / CARLSON</v>
          </cell>
          <cell r="E34" t="str">
            <v>SF1 / CARLSON</v>
          </cell>
          <cell r="F34" t="str">
            <v>SF2 / GOTERA-PITROU</v>
          </cell>
          <cell r="G34">
            <v>0</v>
          </cell>
          <cell r="H34">
            <v>0</v>
          </cell>
        </row>
        <row r="35">
          <cell r="A35">
            <v>99006</v>
          </cell>
          <cell r="B35">
            <v>0</v>
          </cell>
          <cell r="C35" t="str">
            <v>AVIATION INSURANCE MANAGERS, INCORPORATION</v>
          </cell>
          <cell r="D35" t="str">
            <v>SF2 / SALAZAR</v>
          </cell>
          <cell r="E35" t="str">
            <v>SF2 / SALAZAR</v>
          </cell>
          <cell r="F35" t="str">
            <v>SF2 / SALAZAR</v>
          </cell>
          <cell r="G35">
            <v>0</v>
          </cell>
          <cell r="H35">
            <v>0</v>
          </cell>
        </row>
        <row r="36">
          <cell r="A36">
            <v>29530</v>
          </cell>
          <cell r="B36">
            <v>0</v>
          </cell>
          <cell r="C36" t="str">
            <v>AXA ART INSURANCE CORPORATION</v>
          </cell>
          <cell r="D36" t="str">
            <v>LA1 / HUH</v>
          </cell>
          <cell r="E36" t="str">
            <v>LA1 / AHN</v>
          </cell>
          <cell r="F36" t="str">
            <v>SF2 / GOTERA-PITROU</v>
          </cell>
          <cell r="G36">
            <v>0</v>
          </cell>
          <cell r="H36">
            <v>0</v>
          </cell>
        </row>
        <row r="37">
          <cell r="A37">
            <v>18538</v>
          </cell>
          <cell r="B37">
            <v>0</v>
          </cell>
          <cell r="C37" t="str">
            <v>BANCINSURE, INC.</v>
          </cell>
          <cell r="D37" t="str">
            <v>LA2 / LEE</v>
          </cell>
          <cell r="E37" t="str">
            <v>LA2 / LEE</v>
          </cell>
          <cell r="F37">
            <v>0</v>
          </cell>
          <cell r="G37">
            <v>0</v>
          </cell>
          <cell r="H37">
            <v>0</v>
          </cell>
        </row>
        <row r="38">
          <cell r="A38">
            <v>37540</v>
          </cell>
          <cell r="B38">
            <v>0</v>
          </cell>
          <cell r="C38" t="str">
            <v>BEAZLEY INSURANCE COMPANY, INC.</v>
          </cell>
          <cell r="D38" t="str">
            <v>SF2 / DEMESA</v>
          </cell>
          <cell r="E38" t="str">
            <v>SF2 / DEMESA</v>
          </cell>
          <cell r="F38" t="str">
            <v>SF2 / DEMESA</v>
          </cell>
          <cell r="G38">
            <v>0</v>
          </cell>
          <cell r="H38">
            <v>0</v>
          </cell>
        </row>
        <row r="39">
          <cell r="A39">
            <v>13528</v>
          </cell>
          <cell r="B39">
            <v>0</v>
          </cell>
          <cell r="C39" t="str">
            <v>BROTHERHOOD MUTUAL INSURANCE COMPANY</v>
          </cell>
          <cell r="D39" t="str">
            <v>SF2 / SALAZAR</v>
          </cell>
          <cell r="E39" t="str">
            <v>SF2 / SALAZAR</v>
          </cell>
          <cell r="F39" t="str">
            <v>SF2 / SALAZAR</v>
          </cell>
          <cell r="G39">
            <v>0</v>
          </cell>
          <cell r="H39">
            <v>0</v>
          </cell>
        </row>
        <row r="40">
          <cell r="A40">
            <v>10830</v>
          </cell>
          <cell r="B40">
            <v>0</v>
          </cell>
          <cell r="C40" t="str">
            <v>BUSINESS ALLIANCE INSURANCE COMPANY</v>
          </cell>
          <cell r="D40" t="str">
            <v>SF1 / LI</v>
          </cell>
          <cell r="E40" t="str">
            <v>SF1 / LI</v>
          </cell>
          <cell r="F40" t="str">
            <v>SF2 / GOTERA-PITROU</v>
          </cell>
          <cell r="G40">
            <v>0</v>
          </cell>
          <cell r="H40">
            <v>0</v>
          </cell>
        </row>
        <row r="41">
          <cell r="A41">
            <v>20656</v>
          </cell>
          <cell r="B41">
            <v>0</v>
          </cell>
          <cell r="C41" t="str">
            <v>C E HEATH COMPENSATION AND LIABILITY INSURANCE COMPANY</v>
          </cell>
          <cell r="D41" t="str">
            <v>LA2 / LEE</v>
          </cell>
          <cell r="E41" t="str">
            <v>LA2 / LEE</v>
          </cell>
          <cell r="F41">
            <v>0</v>
          </cell>
          <cell r="G41">
            <v>0</v>
          </cell>
          <cell r="H41">
            <v>0</v>
          </cell>
        </row>
        <row r="42">
          <cell r="A42">
            <v>18538</v>
          </cell>
          <cell r="B42">
            <v>0</v>
          </cell>
          <cell r="C42" t="str">
            <v>CALIFORNIA BANKERS ASSURANCE COMPANY (see BancInsure Inc)</v>
          </cell>
          <cell r="D42" t="str">
            <v>LA2 / LEE</v>
          </cell>
          <cell r="E42" t="str">
            <v>LA2 / LEE</v>
          </cell>
          <cell r="F42">
            <v>0</v>
          </cell>
          <cell r="G42">
            <v>0</v>
          </cell>
          <cell r="H42">
            <v>0</v>
          </cell>
        </row>
        <row r="43">
          <cell r="A43">
            <v>22284</v>
          </cell>
          <cell r="B43">
            <v>0</v>
          </cell>
          <cell r="C43" t="str">
            <v>CALIFORNIA COMPENSATION INSURANCE COMPANY</v>
          </cell>
          <cell r="D43" t="str">
            <v>LA2 / LEE</v>
          </cell>
          <cell r="E43" t="str">
            <v>LA2 / LEE</v>
          </cell>
          <cell r="F43">
            <v>0</v>
          </cell>
          <cell r="G43" t="str">
            <v>RAO / SANANDAJIFAR</v>
          </cell>
          <cell r="H43">
            <v>0</v>
          </cell>
        </row>
        <row r="44">
          <cell r="A44">
            <v>10779</v>
          </cell>
          <cell r="B44">
            <v>0</v>
          </cell>
          <cell r="C44" t="str">
            <v>CALIFORNIA EARTHQUAKE AUTHORITY</v>
          </cell>
          <cell r="D44" t="str">
            <v>SF2 / GOTERA-PITROU</v>
          </cell>
          <cell r="E44" t="str">
            <v>SF2 / GOTERA-PITROU</v>
          </cell>
          <cell r="F44" t="str">
            <v>SF2 / GOTERA-PITROU</v>
          </cell>
          <cell r="G44" t="str">
            <v>RAO / CIMINI</v>
          </cell>
          <cell r="H44">
            <v>0</v>
          </cell>
        </row>
        <row r="45">
          <cell r="A45">
            <v>27480</v>
          </cell>
          <cell r="B45">
            <v>0</v>
          </cell>
          <cell r="C45" t="str">
            <v>CALIFORNIA MUTUAL INSURANCE COMPANY</v>
          </cell>
          <cell r="D45" t="str">
            <v>LA2 / GUAN</v>
          </cell>
          <cell r="E45" t="str">
            <v>LA2 / GUAN</v>
          </cell>
          <cell r="F45">
            <v>0</v>
          </cell>
          <cell r="G45">
            <v>0</v>
          </cell>
          <cell r="H45">
            <v>0</v>
          </cell>
        </row>
        <row r="46">
          <cell r="A46">
            <v>36340</v>
          </cell>
          <cell r="B46">
            <v>0</v>
          </cell>
          <cell r="C46" t="str">
            <v>CAMICO MUTUAL INSURANCE COMPANY</v>
          </cell>
          <cell r="D46" t="str">
            <v>LA2 / GUAN</v>
          </cell>
          <cell r="E46" t="str">
            <v>LA2 / GUAN</v>
          </cell>
          <cell r="F46">
            <v>0</v>
          </cell>
          <cell r="G46">
            <v>0</v>
          </cell>
          <cell r="H46">
            <v>0</v>
          </cell>
        </row>
        <row r="47">
          <cell r="A47">
            <v>10175</v>
          </cell>
          <cell r="B47">
            <v>0</v>
          </cell>
          <cell r="C47" t="str">
            <v>CASCADE NATIONAL INSURANCE COMPANY</v>
          </cell>
          <cell r="D47" t="str">
            <v>LA1 /  HUH</v>
          </cell>
          <cell r="E47" t="str">
            <v>LA1 / OKPARA</v>
          </cell>
          <cell r="F47">
            <v>0</v>
          </cell>
          <cell r="G47">
            <v>0</v>
          </cell>
          <cell r="H47">
            <v>0</v>
          </cell>
        </row>
        <row r="48">
          <cell r="A48">
            <v>40134</v>
          </cell>
          <cell r="B48">
            <v>0</v>
          </cell>
          <cell r="C48" t="str">
            <v>CASTLEPOINT NATIONAL INSURANCE COMPANY</v>
          </cell>
          <cell r="D48" t="str">
            <v>LA1 /  HUH</v>
          </cell>
          <cell r="E48" t="str">
            <v>LA1 / OKPARA</v>
          </cell>
          <cell r="F48">
            <v>0</v>
          </cell>
          <cell r="G48">
            <v>0</v>
          </cell>
          <cell r="H48">
            <v>0</v>
          </cell>
        </row>
        <row r="49">
          <cell r="A49">
            <v>38440</v>
          </cell>
          <cell r="B49">
            <v>0</v>
          </cell>
          <cell r="C49" t="str">
            <v>CHARIOTS OF HIRE R R G INSURANCE COMPANY</v>
          </cell>
          <cell r="D49" t="str">
            <v>LA2 / GUAN</v>
          </cell>
          <cell r="E49" t="str">
            <v>LA2 / GUAN</v>
          </cell>
          <cell r="F49" t="str">
            <v>SF2 / GOTERA-PITROU</v>
          </cell>
          <cell r="G49">
            <v>0</v>
          </cell>
          <cell r="H49">
            <v>0</v>
          </cell>
        </row>
        <row r="50">
          <cell r="A50">
            <v>31887</v>
          </cell>
          <cell r="B50">
            <v>0</v>
          </cell>
          <cell r="C50" t="str">
            <v>COFACE NORTH AMERICA INSURANCE COMPANY</v>
          </cell>
          <cell r="D50" t="str">
            <v>SF1 / LI</v>
          </cell>
          <cell r="E50" t="str">
            <v>SF1 / LI</v>
          </cell>
          <cell r="F50">
            <v>0</v>
          </cell>
          <cell r="G50">
            <v>0</v>
          </cell>
          <cell r="H50">
            <v>0</v>
          </cell>
        </row>
        <row r="51">
          <cell r="A51">
            <v>10758</v>
          </cell>
          <cell r="B51">
            <v>0</v>
          </cell>
          <cell r="C51" t="str">
            <v>COLONIAL SURETY COMPANY</v>
          </cell>
          <cell r="D51" t="str">
            <v>LA1 /  HUH</v>
          </cell>
          <cell r="E51" t="str">
            <v>LA1 / AHN</v>
          </cell>
          <cell r="F51">
            <v>0</v>
          </cell>
          <cell r="G51">
            <v>0</v>
          </cell>
          <cell r="H51">
            <v>0</v>
          </cell>
        </row>
        <row r="52">
          <cell r="A52">
            <v>36374</v>
          </cell>
          <cell r="B52">
            <v>0</v>
          </cell>
          <cell r="C52" t="str">
            <v>COMMERCIAL CASUALTY INSURANCE COMPANY OF NORTH CAROLINA (dba Environmental and Casualty Ins Co)</v>
          </cell>
          <cell r="D52" t="str">
            <v>SF1 / CARLSON</v>
          </cell>
          <cell r="E52" t="str">
            <v>SF1 / CARLSON</v>
          </cell>
          <cell r="F52">
            <v>0</v>
          </cell>
          <cell r="G52">
            <v>0</v>
          </cell>
          <cell r="H52">
            <v>0</v>
          </cell>
        </row>
        <row r="53">
          <cell r="A53">
            <v>15555</v>
          </cell>
          <cell r="B53">
            <v>0</v>
          </cell>
          <cell r="C53" t="str">
            <v>COMMERCIAL FISHERMEN'S INTER-INSURANCE EXCHANGE</v>
          </cell>
          <cell r="D53" t="str">
            <v>SF1 / CARLSON</v>
          </cell>
          <cell r="E53" t="str">
            <v>SF1 / CARLSON</v>
          </cell>
          <cell r="F53">
            <v>0</v>
          </cell>
          <cell r="G53">
            <v>0</v>
          </cell>
          <cell r="H53">
            <v>0</v>
          </cell>
        </row>
        <row r="54">
          <cell r="A54">
            <v>10220</v>
          </cell>
          <cell r="B54">
            <v>0</v>
          </cell>
          <cell r="C54" t="str">
            <v>COMMONWEALTH INSURANCE CO. OF AMERICA</v>
          </cell>
          <cell r="D54" t="str">
            <v>LA1 /  HUH</v>
          </cell>
          <cell r="E54" t="str">
            <v>LA1 / AHN</v>
          </cell>
          <cell r="F54">
            <v>0</v>
          </cell>
          <cell r="G54">
            <v>0</v>
          </cell>
          <cell r="H54">
            <v>0</v>
          </cell>
        </row>
        <row r="55">
          <cell r="A55">
            <v>36960</v>
          </cell>
          <cell r="B55">
            <v>0</v>
          </cell>
          <cell r="C55" t="str">
            <v>CONNECTICUT SURETY COMPANY</v>
          </cell>
          <cell r="D55" t="str">
            <v>LA1 /  HUH</v>
          </cell>
          <cell r="E55" t="str">
            <v>LA1 / OKPARA</v>
          </cell>
          <cell r="F55">
            <v>0</v>
          </cell>
          <cell r="G55">
            <v>0</v>
          </cell>
          <cell r="H55">
            <v>0</v>
          </cell>
        </row>
        <row r="56">
          <cell r="A56">
            <v>44261</v>
          </cell>
          <cell r="B56">
            <v>0</v>
          </cell>
          <cell r="C56" t="str">
            <v>CONSOLIDATED SURETY INS CO (dba American Contractors Indemnity Co)</v>
          </cell>
          <cell r="D56" t="str">
            <v>LA3 / LIN</v>
          </cell>
          <cell r="E56" t="str">
            <v>LA3 / LIN</v>
          </cell>
          <cell r="F56">
            <v>0</v>
          </cell>
          <cell r="G56">
            <v>0</v>
          </cell>
          <cell r="H56">
            <v>0</v>
          </cell>
        </row>
        <row r="57">
          <cell r="A57">
            <v>32190</v>
          </cell>
          <cell r="B57">
            <v>0</v>
          </cell>
          <cell r="C57" t="str">
            <v>CONSTILINTION INSURANCE COMPANY</v>
          </cell>
          <cell r="D57" t="str">
            <v>LA1 /  HUH</v>
          </cell>
          <cell r="E57" t="str">
            <v>LA1 / AHN</v>
          </cell>
          <cell r="F57">
            <v>0</v>
          </cell>
          <cell r="G57">
            <v>0</v>
          </cell>
          <cell r="H57">
            <v>0</v>
          </cell>
        </row>
        <row r="58">
          <cell r="A58">
            <v>39551</v>
          </cell>
          <cell r="B58">
            <v>0</v>
          </cell>
          <cell r="C58" t="str">
            <v>CONTINENTAL HERITAGE INSURANCE COMPANY</v>
          </cell>
          <cell r="D58" t="str">
            <v>SF1 / POON</v>
          </cell>
          <cell r="E58" t="str">
            <v>SF1 / POON</v>
          </cell>
          <cell r="F58">
            <v>0</v>
          </cell>
          <cell r="G58">
            <v>0</v>
          </cell>
          <cell r="H58">
            <v>0</v>
          </cell>
        </row>
        <row r="59">
          <cell r="A59">
            <v>10783</v>
          </cell>
          <cell r="B59">
            <v>0</v>
          </cell>
          <cell r="C59" t="str">
            <v>CORNERSTONE NATIONAL INSURANCE COMPANY</v>
          </cell>
          <cell r="D59" t="str">
            <v>SF2 / GOTERA-PITROU</v>
          </cell>
          <cell r="E59" t="str">
            <v>SF2 / GOTERA-PITROU</v>
          </cell>
          <cell r="F59" t="str">
            <v>SF2 / GOTERA-PITROU</v>
          </cell>
          <cell r="G59">
            <v>0</v>
          </cell>
          <cell r="H59">
            <v>0</v>
          </cell>
        </row>
        <row r="60">
          <cell r="A60">
            <v>99007</v>
          </cell>
          <cell r="B60">
            <v>0</v>
          </cell>
          <cell r="C60" t="str">
            <v>COTTON FIRE AND MARINE UNDERWRITERS</v>
          </cell>
          <cell r="D60" t="str">
            <v>LA1 /  HUH</v>
          </cell>
          <cell r="E60" t="str">
            <v>LA1 / AHN</v>
          </cell>
          <cell r="F60">
            <v>0</v>
          </cell>
          <cell r="G60">
            <v>0</v>
          </cell>
          <cell r="H60">
            <v>0</v>
          </cell>
        </row>
        <row r="61">
          <cell r="A61">
            <v>26492</v>
          </cell>
          <cell r="B61">
            <v>0</v>
          </cell>
          <cell r="C61" t="str">
            <v>COURTESY INSURANCE COMPANY</v>
          </cell>
          <cell r="D61" t="str">
            <v>SF1 / LI</v>
          </cell>
          <cell r="E61" t="str">
            <v>SF1 / LI</v>
          </cell>
          <cell r="F61">
            <v>0</v>
          </cell>
          <cell r="G61">
            <v>0</v>
          </cell>
          <cell r="H61">
            <v>0</v>
          </cell>
        </row>
        <row r="62">
          <cell r="A62">
            <v>21016</v>
          </cell>
          <cell r="B62">
            <v>0</v>
          </cell>
          <cell r="C62" t="str">
            <v>COVENANT MUTUAL INSURANCE COMPANY</v>
          </cell>
          <cell r="D62" t="str">
            <v>LA1 /  HUH</v>
          </cell>
          <cell r="E62" t="str">
            <v>LA1 / OKPARA</v>
          </cell>
          <cell r="F62">
            <v>0</v>
          </cell>
          <cell r="G62">
            <v>0</v>
          </cell>
          <cell r="H62">
            <v>0</v>
          </cell>
        </row>
        <row r="63">
          <cell r="A63">
            <v>14010</v>
          </cell>
          <cell r="B63">
            <v>0</v>
          </cell>
          <cell r="C63" t="str">
            <v>CRUSADER INSURANCE COMPANY</v>
          </cell>
          <cell r="D63" t="str">
            <v>LA1 /  HUH</v>
          </cell>
          <cell r="E63" t="str">
            <v>LA1 / AHN</v>
          </cell>
          <cell r="F63">
            <v>0</v>
          </cell>
          <cell r="G63">
            <v>0</v>
          </cell>
          <cell r="H63">
            <v>0</v>
          </cell>
        </row>
        <row r="64">
          <cell r="A64">
            <v>12502</v>
          </cell>
          <cell r="B64">
            <v>0</v>
          </cell>
          <cell r="C64" t="str">
            <v>DB INSURANCE CO, LTD. (U.S. BRANCH)</v>
          </cell>
          <cell r="D64" t="str">
            <v>SF1 / POON</v>
          </cell>
          <cell r="E64" t="str">
            <v>SF1 / POON</v>
          </cell>
          <cell r="F64">
            <v>0</v>
          </cell>
          <cell r="G64">
            <v>0</v>
          </cell>
          <cell r="H64">
            <v>0</v>
          </cell>
        </row>
        <row r="65">
          <cell r="A65">
            <v>40975</v>
          </cell>
          <cell r="B65">
            <v>0</v>
          </cell>
          <cell r="C65" t="str">
            <v>DENTISTS INSURANCE COMPANY</v>
          </cell>
          <cell r="D65" t="str">
            <v>SF2 / GOTERA-PITROU</v>
          </cell>
          <cell r="E65" t="str">
            <v>SF2 / GOTERA-PITROU</v>
          </cell>
          <cell r="F65" t="str">
            <v>SF2 / GOTERA-PITROU</v>
          </cell>
          <cell r="G65">
            <v>0</v>
          </cell>
          <cell r="H65">
            <v>0</v>
          </cell>
        </row>
        <row r="66">
          <cell r="A66">
            <v>12502</v>
          </cell>
          <cell r="B66">
            <v>0</v>
          </cell>
          <cell r="C66" t="str">
            <v>DONGBU INSURANCE CO, LTD. (U.S. BRANCH) (Name changed to DB Insurance Co., Ltd. (U.S. Branch), effective March 1, 2018)</v>
          </cell>
          <cell r="D66" t="str">
            <v>SF1 / POON</v>
          </cell>
          <cell r="E66" t="str">
            <v>SF1 / POON</v>
          </cell>
          <cell r="F66">
            <v>0</v>
          </cell>
          <cell r="G66">
            <v>0</v>
          </cell>
          <cell r="H66">
            <v>0</v>
          </cell>
        </row>
        <row r="67">
          <cell r="A67">
            <v>33499</v>
          </cell>
          <cell r="B67">
            <v>0</v>
          </cell>
          <cell r="C67" t="str">
            <v>DORINCO REINSURANCE COMPANY</v>
          </cell>
          <cell r="D67" t="str">
            <v>LA2 / GUAN</v>
          </cell>
          <cell r="E67" t="str">
            <v>LA2 / GUAN</v>
          </cell>
          <cell r="F67">
            <v>0</v>
          </cell>
          <cell r="G67">
            <v>0</v>
          </cell>
          <cell r="H67">
            <v>0</v>
          </cell>
        </row>
        <row r="68">
          <cell r="A68">
            <v>10979</v>
          </cell>
          <cell r="B68">
            <v>0</v>
          </cell>
          <cell r="C68" t="str">
            <v>ELITE INSURANCE COMPANY</v>
          </cell>
          <cell r="D68" t="str">
            <v>SF1 / LI</v>
          </cell>
          <cell r="E68" t="str">
            <v>SF1 / LI</v>
          </cell>
          <cell r="F68">
            <v>0</v>
          </cell>
          <cell r="G68">
            <v>0</v>
          </cell>
          <cell r="H68">
            <v>0</v>
          </cell>
        </row>
        <row r="69">
          <cell r="A69">
            <v>99008</v>
          </cell>
          <cell r="B69">
            <v>0</v>
          </cell>
          <cell r="C69" t="str">
            <v>EXCESS BOND REINSURANCE ASSOCIATION (JUA)</v>
          </cell>
          <cell r="D69" t="str">
            <v>LA2 / GUAN</v>
          </cell>
          <cell r="E69" t="str">
            <v>LA2 / GUAN</v>
          </cell>
          <cell r="F69">
            <v>0</v>
          </cell>
          <cell r="G69">
            <v>0</v>
          </cell>
          <cell r="H69">
            <v>0</v>
          </cell>
        </row>
        <row r="70">
          <cell r="A70">
            <v>99009</v>
          </cell>
          <cell r="B70">
            <v>0</v>
          </cell>
          <cell r="C70" t="str">
            <v>EXCESS OF LOSS ASSOCIATION</v>
          </cell>
          <cell r="D70" t="str">
            <v>SF2 / SALAZAR</v>
          </cell>
          <cell r="E70" t="str">
            <v>SF2 / SALAZAR</v>
          </cell>
          <cell r="F70" t="str">
            <v>SF2 / SALAZAR</v>
          </cell>
          <cell r="G70">
            <v>0</v>
          </cell>
          <cell r="H70">
            <v>0</v>
          </cell>
        </row>
        <row r="71">
          <cell r="A71">
            <v>88005</v>
          </cell>
          <cell r="B71">
            <v>0</v>
          </cell>
          <cell r="C71" t="str">
            <v>FACTORY MUTUAL SERVICE BUREAU (AO)</v>
          </cell>
          <cell r="D71" t="str">
            <v>LA3 / LIN</v>
          </cell>
          <cell r="E71" t="str">
            <v>LA3 / LIN</v>
          </cell>
          <cell r="F71">
            <v>0</v>
          </cell>
          <cell r="G71">
            <v>0</v>
          </cell>
          <cell r="H71">
            <v>0</v>
          </cell>
        </row>
        <row r="72">
          <cell r="A72">
            <v>10873</v>
          </cell>
          <cell r="B72">
            <v>0</v>
          </cell>
          <cell r="C72" t="str">
            <v>FARMERS REINSURANCE COMPANY</v>
          </cell>
          <cell r="D72" t="str">
            <v>LA1 /  HUH</v>
          </cell>
          <cell r="E72" t="str">
            <v>LA1 / OKPARA</v>
          </cell>
          <cell r="F72">
            <v>0</v>
          </cell>
          <cell r="G72">
            <v>0</v>
          </cell>
          <cell r="H72">
            <v>0</v>
          </cell>
        </row>
        <row r="73">
          <cell r="A73">
            <v>11118</v>
          </cell>
          <cell r="B73">
            <v>0</v>
          </cell>
          <cell r="C73" t="str">
            <v>FEDERATED RURAL ELECTRIC INSURANCE EXCHANGE</v>
          </cell>
          <cell r="D73" t="str">
            <v>LA2 / LEE</v>
          </cell>
          <cell r="E73" t="str">
            <v>LA2 / LEE</v>
          </cell>
          <cell r="F73">
            <v>0</v>
          </cell>
          <cell r="G73">
            <v>0</v>
          </cell>
          <cell r="H73">
            <v>0</v>
          </cell>
        </row>
        <row r="74">
          <cell r="A74">
            <v>12815</v>
          </cell>
          <cell r="B74">
            <v>0</v>
          </cell>
          <cell r="C74" t="str">
            <v>FGIC INSURANCE COMPANY (see Financial Guaranty Insurance Company)</v>
          </cell>
          <cell r="D74" t="str">
            <v>LA1 /  HUH</v>
          </cell>
          <cell r="E74" t="str">
            <v>LA1 / AHN</v>
          </cell>
          <cell r="F74" t="str">
            <v>SF2 / GOTERA-PITROU</v>
          </cell>
          <cell r="G74">
            <v>0</v>
          </cell>
          <cell r="H74">
            <v>0</v>
          </cell>
        </row>
        <row r="75">
          <cell r="A75">
            <v>35009</v>
          </cell>
          <cell r="B75">
            <v>0</v>
          </cell>
          <cell r="C75" t="str">
            <v>FINANCIAL CASUALTY &amp; SURETY INC.</v>
          </cell>
          <cell r="D75" t="str">
            <v>LA3 / LIN</v>
          </cell>
          <cell r="E75" t="str">
            <v>LA3 / LIN</v>
          </cell>
          <cell r="F75">
            <v>0</v>
          </cell>
          <cell r="G75">
            <v>0</v>
          </cell>
          <cell r="H75">
            <v>0</v>
          </cell>
        </row>
        <row r="76">
          <cell r="A76">
            <v>12815</v>
          </cell>
          <cell r="B76">
            <v>0</v>
          </cell>
          <cell r="C76" t="str">
            <v>FINANCIAL GUARANTY INS CO (dba FGIC I/C)</v>
          </cell>
          <cell r="D76" t="str">
            <v>SF1 / CARLSON</v>
          </cell>
          <cell r="E76" t="str">
            <v>SF1 / CARLSON</v>
          </cell>
          <cell r="F76" t="str">
            <v>SF2 / GOTERA-PITROU</v>
          </cell>
          <cell r="G76">
            <v>0</v>
          </cell>
          <cell r="H76">
            <v>0</v>
          </cell>
        </row>
        <row r="77">
          <cell r="A77">
            <v>99010</v>
          </cell>
          <cell r="B77">
            <v>0</v>
          </cell>
          <cell r="C77" t="str">
            <v>FOOD INDUSTRIES FEDERATION OF MUTUAL INS COMPANIES (JUA)</v>
          </cell>
          <cell r="D77" t="str">
            <v>LA1 /  HUH</v>
          </cell>
          <cell r="E77" t="str">
            <v>LA1 / AHN</v>
          </cell>
          <cell r="F77">
            <v>0</v>
          </cell>
          <cell r="G77">
            <v>0</v>
          </cell>
          <cell r="H77">
            <v>0</v>
          </cell>
        </row>
        <row r="78">
          <cell r="A78">
            <v>99011</v>
          </cell>
          <cell r="B78">
            <v>0</v>
          </cell>
          <cell r="C78" t="str">
            <v>FOREIGN CREDIT INSURANCE ASSOCIATION (JUA)</v>
          </cell>
          <cell r="D78" t="str">
            <v>LA2 / BAUTISTA</v>
          </cell>
          <cell r="E78" t="str">
            <v>LA2 / BAUTISTA</v>
          </cell>
          <cell r="F78">
            <v>0</v>
          </cell>
          <cell r="G78">
            <v>0</v>
          </cell>
          <cell r="H78">
            <v>0</v>
          </cell>
        </row>
        <row r="79">
          <cell r="A79">
            <v>34266</v>
          </cell>
          <cell r="B79">
            <v>0</v>
          </cell>
          <cell r="C79" t="str">
            <v>FRONTIER INSURANCE COMPANY</v>
          </cell>
          <cell r="D79" t="str">
            <v>SF2 / SALAZAR</v>
          </cell>
          <cell r="E79" t="str">
            <v>SF2 / SALAZAR</v>
          </cell>
          <cell r="F79" t="str">
            <v>SF2 / SALAZAR</v>
          </cell>
          <cell r="G79">
            <v>0</v>
          </cell>
          <cell r="H79">
            <v>0</v>
          </cell>
        </row>
        <row r="80">
          <cell r="A80">
            <v>99012</v>
          </cell>
          <cell r="B80">
            <v>0</v>
          </cell>
          <cell r="C80" t="str">
            <v>FURRIERS CUSTOMERS REINSURANCE SYNDICATE</v>
          </cell>
          <cell r="D80" t="str">
            <v>SF1 / CARLSON</v>
          </cell>
          <cell r="E80" t="str">
            <v>SF1 / CARLSON</v>
          </cell>
          <cell r="F80">
            <v>0</v>
          </cell>
          <cell r="G80">
            <v>0</v>
          </cell>
          <cell r="H80">
            <v>0</v>
          </cell>
        </row>
        <row r="81">
          <cell r="A81">
            <v>99013</v>
          </cell>
          <cell r="B81">
            <v>0</v>
          </cell>
          <cell r="C81" t="str">
            <v>GENERAL COVER UNDERWRITERS' ASSOCIATION (JUA)</v>
          </cell>
          <cell r="D81" t="str">
            <v>LA1 /  HUH</v>
          </cell>
          <cell r="E81" t="str">
            <v>LA1 / AHN</v>
          </cell>
          <cell r="F81">
            <v>0</v>
          </cell>
          <cell r="G81">
            <v>0</v>
          </cell>
          <cell r="H81">
            <v>0</v>
          </cell>
        </row>
        <row r="82">
          <cell r="A82">
            <v>11231</v>
          </cell>
          <cell r="B82">
            <v>0</v>
          </cell>
          <cell r="C82" t="str">
            <v>GENERALI ASSICURAZIONI  (dba General I/C of Triesta)</v>
          </cell>
          <cell r="D82" t="str">
            <v>LA2 / BAUTISTA</v>
          </cell>
          <cell r="E82" t="str">
            <v>LA2 / BAUTISTA</v>
          </cell>
          <cell r="F82">
            <v>0</v>
          </cell>
          <cell r="G82">
            <v>0</v>
          </cell>
          <cell r="H82">
            <v>0</v>
          </cell>
        </row>
        <row r="83">
          <cell r="A83">
            <v>11231</v>
          </cell>
          <cell r="B83">
            <v>0</v>
          </cell>
          <cell r="C83" t="str">
            <v>GENERALI ASSICURAZIONI GENERALI S.P.A. (U.S. BRANCH) (See Generali-US Branch)</v>
          </cell>
          <cell r="D83" t="str">
            <v>LA2 / BAUTISTA</v>
          </cell>
          <cell r="E83" t="str">
            <v>LA2 / BAUTISTA</v>
          </cell>
          <cell r="F83">
            <v>0</v>
          </cell>
          <cell r="G83">
            <v>0</v>
          </cell>
          <cell r="H83">
            <v>0</v>
          </cell>
        </row>
        <row r="84">
          <cell r="A84">
            <v>11231</v>
          </cell>
          <cell r="B84">
            <v>0</v>
          </cell>
          <cell r="C84" t="str">
            <v>GENERALI-US BRANCH (See Generali Assicurazioni Generali S.P.A. (U.S. Branch))</v>
          </cell>
          <cell r="D84" t="str">
            <v>LA2 / BAUTISTA</v>
          </cell>
          <cell r="E84" t="str">
            <v>LA2 / BAUTISTA</v>
          </cell>
          <cell r="F84">
            <v>0</v>
          </cell>
          <cell r="G84">
            <v>0</v>
          </cell>
          <cell r="H84">
            <v>0</v>
          </cell>
        </row>
        <row r="85">
          <cell r="A85">
            <v>39861</v>
          </cell>
          <cell r="B85">
            <v>0</v>
          </cell>
          <cell r="C85" t="str">
            <v>GOLDEN BEAR INSURANCE COMPANY</v>
          </cell>
          <cell r="D85" t="str">
            <v>LA2 / GUAN</v>
          </cell>
          <cell r="E85" t="str">
            <v>LA2 / GUAN</v>
          </cell>
          <cell r="F85">
            <v>0</v>
          </cell>
          <cell r="G85">
            <v>0</v>
          </cell>
          <cell r="H85">
            <v>0</v>
          </cell>
        </row>
        <row r="86">
          <cell r="A86">
            <v>42269</v>
          </cell>
          <cell r="B86">
            <v>0</v>
          </cell>
          <cell r="C86" t="str">
            <v>GREENPATH INSURANCE COMPANY</v>
          </cell>
          <cell r="D86" t="str">
            <v>LA2 / GUAN</v>
          </cell>
          <cell r="E86" t="str">
            <v>LA2 / GUAN</v>
          </cell>
          <cell r="F86">
            <v>0</v>
          </cell>
          <cell r="G86">
            <v>0</v>
          </cell>
          <cell r="H86">
            <v>0</v>
          </cell>
        </row>
        <row r="87">
          <cell r="A87">
            <v>36650</v>
          </cell>
          <cell r="B87">
            <v>0</v>
          </cell>
          <cell r="C87" t="str">
            <v>GUARANTEE COMPANY OF NORTH AMERICA USA (THE)</v>
          </cell>
          <cell r="D87" t="str">
            <v>LA1 /  HUH</v>
          </cell>
          <cell r="E87" t="str">
            <v>LA1 / AHN</v>
          </cell>
          <cell r="F87">
            <v>0</v>
          </cell>
          <cell r="G87">
            <v>0</v>
          </cell>
          <cell r="H87">
            <v>0</v>
          </cell>
        </row>
        <row r="88">
          <cell r="A88">
            <v>11398</v>
          </cell>
          <cell r="B88">
            <v>0</v>
          </cell>
          <cell r="C88" t="str">
            <v>GUARANTEE INSURANCE COMPANY</v>
          </cell>
          <cell r="D88" t="str">
            <v>SF2 / DEMESA</v>
          </cell>
          <cell r="E88" t="str">
            <v>SF2 / DEMESA</v>
          </cell>
          <cell r="F88" t="str">
            <v>SF2 / DEMESA</v>
          </cell>
          <cell r="G88">
            <v>0</v>
          </cell>
          <cell r="H88">
            <v>0</v>
          </cell>
        </row>
        <row r="89">
          <cell r="A89">
            <v>35904</v>
          </cell>
          <cell r="B89">
            <v>0</v>
          </cell>
          <cell r="C89" t="str">
            <v>HEALTH CARE INDEMNITY, INC.</v>
          </cell>
          <cell r="D89" t="str">
            <v>SF1 / LI</v>
          </cell>
          <cell r="E89" t="str">
            <v>SF1 / LI</v>
          </cell>
          <cell r="F89">
            <v>0</v>
          </cell>
          <cell r="G89">
            <v>0</v>
          </cell>
          <cell r="H89">
            <v>0</v>
          </cell>
        </row>
        <row r="90">
          <cell r="A90">
            <v>88006</v>
          </cell>
          <cell r="B90">
            <v>0</v>
          </cell>
          <cell r="C90" t="str">
            <v>HIGHWAY LOSS DATA INSTILINTE (AO)</v>
          </cell>
          <cell r="D90" t="str">
            <v>LA3 / LIN</v>
          </cell>
          <cell r="E90" t="str">
            <v>LA3 / LIN</v>
          </cell>
          <cell r="F90">
            <v>0</v>
          </cell>
          <cell r="G90">
            <v>0</v>
          </cell>
          <cell r="H90">
            <v>0</v>
          </cell>
        </row>
        <row r="91">
          <cell r="A91">
            <v>20656</v>
          </cell>
          <cell r="B91">
            <v>0</v>
          </cell>
          <cell r="C91" t="str">
            <v>HIH AMERICA COMPENSATION &amp; LIABILITY INSURANCE COMPANY</v>
          </cell>
          <cell r="D91" t="str">
            <v>LA3 / BUGGAGE</v>
          </cell>
          <cell r="E91" t="str">
            <v>LA3 / BUGGAGE</v>
          </cell>
          <cell r="F91">
            <v>0</v>
          </cell>
          <cell r="G91">
            <v>0</v>
          </cell>
          <cell r="H91">
            <v>0</v>
          </cell>
        </row>
        <row r="92">
          <cell r="A92">
            <v>10048</v>
          </cell>
          <cell r="B92">
            <v>0</v>
          </cell>
          <cell r="C92" t="str">
            <v>HYUNDAI MARINE AND FIRE INSURANCE COMPANY, LTD</v>
          </cell>
          <cell r="D92" t="str">
            <v>LA2 / LEE</v>
          </cell>
          <cell r="E92" t="str">
            <v>LA2 / LEE</v>
          </cell>
          <cell r="F92">
            <v>0</v>
          </cell>
          <cell r="G92">
            <v>0</v>
          </cell>
          <cell r="H92">
            <v>0</v>
          </cell>
        </row>
        <row r="93">
          <cell r="A93">
            <v>11487</v>
          </cell>
          <cell r="B93">
            <v>0</v>
          </cell>
          <cell r="C93" t="str">
            <v>IMPERIAL CASUALTY AND INDEMNITY COMPANY</v>
          </cell>
          <cell r="D93" t="str">
            <v>LA2 / LEE</v>
          </cell>
          <cell r="E93" t="str">
            <v>LA2 / LEE</v>
          </cell>
          <cell r="F93">
            <v>0</v>
          </cell>
          <cell r="G93">
            <v>0</v>
          </cell>
          <cell r="H93">
            <v>0</v>
          </cell>
        </row>
        <row r="94">
          <cell r="A94">
            <v>99014</v>
          </cell>
          <cell r="B94">
            <v>0</v>
          </cell>
          <cell r="C94" t="str">
            <v>IMPROVED RISK MUTUALS (JUA)</v>
          </cell>
          <cell r="D94" t="str">
            <v>LA2 / GUAN</v>
          </cell>
          <cell r="E94" t="str">
            <v>LA2 / GUAN</v>
          </cell>
          <cell r="F94">
            <v>0</v>
          </cell>
          <cell r="G94">
            <v>0</v>
          </cell>
          <cell r="H94">
            <v>0</v>
          </cell>
        </row>
        <row r="95">
          <cell r="A95">
            <v>88007</v>
          </cell>
          <cell r="B95">
            <v>0</v>
          </cell>
          <cell r="C95" t="str">
            <v>INDEPENDENT MANUAL ADVISORY ORGANIZATION</v>
          </cell>
          <cell r="D95" t="str">
            <v>LA3 / LIN</v>
          </cell>
          <cell r="E95" t="str">
            <v>LA3 / LIN</v>
          </cell>
          <cell r="F95">
            <v>0</v>
          </cell>
          <cell r="G95">
            <v>0</v>
          </cell>
          <cell r="H95">
            <v>0</v>
          </cell>
        </row>
        <row r="96">
          <cell r="A96">
            <v>88008</v>
          </cell>
          <cell r="B96">
            <v>0</v>
          </cell>
          <cell r="C96" t="str">
            <v>INDUSTRIAL RISK INSURERS (JUA)</v>
          </cell>
          <cell r="D96" t="str">
            <v>LA2 / GUAN</v>
          </cell>
          <cell r="E96" t="str">
            <v>LA2 / GUAN</v>
          </cell>
          <cell r="F96">
            <v>0</v>
          </cell>
          <cell r="G96">
            <v>0</v>
          </cell>
          <cell r="H96">
            <v>0</v>
          </cell>
        </row>
        <row r="97">
          <cell r="A97">
            <v>88010</v>
          </cell>
          <cell r="B97">
            <v>0</v>
          </cell>
          <cell r="C97" t="str">
            <v>INLAND MARINE UNDERWRITERS ASSOCIATION (AO)</v>
          </cell>
          <cell r="D97" t="str">
            <v>LA3 / LIN</v>
          </cell>
          <cell r="E97" t="str">
            <v>LA3 / LIN</v>
          </cell>
          <cell r="F97" t="str">
            <v>SF2 / GOTERA-PITROU</v>
          </cell>
          <cell r="G97">
            <v>0</v>
          </cell>
          <cell r="H97">
            <v>0</v>
          </cell>
        </row>
        <row r="98">
          <cell r="A98">
            <v>88888</v>
          </cell>
          <cell r="B98">
            <v>0</v>
          </cell>
          <cell r="C98" t="str">
            <v>INSURANCE SERVICES OFFICES, INC (AO)</v>
          </cell>
          <cell r="D98" t="str">
            <v>LA3 / LIN</v>
          </cell>
          <cell r="E98" t="str">
            <v>LA3 / LIN</v>
          </cell>
          <cell r="F98">
            <v>0</v>
          </cell>
          <cell r="G98">
            <v>0</v>
          </cell>
          <cell r="H98">
            <v>0</v>
          </cell>
        </row>
        <row r="99">
          <cell r="A99">
            <v>99015</v>
          </cell>
          <cell r="B99">
            <v>0</v>
          </cell>
          <cell r="C99" t="str">
            <v>INTERNATIONAL AVIATION UNDERWRITERS, INCORPORATION (JUA)</v>
          </cell>
          <cell r="D99" t="str">
            <v>SF1 / LI</v>
          </cell>
          <cell r="E99" t="str">
            <v>SF1 / LI</v>
          </cell>
          <cell r="F99" t="str">
            <v>SF2 / GOTERA-PITROU</v>
          </cell>
          <cell r="G99">
            <v>0</v>
          </cell>
          <cell r="H99">
            <v>0</v>
          </cell>
        </row>
        <row r="100">
          <cell r="A100">
            <v>37800</v>
          </cell>
          <cell r="B100">
            <v>0</v>
          </cell>
          <cell r="C100" t="str">
            <v>KOOKMIN BEST INSURANCE GROUP INSURANCE CO, LTD (UNITED STATES BRANCH)</v>
          </cell>
          <cell r="D100" t="str">
            <v>LA1 /  HUH</v>
          </cell>
          <cell r="E100" t="str">
            <v>LA1 / OKPARA</v>
          </cell>
          <cell r="F100" t="str">
            <v>SF2 / GOTERA-PITROU</v>
          </cell>
          <cell r="G100">
            <v>0</v>
          </cell>
          <cell r="H100">
            <v>0</v>
          </cell>
        </row>
        <row r="101">
          <cell r="A101">
            <v>36706</v>
          </cell>
          <cell r="B101">
            <v>0</v>
          </cell>
          <cell r="C101" t="str">
            <v>LAWYERS' MUTUAL INSURANCE COMPANY</v>
          </cell>
          <cell r="D101" t="str">
            <v>SF1 / CARLSON</v>
          </cell>
          <cell r="E101" t="str">
            <v>SF1 / CARLSON</v>
          </cell>
          <cell r="F101" t="str">
            <v>SF2 / GOTERA-PITROU</v>
          </cell>
          <cell r="G101">
            <v>0</v>
          </cell>
          <cell r="H101">
            <v>0</v>
          </cell>
        </row>
        <row r="102">
          <cell r="A102">
            <v>16023</v>
          </cell>
          <cell r="B102">
            <v>0</v>
          </cell>
          <cell r="C102" t="str">
            <v>LEMONADE INSURANCE COMPANY</v>
          </cell>
          <cell r="D102" t="str">
            <v>LA2 / BAUTISTA</v>
          </cell>
          <cell r="E102" t="str">
            <v>LA2 / BAUTISTA</v>
          </cell>
          <cell r="F102">
            <v>0</v>
          </cell>
          <cell r="G102">
            <v>0</v>
          </cell>
          <cell r="H102">
            <v>0</v>
          </cell>
        </row>
        <row r="103">
          <cell r="A103">
            <v>37940</v>
          </cell>
          <cell r="B103">
            <v>0</v>
          </cell>
          <cell r="C103" t="str">
            <v>LEXINGTON NATIONAL INSURANCE CORP.</v>
          </cell>
          <cell r="D103" t="str">
            <v>LA1 /  HUH</v>
          </cell>
          <cell r="E103" t="str">
            <v>LA1 / AHN</v>
          </cell>
          <cell r="F103" t="str">
            <v>SF2 / GOTERA-PITROU</v>
          </cell>
          <cell r="G103">
            <v>0</v>
          </cell>
          <cell r="H103">
            <v>0</v>
          </cell>
        </row>
        <row r="104">
          <cell r="A104">
            <v>15466</v>
          </cell>
          <cell r="B104">
            <v>0</v>
          </cell>
          <cell r="C104" t="str">
            <v>LLOYDS NEW YORK</v>
          </cell>
          <cell r="D104" t="str">
            <v>LA1 /  HUH</v>
          </cell>
          <cell r="E104" t="str">
            <v>LA1 / AHN</v>
          </cell>
          <cell r="F104">
            <v>0</v>
          </cell>
          <cell r="G104">
            <v>0</v>
          </cell>
          <cell r="H104">
            <v>0</v>
          </cell>
        </row>
        <row r="105">
          <cell r="A105">
            <v>23108</v>
          </cell>
          <cell r="B105">
            <v>0</v>
          </cell>
          <cell r="C105" t="str">
            <v>LUMBERMENS' UNDERWRITING ALLIANCE</v>
          </cell>
          <cell r="D105" t="str">
            <v>LA2 / LEE</v>
          </cell>
          <cell r="E105" t="str">
            <v>LA2 / LEE</v>
          </cell>
          <cell r="F105">
            <v>0</v>
          </cell>
          <cell r="G105">
            <v>0</v>
          </cell>
          <cell r="H105">
            <v>0</v>
          </cell>
        </row>
        <row r="106">
          <cell r="A106">
            <v>0</v>
          </cell>
          <cell r="B106">
            <v>0</v>
          </cell>
          <cell r="C106" t="str">
            <v>MAERP REINSURANCE CORPORATION (JUA)</v>
          </cell>
          <cell r="D106" t="str">
            <v>LA1 /  HUH</v>
          </cell>
          <cell r="E106" t="str">
            <v>LA1 / AHN</v>
          </cell>
          <cell r="F106">
            <v>0</v>
          </cell>
          <cell r="G106">
            <v>0</v>
          </cell>
          <cell r="H106">
            <v>0</v>
          </cell>
        </row>
        <row r="107">
          <cell r="A107">
            <v>34460</v>
          </cell>
          <cell r="B107">
            <v>0</v>
          </cell>
          <cell r="C107" t="str">
            <v>MAIDSTONE INSURANCE COMPANY</v>
          </cell>
          <cell r="D107" t="str">
            <v>SF2 / DEMESA</v>
          </cell>
          <cell r="E107" t="str">
            <v>SF2 / DEMESA</v>
          </cell>
          <cell r="F107" t="str">
            <v>SF2 / DEMESA</v>
          </cell>
          <cell r="G107">
            <v>0</v>
          </cell>
          <cell r="H107">
            <v>0</v>
          </cell>
        </row>
        <row r="108">
          <cell r="A108">
            <v>32433</v>
          </cell>
          <cell r="B108">
            <v>0</v>
          </cell>
          <cell r="C108" t="str">
            <v>MEDICAL INSURANCE EXCHANGE OF CALIFORNIA</v>
          </cell>
          <cell r="D108" t="str">
            <v>SF2 / SALAZAR</v>
          </cell>
          <cell r="E108" t="str">
            <v>SF2 / SALAZAR</v>
          </cell>
          <cell r="F108" t="str">
            <v>SF2 / SALAZAR</v>
          </cell>
          <cell r="G108">
            <v>0</v>
          </cell>
          <cell r="H108">
            <v>0</v>
          </cell>
        </row>
        <row r="109">
          <cell r="A109">
            <v>15768</v>
          </cell>
          <cell r="B109">
            <v>0</v>
          </cell>
          <cell r="C109" t="str">
            <v>MERCED PROPERTY &amp; CASUALTY INSURANCE COMPANY</v>
          </cell>
          <cell r="D109" t="str">
            <v>SF1 / POON</v>
          </cell>
          <cell r="E109" t="str">
            <v>SF1 / POON</v>
          </cell>
          <cell r="F109">
            <v>0</v>
          </cell>
          <cell r="G109">
            <v>0</v>
          </cell>
          <cell r="H109">
            <v>0</v>
          </cell>
        </row>
        <row r="110">
          <cell r="A110">
            <v>16187</v>
          </cell>
          <cell r="B110">
            <v>0</v>
          </cell>
          <cell r="C110" t="str">
            <v>METROMILE INSURANCE COMPANY</v>
          </cell>
          <cell r="D110" t="str">
            <v>LA3 / LIN</v>
          </cell>
          <cell r="E110" t="str">
            <v>LA3 / LIN</v>
          </cell>
          <cell r="F110">
            <v>0</v>
          </cell>
          <cell r="G110">
            <v>0</v>
          </cell>
          <cell r="H110">
            <v>0</v>
          </cell>
        </row>
        <row r="111">
          <cell r="A111">
            <v>40150</v>
          </cell>
          <cell r="B111">
            <v>0</v>
          </cell>
          <cell r="C111" t="str">
            <v>MGA INSURANCE COMPANY, INC.</v>
          </cell>
          <cell r="D111" t="str">
            <v>LA1 /  HUH</v>
          </cell>
          <cell r="E111" t="str">
            <v>LA1 / OKPARA</v>
          </cell>
          <cell r="F111">
            <v>0</v>
          </cell>
          <cell r="G111">
            <v>0</v>
          </cell>
          <cell r="H111">
            <v>0</v>
          </cell>
        </row>
        <row r="112">
          <cell r="A112">
            <v>23531</v>
          </cell>
          <cell r="B112">
            <v>0</v>
          </cell>
          <cell r="C112" t="str">
            <v>MILLERS  INSURANCE COMPANY (THE)</v>
          </cell>
          <cell r="D112" t="str">
            <v>LA1 /  HUH</v>
          </cell>
          <cell r="E112" t="str">
            <v>LA1 / OKPARA</v>
          </cell>
          <cell r="F112">
            <v>0</v>
          </cell>
          <cell r="G112">
            <v>0</v>
          </cell>
          <cell r="H112">
            <v>0</v>
          </cell>
        </row>
        <row r="113">
          <cell r="A113">
            <v>24651</v>
          </cell>
          <cell r="B113">
            <v>0</v>
          </cell>
          <cell r="C113" t="str">
            <v>MULTIPLUS INSURANCE COMPANY (see US Capital Insurance Company)</v>
          </cell>
          <cell r="D113" t="str">
            <v>LA1 /  HUH</v>
          </cell>
          <cell r="E113" t="str">
            <v>LA1 / OKPARA</v>
          </cell>
          <cell r="F113">
            <v>0</v>
          </cell>
          <cell r="G113">
            <v>0</v>
          </cell>
          <cell r="H113">
            <v>0</v>
          </cell>
        </row>
        <row r="114">
          <cell r="A114">
            <v>99018</v>
          </cell>
          <cell r="B114">
            <v>0</v>
          </cell>
          <cell r="C114" t="str">
            <v>MUNICIPAL BOND INSURANCE ASSOCIATION (JUA)</v>
          </cell>
          <cell r="D114" t="str">
            <v>SF1 / LI</v>
          </cell>
          <cell r="E114" t="str">
            <v>SF1 / LI</v>
          </cell>
          <cell r="F114">
            <v>0</v>
          </cell>
          <cell r="G114">
            <v>0</v>
          </cell>
          <cell r="H114">
            <v>0</v>
          </cell>
        </row>
        <row r="115">
          <cell r="A115">
            <v>10002</v>
          </cell>
          <cell r="B115">
            <v>0</v>
          </cell>
          <cell r="C115" t="str">
            <v>MUNICIPAL MUTUAL INSURANCE COMPANY</v>
          </cell>
          <cell r="D115" t="str">
            <v>SF1 / LI</v>
          </cell>
          <cell r="E115" t="str">
            <v>SF1 / LI</v>
          </cell>
          <cell r="F115">
            <v>0</v>
          </cell>
          <cell r="G115">
            <v>0</v>
          </cell>
          <cell r="H115">
            <v>0</v>
          </cell>
        </row>
        <row r="116">
          <cell r="A116">
            <v>18899</v>
          </cell>
          <cell r="B116">
            <v>0</v>
          </cell>
          <cell r="C116" t="str">
            <v>MUTUAL ASSURANCE COMPANY</v>
          </cell>
          <cell r="D116" t="str">
            <v>LA1 /  HUH</v>
          </cell>
          <cell r="E116" t="str">
            <v>LA1 / AHN</v>
          </cell>
          <cell r="F116">
            <v>0</v>
          </cell>
          <cell r="G116">
            <v>0</v>
          </cell>
          <cell r="H116">
            <v>0</v>
          </cell>
        </row>
        <row r="117">
          <cell r="A117">
            <v>99020</v>
          </cell>
          <cell r="B117">
            <v>0</v>
          </cell>
          <cell r="C117" t="str">
            <v>MUTUAL AVIATION CASUALTY UNDERWRITERS (JUA)</v>
          </cell>
          <cell r="D117" t="str">
            <v>LA2 / GUAN</v>
          </cell>
          <cell r="E117" t="str">
            <v>LA2 / GUAN</v>
          </cell>
          <cell r="F117">
            <v>0</v>
          </cell>
          <cell r="G117">
            <v>0</v>
          </cell>
          <cell r="H117">
            <v>0</v>
          </cell>
        </row>
        <row r="118">
          <cell r="A118">
            <v>99021</v>
          </cell>
          <cell r="B118">
            <v>0</v>
          </cell>
          <cell r="C118" t="str">
            <v>MUTUAL REINSURANCE BUREAU (JUA)</v>
          </cell>
          <cell r="D118" t="str">
            <v>SF2 / SALAZAR</v>
          </cell>
          <cell r="E118" t="str">
            <v>SF2 / SALAZAR</v>
          </cell>
          <cell r="F118" t="str">
            <v>SF2 / SALAZAR</v>
          </cell>
          <cell r="G118">
            <v>0</v>
          </cell>
          <cell r="H118">
            <v>0</v>
          </cell>
        </row>
        <row r="119">
          <cell r="A119">
            <v>88012</v>
          </cell>
          <cell r="B119">
            <v>0</v>
          </cell>
          <cell r="C119" t="str">
            <v>NATIONAL ASSOCATION OF INDEPENDENT INSURERS (AO)</v>
          </cell>
          <cell r="D119" t="str">
            <v>LA3 / LIN</v>
          </cell>
          <cell r="E119" t="str">
            <v>LA3 / LIN</v>
          </cell>
          <cell r="F119">
            <v>0</v>
          </cell>
          <cell r="G119">
            <v>0</v>
          </cell>
          <cell r="H119">
            <v>0</v>
          </cell>
        </row>
        <row r="120">
          <cell r="A120">
            <v>88013</v>
          </cell>
          <cell r="B120">
            <v>0</v>
          </cell>
          <cell r="C120" t="str">
            <v>NATIONAL COMMITTEE ON PROPERTY INSURANCE (AO)</v>
          </cell>
          <cell r="D120" t="str">
            <v>LA3 / LIN</v>
          </cell>
          <cell r="E120" t="str">
            <v>LA3 / LIN</v>
          </cell>
          <cell r="F120">
            <v>0</v>
          </cell>
          <cell r="G120">
            <v>0</v>
          </cell>
          <cell r="H120">
            <v>0</v>
          </cell>
        </row>
        <row r="121">
          <cell r="A121">
            <v>88014</v>
          </cell>
          <cell r="B121">
            <v>0</v>
          </cell>
          <cell r="C121" t="str">
            <v>NATIONAL COUNCIL ON COMPENSATION INSURANCE (AO)</v>
          </cell>
          <cell r="D121" t="str">
            <v>LA3 / LIN</v>
          </cell>
          <cell r="E121" t="str">
            <v>LA3 / LIN</v>
          </cell>
          <cell r="F121">
            <v>0</v>
          </cell>
          <cell r="G121">
            <v>0</v>
          </cell>
          <cell r="H121">
            <v>0</v>
          </cell>
        </row>
        <row r="122">
          <cell r="A122">
            <v>88015</v>
          </cell>
          <cell r="B122">
            <v>0</v>
          </cell>
          <cell r="C122" t="str">
            <v>NATIONAL CROP INSURANCE SERVICES, INC. (AO)</v>
          </cell>
          <cell r="D122" t="str">
            <v>LA3 / LIN</v>
          </cell>
          <cell r="E122" t="str">
            <v>LA3 / LIN</v>
          </cell>
          <cell r="F122">
            <v>0</v>
          </cell>
          <cell r="G122">
            <v>0</v>
          </cell>
          <cell r="H122">
            <v>0</v>
          </cell>
        </row>
        <row r="123">
          <cell r="A123">
            <v>88016</v>
          </cell>
          <cell r="B123">
            <v>0</v>
          </cell>
          <cell r="C123" t="str">
            <v>NATIONAL INDEPENDENT STATISTICAL SERVICE (AO)</v>
          </cell>
          <cell r="D123" t="str">
            <v>LA3 / LIN</v>
          </cell>
          <cell r="E123" t="str">
            <v>LA3 / LIN</v>
          </cell>
          <cell r="F123">
            <v>0</v>
          </cell>
          <cell r="G123">
            <v>0</v>
          </cell>
          <cell r="H123">
            <v>0</v>
          </cell>
        </row>
        <row r="124">
          <cell r="A124">
            <v>19119</v>
          </cell>
          <cell r="B124">
            <v>0</v>
          </cell>
          <cell r="C124" t="str">
            <v>NATIONAL UNITY INSURANCE COMPANY</v>
          </cell>
          <cell r="D124" t="str">
            <v>SF1 / LI</v>
          </cell>
          <cell r="E124" t="str">
            <v>SF1 / LI</v>
          </cell>
          <cell r="F124">
            <v>0</v>
          </cell>
          <cell r="G124">
            <v>0</v>
          </cell>
          <cell r="H124">
            <v>0</v>
          </cell>
        </row>
        <row r="125">
          <cell r="A125">
            <v>13127</v>
          </cell>
          <cell r="B125">
            <v>0</v>
          </cell>
          <cell r="C125" t="str">
            <v>NATIONS INSURANCE COMPANY</v>
          </cell>
          <cell r="D125" t="str">
            <v>LA1 /  HUH</v>
          </cell>
          <cell r="E125" t="str">
            <v>LA1 / AHN</v>
          </cell>
          <cell r="F125">
            <v>0</v>
          </cell>
          <cell r="G125">
            <v>0</v>
          </cell>
          <cell r="H125">
            <v>0</v>
          </cell>
        </row>
        <row r="126">
          <cell r="A126">
            <v>26565</v>
          </cell>
          <cell r="B126">
            <v>0</v>
          </cell>
          <cell r="C126" t="str">
            <v>OHIO INDEMNITY COMPANY</v>
          </cell>
          <cell r="D126" t="str">
            <v>SF1 / CARLSON</v>
          </cell>
          <cell r="E126" t="str">
            <v>SF1 / CARLSON</v>
          </cell>
          <cell r="F126">
            <v>0</v>
          </cell>
          <cell r="G126">
            <v>0</v>
          </cell>
          <cell r="H126">
            <v>0</v>
          </cell>
        </row>
        <row r="127">
          <cell r="A127">
            <v>88017</v>
          </cell>
          <cell r="B127">
            <v>0</v>
          </cell>
          <cell r="C127" t="str">
            <v>OIL INSURANCE ASSOCIATION (also JUA)</v>
          </cell>
          <cell r="D127" t="str">
            <v>LA1 /  HUH</v>
          </cell>
          <cell r="E127" t="str">
            <v>LA1 / OKPARA</v>
          </cell>
          <cell r="F127">
            <v>0</v>
          </cell>
          <cell r="G127">
            <v>0</v>
          </cell>
          <cell r="H127">
            <v>0</v>
          </cell>
        </row>
        <row r="128">
          <cell r="A128">
            <v>1</v>
          </cell>
          <cell r="B128">
            <v>0</v>
          </cell>
          <cell r="C128" t="str">
            <v>ONEBEACON SPECIALTY INSURANCE COMPANY</v>
          </cell>
          <cell r="D128" t="str">
            <v>SF2 / DEMESA</v>
          </cell>
          <cell r="E128" t="str">
            <v>SF2 / DEMESA</v>
          </cell>
          <cell r="F128" t="str">
            <v>SF2 / DEMESA</v>
          </cell>
          <cell r="G128">
            <v>0</v>
          </cell>
          <cell r="H128">
            <v>0</v>
          </cell>
        </row>
        <row r="129">
          <cell r="A129">
            <v>15385</v>
          </cell>
          <cell r="B129">
            <v>0</v>
          </cell>
          <cell r="C129" t="str">
            <v>ONECIS INSURANCE COMPANY</v>
          </cell>
          <cell r="D129" t="str">
            <v>LA2 / LEE</v>
          </cell>
          <cell r="E129" t="str">
            <v>LA2 / LEE</v>
          </cell>
          <cell r="F129">
            <v>0</v>
          </cell>
          <cell r="G129">
            <v>0</v>
          </cell>
          <cell r="H129">
            <v>0</v>
          </cell>
        </row>
        <row r="130">
          <cell r="A130">
            <v>40550</v>
          </cell>
          <cell r="B130">
            <v>0</v>
          </cell>
          <cell r="C130" t="str">
            <v>PACIFIC PIONEER INSURANCE COMPANY</v>
          </cell>
          <cell r="D130" t="str">
            <v>LA2 / BAUTISTA</v>
          </cell>
          <cell r="E130" t="str">
            <v>LA2 / BAUTISTA</v>
          </cell>
          <cell r="F130">
            <v>0</v>
          </cell>
          <cell r="G130">
            <v>0</v>
          </cell>
          <cell r="H130">
            <v>0</v>
          </cell>
        </row>
        <row r="131">
          <cell r="A131">
            <v>30570</v>
          </cell>
          <cell r="B131">
            <v>0</v>
          </cell>
          <cell r="C131" t="str">
            <v>PACIFIC RIM ASSURANCE COMPANY</v>
          </cell>
          <cell r="D131" t="str">
            <v>LA2 / LEE</v>
          </cell>
          <cell r="E131" t="str">
            <v>LA2 / LEE</v>
          </cell>
          <cell r="F131">
            <v>0</v>
          </cell>
          <cell r="G131">
            <v>0</v>
          </cell>
          <cell r="H131">
            <v>0</v>
          </cell>
        </row>
        <row r="132">
          <cell r="A132">
            <v>20338</v>
          </cell>
          <cell r="B132">
            <v>0</v>
          </cell>
          <cell r="C132" t="str">
            <v>PALOMAR SPECIALTY INSURANCE COMPANY</v>
          </cell>
          <cell r="D132" t="str">
            <v>SF1 / POON</v>
          </cell>
          <cell r="E132" t="str">
            <v>SF1 / POON</v>
          </cell>
          <cell r="F132" t="str">
            <v>SF2 / GOTERA-PITROU</v>
          </cell>
          <cell r="G132">
            <v>0</v>
          </cell>
          <cell r="H132">
            <v>0</v>
          </cell>
        </row>
        <row r="133">
          <cell r="A133">
            <v>22250</v>
          </cell>
          <cell r="B133">
            <v>0</v>
          </cell>
          <cell r="C133" t="str">
            <v>PATHFINDER INSURANCE COMPANY (Name changed to BlueShore Insurance Company, effective December 29,2014)</v>
          </cell>
          <cell r="D133" t="str">
            <v>LA1 /  HUH</v>
          </cell>
          <cell r="E133" t="str">
            <v>LA1 / OKPARA</v>
          </cell>
          <cell r="F133">
            <v>0</v>
          </cell>
          <cell r="G133">
            <v>0</v>
          </cell>
          <cell r="H133">
            <v>0</v>
          </cell>
        </row>
        <row r="134">
          <cell r="A134">
            <v>23442</v>
          </cell>
          <cell r="B134">
            <v>0</v>
          </cell>
          <cell r="C134" t="str">
            <v>PATRIOT GENERAL INSURANCE COMPANY</v>
          </cell>
          <cell r="D134" t="str">
            <v>SF1 / LI</v>
          </cell>
          <cell r="E134" t="str">
            <v>SF1 / LI</v>
          </cell>
          <cell r="F134">
            <v>0</v>
          </cell>
          <cell r="G134">
            <v>0</v>
          </cell>
          <cell r="H134">
            <v>0</v>
          </cell>
        </row>
        <row r="135">
          <cell r="A135">
            <v>25755</v>
          </cell>
          <cell r="B135">
            <v>0</v>
          </cell>
          <cell r="C135" t="str">
            <v>PEACHTREE CASUALTY INSURANCE COMPANY</v>
          </cell>
          <cell r="D135" t="str">
            <v>LA1 /  HUH</v>
          </cell>
          <cell r="E135" t="str">
            <v>LA1 / AHN</v>
          </cell>
          <cell r="F135">
            <v>0</v>
          </cell>
          <cell r="G135">
            <v>0</v>
          </cell>
          <cell r="H135">
            <v>0</v>
          </cell>
        </row>
        <row r="136">
          <cell r="A136">
            <v>12297</v>
          </cell>
          <cell r="B136">
            <v>0</v>
          </cell>
          <cell r="C136" t="str">
            <v>PETROLEUM CASUALTY COMPANY</v>
          </cell>
          <cell r="D136" t="str">
            <v>LA2 / LEE</v>
          </cell>
          <cell r="E136" t="str">
            <v>LA2 / LEE</v>
          </cell>
          <cell r="F136" t="str">
            <v>SF2 / GOTERA-PITROU</v>
          </cell>
          <cell r="G136">
            <v>0</v>
          </cell>
          <cell r="H136">
            <v>0</v>
          </cell>
        </row>
        <row r="137">
          <cell r="A137">
            <v>12319</v>
          </cell>
          <cell r="B137">
            <v>0</v>
          </cell>
          <cell r="C137" t="str">
            <v>PHILADELPHIA REINSURANCE CORPORATION</v>
          </cell>
          <cell r="D137" t="str">
            <v>LA2 / GUAN</v>
          </cell>
          <cell r="E137" t="str">
            <v>LA2 / GUAN</v>
          </cell>
          <cell r="F137" t="str">
            <v>SF2 / GOTERA-PITROU</v>
          </cell>
          <cell r="G137">
            <v>0</v>
          </cell>
          <cell r="H137">
            <v>0</v>
          </cell>
        </row>
        <row r="138">
          <cell r="A138">
            <v>16772</v>
          </cell>
          <cell r="B138">
            <v>0</v>
          </cell>
          <cell r="C138" t="str">
            <v>PINNACLE INSURANCE COMPANY</v>
          </cell>
          <cell r="D138" t="str">
            <v>SF1 / POON</v>
          </cell>
          <cell r="E138" t="str">
            <v>SF1 / POON</v>
          </cell>
          <cell r="F138" t="str">
            <v>SF2 / GOTERA-PITROU</v>
          </cell>
          <cell r="G138">
            <v>0</v>
          </cell>
          <cell r="H138">
            <v>0</v>
          </cell>
        </row>
        <row r="139">
          <cell r="A139">
            <v>36633</v>
          </cell>
          <cell r="B139">
            <v>0</v>
          </cell>
          <cell r="C139" t="str">
            <v>PREMIER ALLIANCE INS CO (in liquidation 8-2-94)</v>
          </cell>
          <cell r="D139" t="str">
            <v>SF2 / SALAZAR</v>
          </cell>
          <cell r="E139" t="str">
            <v>SF2 / SALAZAR</v>
          </cell>
          <cell r="F139" t="str">
            <v>SF2 / SALAZAR</v>
          </cell>
          <cell r="G139">
            <v>0</v>
          </cell>
          <cell r="H139">
            <v>0</v>
          </cell>
        </row>
        <row r="140">
          <cell r="A140">
            <v>14133</v>
          </cell>
          <cell r="B140">
            <v>0</v>
          </cell>
          <cell r="C140" t="str">
            <v>QUALITAS INSURANCE COMPANY</v>
          </cell>
          <cell r="D140" t="str">
            <v>SF1 / CARLSON</v>
          </cell>
          <cell r="E140" t="str">
            <v>SF1 / CARLSON</v>
          </cell>
          <cell r="F140" t="str">
            <v>SF2 / GOTERA-PITROU</v>
          </cell>
          <cell r="G140">
            <v>0</v>
          </cell>
          <cell r="H140">
            <v>0</v>
          </cell>
        </row>
        <row r="141">
          <cell r="A141">
            <v>23132</v>
          </cell>
          <cell r="B141">
            <v>0</v>
          </cell>
          <cell r="C141" t="str">
            <v>R.V.I. AMERICA INSURANCE COMPANY</v>
          </cell>
          <cell r="D141" t="str">
            <v>SF1 / POON</v>
          </cell>
          <cell r="E141" t="str">
            <v>SF1 / POON</v>
          </cell>
          <cell r="F141">
            <v>0</v>
          </cell>
          <cell r="G141">
            <v>0</v>
          </cell>
          <cell r="H141">
            <v>0</v>
          </cell>
        </row>
        <row r="142">
          <cell r="A142">
            <v>99022</v>
          </cell>
          <cell r="B142">
            <v>0</v>
          </cell>
          <cell r="C142" t="str">
            <v>RAILROAD INSURANCE UNDERWRITERS (JUA)</v>
          </cell>
          <cell r="D142" t="str">
            <v>LA1 /  HUH</v>
          </cell>
          <cell r="E142" t="str">
            <v>LA1 / OKPARA</v>
          </cell>
          <cell r="F142">
            <v>0</v>
          </cell>
          <cell r="G142">
            <v>0</v>
          </cell>
          <cell r="H142">
            <v>0</v>
          </cell>
        </row>
        <row r="143">
          <cell r="A143">
            <v>99023</v>
          </cell>
          <cell r="B143">
            <v>0</v>
          </cell>
          <cell r="C143" t="str">
            <v>RAILROAD TRANSPORTATION INSURERS (JUA)</v>
          </cell>
          <cell r="D143" t="str">
            <v>LA2 / GUAN</v>
          </cell>
          <cell r="E143" t="str">
            <v>LA2 / GUAN</v>
          </cell>
          <cell r="F143">
            <v>0</v>
          </cell>
          <cell r="G143">
            <v>0</v>
          </cell>
          <cell r="H143">
            <v>0</v>
          </cell>
        </row>
        <row r="144">
          <cell r="A144">
            <v>99024</v>
          </cell>
          <cell r="B144">
            <v>0</v>
          </cell>
          <cell r="C144" t="str">
            <v>RAIN AND HAIL INSURANCE BUREAU (JUA)</v>
          </cell>
          <cell r="D144" t="str">
            <v>SF2 / SALAZAR</v>
          </cell>
          <cell r="E144" t="str">
            <v>SF2 / SALAZAR</v>
          </cell>
          <cell r="F144" t="str">
            <v>SF2 / SALAZAR</v>
          </cell>
          <cell r="G144">
            <v>0</v>
          </cell>
          <cell r="H144">
            <v>0</v>
          </cell>
        </row>
        <row r="145">
          <cell r="A145">
            <v>99025</v>
          </cell>
          <cell r="B145">
            <v>0</v>
          </cell>
          <cell r="C145" t="str">
            <v>REGISTERED MAIL INSURANCE ASSOCIATION (JUA)</v>
          </cell>
          <cell r="D145" t="str">
            <v>LA1 /  HUH</v>
          </cell>
          <cell r="E145" t="str">
            <v>LA1 / OKPARA</v>
          </cell>
          <cell r="F145">
            <v>0</v>
          </cell>
          <cell r="G145">
            <v>0</v>
          </cell>
          <cell r="H145">
            <v>0</v>
          </cell>
        </row>
        <row r="146">
          <cell r="A146">
            <v>24457</v>
          </cell>
          <cell r="B146">
            <v>0</v>
          </cell>
          <cell r="C146" t="str">
            <v>RELIANCE INSURANCE COMPANY</v>
          </cell>
          <cell r="D146" t="str">
            <v>LA2 / BAUTISTA</v>
          </cell>
          <cell r="E146" t="str">
            <v>LA2 / BAUTISTA</v>
          </cell>
          <cell r="F146" t="str">
            <v>SF2 / GOTERA-PITROU</v>
          </cell>
          <cell r="G146">
            <v>0</v>
          </cell>
          <cell r="H146">
            <v>0</v>
          </cell>
        </row>
        <row r="147">
          <cell r="A147">
            <v>12491</v>
          </cell>
          <cell r="B147">
            <v>0</v>
          </cell>
          <cell r="C147" t="str">
            <v>ROCHDALE INSURANCE COMPANY</v>
          </cell>
          <cell r="D147" t="str">
            <v>SF1 / LI</v>
          </cell>
          <cell r="E147" t="str">
            <v>SF1 / LI</v>
          </cell>
          <cell r="F147" t="str">
            <v>SF2 / GOTERA-PITROU</v>
          </cell>
          <cell r="G147">
            <v>0</v>
          </cell>
          <cell r="H147">
            <v>0</v>
          </cell>
        </row>
        <row r="148">
          <cell r="A148">
            <v>10974</v>
          </cell>
          <cell r="B148">
            <v>0</v>
          </cell>
          <cell r="C148" t="str">
            <v>ROOT INSURANCE COMPANY</v>
          </cell>
          <cell r="D148" t="str">
            <v>LA1 / HUH</v>
          </cell>
          <cell r="E148" t="str">
            <v>LA1 / HUH</v>
          </cell>
          <cell r="F148">
            <v>0</v>
          </cell>
          <cell r="G148">
            <v>0</v>
          </cell>
          <cell r="H148">
            <v>0</v>
          </cell>
        </row>
        <row r="149">
          <cell r="A149">
            <v>10823</v>
          </cell>
          <cell r="B149">
            <v>0</v>
          </cell>
          <cell r="C149" t="str">
            <v>SABLE INSURANCE COMPANY</v>
          </cell>
          <cell r="D149" t="str">
            <v>SF2 / SALAZAR</v>
          </cell>
          <cell r="E149" t="str">
            <v>SF2 / SALAZAR</v>
          </cell>
          <cell r="F149" t="str">
            <v>SF2 / SALAZAR</v>
          </cell>
          <cell r="G149">
            <v>0</v>
          </cell>
          <cell r="H149">
            <v>0</v>
          </cell>
        </row>
        <row r="150">
          <cell r="A150">
            <v>25405</v>
          </cell>
          <cell r="B150">
            <v>0</v>
          </cell>
          <cell r="C150" t="str">
            <v>SAFE AUTO INSURANCE COMPANY</v>
          </cell>
          <cell r="D150" t="str">
            <v>LA1 /  HUH</v>
          </cell>
          <cell r="E150" t="str">
            <v>LA1 / OKPARA</v>
          </cell>
          <cell r="F150">
            <v>0</v>
          </cell>
          <cell r="G150">
            <v>0</v>
          </cell>
          <cell r="H150">
            <v>0</v>
          </cell>
        </row>
        <row r="151">
          <cell r="A151">
            <v>38300</v>
          </cell>
          <cell r="B151">
            <v>0</v>
          </cell>
          <cell r="C151" t="str">
            <v>SAMSUNG FIRE &amp; MARINE INSURANCE COMPANY, LTD. (U. S. Branch) (not with CHUBB group)</v>
          </cell>
          <cell r="D151" t="str">
            <v>SF1 / POON</v>
          </cell>
          <cell r="E151" t="str">
            <v>SF1 / POON</v>
          </cell>
          <cell r="F151">
            <v>0</v>
          </cell>
          <cell r="G151">
            <v>0</v>
          </cell>
          <cell r="H151">
            <v>0</v>
          </cell>
        </row>
        <row r="152">
          <cell r="A152">
            <v>10004</v>
          </cell>
          <cell r="B152">
            <v>0</v>
          </cell>
          <cell r="C152" t="str">
            <v>SEAVIEW INSURANCE COMPANY</v>
          </cell>
          <cell r="D152" t="str">
            <v>LA1 /  HUH</v>
          </cell>
          <cell r="E152" t="str">
            <v>LA1 / OKPARA</v>
          </cell>
          <cell r="F152">
            <v>0</v>
          </cell>
          <cell r="G152">
            <v>0</v>
          </cell>
          <cell r="H152">
            <v>0</v>
          </cell>
        </row>
        <row r="153">
          <cell r="A153">
            <v>24376</v>
          </cell>
          <cell r="B153">
            <v>0</v>
          </cell>
          <cell r="C153" t="str">
            <v>SPINNAKER INSURANCE COMPANY</v>
          </cell>
          <cell r="D153" t="str">
            <v>SF2 / DEMESA</v>
          </cell>
          <cell r="E153" t="str">
            <v>SF2 / DEMESA</v>
          </cell>
          <cell r="F153" t="str">
            <v>SF2 / DEMESA</v>
          </cell>
          <cell r="G153">
            <v>0</v>
          </cell>
          <cell r="H153">
            <v>0</v>
          </cell>
        </row>
        <row r="154">
          <cell r="A154">
            <v>35076</v>
          </cell>
          <cell r="B154">
            <v>0</v>
          </cell>
          <cell r="C154" t="str">
            <v>STATE COMPENSATION INSURANCE FUND</v>
          </cell>
          <cell r="D154" t="str">
            <v>LA3 / BUGGAGE</v>
          </cell>
          <cell r="E154" t="str">
            <v>LA3 / BUGGAGE</v>
          </cell>
          <cell r="F154">
            <v>0</v>
          </cell>
          <cell r="G154">
            <v>0</v>
          </cell>
          <cell r="H154">
            <v>0</v>
          </cell>
        </row>
        <row r="155">
          <cell r="A155">
            <v>12878</v>
          </cell>
          <cell r="B155">
            <v>0</v>
          </cell>
          <cell r="C155" t="str">
            <v>STERLING CASUALTY INSURANCE COMPANY</v>
          </cell>
          <cell r="D155" t="str">
            <v>LA2 / GUAN</v>
          </cell>
          <cell r="E155" t="str">
            <v>LA2 / GUAN</v>
          </cell>
          <cell r="F155">
            <v>0</v>
          </cell>
          <cell r="G155">
            <v>0</v>
          </cell>
          <cell r="H155">
            <v>0</v>
          </cell>
        </row>
        <row r="156">
          <cell r="A156">
            <v>99026</v>
          </cell>
          <cell r="B156">
            <v>0</v>
          </cell>
          <cell r="C156" t="str">
            <v>STOCK COMPANY ASSOCIATION</v>
          </cell>
          <cell r="D156" t="str">
            <v>LA2 / GUAN</v>
          </cell>
          <cell r="E156" t="str">
            <v>LA2 / GUAN</v>
          </cell>
          <cell r="F156">
            <v>0</v>
          </cell>
          <cell r="G156">
            <v>0</v>
          </cell>
          <cell r="H156">
            <v>0</v>
          </cell>
        </row>
        <row r="157">
          <cell r="A157">
            <v>37753</v>
          </cell>
          <cell r="B157">
            <v>0</v>
          </cell>
          <cell r="C157" t="str">
            <v>SUPERIOR NATIONAL INSURANCE COMPANY</v>
          </cell>
          <cell r="D157" t="str">
            <v>LA2 / LEE</v>
          </cell>
          <cell r="E157" t="str">
            <v>LA2 / LEE</v>
          </cell>
          <cell r="F157">
            <v>0</v>
          </cell>
          <cell r="G157">
            <v>0</v>
          </cell>
          <cell r="H157">
            <v>0</v>
          </cell>
        </row>
        <row r="158">
          <cell r="A158">
            <v>30570</v>
          </cell>
          <cell r="B158">
            <v>0</v>
          </cell>
          <cell r="C158" t="str">
            <v>SUPERIOR PACIFIC CASUALTY COMPANY</v>
          </cell>
          <cell r="D158" t="str">
            <v>LA2 / LEE</v>
          </cell>
          <cell r="E158" t="str">
            <v>LA2 / LEE</v>
          </cell>
          <cell r="F158">
            <v>0</v>
          </cell>
          <cell r="G158">
            <v>0</v>
          </cell>
          <cell r="H158">
            <v>0</v>
          </cell>
        </row>
        <row r="159">
          <cell r="A159">
            <v>88018</v>
          </cell>
          <cell r="B159">
            <v>0</v>
          </cell>
          <cell r="C159" t="str">
            <v>SURETY ASSOCIATION OF AMERICA (AO)</v>
          </cell>
          <cell r="D159" t="str">
            <v>LA3 / LIN</v>
          </cell>
          <cell r="E159" t="str">
            <v>LA3 / LIN</v>
          </cell>
          <cell r="F159">
            <v>0</v>
          </cell>
          <cell r="G159">
            <v>0</v>
          </cell>
          <cell r="H159">
            <v>0</v>
          </cell>
        </row>
        <row r="160">
          <cell r="A160">
            <v>20311</v>
          </cell>
          <cell r="B160">
            <v>0</v>
          </cell>
          <cell r="C160" t="str">
            <v>SYNCORA GUARANTEE INC.</v>
          </cell>
          <cell r="D160" t="str">
            <v>SF1 / POON</v>
          </cell>
          <cell r="E160" t="str">
            <v>SF1 / POON</v>
          </cell>
          <cell r="F160" t="str">
            <v>SF2 / GOTERA-PITROU</v>
          </cell>
          <cell r="G160">
            <v>0</v>
          </cell>
          <cell r="H160">
            <v>0</v>
          </cell>
        </row>
        <row r="161">
          <cell r="A161">
            <v>42749</v>
          </cell>
          <cell r="B161">
            <v>0</v>
          </cell>
          <cell r="C161" t="str">
            <v>TRADERS INSURANCE COMPANY</v>
          </cell>
          <cell r="D161" t="str">
            <v>LA1 /  HUH</v>
          </cell>
          <cell r="E161" t="str">
            <v>LA1 / AHN</v>
          </cell>
          <cell r="F161">
            <v>0</v>
          </cell>
          <cell r="G161">
            <v>0</v>
          </cell>
          <cell r="H161">
            <v>0</v>
          </cell>
        </row>
        <row r="162">
          <cell r="A162">
            <v>28535</v>
          </cell>
          <cell r="B162">
            <v>0</v>
          </cell>
          <cell r="C162" t="str">
            <v>TRIANGLE INSURANCE COMPANY, INC.</v>
          </cell>
          <cell r="D162" t="str">
            <v>LA1 /  HUH</v>
          </cell>
          <cell r="E162" t="str">
            <v>LA1 / OKPARA</v>
          </cell>
          <cell r="F162">
            <v>0</v>
          </cell>
          <cell r="G162">
            <v>0</v>
          </cell>
          <cell r="H162">
            <v>0</v>
          </cell>
        </row>
        <row r="163">
          <cell r="A163">
            <v>23256</v>
          </cell>
          <cell r="B163">
            <v>0</v>
          </cell>
          <cell r="C163" t="str">
            <v>UNITED SOUTHERN ASSURANCE COMPANY</v>
          </cell>
          <cell r="D163" t="str">
            <v>SF1 / POON</v>
          </cell>
          <cell r="E163" t="str">
            <v>SF1 / POON</v>
          </cell>
          <cell r="F163">
            <v>0</v>
          </cell>
          <cell r="G163">
            <v>0</v>
          </cell>
          <cell r="H163">
            <v>0</v>
          </cell>
        </row>
        <row r="164">
          <cell r="A164">
            <v>99027</v>
          </cell>
          <cell r="B164">
            <v>0</v>
          </cell>
          <cell r="C164" t="str">
            <v>UNITED STATES AIRCRAFT INSURANCE GROUP (UNITED STATES AVIATION UNDERWRITERS, INC., MANAGER) (JUA)</v>
          </cell>
          <cell r="D164" t="str">
            <v>SF1 / LI</v>
          </cell>
          <cell r="E164" t="str">
            <v>SF1 / LI</v>
          </cell>
          <cell r="F164">
            <v>0</v>
          </cell>
          <cell r="G164">
            <v>0</v>
          </cell>
          <cell r="H164">
            <v>0</v>
          </cell>
        </row>
        <row r="165">
          <cell r="A165">
            <v>29998</v>
          </cell>
          <cell r="B165">
            <v>0</v>
          </cell>
          <cell r="C165" t="str">
            <v>UPPER HUDSON NATIONAL INSURANCE COMPANY</v>
          </cell>
          <cell r="D165" t="str">
            <v>LA1 /  HUH</v>
          </cell>
          <cell r="E165" t="str">
            <v>LA1 / OKPARA</v>
          </cell>
          <cell r="F165" t="str">
            <v>SF2 / GOTERA-PITROU</v>
          </cell>
          <cell r="G165">
            <v>0</v>
          </cell>
          <cell r="H165">
            <v>0</v>
          </cell>
        </row>
        <row r="166">
          <cell r="A166">
            <v>13</v>
          </cell>
          <cell r="B166">
            <v>0</v>
          </cell>
          <cell r="C166" t="str">
            <v>US AVIATION UNDERWRTIERS, INCORPORATION</v>
          </cell>
          <cell r="D166" t="str">
            <v>LA2 / GUAN</v>
          </cell>
          <cell r="E166" t="str">
            <v>LA2 / GUAN</v>
          </cell>
          <cell r="F166">
            <v>0</v>
          </cell>
          <cell r="G166">
            <v>0</v>
          </cell>
          <cell r="H166">
            <v>0</v>
          </cell>
        </row>
        <row r="167">
          <cell r="A167">
            <v>24651</v>
          </cell>
          <cell r="B167">
            <v>0</v>
          </cell>
          <cell r="C167" t="str">
            <v>US CAPITAL INSURANCE COMPANY (dba Multiplus I/C)</v>
          </cell>
          <cell r="D167" t="str">
            <v>LA1 /  HUH</v>
          </cell>
          <cell r="E167" t="str">
            <v>LA1 / OKPARA</v>
          </cell>
          <cell r="F167">
            <v>0</v>
          </cell>
          <cell r="G167">
            <v>0</v>
          </cell>
          <cell r="H167">
            <v>0</v>
          </cell>
        </row>
        <row r="168">
          <cell r="A168">
            <v>28497</v>
          </cell>
          <cell r="B168">
            <v>0</v>
          </cell>
          <cell r="C168" t="str">
            <v>USPLACE GLASS INSURANCE COMPANY</v>
          </cell>
          <cell r="D168" t="str">
            <v>LA2 / LEE</v>
          </cell>
          <cell r="E168" t="str">
            <v>LA2 / LEE</v>
          </cell>
          <cell r="F168">
            <v>0</v>
          </cell>
          <cell r="G168">
            <v>0</v>
          </cell>
          <cell r="H168">
            <v>0</v>
          </cell>
        </row>
        <row r="169">
          <cell r="A169">
            <v>33812</v>
          </cell>
          <cell r="B169">
            <v>0</v>
          </cell>
          <cell r="C169" t="str">
            <v>VIRGINIA INSURANCE RECIPROCAL</v>
          </cell>
          <cell r="D169" t="str">
            <v>LA1 /  HUH</v>
          </cell>
          <cell r="E169" t="str">
            <v>LA1 / OKPARA</v>
          </cell>
          <cell r="F169">
            <v>0</v>
          </cell>
          <cell r="G169">
            <v>0</v>
          </cell>
          <cell r="H169">
            <v>0</v>
          </cell>
        </row>
        <row r="170">
          <cell r="A170">
            <v>10683</v>
          </cell>
          <cell r="B170">
            <v>0</v>
          </cell>
          <cell r="C170" t="str">
            <v>WAWANESA GENERAL INSURANCE COMPANY</v>
          </cell>
          <cell r="D170" t="str">
            <v>SF1 / POON</v>
          </cell>
          <cell r="E170" t="str">
            <v>SF1 / POON</v>
          </cell>
          <cell r="F170">
            <v>0</v>
          </cell>
          <cell r="G170">
            <v>0</v>
          </cell>
          <cell r="H170" t="str">
            <v>RAO / LI</v>
          </cell>
        </row>
        <row r="171">
          <cell r="A171">
            <v>27502</v>
          </cell>
          <cell r="B171">
            <v>0</v>
          </cell>
          <cell r="C171" t="str">
            <v>WESTERN GENERAL INSURANCE COMPANY</v>
          </cell>
          <cell r="D171" t="str">
            <v>LA1 /  HUH</v>
          </cell>
          <cell r="E171" t="str">
            <v>LA1 / OKPARA</v>
          </cell>
          <cell r="F171">
            <v>0</v>
          </cell>
          <cell r="G171">
            <v>0</v>
          </cell>
          <cell r="H171">
            <v>0</v>
          </cell>
        </row>
        <row r="172">
          <cell r="A172">
            <v>29947</v>
          </cell>
          <cell r="B172">
            <v>0</v>
          </cell>
          <cell r="C172" t="str">
            <v>WESTERN GROWERS INSURANCE COMPANY</v>
          </cell>
          <cell r="D172" t="str">
            <v>LA1 /  HUH</v>
          </cell>
          <cell r="E172" t="str">
            <v>LA1 / OKPARA</v>
          </cell>
          <cell r="F172">
            <v>0</v>
          </cell>
          <cell r="G172">
            <v>0</v>
          </cell>
          <cell r="H172">
            <v>0</v>
          </cell>
        </row>
        <row r="173">
          <cell r="A173">
            <v>14150</v>
          </cell>
          <cell r="B173">
            <v>0</v>
          </cell>
          <cell r="C173" t="str">
            <v>WESTERN INTERNATIONAL INS CO (in liquidation 8-10-92)</v>
          </cell>
          <cell r="D173" t="str">
            <v>LA1 /  HUH</v>
          </cell>
          <cell r="E173" t="str">
            <v>LA1 / OKPARA</v>
          </cell>
          <cell r="F173">
            <v>0</v>
          </cell>
          <cell r="G173">
            <v>0</v>
          </cell>
          <cell r="H173">
            <v>0</v>
          </cell>
        </row>
        <row r="174">
          <cell r="A174">
            <v>34282</v>
          </cell>
          <cell r="B174">
            <v>0</v>
          </cell>
          <cell r="C174" t="str">
            <v>WESTERN SPECIALTY INSURANCE COMPANY</v>
          </cell>
          <cell r="D174" t="str">
            <v>SF1 / LI</v>
          </cell>
          <cell r="E174" t="str">
            <v>SF1 / LI</v>
          </cell>
          <cell r="F174">
            <v>0</v>
          </cell>
          <cell r="G174">
            <v>0</v>
          </cell>
          <cell r="H174">
            <v>0</v>
          </cell>
        </row>
        <row r="175">
          <cell r="A175">
            <v>11523</v>
          </cell>
          <cell r="B175">
            <v>0</v>
          </cell>
          <cell r="C175" t="str">
            <v>WRIGHT NATIONAL FLOOD INSURANCE COMPANY</v>
          </cell>
          <cell r="D175" t="str">
            <v>LA1 /  HUH</v>
          </cell>
          <cell r="E175" t="str">
            <v>LA1 / OKPARA</v>
          </cell>
          <cell r="F175" t="str">
            <v>SF2 / GOTERA-PITROU</v>
          </cell>
          <cell r="G175">
            <v>0</v>
          </cell>
          <cell r="H175">
            <v>0</v>
          </cell>
        </row>
        <row r="176">
          <cell r="A176">
            <v>20273</v>
          </cell>
          <cell r="B176">
            <v>0</v>
          </cell>
          <cell r="C176" t="str">
            <v>WRM AMERICA INDEMNITY COMPANY, INC.</v>
          </cell>
          <cell r="D176" t="str">
            <v>LA1 /  HUH</v>
          </cell>
          <cell r="E176" t="str">
            <v>LA1 / OKPARA</v>
          </cell>
          <cell r="F176" t="str">
            <v>SF2 / GOTERA-PITROU</v>
          </cell>
          <cell r="G176">
            <v>0</v>
          </cell>
          <cell r="H176">
            <v>0</v>
          </cell>
        </row>
        <row r="177">
          <cell r="A177">
            <v>30325</v>
          </cell>
          <cell r="B177">
            <v>0</v>
          </cell>
          <cell r="C177" t="str">
            <v>ZALE INDEMNITY COMPANY</v>
          </cell>
          <cell r="D177" t="str">
            <v>SF1 / POON</v>
          </cell>
          <cell r="E177" t="str">
            <v>SF1 / POON</v>
          </cell>
          <cell r="F177">
            <v>0</v>
          </cell>
          <cell r="G177">
            <v>0</v>
          </cell>
          <cell r="H177">
            <v>0</v>
          </cell>
        </row>
        <row r="178">
          <cell r="A178">
            <v>36153</v>
          </cell>
          <cell r="B178">
            <v>1</v>
          </cell>
          <cell r="C178" t="str">
            <v>AETNA INSURANCE COMPANY OF CONNECTICUT</v>
          </cell>
          <cell r="D178" t="str">
            <v>LA1 /  HUH</v>
          </cell>
          <cell r="E178" t="str">
            <v>LA1 / AHN</v>
          </cell>
          <cell r="F178">
            <v>0</v>
          </cell>
          <cell r="G178">
            <v>0</v>
          </cell>
          <cell r="H178">
            <v>0</v>
          </cell>
        </row>
        <row r="179">
          <cell r="A179">
            <v>34983</v>
          </cell>
          <cell r="B179">
            <v>2</v>
          </cell>
          <cell r="C179" t="str">
            <v>AMWEST SURETY INSURANCE COMPANY</v>
          </cell>
          <cell r="D179" t="str">
            <v>LA2 / BAUTISTA</v>
          </cell>
          <cell r="E179" t="str">
            <v>LA2 / BAUTISTA</v>
          </cell>
          <cell r="F179">
            <v>0</v>
          </cell>
          <cell r="G179">
            <v>0</v>
          </cell>
          <cell r="H179">
            <v>0</v>
          </cell>
        </row>
        <row r="180">
          <cell r="A180">
            <v>42633</v>
          </cell>
          <cell r="B180">
            <v>2</v>
          </cell>
          <cell r="C180" t="str">
            <v>FAR WEST INSURANCE COMPANY</v>
          </cell>
          <cell r="D180" t="str">
            <v>LA2 / BAUTISTA</v>
          </cell>
          <cell r="E180" t="str">
            <v>LA2 / BAUTISTA</v>
          </cell>
          <cell r="F180">
            <v>0</v>
          </cell>
          <cell r="G180">
            <v>0</v>
          </cell>
          <cell r="H180">
            <v>0</v>
          </cell>
        </row>
        <row r="181">
          <cell r="A181">
            <v>29068</v>
          </cell>
          <cell r="B181">
            <v>4</v>
          </cell>
          <cell r="C181" t="str">
            <v>IDS PROPERTY CASUALTY INSURANCE COMPANY</v>
          </cell>
          <cell r="D181" t="str">
            <v>LA1 /  HUH</v>
          </cell>
          <cell r="E181" t="str">
            <v>LA1 / OKPARA</v>
          </cell>
          <cell r="F181">
            <v>0</v>
          </cell>
          <cell r="G181">
            <v>0</v>
          </cell>
          <cell r="H181">
            <v>0</v>
          </cell>
        </row>
        <row r="182">
          <cell r="A182">
            <v>13935</v>
          </cell>
          <cell r="B182">
            <v>7</v>
          </cell>
          <cell r="C182" t="str">
            <v>FEDERATED MUTUAL INSURANCE COMPANY</v>
          </cell>
          <cell r="D182" t="str">
            <v>LA1 /  HUH</v>
          </cell>
          <cell r="E182" t="str">
            <v>LA1 / OKPARA</v>
          </cell>
          <cell r="F182">
            <v>0</v>
          </cell>
          <cell r="G182">
            <v>0</v>
          </cell>
          <cell r="H182">
            <v>0</v>
          </cell>
        </row>
        <row r="183">
          <cell r="A183">
            <v>28304</v>
          </cell>
          <cell r="B183">
            <v>7</v>
          </cell>
          <cell r="C183" t="str">
            <v>FEDERATED SERVICE INSURANCE COMPANY</v>
          </cell>
          <cell r="D183" t="str">
            <v>LA1 /  HUH</v>
          </cell>
          <cell r="E183" t="str">
            <v>LA1 / OKPARA</v>
          </cell>
          <cell r="F183">
            <v>0</v>
          </cell>
          <cell r="G183" t="str">
            <v>RAO / SANANDAJIFAR</v>
          </cell>
          <cell r="H183" t="str">
            <v>RAO / SANANDAJIFAR</v>
          </cell>
        </row>
        <row r="184">
          <cell r="A184">
            <v>19240</v>
          </cell>
          <cell r="B184">
            <v>8</v>
          </cell>
          <cell r="C184" t="str">
            <v>ALLSTATE INDEMNITY COMPANY</v>
          </cell>
          <cell r="D184" t="str">
            <v>SF1 / CARLSON</v>
          </cell>
          <cell r="E184" t="str">
            <v>SF1 / CARLSON</v>
          </cell>
          <cell r="F184" t="str">
            <v>SF2 / SALAZAR</v>
          </cell>
          <cell r="G184" t="str">
            <v>RAO / SANANDAJIFAR</v>
          </cell>
          <cell r="H184" t="str">
            <v>RAO / SANANDAJIFAR</v>
          </cell>
        </row>
        <row r="185">
          <cell r="A185">
            <v>19232</v>
          </cell>
          <cell r="B185">
            <v>8</v>
          </cell>
          <cell r="C185" t="str">
            <v>ALLSTATE INSURANCE COMPANY</v>
          </cell>
          <cell r="D185" t="str">
            <v>SF1 / CARLSON</v>
          </cell>
          <cell r="E185" t="str">
            <v>SF1 / CARLSON</v>
          </cell>
          <cell r="F185" t="str">
            <v>SF2 / SALAZAR</v>
          </cell>
          <cell r="G185">
            <v>0</v>
          </cell>
          <cell r="H185" t="str">
            <v>RAO / SANANDAJIFAR</v>
          </cell>
        </row>
        <row r="186">
          <cell r="A186">
            <v>36455</v>
          </cell>
          <cell r="B186">
            <v>8</v>
          </cell>
          <cell r="C186" t="str">
            <v>ALLSTATE NORTHBROOK INDEMNITY COMPANY</v>
          </cell>
          <cell r="D186" t="str">
            <v>SF1 / CARLSON</v>
          </cell>
          <cell r="E186" t="str">
            <v>SF1 / CARLSON</v>
          </cell>
          <cell r="F186" t="str">
            <v>SF2 / SALAZAR</v>
          </cell>
          <cell r="G186">
            <v>0</v>
          </cell>
          <cell r="H186">
            <v>0</v>
          </cell>
        </row>
        <row r="187">
          <cell r="A187">
            <v>17230</v>
          </cell>
          <cell r="B187">
            <v>8</v>
          </cell>
          <cell r="C187" t="str">
            <v>ALLSTATE PROPERTY AND CASUALTY INSURANCE COMPANY</v>
          </cell>
          <cell r="D187" t="str">
            <v>SF1 / CARLSON</v>
          </cell>
          <cell r="E187" t="str">
            <v>SF1 / CARLSON</v>
          </cell>
          <cell r="F187" t="str">
            <v>SF2 / SALAZAR</v>
          </cell>
          <cell r="G187">
            <v>0</v>
          </cell>
          <cell r="H187">
            <v>0</v>
          </cell>
        </row>
        <row r="188">
          <cell r="A188">
            <v>10358</v>
          </cell>
          <cell r="B188">
            <v>8</v>
          </cell>
          <cell r="C188" t="str">
            <v>ENCOMPASS INSURANCE COMPANY</v>
          </cell>
          <cell r="D188" t="str">
            <v>SF1 / CARLSON</v>
          </cell>
          <cell r="E188" t="str">
            <v>SF1 / CARLSON</v>
          </cell>
          <cell r="F188" t="str">
            <v>SF2 / SALAZAR</v>
          </cell>
          <cell r="G188">
            <v>0</v>
          </cell>
          <cell r="H188">
            <v>0</v>
          </cell>
        </row>
        <row r="189">
          <cell r="A189">
            <v>25712</v>
          </cell>
          <cell r="B189">
            <v>8</v>
          </cell>
          <cell r="C189" t="str">
            <v>ESURANCE INSURANCE COMPANY</v>
          </cell>
          <cell r="D189" t="str">
            <v>SF1 / CARLSON</v>
          </cell>
          <cell r="E189" t="str">
            <v>SF1 / CARLSON</v>
          </cell>
          <cell r="F189" t="str">
            <v>SF2 / SALAZAR</v>
          </cell>
          <cell r="G189">
            <v>0</v>
          </cell>
          <cell r="H189" t="str">
            <v>RAO / SANANDAJIFAR</v>
          </cell>
        </row>
        <row r="190">
          <cell r="A190">
            <v>30210</v>
          </cell>
          <cell r="B190">
            <v>8</v>
          </cell>
          <cell r="C190" t="str">
            <v>ESURANCE PROPERTY AND CASUALTY INSURANCE COMPANY</v>
          </cell>
          <cell r="D190" t="str">
            <v>SF1 / CARLSON</v>
          </cell>
          <cell r="E190" t="str">
            <v>SF1 / CARLSON</v>
          </cell>
          <cell r="F190" t="str">
            <v>SF2 / SALAZAR</v>
          </cell>
          <cell r="G190">
            <v>0</v>
          </cell>
          <cell r="H190">
            <v>0</v>
          </cell>
        </row>
        <row r="191">
          <cell r="A191">
            <v>29980</v>
          </cell>
          <cell r="B191">
            <v>8</v>
          </cell>
          <cell r="C191" t="str">
            <v>FIRST COLONIAL INSURANCE COMPANY</v>
          </cell>
          <cell r="D191" t="str">
            <v>SF1 / CARLSON</v>
          </cell>
          <cell r="E191" t="str">
            <v>SF1 / CARLSON</v>
          </cell>
          <cell r="F191" t="str">
            <v>SF2 / SALAZAR</v>
          </cell>
          <cell r="G191" t="str">
            <v>RAO / YE</v>
          </cell>
          <cell r="H191" t="str">
            <v>RAO / YE</v>
          </cell>
        </row>
        <row r="192">
          <cell r="A192">
            <v>19402</v>
          </cell>
          <cell r="B192">
            <v>12</v>
          </cell>
          <cell r="C192" t="str">
            <v>AIG PROPERTY CASUALTY COMPANY</v>
          </cell>
          <cell r="D192" t="str">
            <v>LA1 /  HUH</v>
          </cell>
          <cell r="E192" t="str">
            <v>LA1 / OKPARA</v>
          </cell>
          <cell r="F192" t="str">
            <v>SF2 / GOTERA-PITROU</v>
          </cell>
          <cell r="G192">
            <v>0</v>
          </cell>
          <cell r="H192">
            <v>0</v>
          </cell>
        </row>
        <row r="193">
          <cell r="A193">
            <v>19399</v>
          </cell>
          <cell r="B193">
            <v>12</v>
          </cell>
          <cell r="C193" t="str">
            <v>AIU INSURANCE COMPANY</v>
          </cell>
          <cell r="D193" t="str">
            <v>LA1 /  HUH</v>
          </cell>
          <cell r="E193" t="str">
            <v>LA1 / OKPARA</v>
          </cell>
          <cell r="F193" t="str">
            <v>SF2 / GOTERA-PITROU</v>
          </cell>
          <cell r="G193">
            <v>0</v>
          </cell>
          <cell r="H193">
            <v>0</v>
          </cell>
        </row>
        <row r="194">
          <cell r="A194">
            <v>19380</v>
          </cell>
          <cell r="B194">
            <v>12</v>
          </cell>
          <cell r="C194" t="str">
            <v>AMERICAN HOME ASSURANCE COMPANY</v>
          </cell>
          <cell r="D194" t="str">
            <v>LA1 /  HUH</v>
          </cell>
          <cell r="E194" t="str">
            <v>LA1 / OKPARA</v>
          </cell>
          <cell r="F194" t="str">
            <v>SF2 / GOTERA-PITROU</v>
          </cell>
          <cell r="G194">
            <v>0</v>
          </cell>
          <cell r="H194">
            <v>0</v>
          </cell>
        </row>
        <row r="195">
          <cell r="A195">
            <v>26611</v>
          </cell>
          <cell r="B195">
            <v>12</v>
          </cell>
          <cell r="C195" t="str">
            <v>BLACKBOARD INSURANCE COMPANY</v>
          </cell>
          <cell r="D195" t="str">
            <v>LA1 /  HUH</v>
          </cell>
          <cell r="E195" t="str">
            <v>LA1 / OKPARA</v>
          </cell>
          <cell r="F195" t="str">
            <v>SF2 / GOTERA-PITROU</v>
          </cell>
          <cell r="G195">
            <v>0</v>
          </cell>
          <cell r="H195">
            <v>0</v>
          </cell>
        </row>
        <row r="196">
          <cell r="A196">
            <v>19410</v>
          </cell>
          <cell r="B196">
            <v>12</v>
          </cell>
          <cell r="C196" t="str">
            <v>COMMERCE AND INDUSTRY INSURANCE COMPANY</v>
          </cell>
          <cell r="D196" t="str">
            <v>LA1 /  HUH</v>
          </cell>
          <cell r="E196" t="str">
            <v>LA1 / OKPARA</v>
          </cell>
          <cell r="F196" t="str">
            <v>SF2 / GOTERA-PITROU</v>
          </cell>
          <cell r="G196">
            <v>0</v>
          </cell>
          <cell r="H196">
            <v>0</v>
          </cell>
        </row>
        <row r="197">
          <cell r="A197">
            <v>23809</v>
          </cell>
          <cell r="B197">
            <v>12</v>
          </cell>
          <cell r="C197" t="str">
            <v>GRANITE STATE INSURANCE COMPANY</v>
          </cell>
          <cell r="D197" t="str">
            <v>LA1 /  HUH</v>
          </cell>
          <cell r="E197" t="str">
            <v>LA1 / OKPARA</v>
          </cell>
          <cell r="F197" t="str">
            <v>SF2 / GOTERA-PITROU</v>
          </cell>
          <cell r="G197">
            <v>0</v>
          </cell>
          <cell r="H197">
            <v>0</v>
          </cell>
        </row>
        <row r="198">
          <cell r="A198">
            <v>26611</v>
          </cell>
          <cell r="B198">
            <v>12</v>
          </cell>
          <cell r="C198" t="str">
            <v>HAMILTON INSURANCE COMPANY (Name changed to Blackboard Insurance Company, effective February 1, 2018 )</v>
          </cell>
          <cell r="D198" t="str">
            <v>LA1 /  HUH</v>
          </cell>
          <cell r="E198" t="str">
            <v>LA1 / OKPARA</v>
          </cell>
          <cell r="F198" t="str">
            <v>SF2 / GOTERA-PITROU</v>
          </cell>
          <cell r="G198">
            <v>0</v>
          </cell>
          <cell r="H198">
            <v>0</v>
          </cell>
        </row>
        <row r="199">
          <cell r="A199">
            <v>19429</v>
          </cell>
          <cell r="B199">
            <v>12</v>
          </cell>
          <cell r="C199" t="str">
            <v>INSURANCE COMPANY OF THE STATE OF PENNSYLVANIA</v>
          </cell>
          <cell r="D199" t="str">
            <v>LA1 /  HUH</v>
          </cell>
          <cell r="E199" t="str">
            <v>LA1 / OKPARA</v>
          </cell>
          <cell r="F199" t="str">
            <v>SF2 / GOTERA-PITROU</v>
          </cell>
          <cell r="G199">
            <v>0</v>
          </cell>
          <cell r="H199">
            <v>0</v>
          </cell>
        </row>
        <row r="200">
          <cell r="A200">
            <v>19445</v>
          </cell>
          <cell r="B200">
            <v>12</v>
          </cell>
          <cell r="C200" t="str">
            <v>NATIONAL UNION FIRE INSURANCE COMPANY OF PITTSBURGH, PA</v>
          </cell>
          <cell r="D200" t="str">
            <v>LA1 /  HUH</v>
          </cell>
          <cell r="E200" t="str">
            <v>LA1 / OKPARA</v>
          </cell>
          <cell r="F200" t="str">
            <v>SF2 / GOTERA-PITROU</v>
          </cell>
          <cell r="G200">
            <v>0</v>
          </cell>
          <cell r="H200">
            <v>0</v>
          </cell>
        </row>
        <row r="201">
          <cell r="A201">
            <v>23841</v>
          </cell>
          <cell r="B201">
            <v>12</v>
          </cell>
          <cell r="C201" t="str">
            <v>NEW HAMPSHIRE INSURANCE COMPANY</v>
          </cell>
          <cell r="D201" t="str">
            <v>LA1 /  HUH</v>
          </cell>
          <cell r="E201" t="str">
            <v>LA1 / OKPARA</v>
          </cell>
          <cell r="F201" t="str">
            <v>SF2 / GOTERA-PITROU</v>
          </cell>
          <cell r="G201">
            <v>0</v>
          </cell>
          <cell r="H201">
            <v>0</v>
          </cell>
        </row>
        <row r="202">
          <cell r="A202">
            <v>40436</v>
          </cell>
          <cell r="B202">
            <v>12</v>
          </cell>
          <cell r="C202" t="str">
            <v>STRATFORD INSURANCE COMPANY</v>
          </cell>
          <cell r="D202" t="str">
            <v>LA1 /  HUH</v>
          </cell>
          <cell r="E202" t="str">
            <v>LA1 / OKPARA</v>
          </cell>
          <cell r="F202" t="str">
            <v>SF2 / GOTERA-PITROU</v>
          </cell>
          <cell r="G202">
            <v>0</v>
          </cell>
          <cell r="H202">
            <v>0</v>
          </cell>
        </row>
        <row r="203">
          <cell r="A203">
            <v>19453</v>
          </cell>
          <cell r="B203">
            <v>12</v>
          </cell>
          <cell r="C203" t="str">
            <v>TRANSATLANTIC REINSURANCE COMPANY</v>
          </cell>
          <cell r="D203" t="str">
            <v>LA1 /  HUH</v>
          </cell>
          <cell r="E203" t="str">
            <v>LA1 / OKPARA</v>
          </cell>
          <cell r="F203" t="str">
            <v>SF2 / GOTERA-PITROU</v>
          </cell>
          <cell r="G203">
            <v>0</v>
          </cell>
          <cell r="H203">
            <v>0</v>
          </cell>
        </row>
        <row r="204">
          <cell r="A204">
            <v>40525</v>
          </cell>
          <cell r="B204">
            <v>12</v>
          </cell>
          <cell r="C204" t="str">
            <v>UNITED GUARANTY CREDIT INSURANCE COMPANY</v>
          </cell>
          <cell r="D204" t="str">
            <v>LA1 /  HUH</v>
          </cell>
          <cell r="E204" t="str">
            <v>LA1 / OKPARA</v>
          </cell>
          <cell r="F204" t="str">
            <v>SF2 / GOTERA-PITROU</v>
          </cell>
          <cell r="G204">
            <v>0</v>
          </cell>
          <cell r="H204">
            <v>0</v>
          </cell>
        </row>
        <row r="205">
          <cell r="A205">
            <v>15873</v>
          </cell>
          <cell r="B205">
            <v>12</v>
          </cell>
          <cell r="C205" t="str">
            <v>UNITED GUARANTY RESIDENTIAL INSURANCE COMPANY</v>
          </cell>
          <cell r="D205" t="str">
            <v>LA1 /  HUH</v>
          </cell>
          <cell r="E205" t="str">
            <v>LA1 / OKPARA</v>
          </cell>
          <cell r="F205" t="str">
            <v>SF2 / GOTERA-PITROU</v>
          </cell>
          <cell r="G205">
            <v>0</v>
          </cell>
          <cell r="H205">
            <v>0</v>
          </cell>
        </row>
        <row r="206">
          <cell r="A206">
            <v>10111</v>
          </cell>
          <cell r="B206">
            <v>19</v>
          </cell>
          <cell r="C206" t="str">
            <v>AMERICAN BANKERS INSURANCE COMPANY OF FLORIDA</v>
          </cell>
          <cell r="D206" t="str">
            <v>LA1 /  HUH</v>
          </cell>
          <cell r="E206" t="str">
            <v>LA1 / AHN</v>
          </cell>
          <cell r="F206">
            <v>0</v>
          </cell>
          <cell r="G206">
            <v>0</v>
          </cell>
          <cell r="H206">
            <v>0</v>
          </cell>
        </row>
        <row r="207">
          <cell r="A207">
            <v>42978</v>
          </cell>
          <cell r="B207">
            <v>19</v>
          </cell>
          <cell r="C207" t="str">
            <v>AMERICAN SECURITY INSURANCE COMPANY</v>
          </cell>
          <cell r="D207" t="str">
            <v>LA1 /  HUH</v>
          </cell>
          <cell r="E207" t="str">
            <v>LA1 / AHN</v>
          </cell>
          <cell r="F207">
            <v>0</v>
          </cell>
          <cell r="G207">
            <v>0</v>
          </cell>
          <cell r="H207">
            <v>0</v>
          </cell>
        </row>
        <row r="208">
          <cell r="A208">
            <v>42986</v>
          </cell>
          <cell r="B208">
            <v>19</v>
          </cell>
          <cell r="C208" t="str">
            <v>STANDARD GUARANTY INSURANCE COMPANY</v>
          </cell>
          <cell r="D208" t="str">
            <v>LA1 /  HUH</v>
          </cell>
          <cell r="E208" t="str">
            <v>LA1 / AHN</v>
          </cell>
          <cell r="F208">
            <v>0</v>
          </cell>
          <cell r="G208">
            <v>0</v>
          </cell>
          <cell r="H208">
            <v>0</v>
          </cell>
        </row>
        <row r="209">
          <cell r="A209">
            <v>40827</v>
          </cell>
          <cell r="B209">
            <v>19</v>
          </cell>
          <cell r="C209" t="str">
            <v>VIRGINIA SURETY COMPANY, INC.</v>
          </cell>
          <cell r="D209" t="str">
            <v>LA1 /  HUH</v>
          </cell>
          <cell r="E209" t="str">
            <v>LA1 / AHN</v>
          </cell>
          <cell r="F209">
            <v>0</v>
          </cell>
          <cell r="G209">
            <v>0</v>
          </cell>
          <cell r="H209">
            <v>0</v>
          </cell>
        </row>
        <row r="210">
          <cell r="A210">
            <v>35971</v>
          </cell>
          <cell r="B210">
            <v>19</v>
          </cell>
          <cell r="C210" t="str">
            <v>VOYAGER PROPERTY AND CASUALTY INSURANCE</v>
          </cell>
          <cell r="D210" t="str">
            <v>LA1 /  HUH</v>
          </cell>
          <cell r="E210" t="str">
            <v>LA1 / AHN</v>
          </cell>
          <cell r="F210">
            <v>0</v>
          </cell>
          <cell r="G210">
            <v>0</v>
          </cell>
          <cell r="H210">
            <v>0</v>
          </cell>
        </row>
        <row r="211">
          <cell r="A211">
            <v>38245</v>
          </cell>
          <cell r="B211">
            <v>23</v>
          </cell>
          <cell r="C211" t="str">
            <v>BCS INSURANCE COMPANY</v>
          </cell>
          <cell r="D211" t="str">
            <v>LA2 / LEE</v>
          </cell>
          <cell r="E211" t="str">
            <v>LA2 / LEE</v>
          </cell>
          <cell r="F211">
            <v>0</v>
          </cell>
          <cell r="G211">
            <v>0</v>
          </cell>
          <cell r="H211">
            <v>0</v>
          </cell>
        </row>
        <row r="212">
          <cell r="A212">
            <v>19895</v>
          </cell>
          <cell r="B212">
            <v>24</v>
          </cell>
          <cell r="C212" t="str">
            <v>ATLANTIC MUTUAL INSURANCE COMPANY</v>
          </cell>
          <cell r="D212" t="str">
            <v>SF1 / LI</v>
          </cell>
          <cell r="E212" t="str">
            <v>SF1 / LI</v>
          </cell>
          <cell r="F212">
            <v>0</v>
          </cell>
          <cell r="G212">
            <v>0</v>
          </cell>
          <cell r="H212">
            <v>0</v>
          </cell>
        </row>
        <row r="213">
          <cell r="A213">
            <v>19909</v>
          </cell>
          <cell r="B213">
            <v>24</v>
          </cell>
          <cell r="C213" t="str">
            <v>CENTENNIAL INSURANCE COMPANY</v>
          </cell>
          <cell r="D213" t="str">
            <v>SF1 / LI</v>
          </cell>
          <cell r="E213" t="str">
            <v>SF1 / LI</v>
          </cell>
          <cell r="F213">
            <v>0</v>
          </cell>
          <cell r="G213">
            <v>0</v>
          </cell>
          <cell r="H213">
            <v>0</v>
          </cell>
        </row>
        <row r="214">
          <cell r="A214">
            <v>37451</v>
          </cell>
          <cell r="B214">
            <v>26</v>
          </cell>
          <cell r="C214" t="str">
            <v>MOTOR CLUB OF AMERICA INSURANCE COMPANY</v>
          </cell>
          <cell r="D214" t="str">
            <v>LA1 /  HUH</v>
          </cell>
          <cell r="E214" t="str">
            <v>LA1 / OKPARA</v>
          </cell>
          <cell r="F214">
            <v>0</v>
          </cell>
          <cell r="G214">
            <v>0</v>
          </cell>
          <cell r="H214">
            <v>0</v>
          </cell>
        </row>
        <row r="215">
          <cell r="A215">
            <v>19976</v>
          </cell>
          <cell r="B215">
            <v>28</v>
          </cell>
          <cell r="C215" t="str">
            <v>AMICA MUTUAL INSURANCE COMPANY</v>
          </cell>
          <cell r="D215" t="str">
            <v>SF1 / CARLSON</v>
          </cell>
          <cell r="E215" t="str">
            <v>SF1 / CARLSON</v>
          </cell>
          <cell r="F215">
            <v>0</v>
          </cell>
          <cell r="G215">
            <v>0</v>
          </cell>
          <cell r="H215">
            <v>0</v>
          </cell>
        </row>
        <row r="216">
          <cell r="A216">
            <v>42390</v>
          </cell>
          <cell r="B216">
            <v>31</v>
          </cell>
          <cell r="C216" t="str">
            <v>AMGUARD INSURANCE COMPANY</v>
          </cell>
          <cell r="D216" t="str">
            <v>SF1 / CARLSON</v>
          </cell>
          <cell r="E216" t="str">
            <v>SF1 / CARLSON</v>
          </cell>
          <cell r="F216" t="str">
            <v>SF2 / SALAZAR</v>
          </cell>
          <cell r="G216">
            <v>0</v>
          </cell>
          <cell r="H216">
            <v>0</v>
          </cell>
        </row>
        <row r="217">
          <cell r="A217">
            <v>21962</v>
          </cell>
          <cell r="B217">
            <v>31</v>
          </cell>
          <cell r="C217" t="str">
            <v>APPLIED ASSURANCE COMPANY (SEE PENNSYLVANIA INSURANCE COMPANY)</v>
          </cell>
          <cell r="D217" t="str">
            <v>SF1 / CARLSON</v>
          </cell>
          <cell r="E217" t="str">
            <v>SF1 / CARLSON</v>
          </cell>
          <cell r="F217" t="str">
            <v>SF2 / SALAZAR</v>
          </cell>
          <cell r="G217">
            <v>0</v>
          </cell>
          <cell r="H217">
            <v>0</v>
          </cell>
        </row>
        <row r="218">
          <cell r="A218">
            <v>20931</v>
          </cell>
          <cell r="B218">
            <v>31</v>
          </cell>
          <cell r="C218" t="str">
            <v>ATLANTA INTERNATIONAL INSURANCE COMPANY</v>
          </cell>
          <cell r="D218" t="str">
            <v>SF1 / CARLSON</v>
          </cell>
          <cell r="E218" t="str">
            <v>SF1 / CARLSON</v>
          </cell>
          <cell r="F218" t="str">
            <v>SF2 / SALAZAR</v>
          </cell>
          <cell r="G218">
            <v>0</v>
          </cell>
          <cell r="H218">
            <v>0</v>
          </cell>
        </row>
        <row r="219">
          <cell r="A219">
            <v>10391</v>
          </cell>
          <cell r="B219">
            <v>31</v>
          </cell>
          <cell r="C219" t="str">
            <v>BERKSHIRE HATHAWAY DIRECT INSURANCE COMPANY</v>
          </cell>
          <cell r="D219" t="str">
            <v>SF1 / CARLSON</v>
          </cell>
          <cell r="E219" t="str">
            <v>SF1 / CARLSON</v>
          </cell>
          <cell r="F219" t="str">
            <v>SF2 / SALAZAR</v>
          </cell>
          <cell r="G219">
            <v>0</v>
          </cell>
          <cell r="H219">
            <v>0</v>
          </cell>
        </row>
        <row r="220">
          <cell r="A220">
            <v>22276</v>
          </cell>
          <cell r="B220">
            <v>31</v>
          </cell>
          <cell r="C220" t="str">
            <v>BERKSHIRE HATHAWAY SPECIALTY INSURANCE COMPANY</v>
          </cell>
          <cell r="D220" t="str">
            <v>SF1 / CARLSON</v>
          </cell>
          <cell r="E220" t="str">
            <v>SF1 / CARLSON</v>
          </cell>
          <cell r="F220" t="str">
            <v>SF2 / SALAZAR</v>
          </cell>
          <cell r="G220">
            <v>0</v>
          </cell>
          <cell r="H220">
            <v>0</v>
          </cell>
        </row>
        <row r="221">
          <cell r="A221">
            <v>34274</v>
          </cell>
          <cell r="B221">
            <v>31</v>
          </cell>
          <cell r="C221" t="str">
            <v>CENTRAL STATES INDEMNITY COMPANY OF OMAHA</v>
          </cell>
          <cell r="D221" t="str">
            <v>SF1 / CARLSON</v>
          </cell>
          <cell r="E221" t="str">
            <v>SF1 / CARLSON</v>
          </cell>
          <cell r="F221" t="str">
            <v>SF2 / SALAZAR</v>
          </cell>
          <cell r="G221">
            <v>0</v>
          </cell>
          <cell r="H221">
            <v>0</v>
          </cell>
        </row>
        <row r="222">
          <cell r="A222">
            <v>27812</v>
          </cell>
          <cell r="B222">
            <v>31</v>
          </cell>
          <cell r="C222" t="str">
            <v>COLUMBIA INSURANCE COMPANY</v>
          </cell>
          <cell r="D222" t="str">
            <v>SF1 / CARLSON</v>
          </cell>
          <cell r="E222" t="str">
            <v>SF1 / CARLSON</v>
          </cell>
          <cell r="F222" t="str">
            <v>SF2 / SALAZAR</v>
          </cell>
          <cell r="G222">
            <v>0</v>
          </cell>
          <cell r="H222" t="str">
            <v>RAO / ZHOU</v>
          </cell>
        </row>
        <row r="223">
          <cell r="A223">
            <v>32280</v>
          </cell>
          <cell r="B223">
            <v>31</v>
          </cell>
          <cell r="C223" t="str">
            <v>COMMERCIAL CASUALTY INSURANCE COMPANY</v>
          </cell>
          <cell r="D223" t="str">
            <v>SF1 / CARLSON</v>
          </cell>
          <cell r="E223" t="str">
            <v>SF1 / CARLSON</v>
          </cell>
          <cell r="F223" t="str">
            <v>SF2 / SALAZAR</v>
          </cell>
          <cell r="G223">
            <v>0</v>
          </cell>
          <cell r="H223" t="str">
            <v>RAO / ZHOU</v>
          </cell>
        </row>
        <row r="224">
          <cell r="A224">
            <v>10855</v>
          </cell>
          <cell r="B224">
            <v>31</v>
          </cell>
          <cell r="C224" t="str">
            <v>CYPRESS INSURANCE COMPANY</v>
          </cell>
          <cell r="D224" t="str">
            <v>SF1 / CARLSON</v>
          </cell>
          <cell r="E224" t="str">
            <v>SF1 / CARLSON</v>
          </cell>
          <cell r="F224" t="str">
            <v>SF2 / SALAZAR</v>
          </cell>
          <cell r="G224">
            <v>0</v>
          </cell>
          <cell r="H224" t="str">
            <v>RAO / ZHOU</v>
          </cell>
        </row>
        <row r="225">
          <cell r="A225">
            <v>39136</v>
          </cell>
          <cell r="B225">
            <v>31</v>
          </cell>
          <cell r="C225" t="str">
            <v>FINIAL REINSURANCE COMPANY</v>
          </cell>
          <cell r="D225" t="str">
            <v>SF1 / CARLSON</v>
          </cell>
          <cell r="E225" t="str">
            <v>SF1 / CARLSON</v>
          </cell>
          <cell r="F225" t="str">
            <v>SF2 / SALAZAR</v>
          </cell>
          <cell r="G225">
            <v>0</v>
          </cell>
          <cell r="H225">
            <v>0</v>
          </cell>
        </row>
        <row r="226">
          <cell r="A226">
            <v>41491</v>
          </cell>
          <cell r="B226">
            <v>31</v>
          </cell>
          <cell r="C226" t="str">
            <v>GEICO CASUALTY COMPANY</v>
          </cell>
          <cell r="D226" t="str">
            <v>SF1 / CARLSON</v>
          </cell>
          <cell r="E226" t="str">
            <v>SF1 / CARLSON</v>
          </cell>
          <cell r="F226" t="str">
            <v>SF2 / SALAZAR</v>
          </cell>
          <cell r="G226">
            <v>0</v>
          </cell>
          <cell r="H226">
            <v>0</v>
          </cell>
        </row>
        <row r="227">
          <cell r="A227">
            <v>35882</v>
          </cell>
          <cell r="B227">
            <v>31</v>
          </cell>
          <cell r="C227" t="str">
            <v>GEICO GENERAL INSURANCE COMPANY</v>
          </cell>
          <cell r="D227" t="str">
            <v>SF1 / CARLSON</v>
          </cell>
          <cell r="E227" t="str">
            <v>SF1 / CARLSON</v>
          </cell>
          <cell r="F227" t="str">
            <v>SF2 / SALAZAR</v>
          </cell>
          <cell r="G227">
            <v>0</v>
          </cell>
          <cell r="H227">
            <v>0</v>
          </cell>
        </row>
        <row r="228">
          <cell r="A228">
            <v>22055</v>
          </cell>
          <cell r="B228">
            <v>31</v>
          </cell>
          <cell r="C228" t="str">
            <v>GEICO INDEMNITY COMPANY</v>
          </cell>
          <cell r="D228" t="str">
            <v>SF1 / CARLSON</v>
          </cell>
          <cell r="E228" t="str">
            <v>SF1 / CARLSON</v>
          </cell>
          <cell r="F228" t="str">
            <v>SF2 / SALAZAR</v>
          </cell>
          <cell r="G228">
            <v>0</v>
          </cell>
          <cell r="H228">
            <v>0</v>
          </cell>
        </row>
        <row r="229">
          <cell r="A229">
            <v>37923</v>
          </cell>
          <cell r="B229">
            <v>31</v>
          </cell>
          <cell r="C229" t="str">
            <v>GEICO MARINE INSURANCE COMPANY</v>
          </cell>
          <cell r="D229" t="str">
            <v>SF1 / CARLSON</v>
          </cell>
          <cell r="E229" t="str">
            <v>SF1 / CARLSON</v>
          </cell>
          <cell r="F229" t="str">
            <v>SF2 / SALAZAR</v>
          </cell>
          <cell r="G229">
            <v>0</v>
          </cell>
          <cell r="H229" t="str">
            <v>RAO / ZHOU</v>
          </cell>
        </row>
        <row r="230">
          <cell r="A230">
            <v>22039</v>
          </cell>
          <cell r="B230">
            <v>31</v>
          </cell>
          <cell r="C230" t="str">
            <v>GENERAL REINSURANCE CORPORATION</v>
          </cell>
          <cell r="D230" t="str">
            <v>SF1 / CARLSON</v>
          </cell>
          <cell r="E230" t="str">
            <v>SF1 / CARLSON</v>
          </cell>
          <cell r="F230" t="str">
            <v>SF2 / SALAZAR</v>
          </cell>
          <cell r="G230">
            <v>0</v>
          </cell>
          <cell r="H230">
            <v>0</v>
          </cell>
        </row>
        <row r="231">
          <cell r="A231">
            <v>11967</v>
          </cell>
          <cell r="B231">
            <v>31</v>
          </cell>
          <cell r="C231" t="str">
            <v>GENERAL STAR NATIONAL INSURANCE COMPANY</v>
          </cell>
          <cell r="D231" t="str">
            <v>SF1 / CARLSON</v>
          </cell>
          <cell r="E231" t="str">
            <v>SF1 / CARLSON</v>
          </cell>
          <cell r="F231" t="str">
            <v>SF2 / SALAZAR</v>
          </cell>
          <cell r="G231">
            <v>0</v>
          </cell>
          <cell r="H231">
            <v>0</v>
          </cell>
        </row>
        <row r="232">
          <cell r="A232">
            <v>38962</v>
          </cell>
          <cell r="B232">
            <v>31</v>
          </cell>
          <cell r="C232" t="str">
            <v>GENESIS INSURANCE COMPANY</v>
          </cell>
          <cell r="D232" t="str">
            <v>SF1 / CARLSON</v>
          </cell>
          <cell r="E232" t="str">
            <v>SF1 / CARLSON</v>
          </cell>
          <cell r="F232" t="str">
            <v>SF2 / SALAZAR</v>
          </cell>
          <cell r="G232">
            <v>0</v>
          </cell>
          <cell r="H232">
            <v>0</v>
          </cell>
        </row>
        <row r="233">
          <cell r="A233">
            <v>22063</v>
          </cell>
          <cell r="B233">
            <v>31</v>
          </cell>
          <cell r="C233" t="str">
            <v>GOVERNMENT EMPLOYEES INSURANCE COMPANY</v>
          </cell>
          <cell r="D233" t="str">
            <v>SF1 / CARLSON</v>
          </cell>
          <cell r="E233" t="str">
            <v>SF1 / CARLSON</v>
          </cell>
          <cell r="F233" t="str">
            <v>SF2 / SALAZAR</v>
          </cell>
          <cell r="G233">
            <v>0</v>
          </cell>
          <cell r="H233">
            <v>0</v>
          </cell>
        </row>
        <row r="234">
          <cell r="A234">
            <v>11843</v>
          </cell>
          <cell r="B234">
            <v>31</v>
          </cell>
          <cell r="C234" t="str">
            <v>MEDICAL PROTECTIVE COMPANY</v>
          </cell>
          <cell r="D234" t="str">
            <v>SF2 / SALAZAR</v>
          </cell>
          <cell r="E234" t="str">
            <v>SF2 / SALAZAR</v>
          </cell>
          <cell r="F234" t="str">
            <v>SF2 / SALAZAR</v>
          </cell>
          <cell r="G234">
            <v>0</v>
          </cell>
          <cell r="H234">
            <v>0</v>
          </cell>
        </row>
        <row r="235">
          <cell r="A235">
            <v>14420</v>
          </cell>
          <cell r="B235">
            <v>31</v>
          </cell>
          <cell r="C235" t="str">
            <v>MOUNT VERNON SPECIALTY INSURANCE COMPANY</v>
          </cell>
          <cell r="D235" t="str">
            <v>SF1 / CARLSON</v>
          </cell>
          <cell r="E235" t="str">
            <v>SF1 / CARLSON</v>
          </cell>
          <cell r="F235" t="str">
            <v>SF2 / SALAZAR</v>
          </cell>
          <cell r="G235">
            <v>0</v>
          </cell>
          <cell r="H235">
            <v>0</v>
          </cell>
        </row>
        <row r="236">
          <cell r="A236">
            <v>20087</v>
          </cell>
          <cell r="B236">
            <v>31</v>
          </cell>
          <cell r="C236" t="str">
            <v>NATIONAL INDEMNITY COMPANY</v>
          </cell>
          <cell r="D236" t="str">
            <v>SF1 / CARLSON</v>
          </cell>
          <cell r="E236" t="str">
            <v>SF1 / CARLSON</v>
          </cell>
          <cell r="F236" t="str">
            <v>SF2 / SALAZAR</v>
          </cell>
          <cell r="G236">
            <v>0</v>
          </cell>
          <cell r="H236">
            <v>0</v>
          </cell>
        </row>
        <row r="237">
          <cell r="A237">
            <v>20052</v>
          </cell>
          <cell r="B237">
            <v>31</v>
          </cell>
          <cell r="C237" t="str">
            <v>NATIONAL LIABILITY AND FIRE INSURANCE COMPANY</v>
          </cell>
          <cell r="D237" t="str">
            <v>SF1 / CARLSON</v>
          </cell>
          <cell r="E237" t="str">
            <v>SF1 / CARLSON</v>
          </cell>
          <cell r="F237" t="str">
            <v>SF2 / SALAZAR</v>
          </cell>
          <cell r="G237">
            <v>0</v>
          </cell>
          <cell r="H237">
            <v>0</v>
          </cell>
        </row>
        <row r="238">
          <cell r="A238">
            <v>37060</v>
          </cell>
          <cell r="B238">
            <v>31</v>
          </cell>
          <cell r="C238" t="str">
            <v>OLD UNITED CASUALTY COMPANY</v>
          </cell>
          <cell r="D238" t="str">
            <v>SF1 / CARLSON</v>
          </cell>
          <cell r="E238" t="str">
            <v>SF1 / CARLSON</v>
          </cell>
          <cell r="F238" t="str">
            <v>SF2 / SALAZAR</v>
          </cell>
          <cell r="G238">
            <v>0</v>
          </cell>
          <cell r="H238">
            <v>0</v>
          </cell>
        </row>
        <row r="239">
          <cell r="A239">
            <v>21962</v>
          </cell>
          <cell r="B239">
            <v>31</v>
          </cell>
          <cell r="C239" t="str">
            <v>PENNSYLVANIA INSURANCE COMPANY</v>
          </cell>
          <cell r="D239" t="str">
            <v>SF1 / CARLSON</v>
          </cell>
          <cell r="E239" t="str">
            <v>SF1 / CARLSON</v>
          </cell>
          <cell r="F239" t="str">
            <v>SF2 / SALAZAR</v>
          </cell>
          <cell r="G239">
            <v>0</v>
          </cell>
          <cell r="H239">
            <v>0</v>
          </cell>
        </row>
        <row r="240">
          <cell r="A240">
            <v>11673</v>
          </cell>
          <cell r="B240">
            <v>31</v>
          </cell>
          <cell r="C240" t="str">
            <v>REDWOOD FIRE AND CASUALTY INSURANCE COMPANY</v>
          </cell>
          <cell r="D240" t="str">
            <v>SF1 / CARLSON</v>
          </cell>
          <cell r="E240" t="str">
            <v>SF1 / CARLSON</v>
          </cell>
          <cell r="F240" t="str">
            <v>SF2 / SALAZAR</v>
          </cell>
          <cell r="G240">
            <v>0</v>
          </cell>
          <cell r="H240">
            <v>0</v>
          </cell>
        </row>
        <row r="241">
          <cell r="A241">
            <v>35416</v>
          </cell>
          <cell r="B241">
            <v>31</v>
          </cell>
          <cell r="C241" t="str">
            <v>U.S. UNDERWRITERS INSURANCE COMPANY</v>
          </cell>
          <cell r="D241" t="str">
            <v>SF1 / CARLSON</v>
          </cell>
          <cell r="E241" t="str">
            <v>SF1 / CARLSON</v>
          </cell>
          <cell r="F241" t="str">
            <v>SF2 / SALAZAR</v>
          </cell>
          <cell r="G241">
            <v>0</v>
          </cell>
          <cell r="H241">
            <v>0</v>
          </cell>
        </row>
        <row r="242">
          <cell r="A242">
            <v>25895</v>
          </cell>
          <cell r="B242">
            <v>31</v>
          </cell>
          <cell r="C242" t="str">
            <v>UNITED STATES LIABILITY INSURANCE COMPANY</v>
          </cell>
          <cell r="D242" t="str">
            <v>SF1 / CARLSON</v>
          </cell>
          <cell r="E242" t="str">
            <v>SF1 / CARLSON</v>
          </cell>
          <cell r="F242" t="str">
            <v>SF2 / SALAZAR</v>
          </cell>
          <cell r="G242">
            <v>0</v>
          </cell>
          <cell r="H242">
            <v>0</v>
          </cell>
        </row>
        <row r="243">
          <cell r="A243">
            <v>27464</v>
          </cell>
          <cell r="B243">
            <v>33</v>
          </cell>
          <cell r="C243" t="str">
            <v>CALIFORNIA CASUALTY &amp; FIRE INSURANCE COMPANY</v>
          </cell>
          <cell r="D243" t="str">
            <v>LA1 /  HUH</v>
          </cell>
          <cell r="E243" t="str">
            <v>LA1 / OKPARA</v>
          </cell>
          <cell r="F243">
            <v>0</v>
          </cell>
          <cell r="G243">
            <v>0</v>
          </cell>
          <cell r="H243">
            <v>0</v>
          </cell>
        </row>
        <row r="244">
          <cell r="A244">
            <v>35955</v>
          </cell>
          <cell r="B244">
            <v>33</v>
          </cell>
          <cell r="C244" t="str">
            <v>CALIFORNIA CASUALTY GENERAL INSURANCE COMPANY</v>
          </cell>
          <cell r="D244" t="str">
            <v>LA1 /  HUH</v>
          </cell>
          <cell r="E244" t="str">
            <v>LA1 / OKPARA</v>
          </cell>
          <cell r="F244">
            <v>0</v>
          </cell>
          <cell r="G244">
            <v>0</v>
          </cell>
          <cell r="H244">
            <v>0</v>
          </cell>
        </row>
        <row r="245">
          <cell r="A245">
            <v>20117</v>
          </cell>
          <cell r="B245">
            <v>33</v>
          </cell>
          <cell r="C245" t="str">
            <v>CALIFORNIA CASUALTY INDEMNITY EXCHANGE</v>
          </cell>
          <cell r="D245" t="str">
            <v>LA1 /  HUH</v>
          </cell>
          <cell r="E245" t="str">
            <v>LA1 / OKPARA</v>
          </cell>
          <cell r="F245">
            <v>0</v>
          </cell>
          <cell r="G245">
            <v>0</v>
          </cell>
          <cell r="H245">
            <v>0</v>
          </cell>
        </row>
        <row r="246">
          <cell r="A246">
            <v>20125</v>
          </cell>
          <cell r="B246">
            <v>33</v>
          </cell>
          <cell r="C246" t="str">
            <v>CALIFORNIA CASUALTY INSURANCE COMPANY</v>
          </cell>
          <cell r="D246" t="str">
            <v>LA1 /  HUH</v>
          </cell>
          <cell r="E246" t="str">
            <v>LA1 / OKPARA</v>
          </cell>
          <cell r="F246">
            <v>0</v>
          </cell>
          <cell r="G246">
            <v>0</v>
          </cell>
          <cell r="H246">
            <v>0</v>
          </cell>
        </row>
        <row r="247">
          <cell r="A247">
            <v>20222</v>
          </cell>
          <cell r="B247">
            <v>36</v>
          </cell>
          <cell r="C247" t="str">
            <v>ALL AMERICA INSURANCE COMPANY</v>
          </cell>
          <cell r="D247" t="str">
            <v>LA2 / LEE</v>
          </cell>
          <cell r="E247" t="str">
            <v>LA2 / LEE</v>
          </cell>
          <cell r="F247">
            <v>0</v>
          </cell>
          <cell r="G247">
            <v>0</v>
          </cell>
          <cell r="H247">
            <v>0</v>
          </cell>
        </row>
        <row r="248">
          <cell r="A248">
            <v>20230</v>
          </cell>
          <cell r="B248">
            <v>36</v>
          </cell>
          <cell r="C248" t="str">
            <v>CENTRAL MUTUAL INSURANCE COMPANY</v>
          </cell>
          <cell r="D248" t="str">
            <v>LA2 / LEE</v>
          </cell>
          <cell r="E248" t="str">
            <v>LA2 / LEE</v>
          </cell>
          <cell r="F248">
            <v>0</v>
          </cell>
          <cell r="G248">
            <v>0</v>
          </cell>
          <cell r="H248">
            <v>0</v>
          </cell>
        </row>
        <row r="249">
          <cell r="A249">
            <v>10826</v>
          </cell>
          <cell r="B249">
            <v>41</v>
          </cell>
          <cell r="C249" t="str">
            <v>TRAVCAL INDEMNITY COMPANY</v>
          </cell>
          <cell r="D249" t="str">
            <v>SF1 / CARLSON</v>
          </cell>
          <cell r="E249" t="str">
            <v>SF1 / CARLSON</v>
          </cell>
          <cell r="F249" t="str">
            <v>SF2 / GOTERA-PITROU</v>
          </cell>
          <cell r="G249">
            <v>0</v>
          </cell>
          <cell r="H249">
            <v>0</v>
          </cell>
        </row>
        <row r="250">
          <cell r="A250">
            <v>10827</v>
          </cell>
          <cell r="B250">
            <v>41</v>
          </cell>
          <cell r="C250" t="str">
            <v>TRAVCAL SECURE INSURANCE COMPANY</v>
          </cell>
          <cell r="D250" t="str">
            <v>SF1 / CARLSON</v>
          </cell>
          <cell r="E250" t="str">
            <v>SF1 / CARLSON</v>
          </cell>
          <cell r="F250" t="str">
            <v>SF2 / GOTERA-PITROU</v>
          </cell>
          <cell r="G250">
            <v>0</v>
          </cell>
          <cell r="H250">
            <v>0</v>
          </cell>
        </row>
        <row r="251">
          <cell r="A251">
            <v>20982</v>
          </cell>
          <cell r="B251">
            <v>50</v>
          </cell>
          <cell r="C251" t="str">
            <v>COUNTRY CASUALTY INSURANCE COMPANY</v>
          </cell>
          <cell r="D251" t="str">
            <v>LA1 /  HUH</v>
          </cell>
          <cell r="E251" t="str">
            <v>LA1 / AHN</v>
          </cell>
          <cell r="F251">
            <v>0</v>
          </cell>
          <cell r="G251">
            <v>0</v>
          </cell>
          <cell r="H251">
            <v>0</v>
          </cell>
        </row>
        <row r="252">
          <cell r="A252">
            <v>20990</v>
          </cell>
          <cell r="B252">
            <v>50</v>
          </cell>
          <cell r="C252" t="str">
            <v>COUNTRY MUTUAL INSURANCE COMPANY</v>
          </cell>
          <cell r="D252" t="str">
            <v>LA1 /  HUH</v>
          </cell>
          <cell r="E252" t="str">
            <v>LA1 / AHN</v>
          </cell>
          <cell r="F252">
            <v>0</v>
          </cell>
          <cell r="G252">
            <v>0</v>
          </cell>
          <cell r="H252">
            <v>0</v>
          </cell>
        </row>
        <row r="253">
          <cell r="A253">
            <v>21008</v>
          </cell>
          <cell r="B253">
            <v>50</v>
          </cell>
          <cell r="C253" t="str">
            <v>COUNTRY PREFERRED INSURANCE COMPANY</v>
          </cell>
          <cell r="D253" t="str">
            <v>LA1 /  HUH</v>
          </cell>
          <cell r="E253" t="str">
            <v>LA1 / AHN</v>
          </cell>
          <cell r="F253">
            <v>0</v>
          </cell>
          <cell r="G253">
            <v>0</v>
          </cell>
          <cell r="H253">
            <v>0</v>
          </cell>
        </row>
        <row r="254">
          <cell r="A254">
            <v>14206</v>
          </cell>
          <cell r="B254">
            <v>50</v>
          </cell>
          <cell r="C254" t="str">
            <v>HOLYOKE MUTUAL INSURANCE COMPANY IN SALEM</v>
          </cell>
          <cell r="D254" t="str">
            <v>LA1 /  HUH</v>
          </cell>
          <cell r="E254" t="str">
            <v>LA1 / AHN</v>
          </cell>
          <cell r="F254">
            <v>0</v>
          </cell>
          <cell r="G254">
            <v>0</v>
          </cell>
          <cell r="H254">
            <v>0</v>
          </cell>
        </row>
        <row r="255">
          <cell r="A255">
            <v>21237</v>
          </cell>
          <cell r="B255">
            <v>56</v>
          </cell>
          <cell r="C255" t="str">
            <v>CASUALTY RECIPROCAL EXCHANGE</v>
          </cell>
          <cell r="D255" t="str">
            <v>LA1 /  HUH</v>
          </cell>
          <cell r="E255" t="str">
            <v>LA1 / OKPARA</v>
          </cell>
          <cell r="F255">
            <v>0</v>
          </cell>
          <cell r="G255">
            <v>0</v>
          </cell>
          <cell r="H255">
            <v>0</v>
          </cell>
        </row>
        <row r="256">
          <cell r="A256">
            <v>21288</v>
          </cell>
          <cell r="B256">
            <v>57</v>
          </cell>
          <cell r="C256" t="str">
            <v>ELECTRIC MUTUAL LIABILITY INSURANCE COMPANY</v>
          </cell>
          <cell r="D256" t="str">
            <v>SF1 / CARLSON</v>
          </cell>
          <cell r="E256" t="str">
            <v>SF1 / CARLSON</v>
          </cell>
          <cell r="F256">
            <v>0</v>
          </cell>
          <cell r="G256">
            <v>0</v>
          </cell>
          <cell r="H256">
            <v>0</v>
          </cell>
        </row>
        <row r="257">
          <cell r="A257">
            <v>10863</v>
          </cell>
          <cell r="B257">
            <v>62</v>
          </cell>
          <cell r="C257" t="str">
            <v>DAKOTA FIRE INSURANCE COMPANY</v>
          </cell>
          <cell r="D257" t="str">
            <v>LA2 / LEE</v>
          </cell>
          <cell r="E257" t="str">
            <v>LA2 / LEE</v>
          </cell>
          <cell r="F257">
            <v>0</v>
          </cell>
          <cell r="G257">
            <v>0</v>
          </cell>
          <cell r="H257">
            <v>0</v>
          </cell>
        </row>
        <row r="258">
          <cell r="A258">
            <v>21407</v>
          </cell>
          <cell r="B258">
            <v>62</v>
          </cell>
          <cell r="C258" t="str">
            <v>EMCASCO INSURANCE COMPANY</v>
          </cell>
          <cell r="D258" t="str">
            <v>LA2 / LEE</v>
          </cell>
          <cell r="E258" t="str">
            <v>LA2 / LEE</v>
          </cell>
          <cell r="F258">
            <v>0</v>
          </cell>
          <cell r="G258">
            <v>0</v>
          </cell>
          <cell r="H258">
            <v>0</v>
          </cell>
        </row>
        <row r="259">
          <cell r="A259">
            <v>21415</v>
          </cell>
          <cell r="B259">
            <v>62</v>
          </cell>
          <cell r="C259" t="str">
            <v>EMPLOYERS MUTUAL CASUALTY COMPANY</v>
          </cell>
          <cell r="D259" t="str">
            <v>LA2 / LEE</v>
          </cell>
          <cell r="E259" t="str">
            <v>LA2 / LEE</v>
          </cell>
          <cell r="F259">
            <v>0</v>
          </cell>
          <cell r="G259">
            <v>0</v>
          </cell>
          <cell r="H259">
            <v>0</v>
          </cell>
        </row>
        <row r="260">
          <cell r="A260">
            <v>10014</v>
          </cell>
          <cell r="B260">
            <v>65</v>
          </cell>
          <cell r="C260" t="str">
            <v>AFFILIATED FM INSURANCE COMPANY</v>
          </cell>
          <cell r="D260" t="str">
            <v>SF1 / LI</v>
          </cell>
          <cell r="E260" t="str">
            <v>SF1 / LI</v>
          </cell>
          <cell r="F260">
            <v>0</v>
          </cell>
          <cell r="G260">
            <v>0</v>
          </cell>
          <cell r="H260">
            <v>0</v>
          </cell>
        </row>
        <row r="261">
          <cell r="A261">
            <v>10316</v>
          </cell>
          <cell r="B261">
            <v>65</v>
          </cell>
          <cell r="C261" t="str">
            <v>APPALACHIAN INSURANCE COMPANY</v>
          </cell>
          <cell r="D261" t="str">
            <v>SF1 / LI</v>
          </cell>
          <cell r="E261" t="str">
            <v>SF1 / LI</v>
          </cell>
          <cell r="F261">
            <v>0</v>
          </cell>
          <cell r="G261">
            <v>0</v>
          </cell>
          <cell r="H261">
            <v>0</v>
          </cell>
        </row>
        <row r="262">
          <cell r="A262">
            <v>21482</v>
          </cell>
          <cell r="B262">
            <v>65</v>
          </cell>
          <cell r="C262" t="str">
            <v>FACTORY MUTUAL INSURANCE COMPANY</v>
          </cell>
          <cell r="D262" t="str">
            <v>SF1 / LI</v>
          </cell>
          <cell r="E262" t="str">
            <v>SF1 / LI</v>
          </cell>
          <cell r="F262">
            <v>0</v>
          </cell>
          <cell r="G262">
            <v>0</v>
          </cell>
          <cell r="H262" t="str">
            <v>RAO / KUO</v>
          </cell>
        </row>
        <row r="263">
          <cell r="A263">
            <v>36404</v>
          </cell>
          <cell r="B263">
            <v>69</v>
          </cell>
          <cell r="C263" t="str">
            <v>21ST CENTURY CASUALTY COMPANY</v>
          </cell>
          <cell r="D263" t="str">
            <v>LA2 / BAUTISTA</v>
          </cell>
          <cell r="E263" t="str">
            <v>LA2 / BAUTISTA</v>
          </cell>
          <cell r="F263" t="str">
            <v>SF2 / GOTERA-PITROU</v>
          </cell>
          <cell r="G263">
            <v>0</v>
          </cell>
          <cell r="H263">
            <v>0</v>
          </cell>
        </row>
        <row r="264">
          <cell r="A264">
            <v>34789</v>
          </cell>
          <cell r="B264">
            <v>69</v>
          </cell>
          <cell r="C264" t="str">
            <v>21ST CENTURY CENTENNIAL INSURANCE COMPANY</v>
          </cell>
          <cell r="D264" t="str">
            <v>LA2 / BAUTISTA</v>
          </cell>
          <cell r="E264" t="str">
            <v>LA2 / BAUTISTA</v>
          </cell>
          <cell r="F264" t="str">
            <v>SF2 / GOTERA-PITROU</v>
          </cell>
          <cell r="G264">
            <v>0</v>
          </cell>
          <cell r="H264">
            <v>0</v>
          </cell>
        </row>
        <row r="265">
          <cell r="A265">
            <v>43974</v>
          </cell>
          <cell r="B265">
            <v>69</v>
          </cell>
          <cell r="C265" t="str">
            <v>21ST CENTURY INDEMNITY INSURANCE COMPANY</v>
          </cell>
          <cell r="D265" t="str">
            <v>LA2 / BAUTISTA</v>
          </cell>
          <cell r="E265" t="str">
            <v>LA2 / BAUTISTA</v>
          </cell>
          <cell r="F265" t="str">
            <v>SF2 / GOTERA-PITROU</v>
          </cell>
          <cell r="G265">
            <v>0</v>
          </cell>
          <cell r="H265">
            <v>0</v>
          </cell>
        </row>
        <row r="266">
          <cell r="A266">
            <v>12963</v>
          </cell>
          <cell r="B266">
            <v>69</v>
          </cell>
          <cell r="C266" t="str">
            <v>21ST CENTURY INSURANCE COMPANY</v>
          </cell>
          <cell r="D266" t="str">
            <v>LA2 / BAUTISTA</v>
          </cell>
          <cell r="E266" t="str">
            <v>LA2 / BAUTISTA</v>
          </cell>
          <cell r="F266" t="str">
            <v>SF2 / GOTERA-PITROU</v>
          </cell>
          <cell r="G266">
            <v>0</v>
          </cell>
          <cell r="H266">
            <v>0</v>
          </cell>
        </row>
        <row r="267">
          <cell r="A267">
            <v>32220</v>
          </cell>
          <cell r="B267">
            <v>69</v>
          </cell>
          <cell r="C267" t="str">
            <v>21ST CENTURY NORTH AMERICA INSURANCE COMPANY</v>
          </cell>
          <cell r="D267" t="str">
            <v>LA2 / BAUTISTA</v>
          </cell>
          <cell r="E267" t="str">
            <v>LA2 / BAUTISTA</v>
          </cell>
          <cell r="F267" t="str">
            <v>SF2 / GOTERA-PITROU</v>
          </cell>
          <cell r="G267">
            <v>0</v>
          </cell>
          <cell r="H267" t="str">
            <v>RAO / KUO</v>
          </cell>
        </row>
        <row r="268">
          <cell r="A268">
            <v>22225</v>
          </cell>
          <cell r="B268">
            <v>69</v>
          </cell>
          <cell r="C268" t="str">
            <v>21ST CENTURY PREFERRED INSURANCE COMPANY</v>
          </cell>
          <cell r="D268" t="str">
            <v>LA2 / BAUTISTA</v>
          </cell>
          <cell r="E268" t="str">
            <v>LA2 / BAUTISTA</v>
          </cell>
          <cell r="F268" t="str">
            <v>SF2 / GOTERA-PITROU</v>
          </cell>
          <cell r="G268">
            <v>0</v>
          </cell>
          <cell r="H268">
            <v>0</v>
          </cell>
        </row>
        <row r="269">
          <cell r="A269">
            <v>20796</v>
          </cell>
          <cell r="B269">
            <v>69</v>
          </cell>
          <cell r="C269" t="str">
            <v>21ST CENTURY PREMIER INSURANCE COMPANY</v>
          </cell>
          <cell r="D269" t="str">
            <v>LA2 / BAUTISTA</v>
          </cell>
          <cell r="E269" t="str">
            <v>LA2 / BAUTISTA</v>
          </cell>
          <cell r="F269" t="str">
            <v>SF2 / GOTERA-PITROU</v>
          </cell>
          <cell r="G269">
            <v>0</v>
          </cell>
          <cell r="H269">
            <v>0</v>
          </cell>
        </row>
        <row r="270">
          <cell r="A270">
            <v>43761</v>
          </cell>
          <cell r="B270">
            <v>69</v>
          </cell>
          <cell r="C270" t="str">
            <v>21ST CENTURY SUPERIOR INSURANCE COMPANY</v>
          </cell>
          <cell r="D270" t="str">
            <v>LA2 / BAUTISTA</v>
          </cell>
          <cell r="E270" t="str">
            <v>LA2 / BAUTISTA</v>
          </cell>
          <cell r="F270" t="str">
            <v>SF2 / GOTERA-PITROU</v>
          </cell>
          <cell r="G270">
            <v>0</v>
          </cell>
          <cell r="H270">
            <v>0</v>
          </cell>
        </row>
        <row r="271">
          <cell r="A271">
            <v>10315</v>
          </cell>
          <cell r="B271">
            <v>69</v>
          </cell>
          <cell r="C271" t="str">
            <v>CIVIC PROPERTY AND CASUALTY COMPANY</v>
          </cell>
          <cell r="D271" t="str">
            <v>LA2 / BAUTISTA</v>
          </cell>
          <cell r="E271" t="str">
            <v>LA2 / BAUTISTA</v>
          </cell>
          <cell r="F271" t="str">
            <v>SF2 / GOTERA-PITROU</v>
          </cell>
          <cell r="G271" t="str">
            <v>RAO / KUO</v>
          </cell>
          <cell r="H271" t="str">
            <v>RAO / KUO</v>
          </cell>
        </row>
        <row r="272">
          <cell r="A272">
            <v>25089</v>
          </cell>
          <cell r="B272">
            <v>69</v>
          </cell>
          <cell r="C272" t="str">
            <v>COAST NATIONAL INSURANCE COMPANY</v>
          </cell>
          <cell r="D272" t="str">
            <v>LA2 / BAUTISTA</v>
          </cell>
          <cell r="E272" t="str">
            <v>LA2 / BAUTISTA</v>
          </cell>
          <cell r="F272" t="str">
            <v>SF2 / GOTERA-PITROU</v>
          </cell>
          <cell r="G272">
            <v>0</v>
          </cell>
          <cell r="H272">
            <v>0</v>
          </cell>
        </row>
        <row r="273">
          <cell r="A273">
            <v>10318</v>
          </cell>
          <cell r="B273">
            <v>69</v>
          </cell>
          <cell r="C273" t="str">
            <v>EXACT PROPERTY &amp; CASUALTY COMPANY</v>
          </cell>
          <cell r="D273" t="str">
            <v>LA2 / BAUTISTA</v>
          </cell>
          <cell r="E273" t="str">
            <v>LA2 / BAUTISTA</v>
          </cell>
          <cell r="F273" t="str">
            <v>SF2 / GOTERA-PITROU</v>
          </cell>
          <cell r="G273" t="str">
            <v>RAO / KUO</v>
          </cell>
          <cell r="H273" t="str">
            <v>RAO / KUO</v>
          </cell>
        </row>
        <row r="274">
          <cell r="A274">
            <v>21636</v>
          </cell>
          <cell r="B274">
            <v>69</v>
          </cell>
          <cell r="C274" t="str">
            <v>FARMERS INSURANCE COMPANY OF OREGON</v>
          </cell>
          <cell r="D274" t="str">
            <v>LA2 / BAUTISTA</v>
          </cell>
          <cell r="E274" t="str">
            <v>LA2 / BAUTISTA</v>
          </cell>
          <cell r="F274" t="str">
            <v>SF2 / GOTERA-PITROU</v>
          </cell>
          <cell r="G274" t="str">
            <v>RAO / KUO</v>
          </cell>
          <cell r="H274" t="str">
            <v>RAO / KUO</v>
          </cell>
        </row>
        <row r="275">
          <cell r="A275">
            <v>21628</v>
          </cell>
          <cell r="B275">
            <v>69</v>
          </cell>
          <cell r="C275" t="str">
            <v>FARMERS INSURANCE COMPANY, INC</v>
          </cell>
          <cell r="D275" t="str">
            <v>LA2 / BAUTISTA</v>
          </cell>
          <cell r="E275" t="str">
            <v>LA2 / BAUTISTA</v>
          </cell>
          <cell r="F275" t="str">
            <v>SF2 / GOTERA-PITROU</v>
          </cell>
          <cell r="G275">
            <v>0</v>
          </cell>
          <cell r="H275">
            <v>0</v>
          </cell>
        </row>
        <row r="276">
          <cell r="A276">
            <v>21652</v>
          </cell>
          <cell r="B276">
            <v>69</v>
          </cell>
          <cell r="C276" t="str">
            <v>FARMERS INSURANCE EXCHANGE</v>
          </cell>
          <cell r="D276" t="str">
            <v>LA2 / BAUTISTA</v>
          </cell>
          <cell r="E276" t="str">
            <v>LA2 / BAUTISTA</v>
          </cell>
          <cell r="F276" t="str">
            <v>SF2 / GOTERA-PITROU</v>
          </cell>
          <cell r="G276">
            <v>0</v>
          </cell>
          <cell r="H276">
            <v>0</v>
          </cell>
        </row>
        <row r="277">
          <cell r="A277">
            <v>43699</v>
          </cell>
          <cell r="B277">
            <v>69</v>
          </cell>
          <cell r="C277" t="str">
            <v>FARMERS SPECIALTY INSURANCE COMPANY</v>
          </cell>
          <cell r="D277" t="str">
            <v>LA2 / BAUTISTA</v>
          </cell>
          <cell r="E277" t="str">
            <v>LA2 / BAUTISTA</v>
          </cell>
          <cell r="F277" t="str">
            <v>SF2 / GOTERA-PITROU</v>
          </cell>
          <cell r="G277" t="str">
            <v>RAO / KUO</v>
          </cell>
          <cell r="H277" t="str">
            <v>RAO / KUO</v>
          </cell>
        </row>
        <row r="278">
          <cell r="A278">
            <v>21660</v>
          </cell>
          <cell r="B278">
            <v>69</v>
          </cell>
          <cell r="C278" t="str">
            <v>FIRE INSURANCE EXCHANGE</v>
          </cell>
          <cell r="D278" t="str">
            <v>LA2 / BAUTISTA</v>
          </cell>
          <cell r="E278" t="str">
            <v>LA2 / BAUTISTA</v>
          </cell>
          <cell r="F278" t="str">
            <v>SF2 / GOTERA-PITROU</v>
          </cell>
          <cell r="G278">
            <v>0</v>
          </cell>
          <cell r="H278">
            <v>0</v>
          </cell>
        </row>
        <row r="279">
          <cell r="A279">
            <v>11185</v>
          </cell>
          <cell r="B279">
            <v>69</v>
          </cell>
          <cell r="C279" t="str">
            <v>FOREMOST INSURANCE COMPANY GRAND RAPIDS MICHIGAN</v>
          </cell>
          <cell r="D279" t="str">
            <v>LA2 / BAUTISTA</v>
          </cell>
          <cell r="E279" t="str">
            <v>LA2 / BAUTISTA</v>
          </cell>
          <cell r="F279" t="str">
            <v>SF2 / GOTERA-PITROU</v>
          </cell>
          <cell r="G279">
            <v>0</v>
          </cell>
          <cell r="H279">
            <v>0</v>
          </cell>
        </row>
        <row r="280">
          <cell r="A280">
            <v>11800</v>
          </cell>
          <cell r="B280">
            <v>69</v>
          </cell>
          <cell r="C280" t="str">
            <v>FOREMOST PROPERTY AND CASUALTY INSURANCE COMPANY</v>
          </cell>
          <cell r="D280" t="str">
            <v>LA2 / BAUTISTA</v>
          </cell>
          <cell r="E280" t="str">
            <v>LA2 / BAUTISTA</v>
          </cell>
          <cell r="F280" t="str">
            <v>SF2 / GOTERA-PITROU</v>
          </cell>
          <cell r="G280">
            <v>0</v>
          </cell>
          <cell r="H280">
            <v>0</v>
          </cell>
        </row>
        <row r="281">
          <cell r="A281">
            <v>41513</v>
          </cell>
          <cell r="B281">
            <v>69</v>
          </cell>
          <cell r="C281" t="str">
            <v>FOREMOST SIGNALINRE INSURANCE COMPANY</v>
          </cell>
          <cell r="D281" t="str">
            <v>LA2 / BAUTISTA</v>
          </cell>
          <cell r="E281" t="str">
            <v>LA2 / BAUTISTA</v>
          </cell>
          <cell r="F281" t="str">
            <v>SF2 / GOTERA-PITROU</v>
          </cell>
          <cell r="G281">
            <v>0</v>
          </cell>
          <cell r="H281">
            <v>0</v>
          </cell>
        </row>
        <row r="282">
          <cell r="A282">
            <v>21687</v>
          </cell>
          <cell r="B282">
            <v>69</v>
          </cell>
          <cell r="C282" t="str">
            <v xml:space="preserve">MID CENTURY INSURANCE COMPANY </v>
          </cell>
          <cell r="D282" t="str">
            <v>LA2 / BAUTISTA</v>
          </cell>
          <cell r="E282" t="str">
            <v>LA2 / BAUTISTA</v>
          </cell>
          <cell r="F282" t="str">
            <v>SF2 / GOTERA-PITROU</v>
          </cell>
          <cell r="G282">
            <v>0</v>
          </cell>
          <cell r="H282">
            <v>0</v>
          </cell>
        </row>
        <row r="283">
          <cell r="A283">
            <v>10317</v>
          </cell>
          <cell r="B283">
            <v>69</v>
          </cell>
          <cell r="C283" t="str">
            <v>NEIGHBORHOOD SPIRIT PROPERTY &amp; CASUALTY COMPANY</v>
          </cell>
          <cell r="D283" t="str">
            <v>LA2 / BAUTISTA</v>
          </cell>
          <cell r="E283" t="str">
            <v>LA2 / BAUTISTA</v>
          </cell>
          <cell r="F283" t="str">
            <v>SF2 / GOTERA-PITROU</v>
          </cell>
          <cell r="G283">
            <v>0</v>
          </cell>
          <cell r="H283">
            <v>0</v>
          </cell>
        </row>
        <row r="284">
          <cell r="A284">
            <v>21709</v>
          </cell>
          <cell r="B284">
            <v>69</v>
          </cell>
          <cell r="C284" t="str">
            <v>TRUCK INSURANCE EXCHANGE</v>
          </cell>
          <cell r="D284" t="str">
            <v>LA2 / BAUTISTA</v>
          </cell>
          <cell r="E284" t="str">
            <v>LA2 / BAUTISTA</v>
          </cell>
          <cell r="F284" t="str">
            <v>SF2 / GOTERA-PITROU</v>
          </cell>
          <cell r="G284">
            <v>0</v>
          </cell>
          <cell r="H284">
            <v>0</v>
          </cell>
        </row>
        <row r="285">
          <cell r="A285">
            <v>37710</v>
          </cell>
          <cell r="B285">
            <v>70</v>
          </cell>
          <cell r="C285" t="str">
            <v>FIRST AMERICAN PROPERTY &amp; CASUALTY INSURANCE COMPANY</v>
          </cell>
          <cell r="D285" t="str">
            <v>LA2 / BAUTISTA</v>
          </cell>
          <cell r="E285" t="str">
            <v>LA2 / BAUTISTA</v>
          </cell>
          <cell r="F285">
            <v>0</v>
          </cell>
          <cell r="G285">
            <v>0</v>
          </cell>
          <cell r="H285">
            <v>0</v>
          </cell>
        </row>
        <row r="286">
          <cell r="A286">
            <v>34525</v>
          </cell>
          <cell r="B286">
            <v>70</v>
          </cell>
          <cell r="C286" t="str">
            <v>FIRST AMERICAN SPECIALTY INSURANCE COMPANY</v>
          </cell>
          <cell r="D286" t="str">
            <v>LA2 / BAUTISTA</v>
          </cell>
          <cell r="E286" t="str">
            <v>LA2 / BAUTISTA</v>
          </cell>
          <cell r="F286">
            <v>0</v>
          </cell>
          <cell r="G286">
            <v>0</v>
          </cell>
          <cell r="H286">
            <v>0</v>
          </cell>
        </row>
        <row r="287">
          <cell r="A287">
            <v>10759</v>
          </cell>
          <cell r="B287">
            <v>71</v>
          </cell>
          <cell r="C287" t="str">
            <v>UNIVERSAL NORTH AMERICA INSURANCE COMPANY</v>
          </cell>
          <cell r="D287" t="str">
            <v>SF1 / POON</v>
          </cell>
          <cell r="E287" t="str">
            <v>SF1 / POON</v>
          </cell>
          <cell r="F287">
            <v>0</v>
          </cell>
          <cell r="G287">
            <v>0</v>
          </cell>
          <cell r="H287">
            <v>0</v>
          </cell>
        </row>
        <row r="288">
          <cell r="A288">
            <v>21768</v>
          </cell>
          <cell r="B288">
            <v>72</v>
          </cell>
          <cell r="C288" t="str">
            <v>NORTHEASTERN INSURANCE COMPANY OF HARTFORD</v>
          </cell>
          <cell r="D288" t="str">
            <v>LA1 /  HUH</v>
          </cell>
          <cell r="E288" t="str">
            <v>LA1 / AHN</v>
          </cell>
          <cell r="F288">
            <v>0</v>
          </cell>
          <cell r="G288">
            <v>0</v>
          </cell>
          <cell r="H288">
            <v>0</v>
          </cell>
        </row>
        <row r="289">
          <cell r="A289">
            <v>11123</v>
          </cell>
          <cell r="B289">
            <v>74</v>
          </cell>
          <cell r="C289" t="str">
            <v>SAFETY FIRST INSURANCE COMPANY</v>
          </cell>
          <cell r="D289" t="str">
            <v>LA1 /  HUH</v>
          </cell>
          <cell r="E289" t="str">
            <v>LA1 / AHN</v>
          </cell>
          <cell r="F289" t="str">
            <v>SF2 / GOTERA-PITROU</v>
          </cell>
          <cell r="G289">
            <v>0</v>
          </cell>
          <cell r="H289">
            <v>0</v>
          </cell>
        </row>
        <row r="290">
          <cell r="A290">
            <v>15105</v>
          </cell>
          <cell r="B290">
            <v>74</v>
          </cell>
          <cell r="C290" t="str">
            <v>SAFETY NATIONAL CASUALTY CORPORATION</v>
          </cell>
          <cell r="D290" t="str">
            <v>LA1 /  HUH</v>
          </cell>
          <cell r="E290" t="str">
            <v>LA1 / AHN</v>
          </cell>
          <cell r="F290" t="str">
            <v>SF2 / GOTERA-PITROU</v>
          </cell>
          <cell r="G290">
            <v>0</v>
          </cell>
          <cell r="H290">
            <v>0</v>
          </cell>
        </row>
        <row r="291">
          <cell r="A291">
            <v>22004</v>
          </cell>
          <cell r="B291">
            <v>79</v>
          </cell>
          <cell r="C291" t="str">
            <v>CIM INSURANCE CORPORATION</v>
          </cell>
          <cell r="D291" t="str">
            <v>LA1 /  HUH</v>
          </cell>
          <cell r="E291" t="str">
            <v>LA1 / OKPARA</v>
          </cell>
          <cell r="F291">
            <v>0</v>
          </cell>
          <cell r="G291">
            <v>0</v>
          </cell>
          <cell r="H291">
            <v>0</v>
          </cell>
        </row>
        <row r="292">
          <cell r="A292">
            <v>38601</v>
          </cell>
          <cell r="B292">
            <v>79</v>
          </cell>
          <cell r="C292" t="str">
            <v>MIC PROPERTY AND CASUALTY INSURANCE CORPORATION</v>
          </cell>
          <cell r="D292" t="str">
            <v>LA1 /  HUH</v>
          </cell>
          <cell r="E292" t="str">
            <v>LA1 / OKPARA</v>
          </cell>
          <cell r="F292">
            <v>0</v>
          </cell>
          <cell r="G292">
            <v>0</v>
          </cell>
          <cell r="H292">
            <v>0</v>
          </cell>
        </row>
        <row r="293">
          <cell r="A293">
            <v>22012</v>
          </cell>
          <cell r="B293">
            <v>79</v>
          </cell>
          <cell r="C293" t="str">
            <v>MOTORS INSURANCE CORPORATION</v>
          </cell>
          <cell r="D293" t="str">
            <v>LA1 /  HUH</v>
          </cell>
          <cell r="E293" t="str">
            <v>LA1 / OKPARA</v>
          </cell>
          <cell r="F293">
            <v>0</v>
          </cell>
          <cell r="G293">
            <v>0</v>
          </cell>
          <cell r="H293">
            <v>0</v>
          </cell>
        </row>
        <row r="294">
          <cell r="A294">
            <v>22101</v>
          </cell>
          <cell r="B294">
            <v>83</v>
          </cell>
          <cell r="C294" t="str">
            <v>GRANGE INSURANCE ASSOCIATION</v>
          </cell>
          <cell r="D294" t="str">
            <v>LA2 / BAUTISTA</v>
          </cell>
          <cell r="E294" t="str">
            <v>LA2 / BAUTISTA</v>
          </cell>
          <cell r="F294" t="str">
            <v>SF2 / GOTERA-PITROU</v>
          </cell>
          <cell r="G294">
            <v>0</v>
          </cell>
          <cell r="H294">
            <v>0</v>
          </cell>
        </row>
        <row r="295">
          <cell r="A295">
            <v>22128</v>
          </cell>
          <cell r="B295">
            <v>83</v>
          </cell>
          <cell r="C295" t="str">
            <v>GRANWEST PROPERTY &amp; CASUALTY</v>
          </cell>
          <cell r="D295" t="str">
            <v>LA2 / BAUTISTA</v>
          </cell>
          <cell r="E295" t="str">
            <v>LA2 / BAUTISTA</v>
          </cell>
          <cell r="F295" t="str">
            <v>SF2 / GOTERA-PITROU</v>
          </cell>
          <cell r="G295">
            <v>0</v>
          </cell>
          <cell r="H295">
            <v>0</v>
          </cell>
        </row>
        <row r="296">
          <cell r="A296">
            <v>41858</v>
          </cell>
          <cell r="B296">
            <v>84</v>
          </cell>
          <cell r="C296" t="str">
            <v>AMERICAN DYNASTY SURPLUS LINES INSURANCE COMPANY</v>
          </cell>
          <cell r="D296" t="str">
            <v>LA1 /  HUH</v>
          </cell>
          <cell r="E296" t="str">
            <v>LA1 / OKPARA</v>
          </cell>
          <cell r="F296" t="str">
            <v>SF2 / GOTERA-PITROU</v>
          </cell>
          <cell r="G296">
            <v>0</v>
          </cell>
          <cell r="H296">
            <v>0</v>
          </cell>
        </row>
        <row r="297">
          <cell r="A297">
            <v>15920</v>
          </cell>
          <cell r="B297">
            <v>84</v>
          </cell>
          <cell r="C297" t="str">
            <v>AMERICAN EAGLE INSURANCE COMPANY</v>
          </cell>
          <cell r="D297" t="str">
            <v>LA1 /  HUH</v>
          </cell>
          <cell r="E297" t="str">
            <v>LA1 / OKPARA</v>
          </cell>
          <cell r="F297" t="str">
            <v>SF2 / GOTERA-PITROU</v>
          </cell>
          <cell r="G297">
            <v>0</v>
          </cell>
          <cell r="H297">
            <v>0</v>
          </cell>
        </row>
        <row r="298">
          <cell r="A298">
            <v>37990</v>
          </cell>
          <cell r="B298">
            <v>84</v>
          </cell>
          <cell r="C298" t="str">
            <v>AMERICAN EMPIRE INSURANCE COMPANY</v>
          </cell>
          <cell r="D298" t="str">
            <v>LA1 /  HUH</v>
          </cell>
          <cell r="E298" t="str">
            <v>LA1 / OKPARA</v>
          </cell>
          <cell r="F298" t="str">
            <v>SF2 / GOTERA-PITROU</v>
          </cell>
          <cell r="G298">
            <v>0</v>
          </cell>
          <cell r="H298">
            <v>0</v>
          </cell>
        </row>
        <row r="299">
          <cell r="A299">
            <v>31153</v>
          </cell>
          <cell r="B299">
            <v>84</v>
          </cell>
          <cell r="C299" t="str">
            <v>EAGLE AMERICAN INSURANCE COMPANY (dba Sandstone Insurance Company)</v>
          </cell>
          <cell r="D299" t="str">
            <v>LA1 /  HUH</v>
          </cell>
          <cell r="E299" t="str">
            <v>LA1 / OKPARA</v>
          </cell>
          <cell r="F299" t="str">
            <v>SF2 / GOTERA-PITROU</v>
          </cell>
          <cell r="G299">
            <v>0</v>
          </cell>
          <cell r="H299">
            <v>0</v>
          </cell>
        </row>
        <row r="300">
          <cell r="A300">
            <v>26832</v>
          </cell>
          <cell r="B300">
            <v>84</v>
          </cell>
          <cell r="C300" t="str">
            <v>GREAT AMERICAN ALLIANCE INSURANCE COMPANY</v>
          </cell>
          <cell r="D300" t="str">
            <v>LA1 /  HUH</v>
          </cell>
          <cell r="E300" t="str">
            <v>LA1 / OKPARA</v>
          </cell>
          <cell r="F300" t="str">
            <v>SF2 / GOTERA-PITROU</v>
          </cell>
          <cell r="G300">
            <v>0</v>
          </cell>
          <cell r="H300">
            <v>0</v>
          </cell>
        </row>
        <row r="301">
          <cell r="A301">
            <v>26344</v>
          </cell>
          <cell r="B301">
            <v>84</v>
          </cell>
          <cell r="C301" t="str">
            <v>GREAT AMERICAN ASSURANCE COMPANY</v>
          </cell>
          <cell r="D301" t="str">
            <v>LA1 /  HUH</v>
          </cell>
          <cell r="E301" t="str">
            <v>LA1 / OKPARA</v>
          </cell>
          <cell r="F301" t="str">
            <v>SF2 / GOTERA-PITROU</v>
          </cell>
          <cell r="G301">
            <v>0</v>
          </cell>
          <cell r="H301">
            <v>0</v>
          </cell>
        </row>
        <row r="302">
          <cell r="A302">
            <v>10646</v>
          </cell>
          <cell r="B302">
            <v>84</v>
          </cell>
          <cell r="C302" t="str">
            <v>GREAT AMERICAN CONTEMPORARY AMERICAN INSURANCE COMPANY</v>
          </cell>
          <cell r="D302" t="str">
            <v>LA1 /  HUH</v>
          </cell>
          <cell r="E302" t="str">
            <v>LA1 / OKPARA</v>
          </cell>
          <cell r="F302" t="str">
            <v>SF2 / GOTERA-PITROU</v>
          </cell>
          <cell r="G302">
            <v>0</v>
          </cell>
          <cell r="H302">
            <v>0</v>
          </cell>
        </row>
        <row r="303">
          <cell r="A303">
            <v>16691</v>
          </cell>
          <cell r="B303">
            <v>84</v>
          </cell>
          <cell r="C303" t="str">
            <v>GREAT AMERICAN INSURANCE COMPANY</v>
          </cell>
          <cell r="D303" t="str">
            <v>LA1 /  HUH</v>
          </cell>
          <cell r="E303" t="str">
            <v>LA1 / OKPARA</v>
          </cell>
          <cell r="F303" t="str">
            <v>SF2 / GOTERA-PITROU</v>
          </cell>
          <cell r="G303">
            <v>0</v>
          </cell>
          <cell r="H303">
            <v>0</v>
          </cell>
        </row>
        <row r="304">
          <cell r="A304">
            <v>22136</v>
          </cell>
          <cell r="B304">
            <v>84</v>
          </cell>
          <cell r="C304" t="str">
            <v>GREAT AMERICAN INSURANCE COMPANY OF NEW YORK</v>
          </cell>
          <cell r="D304" t="str">
            <v>LA1 /  HUH</v>
          </cell>
          <cell r="E304" t="str">
            <v>LA1 / OKPARA</v>
          </cell>
          <cell r="F304" t="str">
            <v>SF2 / GOTERA-PITROU</v>
          </cell>
          <cell r="G304">
            <v>0</v>
          </cell>
          <cell r="H304">
            <v>0</v>
          </cell>
        </row>
        <row r="305">
          <cell r="A305">
            <v>38580</v>
          </cell>
          <cell r="B305">
            <v>84</v>
          </cell>
          <cell r="C305" t="str">
            <v>GREAT AMERICAN PROTECTION INSURANCE COMPANY</v>
          </cell>
          <cell r="D305" t="str">
            <v>LA1 /  HUH</v>
          </cell>
          <cell r="E305" t="str">
            <v>LA1 / OKPARA</v>
          </cell>
          <cell r="F305" t="str">
            <v>SF2 / GOTERA-PITROU</v>
          </cell>
          <cell r="G305">
            <v>0</v>
          </cell>
          <cell r="H305">
            <v>0</v>
          </cell>
        </row>
        <row r="306">
          <cell r="A306">
            <v>31135</v>
          </cell>
          <cell r="B306">
            <v>84</v>
          </cell>
          <cell r="C306" t="str">
            <v>GREAT AMERICAN SECURITY INSURANCE CO.</v>
          </cell>
          <cell r="D306" t="str">
            <v>LA1 /  HUH</v>
          </cell>
          <cell r="E306" t="str">
            <v>LA1 / OKPARA</v>
          </cell>
          <cell r="F306" t="str">
            <v>SF2 / GOTERA-PITROU</v>
          </cell>
          <cell r="G306">
            <v>0</v>
          </cell>
          <cell r="H306">
            <v>0</v>
          </cell>
        </row>
        <row r="307">
          <cell r="A307">
            <v>33723</v>
          </cell>
          <cell r="B307">
            <v>84</v>
          </cell>
          <cell r="C307" t="str">
            <v>GREAT AMERICAN SPIRIT INSURANCE COMPANY</v>
          </cell>
          <cell r="D307" t="str">
            <v>LA1 /  HUH</v>
          </cell>
          <cell r="E307" t="str">
            <v>LA1 / OKPARA</v>
          </cell>
          <cell r="F307" t="str">
            <v>SF2 / GOTERA-PITROU</v>
          </cell>
          <cell r="G307">
            <v>0</v>
          </cell>
          <cell r="H307">
            <v>0</v>
          </cell>
        </row>
        <row r="308">
          <cell r="A308">
            <v>32620</v>
          </cell>
          <cell r="B308">
            <v>84</v>
          </cell>
          <cell r="C308" t="str">
            <v>NATIONAL INTERSTATE INSURANCE COMPANY</v>
          </cell>
          <cell r="D308" t="str">
            <v>LA1 /  HUH</v>
          </cell>
          <cell r="E308" t="str">
            <v>LA1 / OKPARA</v>
          </cell>
          <cell r="F308" t="str">
            <v>SF2 / GOTERA-PITROU</v>
          </cell>
          <cell r="G308">
            <v>0</v>
          </cell>
          <cell r="H308">
            <v>0</v>
          </cell>
        </row>
        <row r="309">
          <cell r="A309">
            <v>22179</v>
          </cell>
          <cell r="B309">
            <v>84</v>
          </cell>
          <cell r="C309" t="str">
            <v>REPUBLIC INDEMNITY COMPANY OF AMERICA</v>
          </cell>
          <cell r="D309" t="str">
            <v>LA1 /  HUH</v>
          </cell>
          <cell r="E309" t="str">
            <v>LA1 / OKPARA</v>
          </cell>
          <cell r="F309" t="str">
            <v>SF2 / GOTERA-PITROU</v>
          </cell>
          <cell r="G309">
            <v>0</v>
          </cell>
          <cell r="H309">
            <v>0</v>
          </cell>
        </row>
        <row r="310">
          <cell r="A310">
            <v>43753</v>
          </cell>
          <cell r="B310">
            <v>84</v>
          </cell>
          <cell r="C310" t="str">
            <v>REPUBLIC INDEMNITY COMPANY OF CALIFORNIA</v>
          </cell>
          <cell r="D310" t="str">
            <v>LA1 /  HUH</v>
          </cell>
          <cell r="E310" t="str">
            <v>LA1 / OKPARA</v>
          </cell>
          <cell r="F310" t="str">
            <v>SF2 / GOTERA-PITROU</v>
          </cell>
          <cell r="G310">
            <v>0</v>
          </cell>
          <cell r="H310">
            <v>0</v>
          </cell>
        </row>
        <row r="311">
          <cell r="A311">
            <v>31153</v>
          </cell>
          <cell r="B311">
            <v>84</v>
          </cell>
          <cell r="C311" t="str">
            <v>SANDSTONE INSURANCE COMPANY (See Eagle American Insurance Company)</v>
          </cell>
          <cell r="D311" t="str">
            <v>LA1 /  HUH</v>
          </cell>
          <cell r="E311" t="str">
            <v>LA1 / OKPARA</v>
          </cell>
          <cell r="F311" t="str">
            <v>SF2 / GOTERA-PITROU</v>
          </cell>
          <cell r="G311">
            <v>0</v>
          </cell>
          <cell r="H311">
            <v>0</v>
          </cell>
        </row>
        <row r="312">
          <cell r="A312">
            <v>41106</v>
          </cell>
          <cell r="B312">
            <v>84</v>
          </cell>
          <cell r="C312" t="str">
            <v>TRIUMPHE CASUALTY COMPANY</v>
          </cell>
          <cell r="D312" t="str">
            <v>LA1 /  HUH</v>
          </cell>
          <cell r="E312" t="str">
            <v>LA1 / OKPARA</v>
          </cell>
          <cell r="F312" t="str">
            <v>SF2 / GOTERA-PITROU</v>
          </cell>
          <cell r="G312">
            <v>0</v>
          </cell>
          <cell r="H312">
            <v>0</v>
          </cell>
        </row>
        <row r="313">
          <cell r="A313">
            <v>21172</v>
          </cell>
          <cell r="B313">
            <v>84</v>
          </cell>
          <cell r="C313" t="str">
            <v>VANLINER INSURANCE COMPANY</v>
          </cell>
          <cell r="D313" t="str">
            <v>LA1 /  HUH</v>
          </cell>
          <cell r="E313" t="str">
            <v>LA1 / OKPARA</v>
          </cell>
          <cell r="F313" t="str">
            <v>SF2 / GOTERA-PITROU</v>
          </cell>
          <cell r="G313">
            <v>0</v>
          </cell>
          <cell r="H313">
            <v>0</v>
          </cell>
        </row>
        <row r="314">
          <cell r="A314">
            <v>41840</v>
          </cell>
          <cell r="B314">
            <v>88</v>
          </cell>
          <cell r="C314" t="str">
            <v>ALLMERICA FINANCIAL BENEFIT INSURANCE COMPANY</v>
          </cell>
          <cell r="D314" t="str">
            <v>LA1 /  HUH</v>
          </cell>
          <cell r="E314" t="str">
            <v>LA1 / AHN</v>
          </cell>
          <cell r="F314" t="str">
            <v>SF2 / GOTERA-PITROU</v>
          </cell>
          <cell r="G314">
            <v>0</v>
          </cell>
          <cell r="H314">
            <v>0</v>
          </cell>
        </row>
        <row r="315">
          <cell r="A315">
            <v>12260</v>
          </cell>
          <cell r="B315">
            <v>88</v>
          </cell>
          <cell r="C315" t="str">
            <v>CAMPMED CASUALTY &amp; INDEMNITY COMPANY, INC.</v>
          </cell>
          <cell r="D315" t="str">
            <v>LA1 /  HUH</v>
          </cell>
          <cell r="E315" t="str">
            <v>LA1 / AHN</v>
          </cell>
          <cell r="F315" t="str">
            <v>SF2 / GOTERA-PITROU</v>
          </cell>
          <cell r="G315">
            <v>0</v>
          </cell>
          <cell r="H315">
            <v>0</v>
          </cell>
        </row>
        <row r="316">
          <cell r="A316">
            <v>31534</v>
          </cell>
          <cell r="B316">
            <v>88</v>
          </cell>
          <cell r="C316" t="str">
            <v>CITIZENS INSURANCE COMPANY OF AMERICA</v>
          </cell>
          <cell r="D316" t="str">
            <v>LA1 /  HUH</v>
          </cell>
          <cell r="E316" t="str">
            <v>LA1 / AHN</v>
          </cell>
          <cell r="F316" t="str">
            <v>SF2 / GOTERA-PITROU</v>
          </cell>
          <cell r="G316">
            <v>0</v>
          </cell>
          <cell r="H316">
            <v>0</v>
          </cell>
        </row>
        <row r="317">
          <cell r="A317">
            <v>36064</v>
          </cell>
          <cell r="B317">
            <v>88</v>
          </cell>
          <cell r="C317" t="str">
            <v>HANOVER AMERICAN INSURANCE COMPANY (THE)</v>
          </cell>
          <cell r="D317" t="str">
            <v>LA1 /  HUH</v>
          </cell>
          <cell r="E317" t="str">
            <v>LA1 / AHN</v>
          </cell>
          <cell r="F317" t="str">
            <v>SF2 / GOTERA-PITROU</v>
          </cell>
          <cell r="G317">
            <v>0</v>
          </cell>
          <cell r="H317">
            <v>0</v>
          </cell>
        </row>
        <row r="318">
          <cell r="A318">
            <v>22292</v>
          </cell>
          <cell r="B318">
            <v>88</v>
          </cell>
          <cell r="C318" t="str">
            <v>HANOVER INSURANCE COMPANY</v>
          </cell>
          <cell r="D318" t="str">
            <v>LA1 /  HUH</v>
          </cell>
          <cell r="E318" t="str">
            <v>LA1 / AHN</v>
          </cell>
          <cell r="F318" t="str">
            <v>SF2 / GOTERA-PITROU</v>
          </cell>
          <cell r="G318">
            <v>0</v>
          </cell>
          <cell r="H318">
            <v>0</v>
          </cell>
        </row>
        <row r="319">
          <cell r="A319">
            <v>22306</v>
          </cell>
          <cell r="B319">
            <v>88</v>
          </cell>
          <cell r="C319" t="str">
            <v>MASSACHUSETTS BAY INSURANCE COMPANY</v>
          </cell>
          <cell r="D319" t="str">
            <v>LA1 /  HUH</v>
          </cell>
          <cell r="E319" t="str">
            <v>LA1 / AHN</v>
          </cell>
          <cell r="F319" t="str">
            <v>SF2 / GOTERA-PITROU</v>
          </cell>
          <cell r="G319">
            <v>0</v>
          </cell>
          <cell r="H319">
            <v>0</v>
          </cell>
        </row>
        <row r="320">
          <cell r="A320">
            <v>42552</v>
          </cell>
          <cell r="B320">
            <v>88</v>
          </cell>
          <cell r="C320" t="str">
            <v>NOVA CASUALTY COMPANY</v>
          </cell>
          <cell r="D320" t="str">
            <v>LA1 /  HUH</v>
          </cell>
          <cell r="E320" t="str">
            <v>LA1 / AHN</v>
          </cell>
          <cell r="F320" t="str">
            <v>SF2 / GOTERA-PITROU</v>
          </cell>
          <cell r="G320">
            <v>0</v>
          </cell>
          <cell r="H320">
            <v>0</v>
          </cell>
        </row>
        <row r="321">
          <cell r="A321">
            <v>10815</v>
          </cell>
          <cell r="B321">
            <v>88</v>
          </cell>
          <cell r="C321" t="str">
            <v>VERLAN FIRE INSURANCE COMPANY</v>
          </cell>
          <cell r="D321" t="str">
            <v>LA1 /  HUH</v>
          </cell>
          <cell r="E321" t="str">
            <v>LA1 / AHN</v>
          </cell>
          <cell r="F321" t="str">
            <v>SF2 / GOTERA-PITROU</v>
          </cell>
          <cell r="G321">
            <v>0</v>
          </cell>
          <cell r="H321">
            <v>0</v>
          </cell>
        </row>
        <row r="322">
          <cell r="A322">
            <v>21822</v>
          </cell>
          <cell r="B322">
            <v>91</v>
          </cell>
          <cell r="C322" t="str">
            <v>FIRST STATE INSURANCE COMPANY</v>
          </cell>
          <cell r="D322" t="str">
            <v>SF1 / POON</v>
          </cell>
          <cell r="E322" t="str">
            <v>SF1 / POON</v>
          </cell>
          <cell r="F322" t="str">
            <v>SF2 / GOTERA-PITROU</v>
          </cell>
          <cell r="G322">
            <v>0</v>
          </cell>
          <cell r="H322">
            <v>0</v>
          </cell>
        </row>
        <row r="323">
          <cell r="A323">
            <v>22357</v>
          </cell>
          <cell r="B323">
            <v>91</v>
          </cell>
          <cell r="C323" t="str">
            <v>HARTFORD ACCIDENT AND INDEMNITY COMPANY</v>
          </cell>
          <cell r="D323" t="str">
            <v>SF1 / POON</v>
          </cell>
          <cell r="E323" t="str">
            <v>SF1 / POON</v>
          </cell>
          <cell r="F323" t="str">
            <v>SF2 / GOTERA-PITROU</v>
          </cell>
          <cell r="G323">
            <v>0</v>
          </cell>
          <cell r="H323">
            <v>0</v>
          </cell>
        </row>
        <row r="324">
          <cell r="A324">
            <v>29424</v>
          </cell>
          <cell r="B324">
            <v>91</v>
          </cell>
          <cell r="C324" t="str">
            <v>HARTFORD CASUALTY INSURANCE COMPANY</v>
          </cell>
          <cell r="D324" t="str">
            <v>SF1 / POON</v>
          </cell>
          <cell r="E324" t="str">
            <v>SF1 / POON</v>
          </cell>
          <cell r="F324" t="str">
            <v>SF2 / GOTERA-PITROU</v>
          </cell>
          <cell r="G324">
            <v>0</v>
          </cell>
          <cell r="H324">
            <v>0</v>
          </cell>
        </row>
        <row r="325">
          <cell r="A325">
            <v>19682</v>
          </cell>
          <cell r="B325">
            <v>91</v>
          </cell>
          <cell r="C325" t="str">
            <v>HARTFORD FIRE INSURANCE COMPANY</v>
          </cell>
          <cell r="D325" t="str">
            <v>SF1 / POON</v>
          </cell>
          <cell r="E325" t="str">
            <v>SF1 / POON</v>
          </cell>
          <cell r="F325" t="str">
            <v>SF2 / GOTERA-PITROU</v>
          </cell>
          <cell r="G325">
            <v>0</v>
          </cell>
          <cell r="H325">
            <v>0</v>
          </cell>
        </row>
        <row r="326">
          <cell r="A326">
            <v>37478</v>
          </cell>
          <cell r="B326">
            <v>91</v>
          </cell>
          <cell r="C326" t="str">
            <v>HARTFORD INSURANCE COMPANY OF THE MIDWEST</v>
          </cell>
          <cell r="D326" t="str">
            <v>SF1 / POON</v>
          </cell>
          <cell r="E326" t="str">
            <v>SF1 / POON</v>
          </cell>
          <cell r="F326" t="str">
            <v>SF2 / GOTERA-PITROU</v>
          </cell>
          <cell r="G326" t="str">
            <v>RAO / KUO</v>
          </cell>
          <cell r="H326" t="str">
            <v>RAO / KUO</v>
          </cell>
        </row>
        <row r="327">
          <cell r="A327">
            <v>30104</v>
          </cell>
          <cell r="B327">
            <v>91</v>
          </cell>
          <cell r="C327" t="str">
            <v>HARTFORD UNDERWRITERS INSURANCE COMPANY</v>
          </cell>
          <cell r="D327" t="str">
            <v>SF1 / POON</v>
          </cell>
          <cell r="E327" t="str">
            <v>SF1 / POON</v>
          </cell>
          <cell r="F327" t="str">
            <v>SF2 / GOTERA-PITROU</v>
          </cell>
          <cell r="G327" t="str">
            <v>RAO / KUO</v>
          </cell>
          <cell r="H327" t="str">
            <v>RAO / KUO</v>
          </cell>
        </row>
        <row r="328">
          <cell r="A328">
            <v>10784</v>
          </cell>
          <cell r="B328">
            <v>91</v>
          </cell>
          <cell r="C328" t="str">
            <v>MAXUM CASUALTY INSURANCE COMPANY</v>
          </cell>
          <cell r="D328" t="str">
            <v>SF1 / POON</v>
          </cell>
          <cell r="E328" t="str">
            <v>SF1 / POON</v>
          </cell>
          <cell r="F328">
            <v>0</v>
          </cell>
          <cell r="G328" t="str">
            <v>RAO / KUO</v>
          </cell>
          <cell r="H328" t="str">
            <v>RAO / KUO</v>
          </cell>
        </row>
        <row r="329">
          <cell r="A329">
            <v>41629</v>
          </cell>
          <cell r="B329">
            <v>91</v>
          </cell>
          <cell r="C329" t="str">
            <v>NEW ENGLAND REINSURANCE CORPORATION</v>
          </cell>
          <cell r="D329" t="str">
            <v>SF1 / POON</v>
          </cell>
          <cell r="E329" t="str">
            <v>SF1 / POON</v>
          </cell>
          <cell r="F329" t="str">
            <v>SF2 / GOTERA-PITROU</v>
          </cell>
          <cell r="G329" t="str">
            <v>RAO / KUO</v>
          </cell>
          <cell r="H329" t="str">
            <v>RAO / KUO</v>
          </cell>
        </row>
        <row r="330">
          <cell r="A330">
            <v>34690</v>
          </cell>
          <cell r="B330">
            <v>91</v>
          </cell>
          <cell r="C330" t="str">
            <v>PROPERTY AND CASUALTY INSURANCE COMPANY OF HARTFORD</v>
          </cell>
          <cell r="D330" t="str">
            <v>SF1 / POON</v>
          </cell>
          <cell r="E330" t="str">
            <v>SF1 / POON</v>
          </cell>
          <cell r="F330" t="str">
            <v>SF2 / GOTERA-PITROU</v>
          </cell>
          <cell r="G330">
            <v>0</v>
          </cell>
          <cell r="H330">
            <v>0</v>
          </cell>
        </row>
        <row r="331">
          <cell r="A331">
            <v>11000</v>
          </cell>
          <cell r="B331">
            <v>91</v>
          </cell>
          <cell r="C331" t="str">
            <v>SENTINEL INSURANCE COMPANY, LTD.</v>
          </cell>
          <cell r="D331" t="str">
            <v>SF1 / POON</v>
          </cell>
          <cell r="E331" t="str">
            <v>SF1 / POON</v>
          </cell>
          <cell r="F331" t="str">
            <v>SF2 / GOTERA-PITROU</v>
          </cell>
          <cell r="G331">
            <v>0</v>
          </cell>
          <cell r="H331">
            <v>0</v>
          </cell>
        </row>
        <row r="332">
          <cell r="A332">
            <v>27120</v>
          </cell>
          <cell r="B332">
            <v>91</v>
          </cell>
          <cell r="C332" t="str">
            <v>TRUMBULL INSURANCE COMPANY</v>
          </cell>
          <cell r="D332" t="str">
            <v>SF1 / POON</v>
          </cell>
          <cell r="E332" t="str">
            <v>SF1 / POON</v>
          </cell>
          <cell r="F332" t="str">
            <v>SF2 / GOTERA-PITROU</v>
          </cell>
          <cell r="G332">
            <v>0</v>
          </cell>
          <cell r="H332">
            <v>0</v>
          </cell>
        </row>
        <row r="333">
          <cell r="A333">
            <v>29459</v>
          </cell>
          <cell r="B333">
            <v>91</v>
          </cell>
          <cell r="C333" t="str">
            <v>TWIN CITY FIRE INSURANCE COMPANY</v>
          </cell>
          <cell r="D333" t="str">
            <v>SF1 / POON</v>
          </cell>
          <cell r="E333" t="str">
            <v>SF1 / POON</v>
          </cell>
          <cell r="F333" t="str">
            <v>SF2 / GOTERA-PITROU</v>
          </cell>
          <cell r="G333">
            <v>0</v>
          </cell>
          <cell r="H333">
            <v>0</v>
          </cell>
        </row>
        <row r="334">
          <cell r="A334">
            <v>44318</v>
          </cell>
          <cell r="B334">
            <v>98</v>
          </cell>
          <cell r="C334" t="str">
            <v>ADMIRAL INDEMNITY COMPANY</v>
          </cell>
          <cell r="D334" t="str">
            <v>SF1 / CARLSON</v>
          </cell>
          <cell r="E334" t="str">
            <v>SF1 / CARLSON</v>
          </cell>
          <cell r="F334" t="str">
            <v>SF2 / GOTERA-PITROU</v>
          </cell>
          <cell r="G334">
            <v>0</v>
          </cell>
          <cell r="H334">
            <v>0</v>
          </cell>
        </row>
        <row r="335">
          <cell r="A335">
            <v>32603</v>
          </cell>
          <cell r="B335">
            <v>98</v>
          </cell>
          <cell r="C335" t="str">
            <v>BERKLEY INSURANCE COMPANY</v>
          </cell>
          <cell r="D335" t="str">
            <v>SF1 / CARLSON</v>
          </cell>
          <cell r="E335" t="str">
            <v>SF1 / CARLSON</v>
          </cell>
          <cell r="F335" t="str">
            <v>SF2 / GOTERA-PITROU</v>
          </cell>
          <cell r="G335">
            <v>0</v>
          </cell>
          <cell r="H335">
            <v>0</v>
          </cell>
        </row>
        <row r="336">
          <cell r="A336">
            <v>38911</v>
          </cell>
          <cell r="B336">
            <v>98</v>
          </cell>
          <cell r="C336" t="str">
            <v>BERKLEY NATIONAL INSURANCE COMPANY</v>
          </cell>
          <cell r="D336" t="str">
            <v>SF1 / CARLSON</v>
          </cell>
          <cell r="E336" t="str">
            <v>SF1 / CARLSON</v>
          </cell>
          <cell r="F336" t="str">
            <v>SF2 / GOTERA-PITROU</v>
          </cell>
          <cell r="G336">
            <v>0</v>
          </cell>
          <cell r="H336">
            <v>0</v>
          </cell>
        </row>
        <row r="337">
          <cell r="A337">
            <v>29580</v>
          </cell>
          <cell r="B337">
            <v>98</v>
          </cell>
          <cell r="C337" t="str">
            <v>BERKLEY REGIONAL INSURANCE COMPANY</v>
          </cell>
          <cell r="D337" t="str">
            <v>SF1 / CARLSON</v>
          </cell>
          <cell r="E337" t="str">
            <v>SF1 / CARLSON</v>
          </cell>
          <cell r="F337" t="str">
            <v>SF2 / GOTERA-PITROU</v>
          </cell>
          <cell r="G337">
            <v>0</v>
          </cell>
          <cell r="H337">
            <v>0</v>
          </cell>
        </row>
        <row r="338">
          <cell r="A338">
            <v>10510</v>
          </cell>
          <cell r="B338">
            <v>98</v>
          </cell>
          <cell r="C338" t="str">
            <v>CAROLINA CASUALTY INSURANCE COMPANY</v>
          </cell>
          <cell r="D338" t="str">
            <v>SF1 / CARLSON</v>
          </cell>
          <cell r="E338" t="str">
            <v>SF1 / CARLSON</v>
          </cell>
          <cell r="F338" t="str">
            <v>SF2 / GOTERA-PITROU</v>
          </cell>
          <cell r="G338">
            <v>0</v>
          </cell>
          <cell r="H338">
            <v>0</v>
          </cell>
        </row>
        <row r="339">
          <cell r="A339">
            <v>25224</v>
          </cell>
          <cell r="B339">
            <v>98</v>
          </cell>
          <cell r="C339" t="str">
            <v>GREAT DIVIDE INSURANCE COMPANY</v>
          </cell>
          <cell r="D339" t="str">
            <v>SF1 / CARLSON</v>
          </cell>
          <cell r="E339" t="str">
            <v>SF1 / CARLSON</v>
          </cell>
          <cell r="F339" t="str">
            <v>SF2 / GOTERA-PITROU</v>
          </cell>
          <cell r="G339">
            <v>0</v>
          </cell>
          <cell r="H339">
            <v>0</v>
          </cell>
        </row>
        <row r="340">
          <cell r="A340">
            <v>10749</v>
          </cell>
          <cell r="B340">
            <v>98</v>
          </cell>
          <cell r="C340" t="str">
            <v>INTREPID INSURANCE COMPANY</v>
          </cell>
          <cell r="D340" t="str">
            <v>SF1 / CARLSON</v>
          </cell>
          <cell r="E340" t="str">
            <v>SF1 / CARLSON</v>
          </cell>
          <cell r="F340" t="str">
            <v>SF2 / GOTERA-PITROU</v>
          </cell>
          <cell r="G340">
            <v>0</v>
          </cell>
          <cell r="H340">
            <v>0</v>
          </cell>
        </row>
        <row r="341">
          <cell r="A341">
            <v>10885</v>
          </cell>
          <cell r="B341">
            <v>98</v>
          </cell>
          <cell r="C341" t="str">
            <v>KEY RISK INSURANCE COMPANY</v>
          </cell>
          <cell r="D341" t="str">
            <v>SF1 / CARLSON</v>
          </cell>
          <cell r="E341" t="str">
            <v>SF1 / CARLSON</v>
          </cell>
          <cell r="F341" t="str">
            <v>SF2 / GOTERA-PITROU</v>
          </cell>
          <cell r="G341">
            <v>0</v>
          </cell>
          <cell r="H341">
            <v>0</v>
          </cell>
        </row>
        <row r="342">
          <cell r="A342">
            <v>23612</v>
          </cell>
          <cell r="B342">
            <v>98</v>
          </cell>
          <cell r="C342" t="str">
            <v>MIDWEST EMPLOYERS CASUALTY COMPANY</v>
          </cell>
          <cell r="D342" t="str">
            <v>SF1 / CARLSON</v>
          </cell>
          <cell r="E342" t="str">
            <v>SF1 / CARLSON</v>
          </cell>
          <cell r="F342" t="str">
            <v>SF2 / GOTERA-PITROU</v>
          </cell>
          <cell r="G342">
            <v>0</v>
          </cell>
          <cell r="H342">
            <v>0</v>
          </cell>
        </row>
        <row r="343">
          <cell r="A343">
            <v>36684</v>
          </cell>
          <cell r="B343">
            <v>98</v>
          </cell>
          <cell r="C343" t="str">
            <v>RIVERPORT INSURANCE COMPANY</v>
          </cell>
          <cell r="D343" t="str">
            <v>SF1 / CARLSON</v>
          </cell>
          <cell r="E343" t="str">
            <v>SF1 / CARLSON</v>
          </cell>
          <cell r="F343" t="str">
            <v>SF2 / GOTERA-PITROU</v>
          </cell>
          <cell r="G343">
            <v>0</v>
          </cell>
          <cell r="H343">
            <v>0</v>
          </cell>
        </row>
        <row r="344">
          <cell r="A344">
            <v>40045</v>
          </cell>
          <cell r="B344">
            <v>98</v>
          </cell>
          <cell r="C344" t="str">
            <v>STARNET INSURANCE COMPANY</v>
          </cell>
          <cell r="D344" t="str">
            <v>SF1 / CARLSON</v>
          </cell>
          <cell r="E344" t="str">
            <v>SF1 / CARLSON</v>
          </cell>
          <cell r="F344" t="str">
            <v>SF2 / GOTERA-PITROU</v>
          </cell>
          <cell r="G344">
            <v>0</v>
          </cell>
          <cell r="H344">
            <v>0</v>
          </cell>
        </row>
        <row r="345">
          <cell r="A345">
            <v>31003</v>
          </cell>
          <cell r="B345">
            <v>98</v>
          </cell>
          <cell r="C345" t="str">
            <v>TRI-STATE INSURANCE COMPANY OF MINNESOTA</v>
          </cell>
          <cell r="D345" t="str">
            <v>SF1 / CARLSON</v>
          </cell>
          <cell r="E345" t="str">
            <v>SF1 / CARLSON</v>
          </cell>
          <cell r="F345" t="str">
            <v>SF2 / GOTERA-PITROU</v>
          </cell>
          <cell r="G345">
            <v>0</v>
          </cell>
          <cell r="H345">
            <v>0</v>
          </cell>
        </row>
        <row r="346">
          <cell r="A346">
            <v>29858</v>
          </cell>
          <cell r="B346">
            <v>105</v>
          </cell>
          <cell r="C346" t="str">
            <v>MORTGAGE GUARANTY INSURANCE CORPORATION</v>
          </cell>
          <cell r="D346" t="str">
            <v>LA1 /  HUH</v>
          </cell>
          <cell r="E346" t="str">
            <v>LA1 / AHN</v>
          </cell>
          <cell r="F346">
            <v>0</v>
          </cell>
          <cell r="G346">
            <v>0</v>
          </cell>
          <cell r="H346">
            <v>0</v>
          </cell>
        </row>
        <row r="347">
          <cell r="A347">
            <v>30562</v>
          </cell>
          <cell r="B347">
            <v>108</v>
          </cell>
          <cell r="C347" t="str">
            <v>AMERICAN MANUFACLINRERS MUTUAL INSURANCE COMPANY</v>
          </cell>
          <cell r="D347" t="str">
            <v>LA1 /  HUH</v>
          </cell>
          <cell r="E347" t="str">
            <v>LA1 / OKPARA</v>
          </cell>
          <cell r="F347" t="str">
            <v>SF2 / GOTERA-PITROU</v>
          </cell>
          <cell r="G347">
            <v>0</v>
          </cell>
          <cell r="H347">
            <v>0</v>
          </cell>
        </row>
        <row r="348">
          <cell r="A348">
            <v>22918</v>
          </cell>
          <cell r="B348">
            <v>108</v>
          </cell>
          <cell r="C348" t="str">
            <v>AMERICAN MOTORISTS INSURANCE COMPANY</v>
          </cell>
          <cell r="D348" t="str">
            <v>LA1 /  HUH</v>
          </cell>
          <cell r="E348" t="str">
            <v>LA1 / OKPARA</v>
          </cell>
          <cell r="F348" t="str">
            <v>SF2 / GOTERA-PITROU</v>
          </cell>
          <cell r="G348">
            <v>0</v>
          </cell>
          <cell r="H348">
            <v>0</v>
          </cell>
        </row>
        <row r="349">
          <cell r="A349">
            <v>18910</v>
          </cell>
          <cell r="B349">
            <v>108</v>
          </cell>
          <cell r="C349" t="str">
            <v>AMERICAN PROTECTION INSURANCE COMPANY</v>
          </cell>
          <cell r="D349" t="str">
            <v>LA1 /  HUH</v>
          </cell>
          <cell r="E349" t="str">
            <v>LA1 / OKPARA</v>
          </cell>
          <cell r="F349" t="str">
            <v>SF2 / GOTERA-PITROU</v>
          </cell>
          <cell r="G349">
            <v>0</v>
          </cell>
          <cell r="H349">
            <v>0</v>
          </cell>
        </row>
        <row r="350">
          <cell r="A350">
            <v>40991</v>
          </cell>
          <cell r="B350">
            <v>108</v>
          </cell>
          <cell r="C350" t="str">
            <v>KEMPER INDEMNITY INSURANCE COMPANY</v>
          </cell>
          <cell r="D350" t="str">
            <v>LA1 /  HUH</v>
          </cell>
          <cell r="E350" t="str">
            <v>LA1 / OKPARA</v>
          </cell>
          <cell r="F350" t="str">
            <v>SF2 / GOTERA-PITROU</v>
          </cell>
          <cell r="G350">
            <v>0</v>
          </cell>
          <cell r="H350">
            <v>0</v>
          </cell>
        </row>
        <row r="351">
          <cell r="A351">
            <v>22977</v>
          </cell>
          <cell r="B351">
            <v>108</v>
          </cell>
          <cell r="C351" t="str">
            <v>LUMBERMENS MUTUAL CASUALTY COMPANY</v>
          </cell>
          <cell r="D351" t="str">
            <v>LA1 /  HUH</v>
          </cell>
          <cell r="E351" t="str">
            <v>LA1 / OKPARA</v>
          </cell>
          <cell r="F351" t="str">
            <v>SF2 / GOTERA-PITROU</v>
          </cell>
          <cell r="G351">
            <v>0</v>
          </cell>
          <cell r="H351">
            <v>0</v>
          </cell>
        </row>
        <row r="352">
          <cell r="A352">
            <v>20524</v>
          </cell>
          <cell r="B352">
            <v>108</v>
          </cell>
          <cell r="C352" t="str">
            <v>SPECIALTY NATIONAL INSURANCE COMPANY</v>
          </cell>
          <cell r="D352" t="str">
            <v>LA1 /  HUH</v>
          </cell>
          <cell r="E352" t="str">
            <v>LA1 / OKPARA</v>
          </cell>
          <cell r="F352" t="str">
            <v>SF2 / GOTERA-PITROU</v>
          </cell>
          <cell r="G352">
            <v>0</v>
          </cell>
          <cell r="H352">
            <v>0</v>
          </cell>
        </row>
        <row r="353">
          <cell r="A353">
            <v>19690</v>
          </cell>
          <cell r="B353">
            <v>111</v>
          </cell>
          <cell r="C353" t="str">
            <v>AMERICAN ECONOMY INSURANCE COMPANY</v>
          </cell>
          <cell r="D353" t="str">
            <v>LA2 / GUAN</v>
          </cell>
          <cell r="E353" t="str">
            <v>LA2 / GUAN</v>
          </cell>
          <cell r="F353" t="str">
            <v>SF2 / GOTERA-PITROU</v>
          </cell>
          <cell r="G353">
            <v>0</v>
          </cell>
          <cell r="H353">
            <v>0</v>
          </cell>
        </row>
        <row r="354">
          <cell r="A354">
            <v>24066</v>
          </cell>
          <cell r="B354">
            <v>111</v>
          </cell>
          <cell r="C354" t="str">
            <v>AMERICAN FIRE AND CASUALTY COMPANY</v>
          </cell>
          <cell r="D354" t="str">
            <v>LA2 / GUAN</v>
          </cell>
          <cell r="E354" t="str">
            <v>LA2 / GUAN</v>
          </cell>
          <cell r="F354" t="str">
            <v>SF2 / GOTERA-PITROU</v>
          </cell>
          <cell r="G354">
            <v>0</v>
          </cell>
          <cell r="H354">
            <v>0</v>
          </cell>
        </row>
        <row r="355">
          <cell r="A355">
            <v>19704</v>
          </cell>
          <cell r="B355">
            <v>111</v>
          </cell>
          <cell r="C355" t="str">
            <v>AMERICAN STATES INSURANCE COMPANY</v>
          </cell>
          <cell r="D355" t="str">
            <v>LA2 / GUAN</v>
          </cell>
          <cell r="E355" t="str">
            <v>LA2 / GUAN</v>
          </cell>
          <cell r="F355" t="str">
            <v>SF2 / GOTERA-PITROU</v>
          </cell>
          <cell r="G355">
            <v>0</v>
          </cell>
          <cell r="H355">
            <v>0</v>
          </cell>
        </row>
        <row r="356">
          <cell r="A356">
            <v>19712</v>
          </cell>
          <cell r="B356">
            <v>111</v>
          </cell>
          <cell r="C356" t="str">
            <v>AMERICAN STATES INSURANCE COMPANY OF TEXAS</v>
          </cell>
          <cell r="D356" t="str">
            <v>LA2 / GUAN</v>
          </cell>
          <cell r="E356" t="str">
            <v>LA2 / GUAN</v>
          </cell>
          <cell r="F356" t="str">
            <v>SF2 / GOTERA-PITROU</v>
          </cell>
          <cell r="G356" t="str">
            <v>RAO / CIMINI</v>
          </cell>
          <cell r="H356" t="str">
            <v>RAO / CIMINI</v>
          </cell>
        </row>
        <row r="357">
          <cell r="A357">
            <v>37214</v>
          </cell>
          <cell r="B357">
            <v>111</v>
          </cell>
          <cell r="C357" t="str">
            <v>AMERICAN STATES PREFERRED INSURANCE COMPANY</v>
          </cell>
          <cell r="D357" t="str">
            <v>LA2 / GUAN</v>
          </cell>
          <cell r="E357" t="str">
            <v>LA2 / GUAN</v>
          </cell>
          <cell r="F357" t="str">
            <v>SF2 / GOTERA-PITROU</v>
          </cell>
          <cell r="G357" t="str">
            <v>RAO / CIMINI</v>
          </cell>
          <cell r="H357" t="str">
            <v>RAO / CIMINI</v>
          </cell>
        </row>
        <row r="358">
          <cell r="A358">
            <v>21458</v>
          </cell>
          <cell r="B358">
            <v>111</v>
          </cell>
          <cell r="C358" t="str">
            <v>EMPLOYERS INSURANCE COMPANY OF WAUSAU</v>
          </cell>
          <cell r="D358" t="str">
            <v>LA2 / GUAN</v>
          </cell>
          <cell r="E358" t="str">
            <v>LA2 / GUAN</v>
          </cell>
          <cell r="F358" t="str">
            <v>SF2 / GOTERA-PITROU</v>
          </cell>
          <cell r="G358">
            <v>0</v>
          </cell>
          <cell r="H358">
            <v>0</v>
          </cell>
        </row>
        <row r="359">
          <cell r="A359">
            <v>33588</v>
          </cell>
          <cell r="B359">
            <v>111</v>
          </cell>
          <cell r="C359" t="str">
            <v>FIRST LIBERTY INSURANCE CORPORATION</v>
          </cell>
          <cell r="D359" t="str">
            <v>LA2 / GUAN</v>
          </cell>
          <cell r="E359" t="str">
            <v>LA2 / GUAN</v>
          </cell>
          <cell r="F359" t="str">
            <v>SF2 / GOTERA-PITROU</v>
          </cell>
          <cell r="G359">
            <v>0</v>
          </cell>
          <cell r="H359">
            <v>0</v>
          </cell>
        </row>
        <row r="360">
          <cell r="A360">
            <v>24724</v>
          </cell>
          <cell r="B360">
            <v>111</v>
          </cell>
          <cell r="C360" t="str">
            <v>FIRST NATIONAL INSURANCE COMPANY OF AMERICA</v>
          </cell>
          <cell r="D360" t="str">
            <v>LA2 / GUAN</v>
          </cell>
          <cell r="E360" t="str">
            <v>LA2 / GUAN</v>
          </cell>
          <cell r="F360" t="str">
            <v>SF2 / GOTERA-PITROU</v>
          </cell>
          <cell r="G360">
            <v>0</v>
          </cell>
          <cell r="H360">
            <v>0</v>
          </cell>
        </row>
        <row r="361">
          <cell r="A361">
            <v>24732</v>
          </cell>
          <cell r="B361">
            <v>111</v>
          </cell>
          <cell r="C361" t="str">
            <v>GENERAL INSURANCE COMPANY OF AMERICA</v>
          </cell>
          <cell r="D361" t="str">
            <v>LA2 / GUAN</v>
          </cell>
          <cell r="E361" t="str">
            <v>LA2 / GUAN</v>
          </cell>
          <cell r="F361" t="str">
            <v>SF2 / GOTERA-PITROU</v>
          </cell>
          <cell r="G361">
            <v>0</v>
          </cell>
          <cell r="H361">
            <v>0</v>
          </cell>
        </row>
        <row r="362">
          <cell r="A362">
            <v>10375</v>
          </cell>
          <cell r="B362">
            <v>111</v>
          </cell>
          <cell r="C362" t="str">
            <v>GOLDEN EAGLE INSURANCE COMPANY (In Liquidation - 2/13/1998)</v>
          </cell>
          <cell r="D362" t="str">
            <v>LA2 / GUAN</v>
          </cell>
          <cell r="E362" t="str">
            <v>LA2 / GUAN</v>
          </cell>
          <cell r="F362" t="str">
            <v>SF2 / GOTERA-PITROU</v>
          </cell>
          <cell r="G362" t="str">
            <v>RAO / CIMINI</v>
          </cell>
          <cell r="H362" t="str">
            <v>RAO / CIMINI</v>
          </cell>
        </row>
        <row r="363">
          <cell r="A363">
            <v>10836</v>
          </cell>
          <cell r="B363">
            <v>111</v>
          </cell>
          <cell r="C363" t="str">
            <v>GOLDEN EAGLE INSURANCE CORPORATION</v>
          </cell>
          <cell r="D363" t="str">
            <v>LA2 / GUAN</v>
          </cell>
          <cell r="E363" t="str">
            <v>LA2 / GUAN</v>
          </cell>
          <cell r="F363" t="str">
            <v>SF2 / GOTERA-PITROU</v>
          </cell>
          <cell r="G363">
            <v>0</v>
          </cell>
          <cell r="H363">
            <v>0</v>
          </cell>
        </row>
        <row r="364">
          <cell r="A364">
            <v>26700</v>
          </cell>
          <cell r="B364">
            <v>111</v>
          </cell>
          <cell r="C364" t="str">
            <v>INSURANCE COMPANY OF ILLINOIS</v>
          </cell>
          <cell r="D364" t="str">
            <v>LA2 / GUAN</v>
          </cell>
          <cell r="E364" t="str">
            <v>LA2 / GUAN</v>
          </cell>
          <cell r="F364" t="str">
            <v>SF2 / GOTERA-PITROU</v>
          </cell>
          <cell r="G364">
            <v>0</v>
          </cell>
          <cell r="H364">
            <v>0</v>
          </cell>
        </row>
        <row r="365">
          <cell r="A365">
            <v>23647</v>
          </cell>
          <cell r="B365">
            <v>111</v>
          </cell>
          <cell r="C365" t="str">
            <v>IRONSHORE INDEMNITY INC.</v>
          </cell>
          <cell r="D365" t="str">
            <v>LA2 / GUAN</v>
          </cell>
          <cell r="E365" t="str">
            <v>LA2 / GUAN</v>
          </cell>
          <cell r="F365" t="str">
            <v>SF2 / GOTERA-PITROU</v>
          </cell>
          <cell r="G365">
            <v>0</v>
          </cell>
          <cell r="H365">
            <v>0</v>
          </cell>
        </row>
        <row r="366">
          <cell r="A366">
            <v>42404</v>
          </cell>
          <cell r="B366">
            <v>111</v>
          </cell>
          <cell r="C366" t="str">
            <v>LIBERTY INSURANCE CORPORATION</v>
          </cell>
          <cell r="D366" t="str">
            <v>LA2 / GUAN</v>
          </cell>
          <cell r="E366" t="str">
            <v>LA2 / GUAN</v>
          </cell>
          <cell r="F366" t="str">
            <v>SF2 / GOTERA-PITROU</v>
          </cell>
          <cell r="G366">
            <v>0</v>
          </cell>
          <cell r="H366">
            <v>0</v>
          </cell>
        </row>
        <row r="367">
          <cell r="A367">
            <v>19917</v>
          </cell>
          <cell r="B367">
            <v>111</v>
          </cell>
          <cell r="C367" t="str">
            <v>LIBERTY INSURANCE UNDERWRITERS, INC.</v>
          </cell>
          <cell r="D367" t="str">
            <v>LA2 / GUAN</v>
          </cell>
          <cell r="E367" t="str">
            <v>LA2 / GUAN</v>
          </cell>
          <cell r="F367" t="str">
            <v>SF2 / GOTERA-PITROU</v>
          </cell>
          <cell r="G367">
            <v>0</v>
          </cell>
          <cell r="H367">
            <v>0</v>
          </cell>
        </row>
        <row r="368">
          <cell r="A368">
            <v>23035</v>
          </cell>
          <cell r="B368">
            <v>111</v>
          </cell>
          <cell r="C368" t="str">
            <v>LIBERTY MUTUAL FIRE INSURANCE COMPANY</v>
          </cell>
          <cell r="D368" t="str">
            <v>LA2 / GUAN</v>
          </cell>
          <cell r="E368" t="str">
            <v>LA2 / GUAN</v>
          </cell>
          <cell r="F368" t="str">
            <v>SF2 / GOTERA-PITROU</v>
          </cell>
          <cell r="G368">
            <v>0</v>
          </cell>
          <cell r="H368">
            <v>0</v>
          </cell>
        </row>
        <row r="369">
          <cell r="A369">
            <v>23043</v>
          </cell>
          <cell r="B369">
            <v>111</v>
          </cell>
          <cell r="C369" t="str">
            <v>LIBERTY MUTUAL INSURANCE COMPANY</v>
          </cell>
          <cell r="D369" t="str">
            <v>LA2 / GUAN</v>
          </cell>
          <cell r="E369" t="str">
            <v>LA2 / GUAN</v>
          </cell>
          <cell r="F369" t="str">
            <v>SF2 / GOTERA-PITROU</v>
          </cell>
          <cell r="G369">
            <v>0</v>
          </cell>
          <cell r="H369">
            <v>0</v>
          </cell>
        </row>
        <row r="370">
          <cell r="A370">
            <v>36447</v>
          </cell>
          <cell r="B370">
            <v>111</v>
          </cell>
          <cell r="C370" t="str">
            <v>LM GENERAL INSURANCE COMPANY</v>
          </cell>
          <cell r="D370" t="str">
            <v>LA2 / GUAN</v>
          </cell>
          <cell r="E370" t="str">
            <v>LA2 / GUAN</v>
          </cell>
          <cell r="F370" t="str">
            <v>SF2 / GOTERA-PITROU</v>
          </cell>
          <cell r="G370">
            <v>0</v>
          </cell>
          <cell r="H370">
            <v>0</v>
          </cell>
        </row>
        <row r="371">
          <cell r="A371">
            <v>33600</v>
          </cell>
          <cell r="B371">
            <v>111</v>
          </cell>
          <cell r="C371" t="str">
            <v>LM INSURANCE CORPORATION</v>
          </cell>
          <cell r="D371" t="str">
            <v>LA2 / GUAN</v>
          </cell>
          <cell r="E371" t="str">
            <v>LA2 / GUAN</v>
          </cell>
          <cell r="F371" t="str">
            <v>SF2 / GOTERA-PITROU</v>
          </cell>
          <cell r="G371">
            <v>0</v>
          </cell>
          <cell r="H371">
            <v>0</v>
          </cell>
        </row>
        <row r="372">
          <cell r="A372">
            <v>32352</v>
          </cell>
          <cell r="B372">
            <v>111</v>
          </cell>
          <cell r="C372" t="str">
            <v>LM PROPERTY AND CASUALTY INSURANCE COMPANY</v>
          </cell>
          <cell r="D372" t="str">
            <v>LA2 / GUAN</v>
          </cell>
          <cell r="E372" t="str">
            <v>LA2 / GUAN</v>
          </cell>
          <cell r="F372" t="str">
            <v>SF2 / GOTERA-PITROU</v>
          </cell>
          <cell r="G372">
            <v>0</v>
          </cell>
          <cell r="H372">
            <v>0</v>
          </cell>
        </row>
        <row r="373">
          <cell r="A373">
            <v>24171</v>
          </cell>
          <cell r="B373">
            <v>111</v>
          </cell>
          <cell r="C373" t="str">
            <v>NETHERLANDS INSURANCE COMPANY</v>
          </cell>
          <cell r="D373" t="str">
            <v>LA2 / GUAN</v>
          </cell>
          <cell r="E373" t="str">
            <v>LA2 / GUAN</v>
          </cell>
          <cell r="F373" t="str">
            <v>SF2 / GOTERA-PITROU</v>
          </cell>
          <cell r="G373">
            <v>0</v>
          </cell>
          <cell r="H373">
            <v>0</v>
          </cell>
        </row>
        <row r="374">
          <cell r="A374">
            <v>24074</v>
          </cell>
          <cell r="B374">
            <v>111</v>
          </cell>
          <cell r="C374" t="str">
            <v>OHIO CASUALTY INSURANCE COMPANY (THE)</v>
          </cell>
          <cell r="D374" t="str">
            <v>LA2 / GUAN</v>
          </cell>
          <cell r="E374" t="str">
            <v>LA2 / GUAN</v>
          </cell>
          <cell r="F374" t="str">
            <v>SF2 / GOTERA-PITROU</v>
          </cell>
          <cell r="G374" t="str">
            <v>RAO / CIMINI</v>
          </cell>
          <cell r="H374" t="str">
            <v>RAO / CIMINI</v>
          </cell>
        </row>
        <row r="375">
          <cell r="A375">
            <v>24082</v>
          </cell>
          <cell r="B375">
            <v>111</v>
          </cell>
          <cell r="C375" t="str">
            <v>OHIO SECURITY INSURANCE COMPANY</v>
          </cell>
          <cell r="D375" t="str">
            <v>LA2 / GUAN</v>
          </cell>
          <cell r="E375" t="str">
            <v>LA2 / GUAN</v>
          </cell>
          <cell r="F375" t="str">
            <v>SF2 / GOTERA-PITROU</v>
          </cell>
          <cell r="G375" t="str">
            <v>RAO / CIMINI</v>
          </cell>
          <cell r="H375" t="str">
            <v>RAO / CIMINI</v>
          </cell>
        </row>
        <row r="376">
          <cell r="A376">
            <v>18333</v>
          </cell>
          <cell r="B376">
            <v>111</v>
          </cell>
          <cell r="C376" t="str">
            <v>PEERLESS INDEMNITY INSURANCE COMPANY</v>
          </cell>
          <cell r="D376" t="str">
            <v>LA2 / GUAN</v>
          </cell>
          <cell r="E376" t="str">
            <v>LA2 / GUAN</v>
          </cell>
          <cell r="F376" t="str">
            <v>SF2 / GOTERA-PITROU</v>
          </cell>
          <cell r="G376">
            <v>0</v>
          </cell>
          <cell r="H376">
            <v>0</v>
          </cell>
        </row>
        <row r="377">
          <cell r="A377">
            <v>24198</v>
          </cell>
          <cell r="B377">
            <v>111</v>
          </cell>
          <cell r="C377" t="str">
            <v>PEERLESS INSURANCE COMPANY</v>
          </cell>
          <cell r="D377" t="str">
            <v>LA2 / GUAN</v>
          </cell>
          <cell r="E377" t="str">
            <v>LA2 / GUAN</v>
          </cell>
          <cell r="F377" t="str">
            <v>SF2 / GOTERA-PITROU</v>
          </cell>
          <cell r="G377">
            <v>0</v>
          </cell>
          <cell r="H377">
            <v>0</v>
          </cell>
        </row>
        <row r="378">
          <cell r="A378">
            <v>24740</v>
          </cell>
          <cell r="B378">
            <v>111</v>
          </cell>
          <cell r="C378" t="str">
            <v>SAFECO INSURANCE COMPANY OF AMERICA</v>
          </cell>
          <cell r="D378" t="str">
            <v>LA2 / GUAN</v>
          </cell>
          <cell r="E378" t="str">
            <v>LA2 / GUAN</v>
          </cell>
          <cell r="F378" t="str">
            <v>SF2 / GOTERA-PITROU</v>
          </cell>
          <cell r="G378">
            <v>0</v>
          </cell>
          <cell r="H378">
            <v>0</v>
          </cell>
        </row>
        <row r="379">
          <cell r="A379">
            <v>39012</v>
          </cell>
          <cell r="B379">
            <v>111</v>
          </cell>
          <cell r="C379" t="str">
            <v>SAFECO INSURANCE COMPANY OF ILLINOIS</v>
          </cell>
          <cell r="D379" t="str">
            <v>LA2 / GUAN</v>
          </cell>
          <cell r="E379" t="str">
            <v>LA2 / GUAN</v>
          </cell>
          <cell r="F379" t="str">
            <v>SF2 / GOTERA-PITROU</v>
          </cell>
          <cell r="G379">
            <v>0</v>
          </cell>
          <cell r="H379">
            <v>0</v>
          </cell>
        </row>
        <row r="380">
          <cell r="A380">
            <v>26069</v>
          </cell>
          <cell r="B380">
            <v>111</v>
          </cell>
          <cell r="C380" t="str">
            <v>WAUSAU BUSINESS INSURANCE COMPANY</v>
          </cell>
          <cell r="D380" t="str">
            <v>LA2 / GUAN</v>
          </cell>
          <cell r="E380" t="str">
            <v>LA2 / GUAN</v>
          </cell>
          <cell r="F380" t="str">
            <v>SF2 / GOTERA-PITROU</v>
          </cell>
          <cell r="G380">
            <v>0</v>
          </cell>
          <cell r="H380">
            <v>0</v>
          </cell>
        </row>
        <row r="381">
          <cell r="A381">
            <v>26042</v>
          </cell>
          <cell r="B381">
            <v>111</v>
          </cell>
          <cell r="C381" t="str">
            <v>WAUSAU UNDERWRITERS INSURANCE COMPANY</v>
          </cell>
          <cell r="D381" t="str">
            <v>LA2 / GUAN</v>
          </cell>
          <cell r="E381" t="str">
            <v>LA2 / GUAN</v>
          </cell>
          <cell r="F381" t="str">
            <v>SF2 / GOTERA-PITROU</v>
          </cell>
          <cell r="G381">
            <v>0</v>
          </cell>
          <cell r="H381">
            <v>0</v>
          </cell>
        </row>
        <row r="382">
          <cell r="A382">
            <v>44393</v>
          </cell>
          <cell r="B382">
            <v>111</v>
          </cell>
          <cell r="C382" t="str">
            <v>WEST AMERICAN INSURANCE COMPANY</v>
          </cell>
          <cell r="D382" t="str">
            <v>LA2 / GUAN</v>
          </cell>
          <cell r="E382" t="str">
            <v>LA2 / GUAN</v>
          </cell>
          <cell r="F382" t="str">
            <v>SF2 / GOTERA-PITROU</v>
          </cell>
          <cell r="G382">
            <v>0</v>
          </cell>
          <cell r="H382">
            <v>0</v>
          </cell>
        </row>
        <row r="383">
          <cell r="A383">
            <v>19488</v>
          </cell>
          <cell r="B383">
            <v>124</v>
          </cell>
          <cell r="C383" t="str">
            <v>AMERISURE INSURANCE COMPANY</v>
          </cell>
          <cell r="D383" t="str">
            <v>LA2 / LEE</v>
          </cell>
          <cell r="E383" t="str">
            <v>LA2 / LEE</v>
          </cell>
          <cell r="F383">
            <v>0</v>
          </cell>
          <cell r="G383" t="str">
            <v>RAO / LI</v>
          </cell>
          <cell r="H383" t="str">
            <v>RAO / LI</v>
          </cell>
        </row>
        <row r="384">
          <cell r="A384">
            <v>23396</v>
          </cell>
          <cell r="B384">
            <v>124</v>
          </cell>
          <cell r="C384" t="str">
            <v>AMERISURE MUTUAL INSURANCE COMPANY</v>
          </cell>
          <cell r="D384" t="str">
            <v>LA2 / LEE</v>
          </cell>
          <cell r="E384" t="str">
            <v>LA2 / LEE</v>
          </cell>
          <cell r="F384">
            <v>0</v>
          </cell>
          <cell r="G384" t="str">
            <v>RAO / LI</v>
          </cell>
          <cell r="H384" t="str">
            <v>RAO / LI</v>
          </cell>
        </row>
        <row r="385">
          <cell r="A385">
            <v>15636</v>
          </cell>
          <cell r="B385">
            <v>130</v>
          </cell>
          <cell r="C385" t="str">
            <v>LUTHERAN BENEVOLENT INSURANCE EXCHANGE</v>
          </cell>
          <cell r="D385" t="str">
            <v>LA1 /  HUH</v>
          </cell>
          <cell r="E385" t="str">
            <v>LA1 / OKPARA</v>
          </cell>
          <cell r="F385">
            <v>0</v>
          </cell>
          <cell r="G385" t="str">
            <v>RAO / LI</v>
          </cell>
          <cell r="H385" t="str">
            <v>RAO / LI</v>
          </cell>
        </row>
        <row r="386">
          <cell r="A386">
            <v>23523</v>
          </cell>
          <cell r="B386">
            <v>130</v>
          </cell>
          <cell r="C386" t="str">
            <v>MILLERS CASUALTY INSURANCE COMPANY</v>
          </cell>
          <cell r="D386" t="str">
            <v>LA1 /  HUH</v>
          </cell>
          <cell r="E386" t="str">
            <v>LA1 / OKPARA</v>
          </cell>
          <cell r="F386">
            <v>0</v>
          </cell>
          <cell r="G386">
            <v>0</v>
          </cell>
          <cell r="H386" t="str">
            <v>RAO / LI</v>
          </cell>
        </row>
        <row r="387">
          <cell r="A387">
            <v>42579</v>
          </cell>
          <cell r="B387">
            <v>140</v>
          </cell>
          <cell r="C387" t="str">
            <v>ALLIED PROPERTY AND CASUALTY INSURANCE COMPANY</v>
          </cell>
          <cell r="D387" t="str">
            <v>LA2 / GUAN</v>
          </cell>
          <cell r="E387" t="str">
            <v>LA2 / LEE</v>
          </cell>
          <cell r="F387" t="str">
            <v>SF2 / SALAZAR</v>
          </cell>
          <cell r="G387">
            <v>0</v>
          </cell>
          <cell r="H387">
            <v>0</v>
          </cell>
        </row>
        <row r="388">
          <cell r="A388">
            <v>19100</v>
          </cell>
          <cell r="B388">
            <v>140</v>
          </cell>
          <cell r="C388" t="str">
            <v>AMCO INSURANCE COMPANY</v>
          </cell>
          <cell r="D388" t="str">
            <v>LA2 / GUAN</v>
          </cell>
          <cell r="E388" t="str">
            <v>LA2 / LEE</v>
          </cell>
          <cell r="F388" t="str">
            <v>SF2 / SALAZAR</v>
          </cell>
          <cell r="G388">
            <v>0</v>
          </cell>
          <cell r="H388">
            <v>0</v>
          </cell>
        </row>
        <row r="389">
          <cell r="A389">
            <v>18961</v>
          </cell>
          <cell r="B389">
            <v>140</v>
          </cell>
          <cell r="C389" t="str">
            <v>CRESTBROOK INSURANCE COMPANY</v>
          </cell>
          <cell r="D389" t="str">
            <v>LA2 / GUAN</v>
          </cell>
          <cell r="E389" t="str">
            <v>LA2 / LEE</v>
          </cell>
          <cell r="F389" t="str">
            <v>SF2 / SALAZAR</v>
          </cell>
          <cell r="G389">
            <v>0</v>
          </cell>
          <cell r="H389">
            <v>0</v>
          </cell>
        </row>
        <row r="390">
          <cell r="A390">
            <v>42587</v>
          </cell>
          <cell r="B390">
            <v>140</v>
          </cell>
          <cell r="C390" t="str">
            <v>DEPOSITORS INSURANCE COMPANY</v>
          </cell>
          <cell r="D390" t="str">
            <v>LA2 / GUAN</v>
          </cell>
          <cell r="E390" t="str">
            <v>LA2 / LEE</v>
          </cell>
          <cell r="F390" t="str">
            <v>SF2 / SALAZAR</v>
          </cell>
          <cell r="G390">
            <v>0</v>
          </cell>
          <cell r="H390">
            <v>0</v>
          </cell>
        </row>
        <row r="391">
          <cell r="A391">
            <v>13838</v>
          </cell>
          <cell r="B391">
            <v>140</v>
          </cell>
          <cell r="C391" t="str">
            <v>FARMLAND MUTUAL INSURANCE COMPANY (Farmland Mutual Insurance Company merged with and into Nationwide Mutual Insurance Company effective January 1, 2019)</v>
          </cell>
          <cell r="D391" t="str">
            <v>LA2 / GUAN</v>
          </cell>
          <cell r="E391" t="str">
            <v>LA2 / LEE</v>
          </cell>
          <cell r="F391" t="str">
            <v>SF2 / SALAZAR</v>
          </cell>
          <cell r="G391" t="str">
            <v>RAO / LI</v>
          </cell>
          <cell r="H391" t="str">
            <v>RAO / LI</v>
          </cell>
        </row>
        <row r="392">
          <cell r="A392">
            <v>22209</v>
          </cell>
          <cell r="B392">
            <v>140</v>
          </cell>
          <cell r="C392" t="str">
            <v>FREEDOM SPECIALTY INSURANCE COMPANY</v>
          </cell>
          <cell r="D392" t="str">
            <v>LA2 / GUAN</v>
          </cell>
          <cell r="E392" t="str">
            <v>LA2 / LEE</v>
          </cell>
          <cell r="F392" t="str">
            <v>SF2 / SALAZAR</v>
          </cell>
          <cell r="G392" t="str">
            <v>RAO / LI</v>
          </cell>
          <cell r="H392" t="str">
            <v>RAO / LI</v>
          </cell>
        </row>
        <row r="393">
          <cell r="A393">
            <v>11991</v>
          </cell>
          <cell r="B393">
            <v>140</v>
          </cell>
          <cell r="C393" t="str">
            <v>NATIONAL CASUALTY COMPANY</v>
          </cell>
          <cell r="D393" t="str">
            <v>LA2 / GUAN</v>
          </cell>
          <cell r="E393" t="str">
            <v>LA2 / LEE</v>
          </cell>
          <cell r="F393" t="str">
            <v>SF2 / SALAZAR</v>
          </cell>
          <cell r="G393" t="str">
            <v>RAO / LI</v>
          </cell>
          <cell r="H393" t="str">
            <v>RAO / LI</v>
          </cell>
        </row>
        <row r="394">
          <cell r="A394">
            <v>28223</v>
          </cell>
          <cell r="B394">
            <v>140</v>
          </cell>
          <cell r="C394" t="str">
            <v>NATIONWIDE AGRIBUSINESS INSURANCE COMPANY</v>
          </cell>
          <cell r="D394" t="str">
            <v>LA2 / GUAN</v>
          </cell>
          <cell r="E394" t="str">
            <v>LA2 / LEE</v>
          </cell>
          <cell r="F394" t="str">
            <v>SF2 / SALAZAR</v>
          </cell>
          <cell r="G394">
            <v>0</v>
          </cell>
          <cell r="H394">
            <v>0</v>
          </cell>
        </row>
        <row r="395">
          <cell r="A395">
            <v>25453</v>
          </cell>
          <cell r="B395">
            <v>140</v>
          </cell>
          <cell r="C395" t="str">
            <v>NATIONWIDE INSURANCE COMPANY OF AMERICA</v>
          </cell>
          <cell r="D395" t="str">
            <v>LA2 / GUAN</v>
          </cell>
          <cell r="E395" t="str">
            <v>LA2 / LEE</v>
          </cell>
          <cell r="F395" t="str">
            <v>SF2 / SALAZAR</v>
          </cell>
          <cell r="G395">
            <v>0</v>
          </cell>
          <cell r="H395">
            <v>0</v>
          </cell>
        </row>
        <row r="396">
          <cell r="A396">
            <v>23779</v>
          </cell>
          <cell r="B396">
            <v>140</v>
          </cell>
          <cell r="C396" t="str">
            <v>NATIONWIDE MUTUAL FIRE INSURANCE COMPANY</v>
          </cell>
          <cell r="D396" t="str">
            <v>LA2 / GUAN</v>
          </cell>
          <cell r="E396" t="str">
            <v>LA2 / LEE</v>
          </cell>
          <cell r="F396" t="str">
            <v>SF2 / SALAZAR</v>
          </cell>
          <cell r="G396">
            <v>0</v>
          </cell>
          <cell r="H396">
            <v>0</v>
          </cell>
        </row>
        <row r="397">
          <cell r="A397">
            <v>23787</v>
          </cell>
          <cell r="B397">
            <v>140</v>
          </cell>
          <cell r="C397" t="str">
            <v>NATIONWIDE MUTUAL INSURANCE COMPANY</v>
          </cell>
          <cell r="D397" t="str">
            <v>LA2 / GUAN</v>
          </cell>
          <cell r="E397" t="str">
            <v>LA2 / LEE</v>
          </cell>
          <cell r="F397" t="str">
            <v>SF2 / SALAZAR</v>
          </cell>
          <cell r="G397">
            <v>0</v>
          </cell>
          <cell r="H397">
            <v>0</v>
          </cell>
        </row>
        <row r="398">
          <cell r="A398">
            <v>37877</v>
          </cell>
          <cell r="B398">
            <v>140</v>
          </cell>
          <cell r="C398" t="str">
            <v>NATIONWIDE PROPERTY AND CASUALTY INSURANCE COMPANY</v>
          </cell>
          <cell r="D398" t="str">
            <v>LA2 / GUAN</v>
          </cell>
          <cell r="E398" t="str">
            <v>LA2 / LEE</v>
          </cell>
          <cell r="F398" t="str">
            <v>SF2 / SALAZAR</v>
          </cell>
          <cell r="G398">
            <v>0</v>
          </cell>
          <cell r="H398">
            <v>0</v>
          </cell>
        </row>
        <row r="399">
          <cell r="A399">
            <v>15580</v>
          </cell>
          <cell r="B399">
            <v>140</v>
          </cell>
          <cell r="C399" t="str">
            <v>SCOTTSDALE INDEMNITY COMPANY</v>
          </cell>
          <cell r="D399" t="str">
            <v>LA2 / GUAN</v>
          </cell>
          <cell r="E399" t="str">
            <v>LA2 / LEE</v>
          </cell>
          <cell r="F399" t="str">
            <v>SF2 / SALAZAR</v>
          </cell>
          <cell r="G399">
            <v>0</v>
          </cell>
          <cell r="H399">
            <v>0</v>
          </cell>
        </row>
        <row r="400">
          <cell r="A400">
            <v>25453</v>
          </cell>
          <cell r="B400">
            <v>140</v>
          </cell>
          <cell r="C400" t="str">
            <v>TIG COUNTRYWIDE INSURANCE COMPANY</v>
          </cell>
          <cell r="D400" t="str">
            <v>LA2 / GUAN</v>
          </cell>
          <cell r="E400" t="str">
            <v>LA2 / LEE</v>
          </cell>
          <cell r="F400" t="str">
            <v>SF2 / SALAZAR</v>
          </cell>
          <cell r="G400">
            <v>0</v>
          </cell>
          <cell r="H400">
            <v>0</v>
          </cell>
        </row>
        <row r="401">
          <cell r="A401">
            <v>13242</v>
          </cell>
          <cell r="B401">
            <v>140</v>
          </cell>
          <cell r="C401" t="str">
            <v>TITAN INDEMNITY COMPANY (Withdrew as an insurer effective 11/21/2018)</v>
          </cell>
          <cell r="D401" t="str">
            <v>LA2 / GUAN</v>
          </cell>
          <cell r="E401" t="str">
            <v>LA2 / LEE</v>
          </cell>
          <cell r="F401" t="str">
            <v>SF2 / SALAZAR</v>
          </cell>
          <cell r="G401">
            <v>0</v>
          </cell>
          <cell r="H401">
            <v>0</v>
          </cell>
        </row>
        <row r="402">
          <cell r="A402">
            <v>42285</v>
          </cell>
          <cell r="B402">
            <v>140</v>
          </cell>
          <cell r="C402" t="str">
            <v xml:space="preserve">VETERINARY PET INSURANCE COMPANY  </v>
          </cell>
          <cell r="D402" t="str">
            <v>LA2 / GUAN</v>
          </cell>
          <cell r="E402" t="str">
            <v>LA2 / LEE</v>
          </cell>
          <cell r="F402" t="str">
            <v>SF2 / SALAZAR</v>
          </cell>
          <cell r="G402">
            <v>0</v>
          </cell>
          <cell r="H402">
            <v>0</v>
          </cell>
        </row>
        <row r="403">
          <cell r="A403">
            <v>42889</v>
          </cell>
          <cell r="B403">
            <v>140</v>
          </cell>
          <cell r="C403" t="str">
            <v>VICTORIA FIRE &amp; CASUALTY COMPANY</v>
          </cell>
          <cell r="D403" t="str">
            <v>LA2 / GUAN</v>
          </cell>
          <cell r="E403" t="str">
            <v>LA2 / GUAN</v>
          </cell>
          <cell r="F403" t="str">
            <v>SF2 / SALAZAR</v>
          </cell>
          <cell r="G403">
            <v>0</v>
          </cell>
          <cell r="H403">
            <v>0</v>
          </cell>
        </row>
        <row r="404">
          <cell r="A404">
            <v>20095</v>
          </cell>
          <cell r="B404">
            <v>150</v>
          </cell>
          <cell r="C404" t="str">
            <v>BITCO GENERAL INSURANCE CORPORATION</v>
          </cell>
          <cell r="D404" t="str">
            <v>SF1 / LI</v>
          </cell>
          <cell r="E404" t="str">
            <v>SF1 / LI</v>
          </cell>
          <cell r="F404" t="str">
            <v>SF2 / GOTERA-PITROU</v>
          </cell>
          <cell r="G404">
            <v>0</v>
          </cell>
          <cell r="H404">
            <v>0</v>
          </cell>
        </row>
        <row r="405">
          <cell r="A405">
            <v>20109</v>
          </cell>
          <cell r="B405">
            <v>150</v>
          </cell>
          <cell r="C405" t="str">
            <v>BITCO NATIONAL INSURANCE COMPANY</v>
          </cell>
          <cell r="D405" t="str">
            <v>SF1 / LI</v>
          </cell>
          <cell r="E405" t="str">
            <v>SF1 / LI</v>
          </cell>
          <cell r="F405" t="str">
            <v>SF2 / GOTERA-PITROU</v>
          </cell>
          <cell r="G405">
            <v>0</v>
          </cell>
          <cell r="H405">
            <v>0</v>
          </cell>
        </row>
        <row r="406">
          <cell r="A406">
            <v>11371</v>
          </cell>
          <cell r="B406">
            <v>150</v>
          </cell>
          <cell r="C406" t="str">
            <v>GREAT WEST CASUALTY COMPANY</v>
          </cell>
          <cell r="D406" t="str">
            <v>SF1 / LI</v>
          </cell>
          <cell r="E406" t="str">
            <v>SF1 / LI</v>
          </cell>
          <cell r="F406" t="str">
            <v>SF2 / GOTERA-PITROU</v>
          </cell>
          <cell r="G406">
            <v>0</v>
          </cell>
          <cell r="H406">
            <v>0</v>
          </cell>
        </row>
        <row r="407">
          <cell r="A407">
            <v>36897</v>
          </cell>
          <cell r="B407">
            <v>150</v>
          </cell>
          <cell r="C407" t="str">
            <v>MANUFACTURERS ALLIANCE INSURANCE COMPANY</v>
          </cell>
          <cell r="D407" t="str">
            <v>SF1 / LI</v>
          </cell>
          <cell r="E407" t="str">
            <v>SF1 / LI</v>
          </cell>
          <cell r="F407" t="str">
            <v>SF2 / GOTERA-PITROU</v>
          </cell>
          <cell r="G407">
            <v>0</v>
          </cell>
          <cell r="H407">
            <v>0</v>
          </cell>
        </row>
        <row r="408">
          <cell r="A408">
            <v>24139</v>
          </cell>
          <cell r="B408">
            <v>150</v>
          </cell>
          <cell r="C408" t="str">
            <v>OLD REPUBLIC GENERAL INSURANCE CORPORATION</v>
          </cell>
          <cell r="D408" t="str">
            <v>SF1 / LI</v>
          </cell>
          <cell r="E408" t="str">
            <v>SF1 / LI</v>
          </cell>
          <cell r="F408" t="str">
            <v>SF2 / GOTERA-PITROU</v>
          </cell>
          <cell r="G408">
            <v>0</v>
          </cell>
          <cell r="H408">
            <v>0</v>
          </cell>
        </row>
        <row r="409">
          <cell r="A409">
            <v>24147</v>
          </cell>
          <cell r="B409">
            <v>150</v>
          </cell>
          <cell r="C409" t="str">
            <v>OLD REPUBLIC INSURANCE COMPANY</v>
          </cell>
          <cell r="D409" t="str">
            <v>SF1 / LI</v>
          </cell>
          <cell r="E409" t="str">
            <v>SF1 / LI</v>
          </cell>
          <cell r="F409" t="str">
            <v>SF2 / GOTERA-PITROU</v>
          </cell>
          <cell r="G409">
            <v>0</v>
          </cell>
          <cell r="H409">
            <v>0</v>
          </cell>
        </row>
        <row r="410">
          <cell r="A410">
            <v>35424</v>
          </cell>
          <cell r="B410">
            <v>150</v>
          </cell>
          <cell r="C410" t="str">
            <v>OLD REPUBLIC SECURITY ASSURANCE COMPANY</v>
          </cell>
          <cell r="D410" t="str">
            <v>SF1 / LI</v>
          </cell>
          <cell r="E410" t="str">
            <v>SF1 / LI</v>
          </cell>
          <cell r="F410" t="str">
            <v>SF2 / GOTERA-PITROU</v>
          </cell>
          <cell r="G410">
            <v>0</v>
          </cell>
          <cell r="H410">
            <v>0</v>
          </cell>
        </row>
        <row r="411">
          <cell r="A411">
            <v>40444</v>
          </cell>
          <cell r="B411">
            <v>150</v>
          </cell>
          <cell r="C411" t="str">
            <v>OLD REPUBLIC SURETY COMPANY</v>
          </cell>
          <cell r="D411" t="str">
            <v>SF1 / LI</v>
          </cell>
          <cell r="E411" t="str">
            <v>SF1 / LI</v>
          </cell>
          <cell r="F411" t="str">
            <v>SF2 / GOTERA-PITROU</v>
          </cell>
          <cell r="G411">
            <v>0</v>
          </cell>
          <cell r="H411">
            <v>0</v>
          </cell>
        </row>
        <row r="412">
          <cell r="A412">
            <v>12262</v>
          </cell>
          <cell r="B412">
            <v>150</v>
          </cell>
          <cell r="C412" t="str">
            <v>PENNSYLVANIA MANUFACLINRERS' ASSOCIATION INSURANCE COMPANY</v>
          </cell>
          <cell r="D412" t="str">
            <v>SF1 / LI</v>
          </cell>
          <cell r="E412" t="str">
            <v>SF1 / LI</v>
          </cell>
          <cell r="F412" t="str">
            <v>SF2 / GOTERA-PITROU</v>
          </cell>
          <cell r="G412">
            <v>0</v>
          </cell>
          <cell r="H412" t="str">
            <v>RAO / ZHOU</v>
          </cell>
        </row>
        <row r="413">
          <cell r="A413">
            <v>41424</v>
          </cell>
          <cell r="B413">
            <v>150</v>
          </cell>
          <cell r="C413" t="str">
            <v>PENNSYLVANIA MANUFACLINRERS INDEMNITY COMPANY</v>
          </cell>
          <cell r="D413" t="str">
            <v>SF1 / LI</v>
          </cell>
          <cell r="E413" t="str">
            <v>SF1 / LI</v>
          </cell>
          <cell r="F413" t="str">
            <v>SF2 / GOTERA-PITROU</v>
          </cell>
          <cell r="G413">
            <v>0</v>
          </cell>
          <cell r="H413">
            <v>0</v>
          </cell>
        </row>
        <row r="414">
          <cell r="A414">
            <v>28452</v>
          </cell>
          <cell r="B414">
            <v>150</v>
          </cell>
          <cell r="C414" t="str">
            <v>REPUBLIC MORTGAGE INSURANCE COMPANY</v>
          </cell>
          <cell r="D414" t="str">
            <v>SF1 / LI</v>
          </cell>
          <cell r="E414" t="str">
            <v>SF1 / LI</v>
          </cell>
          <cell r="F414" t="str">
            <v>SF2 / GOTERA-PITROU</v>
          </cell>
          <cell r="G414">
            <v>0</v>
          </cell>
          <cell r="H414">
            <v>0</v>
          </cell>
        </row>
        <row r="415">
          <cell r="A415">
            <v>16140</v>
          </cell>
          <cell r="B415">
            <v>155</v>
          </cell>
          <cell r="C415" t="str">
            <v>ASI SELECT AUTO INSURANCE CORPORATION</v>
          </cell>
          <cell r="D415" t="str">
            <v>LA2 / BAUTISTA</v>
          </cell>
          <cell r="E415" t="str">
            <v>LA2 / BAUTISTA</v>
          </cell>
          <cell r="F415" t="str">
            <v>SF2 / GOTERA-PITROU</v>
          </cell>
          <cell r="G415">
            <v>0</v>
          </cell>
          <cell r="H415">
            <v>0</v>
          </cell>
        </row>
        <row r="416">
          <cell r="A416">
            <v>14042</v>
          </cell>
          <cell r="B416">
            <v>155</v>
          </cell>
          <cell r="C416" t="str">
            <v>ASI SELECT INSURANCE CORPORATION</v>
          </cell>
          <cell r="D416" t="str">
            <v>LA2 / BAUTISTA</v>
          </cell>
          <cell r="E416" t="str">
            <v>LA2 / BAUTISTA</v>
          </cell>
          <cell r="F416" t="str">
            <v>SF2 / GOTERA-PITROU</v>
          </cell>
          <cell r="G416">
            <v>0</v>
          </cell>
          <cell r="H416">
            <v>0</v>
          </cell>
        </row>
        <row r="417">
          <cell r="A417">
            <v>10243</v>
          </cell>
          <cell r="B417">
            <v>155</v>
          </cell>
          <cell r="C417" t="str">
            <v>NATIONAL CONTINENTAL INSURANCE COMPANY</v>
          </cell>
          <cell r="D417" t="str">
            <v>LA2 / GUAN</v>
          </cell>
          <cell r="E417" t="str">
            <v>LA2 / GUAN</v>
          </cell>
          <cell r="F417" t="str">
            <v>SF2 / GOTERA-PITROU</v>
          </cell>
          <cell r="G417">
            <v>0</v>
          </cell>
          <cell r="H417">
            <v>0</v>
          </cell>
        </row>
        <row r="418">
          <cell r="A418">
            <v>11851</v>
          </cell>
          <cell r="B418">
            <v>155</v>
          </cell>
          <cell r="C418" t="str">
            <v>PROGRESSIVE ADVANCED INSURANCE COMPANY</v>
          </cell>
          <cell r="D418" t="str">
            <v>LA2 / GUAN</v>
          </cell>
          <cell r="E418" t="str">
            <v>LA2 / GUAN</v>
          </cell>
          <cell r="F418" t="str">
            <v>SF2 / GOTERA-PITROU</v>
          </cell>
          <cell r="G418">
            <v>0</v>
          </cell>
          <cell r="H418">
            <v>0</v>
          </cell>
        </row>
        <row r="419">
          <cell r="A419">
            <v>24260</v>
          </cell>
          <cell r="B419">
            <v>155</v>
          </cell>
          <cell r="C419" t="str">
            <v>PROGRESSIVE CASUALTY INSURANCE COMPANY</v>
          </cell>
          <cell r="D419" t="str">
            <v>LA2 / GUAN</v>
          </cell>
          <cell r="E419" t="str">
            <v>LA2 / GUAN</v>
          </cell>
          <cell r="F419" t="str">
            <v>SF2 / GOTERA-PITROU</v>
          </cell>
          <cell r="G419">
            <v>0</v>
          </cell>
          <cell r="H419" t="str">
            <v>RAO / ZHOU</v>
          </cell>
        </row>
        <row r="420">
          <cell r="A420">
            <v>44288</v>
          </cell>
          <cell r="B420">
            <v>155</v>
          </cell>
          <cell r="C420" t="str">
            <v>PROGRESSIVE CHOICE INSURANCE COMPANY</v>
          </cell>
          <cell r="D420" t="str">
            <v>LA2 / GUAN</v>
          </cell>
          <cell r="E420" t="str">
            <v>LA2 / GUAN</v>
          </cell>
          <cell r="F420" t="str">
            <v>SF2 / GOTERA-PITROU</v>
          </cell>
          <cell r="G420">
            <v>0</v>
          </cell>
          <cell r="H420">
            <v>0</v>
          </cell>
        </row>
        <row r="421">
          <cell r="A421">
            <v>12879</v>
          </cell>
          <cell r="B421">
            <v>155</v>
          </cell>
          <cell r="C421" t="str">
            <v>PROGRESSIVE COMMERCIAL CASUALTY COMPANY</v>
          </cell>
          <cell r="D421" t="str">
            <v>LA2 / GUAN</v>
          </cell>
          <cell r="E421" t="str">
            <v>LA2 / GUAN</v>
          </cell>
          <cell r="F421" t="str">
            <v>SF2 / GOTERA-PITROU</v>
          </cell>
          <cell r="G421">
            <v>0</v>
          </cell>
          <cell r="H421" t="str">
            <v>RAO / ZHOU</v>
          </cell>
        </row>
        <row r="422">
          <cell r="A422">
            <v>16322</v>
          </cell>
          <cell r="B422">
            <v>155</v>
          </cell>
          <cell r="C422" t="str">
            <v>PROGRESSIVE DIRECT INSURANCE COMPANY</v>
          </cell>
          <cell r="D422" t="str">
            <v>LA2 / GUAN</v>
          </cell>
          <cell r="E422" t="str">
            <v>LA2 / GUAN</v>
          </cell>
          <cell r="F422" t="str">
            <v>SF2 / GOTERA-PITROU</v>
          </cell>
          <cell r="G422">
            <v>0</v>
          </cell>
          <cell r="H422" t="str">
            <v>RAO / ZHOU</v>
          </cell>
        </row>
        <row r="423">
          <cell r="A423">
            <v>10193</v>
          </cell>
          <cell r="B423">
            <v>155</v>
          </cell>
          <cell r="C423" t="str">
            <v>PROGRESSIVE EXPRESS INSURANCE COMPANY</v>
          </cell>
          <cell r="D423" t="str">
            <v>LA2 / GUAN</v>
          </cell>
          <cell r="E423" t="str">
            <v>LA2 / GUAN</v>
          </cell>
          <cell r="F423" t="str">
            <v>SF2 / GOTERA-PITROU</v>
          </cell>
          <cell r="G423">
            <v>0</v>
          </cell>
          <cell r="H423">
            <v>0</v>
          </cell>
        </row>
        <row r="424">
          <cell r="A424">
            <v>42919</v>
          </cell>
          <cell r="B424">
            <v>155</v>
          </cell>
          <cell r="C424" t="str">
            <v>PROGRESSIVE NORTHWESTERN INSURANCE COMPANY</v>
          </cell>
          <cell r="D424" t="str">
            <v>LA2 / GUAN</v>
          </cell>
          <cell r="E424" t="str">
            <v>LA2 / GUAN</v>
          </cell>
          <cell r="F424" t="str">
            <v>SF2 / GOTERA-PITROU</v>
          </cell>
          <cell r="G424">
            <v>0</v>
          </cell>
          <cell r="H424">
            <v>0</v>
          </cell>
        </row>
        <row r="425">
          <cell r="A425">
            <v>10192</v>
          </cell>
          <cell r="B425">
            <v>155</v>
          </cell>
          <cell r="C425" t="str">
            <v>PROGRESSIVE SELECT INSURANCE COMPANY</v>
          </cell>
          <cell r="D425" t="str">
            <v>LA2 / GUAN</v>
          </cell>
          <cell r="E425" t="str">
            <v>LA2 / GUAN</v>
          </cell>
          <cell r="F425" t="str">
            <v>SF2 / GOTERA-PITROU</v>
          </cell>
          <cell r="G425">
            <v>0</v>
          </cell>
          <cell r="H425">
            <v>0</v>
          </cell>
        </row>
        <row r="426">
          <cell r="A426">
            <v>32786</v>
          </cell>
          <cell r="B426">
            <v>155</v>
          </cell>
          <cell r="C426" t="str">
            <v>PROGRESSIVE SPECIALTY INSURANCE COMPANY</v>
          </cell>
          <cell r="D426" t="str">
            <v>LA2 / GUAN</v>
          </cell>
          <cell r="E426" t="str">
            <v>LA2 / GUAN</v>
          </cell>
          <cell r="F426" t="str">
            <v>SF2 / GOTERA-PITROU</v>
          </cell>
          <cell r="G426">
            <v>0</v>
          </cell>
          <cell r="H426">
            <v>0</v>
          </cell>
        </row>
        <row r="427">
          <cell r="A427">
            <v>27804</v>
          </cell>
          <cell r="B427">
            <v>155</v>
          </cell>
          <cell r="C427" t="str">
            <v>PROGRESSIVE WEST INSURANCE COMPANY</v>
          </cell>
          <cell r="D427" t="str">
            <v>LA2 / GUAN</v>
          </cell>
          <cell r="E427" t="str">
            <v>LA2 / GUAN</v>
          </cell>
          <cell r="F427" t="str">
            <v>SF2 / GOTERA-PITROU</v>
          </cell>
          <cell r="G427">
            <v>0</v>
          </cell>
          <cell r="H427">
            <v>0</v>
          </cell>
        </row>
        <row r="428">
          <cell r="A428">
            <v>11770</v>
          </cell>
          <cell r="B428">
            <v>155</v>
          </cell>
          <cell r="C428" t="str">
            <v>UNITED FINANCIAL CASUALTY COMPANY</v>
          </cell>
          <cell r="D428" t="str">
            <v>LA2 / GUAN</v>
          </cell>
          <cell r="E428" t="str">
            <v>LA2 / GUAN</v>
          </cell>
          <cell r="F428" t="str">
            <v>SF2 / GOTERA-PITROU</v>
          </cell>
          <cell r="G428">
            <v>0</v>
          </cell>
          <cell r="H428">
            <v>0</v>
          </cell>
        </row>
        <row r="429">
          <cell r="A429">
            <v>19489</v>
          </cell>
          <cell r="B429">
            <v>158</v>
          </cell>
          <cell r="C429" t="str">
            <v>ALLIED WORLD ASSURANCE COMPANY (U.S.) INC.</v>
          </cell>
          <cell r="D429" t="str">
            <v>LA1 /  HUH</v>
          </cell>
          <cell r="E429" t="str">
            <v>LA1 / AHN</v>
          </cell>
          <cell r="F429" t="str">
            <v>SF2 / GOTERA-PITROU</v>
          </cell>
          <cell r="G429">
            <v>0</v>
          </cell>
          <cell r="H429">
            <v>0</v>
          </cell>
        </row>
        <row r="430">
          <cell r="A430">
            <v>22730</v>
          </cell>
          <cell r="B430">
            <v>158</v>
          </cell>
          <cell r="C430" t="str">
            <v>ALLIED WORLD INSURANCE COMPANY</v>
          </cell>
          <cell r="D430" t="str">
            <v>LA1 /  HUH</v>
          </cell>
          <cell r="E430" t="str">
            <v>LA1 / AHN</v>
          </cell>
          <cell r="F430" t="str">
            <v>SF2 / GOTERA-PITROU</v>
          </cell>
          <cell r="G430">
            <v>0</v>
          </cell>
          <cell r="H430">
            <v>0</v>
          </cell>
        </row>
        <row r="431">
          <cell r="A431">
            <v>16624</v>
          </cell>
          <cell r="B431">
            <v>158</v>
          </cell>
          <cell r="C431" t="str">
            <v>ALLIED WORLD SPECIALTY INSURANCE COMPANY</v>
          </cell>
          <cell r="D431" t="str">
            <v>LA1 /  HUH</v>
          </cell>
          <cell r="E431" t="str">
            <v>LA1 / AHN</v>
          </cell>
          <cell r="F431" t="str">
            <v>SF2 / GOTERA-PITROU</v>
          </cell>
          <cell r="G431">
            <v>0</v>
          </cell>
          <cell r="H431">
            <v>0</v>
          </cell>
        </row>
        <row r="432">
          <cell r="A432">
            <v>31348</v>
          </cell>
          <cell r="B432">
            <v>158</v>
          </cell>
          <cell r="C432" t="str">
            <v>CRUM &amp; FORSTER INDEMNITY COMPANY</v>
          </cell>
          <cell r="D432" t="str">
            <v>LA1 /  HUH</v>
          </cell>
          <cell r="E432" t="str">
            <v>LA1 / AHN</v>
          </cell>
          <cell r="F432" t="str">
            <v>SF2 / GOTERA-PITROU</v>
          </cell>
          <cell r="G432">
            <v>0</v>
          </cell>
          <cell r="H432">
            <v>0</v>
          </cell>
        </row>
        <row r="433">
          <cell r="A433">
            <v>25054</v>
          </cell>
          <cell r="B433">
            <v>158</v>
          </cell>
          <cell r="C433" t="str">
            <v>HUDSON INSURANCE COMPANY</v>
          </cell>
          <cell r="D433" t="str">
            <v>LA1 /  HUH</v>
          </cell>
          <cell r="E433" t="str">
            <v>LA1 / AHN</v>
          </cell>
          <cell r="F433" t="str">
            <v>SF2 / GOTERA-PITROU</v>
          </cell>
          <cell r="G433">
            <v>0</v>
          </cell>
          <cell r="H433">
            <v>0</v>
          </cell>
        </row>
        <row r="434">
          <cell r="A434">
            <v>21105</v>
          </cell>
          <cell r="B434">
            <v>158</v>
          </cell>
          <cell r="C434" t="str">
            <v>NORTH RIVER INSURANCE COMPANY</v>
          </cell>
          <cell r="D434" t="str">
            <v>LA1 /  HUH</v>
          </cell>
          <cell r="E434" t="str">
            <v>LA1 / AHN</v>
          </cell>
          <cell r="F434" t="str">
            <v>SF2 / GOTERA-PITROU</v>
          </cell>
          <cell r="G434">
            <v>0</v>
          </cell>
          <cell r="H434">
            <v>0</v>
          </cell>
        </row>
        <row r="435">
          <cell r="A435">
            <v>23680</v>
          </cell>
          <cell r="B435">
            <v>158</v>
          </cell>
          <cell r="C435" t="str">
            <v>ODYSSEY REINSURANCE COMPANY</v>
          </cell>
          <cell r="D435" t="str">
            <v>LA1 /  HUH</v>
          </cell>
          <cell r="E435" t="str">
            <v>LA1 / AHN</v>
          </cell>
          <cell r="F435" t="str">
            <v>SF2 / GOTERA-PITROU</v>
          </cell>
          <cell r="G435">
            <v>0</v>
          </cell>
          <cell r="H435">
            <v>0</v>
          </cell>
        </row>
        <row r="436">
          <cell r="A436">
            <v>10936</v>
          </cell>
          <cell r="B436">
            <v>158</v>
          </cell>
          <cell r="C436" t="str">
            <v>SENECA INSURANCE COMPANY, INCORPORATION</v>
          </cell>
          <cell r="D436" t="str">
            <v>LA1 /  HUH</v>
          </cell>
          <cell r="E436" t="str">
            <v>LA1 / AHN</v>
          </cell>
          <cell r="F436" t="str">
            <v>SF2 / GOTERA-PITROU</v>
          </cell>
          <cell r="G436">
            <v>0</v>
          </cell>
          <cell r="H436">
            <v>0</v>
          </cell>
        </row>
        <row r="437">
          <cell r="A437">
            <v>25534</v>
          </cell>
          <cell r="B437">
            <v>158</v>
          </cell>
          <cell r="C437" t="str">
            <v>TIG INSURANCE COMPANY</v>
          </cell>
          <cell r="D437" t="str">
            <v>LA1 /  HUH</v>
          </cell>
          <cell r="E437" t="str">
            <v>LA1 / AHN</v>
          </cell>
          <cell r="F437" t="str">
            <v>SF2 / GOTERA-PITROU</v>
          </cell>
          <cell r="G437">
            <v>0</v>
          </cell>
          <cell r="H437">
            <v>0</v>
          </cell>
        </row>
        <row r="438">
          <cell r="A438">
            <v>21113</v>
          </cell>
          <cell r="B438">
            <v>158</v>
          </cell>
          <cell r="C438" t="str">
            <v>UNITED STATES FIRE INSURANCE COMPANY</v>
          </cell>
          <cell r="D438" t="str">
            <v>LA1 /  HUH</v>
          </cell>
          <cell r="E438" t="str">
            <v>LA1 / AHN</v>
          </cell>
          <cell r="F438" t="str">
            <v>SF2 / GOTERA-PITROU</v>
          </cell>
          <cell r="G438">
            <v>0</v>
          </cell>
          <cell r="H438">
            <v>0</v>
          </cell>
        </row>
        <row r="439">
          <cell r="A439">
            <v>13269</v>
          </cell>
          <cell r="B439">
            <v>158</v>
          </cell>
          <cell r="C439" t="str">
            <v>ZENITH INSURANCE COMPANY</v>
          </cell>
          <cell r="D439" t="str">
            <v>LA1 /  HUH</v>
          </cell>
          <cell r="E439" t="str">
            <v>LA1 / AHN</v>
          </cell>
          <cell r="F439" t="str">
            <v>SF2 / GOTERA-PITROU</v>
          </cell>
          <cell r="G439">
            <v>0</v>
          </cell>
          <cell r="H439">
            <v>0</v>
          </cell>
        </row>
        <row r="440">
          <cell r="A440">
            <v>30120</v>
          </cell>
          <cell r="B440">
            <v>158</v>
          </cell>
          <cell r="C440" t="str">
            <v>ZNAT INSURANCE COMPANY</v>
          </cell>
          <cell r="D440" t="str">
            <v>LA1 /  HUH</v>
          </cell>
          <cell r="E440" t="str">
            <v>LA1 / AHN</v>
          </cell>
          <cell r="F440" t="str">
            <v>SF2 / GOTERA-PITROU</v>
          </cell>
          <cell r="G440">
            <v>0</v>
          </cell>
          <cell r="H440">
            <v>0</v>
          </cell>
        </row>
        <row r="441">
          <cell r="A441">
            <v>40592</v>
          </cell>
          <cell r="B441">
            <v>159</v>
          </cell>
          <cell r="C441" t="str">
            <v>RELIANCE NATIONAL INSURANCE COMPANY</v>
          </cell>
          <cell r="D441" t="str">
            <v>LA2 / LEE</v>
          </cell>
          <cell r="E441" t="str">
            <v>LA2 / LEE</v>
          </cell>
          <cell r="F441" t="str">
            <v>SF2 / GOTERA-PITROU</v>
          </cell>
          <cell r="G441">
            <v>0</v>
          </cell>
          <cell r="H441">
            <v>0</v>
          </cell>
        </row>
        <row r="442">
          <cell r="A442">
            <v>41980</v>
          </cell>
          <cell r="B442">
            <v>159</v>
          </cell>
          <cell r="C442" t="str">
            <v>RELIANCE NATIONAL PROPERTY &amp; CASUALTY INSURANCE COMPANY</v>
          </cell>
          <cell r="D442" t="str">
            <v>LA2 / LEE</v>
          </cell>
          <cell r="E442" t="str">
            <v>LA2 / LEE</v>
          </cell>
          <cell r="F442" t="str">
            <v>SF2 / GOTERA-PITROU</v>
          </cell>
          <cell r="G442">
            <v>0</v>
          </cell>
          <cell r="H442">
            <v>0</v>
          </cell>
        </row>
        <row r="443">
          <cell r="A443">
            <v>18031</v>
          </cell>
          <cell r="B443">
            <v>161</v>
          </cell>
          <cell r="C443" t="str">
            <v>TOPA INSURANCE COMPANY</v>
          </cell>
          <cell r="D443" t="str">
            <v>LA2 / BAUTISTA</v>
          </cell>
          <cell r="E443" t="str">
            <v>LA2 / BAUTISTA</v>
          </cell>
          <cell r="F443">
            <v>0</v>
          </cell>
          <cell r="G443">
            <v>0</v>
          </cell>
          <cell r="H443">
            <v>0</v>
          </cell>
        </row>
        <row r="444">
          <cell r="A444">
            <v>17221</v>
          </cell>
          <cell r="B444">
            <v>162</v>
          </cell>
          <cell r="C444" t="str">
            <v>ROYAL SPECIAL RISKS INSURANCE (non-admitted invalid staLINs no amended C/A)</v>
          </cell>
          <cell r="D444" t="str">
            <v>LA1 /  HUH</v>
          </cell>
          <cell r="E444" t="str">
            <v>LA1 / OKPARA</v>
          </cell>
          <cell r="F444" t="str">
            <v>SF2 / GOTERA-PITROU</v>
          </cell>
          <cell r="G444">
            <v>0</v>
          </cell>
          <cell r="H444">
            <v>0</v>
          </cell>
        </row>
        <row r="445">
          <cell r="A445">
            <v>25879</v>
          </cell>
          <cell r="B445">
            <v>164</v>
          </cell>
          <cell r="C445" t="str">
            <v>FIDELITY AND GUARANTY INSURANCE UNDERWRITERS INCORPORATION</v>
          </cell>
          <cell r="D445" t="str">
            <v>SF2 / SALAZAR</v>
          </cell>
          <cell r="E445" t="str">
            <v>SF2 / SALAZAR</v>
          </cell>
          <cell r="F445" t="str">
            <v>SF2 / SALAZAR</v>
          </cell>
          <cell r="G445">
            <v>0</v>
          </cell>
          <cell r="H445">
            <v>0</v>
          </cell>
        </row>
        <row r="446">
          <cell r="A446">
            <v>24945</v>
          </cell>
          <cell r="B446">
            <v>168</v>
          </cell>
          <cell r="C446" t="str">
            <v>CONSOLIDATED AMERICAN INSURANCE COMPANY</v>
          </cell>
          <cell r="D446" t="str">
            <v>LA2 / LEE</v>
          </cell>
          <cell r="E446" t="str">
            <v>LA2 / LEE</v>
          </cell>
          <cell r="F446">
            <v>0</v>
          </cell>
          <cell r="G446">
            <v>0</v>
          </cell>
          <cell r="H446">
            <v>0</v>
          </cell>
        </row>
        <row r="447">
          <cell r="A447">
            <v>24953</v>
          </cell>
          <cell r="B447">
            <v>168</v>
          </cell>
          <cell r="C447" t="str">
            <v>SOUTH CAROLINA INSURANCE COMPANY</v>
          </cell>
          <cell r="D447" t="str">
            <v>LA2 / LEE</v>
          </cell>
          <cell r="E447" t="str">
            <v>LA2 / LEE</v>
          </cell>
          <cell r="F447">
            <v>0</v>
          </cell>
          <cell r="G447">
            <v>0</v>
          </cell>
          <cell r="H447">
            <v>0</v>
          </cell>
        </row>
        <row r="448">
          <cell r="A448">
            <v>13978</v>
          </cell>
          <cell r="B448">
            <v>169</v>
          </cell>
          <cell r="C448" t="str">
            <v>FLORISTS MUTUAL INSURANCE COMPANY</v>
          </cell>
          <cell r="D448" t="str">
            <v>SF1 / LI</v>
          </cell>
          <cell r="E448" t="str">
            <v>SF1 / LI</v>
          </cell>
          <cell r="F448" t="str">
            <v>SF2 / GOTERA-PITROU</v>
          </cell>
          <cell r="G448">
            <v>0</v>
          </cell>
          <cell r="H448">
            <v>0</v>
          </cell>
        </row>
        <row r="449">
          <cell r="A449">
            <v>23434</v>
          </cell>
          <cell r="B449">
            <v>169</v>
          </cell>
          <cell r="C449" t="str">
            <v>MIDDLESEX INSURANCE COMPANY</v>
          </cell>
          <cell r="D449" t="str">
            <v>SF1 / LI</v>
          </cell>
          <cell r="E449" t="str">
            <v>SF1 / LI</v>
          </cell>
          <cell r="F449" t="str">
            <v>SF2 / GOTERA-PITROU</v>
          </cell>
          <cell r="G449">
            <v>0</v>
          </cell>
          <cell r="H449">
            <v>0</v>
          </cell>
        </row>
        <row r="450">
          <cell r="A450">
            <v>28460</v>
          </cell>
          <cell r="B450">
            <v>169</v>
          </cell>
          <cell r="C450" t="str">
            <v>SENTRY CASUALTY COMPANY</v>
          </cell>
          <cell r="D450" t="str">
            <v>SF1 / LI</v>
          </cell>
          <cell r="E450" t="str">
            <v>SF1 / LI</v>
          </cell>
          <cell r="F450" t="str">
            <v>SF2 / GOTERA-PITROU</v>
          </cell>
          <cell r="G450">
            <v>0</v>
          </cell>
          <cell r="H450">
            <v>0</v>
          </cell>
        </row>
        <row r="451">
          <cell r="A451">
            <v>24988</v>
          </cell>
          <cell r="B451">
            <v>169</v>
          </cell>
          <cell r="C451" t="str">
            <v>SENTRY INSURANCE, A MUTUAL COMPANY</v>
          </cell>
          <cell r="D451" t="str">
            <v>SF1 / LI</v>
          </cell>
          <cell r="E451" t="str">
            <v>SF1 / LI</v>
          </cell>
          <cell r="F451" t="str">
            <v>SF2 / GOTERA-PITROU</v>
          </cell>
          <cell r="G451">
            <v>0</v>
          </cell>
          <cell r="H451">
            <v>0</v>
          </cell>
        </row>
        <row r="452">
          <cell r="A452">
            <v>21180</v>
          </cell>
          <cell r="B452">
            <v>169</v>
          </cell>
          <cell r="C452" t="str">
            <v>SENTRY SELECT INSURANCE COMPANY</v>
          </cell>
          <cell r="D452" t="str">
            <v>SF1 / LI</v>
          </cell>
          <cell r="E452" t="str">
            <v>SF1 / LI</v>
          </cell>
          <cell r="F452" t="str">
            <v>SF2 / GOTERA-PITROU</v>
          </cell>
          <cell r="G452" t="str">
            <v>RAO / UPPAL</v>
          </cell>
          <cell r="H452" t="str">
            <v>RAO / UPPAL</v>
          </cell>
        </row>
        <row r="453">
          <cell r="A453">
            <v>13137</v>
          </cell>
          <cell r="B453">
            <v>169</v>
          </cell>
          <cell r="C453" t="str">
            <v>VIKING INSURANCE COMPANY OF WISCONSIN</v>
          </cell>
          <cell r="D453" t="str">
            <v>SF1 / LI</v>
          </cell>
          <cell r="E453" t="str">
            <v>SF1 / LI</v>
          </cell>
          <cell r="F453" t="str">
            <v>SF2 / GOTERA-PITROU</v>
          </cell>
          <cell r="G453">
            <v>0</v>
          </cell>
          <cell r="H453" t="str">
            <v>RAO / UPPAL</v>
          </cell>
        </row>
        <row r="454">
          <cell r="A454">
            <v>25062</v>
          </cell>
          <cell r="B454">
            <v>172</v>
          </cell>
          <cell r="C454" t="str">
            <v>TOA REINSURANCE COMPANY OF AMERICA (THE)</v>
          </cell>
          <cell r="D454" t="str">
            <v>LA1 /  HUH</v>
          </cell>
          <cell r="E454" t="str">
            <v>LA1 / AHN</v>
          </cell>
          <cell r="F454">
            <v>0</v>
          </cell>
          <cell r="G454">
            <v>0</v>
          </cell>
          <cell r="H454">
            <v>0</v>
          </cell>
        </row>
        <row r="455">
          <cell r="A455">
            <v>16705</v>
          </cell>
          <cell r="B455">
            <v>173</v>
          </cell>
          <cell r="C455" t="str">
            <v>DEALERS ASSURANCE COMPANY</v>
          </cell>
          <cell r="D455" t="str">
            <v>SF2 / GOTERA-PITROU</v>
          </cell>
          <cell r="E455" t="str">
            <v>SF2 / GOTERA-PITROU</v>
          </cell>
          <cell r="F455" t="str">
            <v>SF2 / GOTERA-PITROU</v>
          </cell>
          <cell r="G455">
            <v>0</v>
          </cell>
          <cell r="H455">
            <v>0</v>
          </cell>
        </row>
        <row r="456">
          <cell r="A456">
            <v>30945</v>
          </cell>
          <cell r="B456">
            <v>175</v>
          </cell>
          <cell r="C456" t="str">
            <v>PLAZA INSURANCE COMPANY (DBA PLAZA INDEMNITY COMPANY)</v>
          </cell>
          <cell r="D456" t="str">
            <v>LA1 /  HUH</v>
          </cell>
          <cell r="E456" t="str">
            <v>LA1 / OKPARA</v>
          </cell>
          <cell r="F456">
            <v>0</v>
          </cell>
          <cell r="G456">
            <v>0</v>
          </cell>
          <cell r="H456">
            <v>0</v>
          </cell>
        </row>
        <row r="457">
          <cell r="A457">
            <v>25143</v>
          </cell>
          <cell r="B457">
            <v>176</v>
          </cell>
          <cell r="C457" t="str">
            <v>STATE FARM FIRE AND CASUALTY COMPANY</v>
          </cell>
          <cell r="D457" t="str">
            <v>SF2 / GOTERA-PITROU</v>
          </cell>
          <cell r="E457" t="str">
            <v>SF2 / GOTERA-PITROU</v>
          </cell>
          <cell r="F457" t="str">
            <v>SF2 / GOTERA-PITROU</v>
          </cell>
          <cell r="G457">
            <v>0</v>
          </cell>
          <cell r="H457">
            <v>0</v>
          </cell>
        </row>
        <row r="458">
          <cell r="A458">
            <v>25151</v>
          </cell>
          <cell r="B458">
            <v>176</v>
          </cell>
          <cell r="C458" t="str">
            <v>STATE FARM GENERAL INSURANCE COMPANY</v>
          </cell>
          <cell r="D458" t="str">
            <v>SF2 / GOTERA-PITROU</v>
          </cell>
          <cell r="E458" t="str">
            <v>SF2 / GOTERA-PITROU</v>
          </cell>
          <cell r="F458" t="str">
            <v>SF2 / GOTERA-PITROU</v>
          </cell>
          <cell r="G458">
            <v>0</v>
          </cell>
          <cell r="H458">
            <v>0</v>
          </cell>
        </row>
        <row r="459">
          <cell r="A459">
            <v>25178</v>
          </cell>
          <cell r="B459">
            <v>176</v>
          </cell>
          <cell r="C459" t="str">
            <v>STATE FARM MUTUAL AUTOMOBILE INSURANCE COMPANY</v>
          </cell>
          <cell r="D459" t="str">
            <v>SF2 / GOTERA-PITROU</v>
          </cell>
          <cell r="E459" t="str">
            <v>SF2 / GOTERA-PITROU</v>
          </cell>
          <cell r="F459" t="str">
            <v>SF2 / GOTERA-PITROU</v>
          </cell>
          <cell r="G459">
            <v>0</v>
          </cell>
          <cell r="H459">
            <v>0</v>
          </cell>
        </row>
        <row r="460">
          <cell r="A460">
            <v>25038</v>
          </cell>
          <cell r="B460">
            <v>181</v>
          </cell>
          <cell r="C460" t="str">
            <v>NORTH AMERICAN CAPACITY INSURANCE COMPANY</v>
          </cell>
          <cell r="D460" t="str">
            <v>SF1 / CARLSON</v>
          </cell>
          <cell r="E460" t="str">
            <v>SF1 / CARLSON</v>
          </cell>
          <cell r="F460" t="str">
            <v>SF2 / GOTERA-PITROU</v>
          </cell>
          <cell r="G460">
            <v>0</v>
          </cell>
          <cell r="H460">
            <v>0</v>
          </cell>
        </row>
        <row r="461">
          <cell r="A461">
            <v>29700</v>
          </cell>
          <cell r="B461">
            <v>181</v>
          </cell>
          <cell r="C461" t="str">
            <v>NORTH AMERICAN ELITE INSURANCE COMPANY</v>
          </cell>
          <cell r="D461" t="str">
            <v>SF1 / CARLSON</v>
          </cell>
          <cell r="E461" t="str">
            <v>SF1 / CARLSON</v>
          </cell>
          <cell r="F461" t="str">
            <v>SF2 / GOTERA-PITROU</v>
          </cell>
          <cell r="G461">
            <v>0</v>
          </cell>
          <cell r="H461">
            <v>0</v>
          </cell>
        </row>
        <row r="462">
          <cell r="A462">
            <v>29874</v>
          </cell>
          <cell r="B462">
            <v>181</v>
          </cell>
          <cell r="C462" t="str">
            <v>NORTH AMERICAN SPECIALTY INSURANCE COMPANY</v>
          </cell>
          <cell r="D462" t="str">
            <v>SF1 / CARLSON</v>
          </cell>
          <cell r="E462" t="str">
            <v>SF1 / CARLSON</v>
          </cell>
          <cell r="F462" t="str">
            <v>SF2 / GOTERA-PITROU</v>
          </cell>
          <cell r="G462">
            <v>0</v>
          </cell>
          <cell r="H462">
            <v>0</v>
          </cell>
        </row>
        <row r="463">
          <cell r="A463">
            <v>25364</v>
          </cell>
          <cell r="B463">
            <v>181</v>
          </cell>
          <cell r="C463" t="str">
            <v>SWISS REINSURANCE AMERICA CORPORATION</v>
          </cell>
          <cell r="D463" t="str">
            <v>SF1 / CARLSON</v>
          </cell>
          <cell r="E463" t="str">
            <v>SF1 / CARLSON</v>
          </cell>
          <cell r="F463" t="str">
            <v>SF2 / GOTERA-PITROU</v>
          </cell>
          <cell r="G463" t="str">
            <v>RAO / ZHOU</v>
          </cell>
          <cell r="H463" t="str">
            <v>RAO / ZHOU</v>
          </cell>
        </row>
        <row r="464">
          <cell r="A464">
            <v>39845</v>
          </cell>
          <cell r="B464">
            <v>181</v>
          </cell>
          <cell r="C464" t="str">
            <v>WESTPORT INSURANCE CORPORATION</v>
          </cell>
          <cell r="D464" t="str">
            <v>SF1 / CARLSON</v>
          </cell>
          <cell r="E464" t="str">
            <v>SF1 / CARLSON</v>
          </cell>
          <cell r="F464" t="str">
            <v>SF2 / GOTERA-PITROU</v>
          </cell>
          <cell r="G464" t="str">
            <v>RAO / ZHOU</v>
          </cell>
          <cell r="H464" t="str">
            <v>RAO / ZHOU</v>
          </cell>
        </row>
        <row r="465">
          <cell r="A465">
            <v>20753</v>
          </cell>
          <cell r="B465">
            <v>189</v>
          </cell>
          <cell r="C465" t="str">
            <v>BANKERS AND SHIPPERS INSURANCE COMPANY OF NEW YORK</v>
          </cell>
          <cell r="D465" t="str">
            <v>LA1 / HUH</v>
          </cell>
          <cell r="E465" t="str">
            <v>LA1 / AHN</v>
          </cell>
          <cell r="F465" t="str">
            <v>SF2 / GOTERA-PITROU</v>
          </cell>
          <cell r="G465" t="str">
            <v>RAO / ZHOU</v>
          </cell>
          <cell r="H465" t="str">
            <v>RAO / ZHOU</v>
          </cell>
        </row>
        <row r="466">
          <cell r="A466">
            <v>30180</v>
          </cell>
          <cell r="B466">
            <v>194</v>
          </cell>
          <cell r="C466" t="str">
            <v>ASSURED GUARANTY CORPORATION</v>
          </cell>
          <cell r="D466" t="str">
            <v>SF1 / LI</v>
          </cell>
          <cell r="E466" t="str">
            <v>SF1 / LI</v>
          </cell>
          <cell r="F466" t="str">
            <v>SF2 / GOTERA-PITROU</v>
          </cell>
          <cell r="G466" t="str">
            <v>RAO / ZHOU</v>
          </cell>
          <cell r="H466" t="str">
            <v>RAO / ZHOU</v>
          </cell>
        </row>
        <row r="467">
          <cell r="A467">
            <v>18287</v>
          </cell>
          <cell r="B467">
            <v>194</v>
          </cell>
          <cell r="C467" t="str">
            <v>ASSURED GUARANTY MUNICIPAL CORP.</v>
          </cell>
          <cell r="D467" t="str">
            <v>SF1 / LI</v>
          </cell>
          <cell r="E467" t="str">
            <v>SF1 / LI</v>
          </cell>
          <cell r="F467" t="str">
            <v>SF2 / GOTERA-PITROU</v>
          </cell>
          <cell r="G467">
            <v>0</v>
          </cell>
          <cell r="H467">
            <v>0</v>
          </cell>
        </row>
        <row r="468">
          <cell r="A468">
            <v>13559</v>
          </cell>
          <cell r="B468">
            <v>194</v>
          </cell>
          <cell r="C468" t="str">
            <v>MUNICIPAL ASSURANCE CORP.</v>
          </cell>
          <cell r="D468" t="str">
            <v>SF1 / LI</v>
          </cell>
          <cell r="E468" t="str">
            <v>SF1 / LI</v>
          </cell>
          <cell r="F468" t="str">
            <v>SF2 / GOTERA-PITROU</v>
          </cell>
          <cell r="G468">
            <v>0</v>
          </cell>
          <cell r="H468">
            <v>0</v>
          </cell>
        </row>
        <row r="469">
          <cell r="A469">
            <v>21253</v>
          </cell>
          <cell r="B469">
            <v>200</v>
          </cell>
          <cell r="C469" t="str">
            <v>GARRISON PROPERTY AND CASUALTY INSURANCE COMPANY</v>
          </cell>
          <cell r="D469" t="str">
            <v>SF2 / SALAZAR</v>
          </cell>
          <cell r="E469" t="str">
            <v>SF2 / SALAZAR</v>
          </cell>
          <cell r="F469" t="str">
            <v>SF2 / SALAZAR</v>
          </cell>
          <cell r="G469">
            <v>0</v>
          </cell>
          <cell r="H469">
            <v>0</v>
          </cell>
        </row>
        <row r="470">
          <cell r="A470">
            <v>25941</v>
          </cell>
          <cell r="B470">
            <v>200</v>
          </cell>
          <cell r="C470" t="str">
            <v>UNITED SERVICES AUTOMOBILE ASSOCIATION</v>
          </cell>
          <cell r="D470" t="str">
            <v>SF2 / SALAZAR</v>
          </cell>
          <cell r="E470" t="str">
            <v>SF2 / SALAZAR</v>
          </cell>
          <cell r="F470" t="str">
            <v>SF2 / SALAZAR</v>
          </cell>
          <cell r="G470">
            <v>0</v>
          </cell>
          <cell r="H470">
            <v>0</v>
          </cell>
        </row>
        <row r="471">
          <cell r="A471">
            <v>25968</v>
          </cell>
          <cell r="B471">
            <v>200</v>
          </cell>
          <cell r="C471" t="str">
            <v>USAA CASUALTY INSURANCE COMPANY</v>
          </cell>
          <cell r="D471" t="str">
            <v>SF2 / SALAZAR</v>
          </cell>
          <cell r="E471" t="str">
            <v>SF2 / SALAZAR</v>
          </cell>
          <cell r="F471" t="str">
            <v>SF2 / SALAZAR</v>
          </cell>
          <cell r="G471">
            <v>0</v>
          </cell>
          <cell r="H471">
            <v>0</v>
          </cell>
        </row>
        <row r="472">
          <cell r="A472">
            <v>18600</v>
          </cell>
          <cell r="B472">
            <v>200</v>
          </cell>
          <cell r="C472" t="str">
            <v>USAA GENERAL INDEMNITY COMPANY</v>
          </cell>
          <cell r="D472" t="str">
            <v>SF2 / SALAZAR</v>
          </cell>
          <cell r="E472" t="str">
            <v>SF2 / SALAZAR</v>
          </cell>
          <cell r="F472" t="str">
            <v>SF2 / SALAZAR</v>
          </cell>
          <cell r="G472">
            <v>0</v>
          </cell>
          <cell r="H472">
            <v>0</v>
          </cell>
        </row>
        <row r="473">
          <cell r="A473">
            <v>25984</v>
          </cell>
          <cell r="B473">
            <v>201</v>
          </cell>
          <cell r="C473" t="str">
            <v>GRAPHIC ARTS MUTUAL INSURANCE COMPANY</v>
          </cell>
          <cell r="D473" t="str">
            <v>SF2 / GOTERA-PITROU</v>
          </cell>
          <cell r="E473" t="str">
            <v>SF2 / GOTERA-PITROU</v>
          </cell>
          <cell r="F473" t="str">
            <v>SF2 / GOTERA-PITROU</v>
          </cell>
          <cell r="G473">
            <v>0</v>
          </cell>
          <cell r="H473">
            <v>0</v>
          </cell>
        </row>
        <row r="474">
          <cell r="A474">
            <v>25976</v>
          </cell>
          <cell r="B474">
            <v>201</v>
          </cell>
          <cell r="C474" t="str">
            <v>UTICA MUTUAL INSURANCE COMPANY</v>
          </cell>
          <cell r="D474" t="str">
            <v>SF2 / GOTERA-PITROU</v>
          </cell>
          <cell r="E474" t="str">
            <v>SF2 / GOTERA-PITROU</v>
          </cell>
          <cell r="F474" t="str">
            <v>SF2 / GOTERA-PITROU</v>
          </cell>
          <cell r="G474">
            <v>0</v>
          </cell>
          <cell r="H474">
            <v>0</v>
          </cell>
        </row>
        <row r="475">
          <cell r="A475">
            <v>23566</v>
          </cell>
          <cell r="B475">
            <v>204</v>
          </cell>
          <cell r="C475" t="str">
            <v>MILLERS NATIONAL INSURANCE COMPANY</v>
          </cell>
          <cell r="D475" t="str">
            <v>LA2 / GUAN</v>
          </cell>
          <cell r="E475" t="str">
            <v>LA2 / GUAN</v>
          </cell>
          <cell r="F475">
            <v>0</v>
          </cell>
          <cell r="G475">
            <v>0</v>
          </cell>
          <cell r="H475">
            <v>0</v>
          </cell>
        </row>
        <row r="476">
          <cell r="A476">
            <v>26247</v>
          </cell>
          <cell r="B476">
            <v>212</v>
          </cell>
          <cell r="C476" t="str">
            <v>AMERICAN GUARANTEE AND LIABILITY INSURANCE COMPANY</v>
          </cell>
          <cell r="D476" t="str">
            <v>LA2 / LEE</v>
          </cell>
          <cell r="E476" t="str">
            <v>LA2 / LEE</v>
          </cell>
          <cell r="F476" t="str">
            <v>SF2 / GOTERA-PITROU</v>
          </cell>
          <cell r="G476">
            <v>0</v>
          </cell>
          <cell r="H476">
            <v>0</v>
          </cell>
        </row>
        <row r="477">
          <cell r="A477">
            <v>40142</v>
          </cell>
          <cell r="B477">
            <v>212</v>
          </cell>
          <cell r="C477" t="str">
            <v>AMERICAN ZURICH INSURANCE COMPANY</v>
          </cell>
          <cell r="D477" t="str">
            <v>LA2 / LEE</v>
          </cell>
          <cell r="E477" t="str">
            <v>LA2 / LEE</v>
          </cell>
          <cell r="F477" t="str">
            <v>SF2 / GOTERA-PITROU</v>
          </cell>
          <cell r="G477">
            <v>0</v>
          </cell>
          <cell r="H477">
            <v>0</v>
          </cell>
        </row>
        <row r="478">
          <cell r="A478">
            <v>34649</v>
          </cell>
          <cell r="B478">
            <v>212</v>
          </cell>
          <cell r="C478" t="str">
            <v>CENTRE INSURANCE COMPANY</v>
          </cell>
          <cell r="D478" t="str">
            <v>LA2 / LEE</v>
          </cell>
          <cell r="E478" t="str">
            <v>LA2 / LEE</v>
          </cell>
          <cell r="F478" t="str">
            <v>SF2 / GOTERA-PITROU</v>
          </cell>
          <cell r="G478">
            <v>0</v>
          </cell>
          <cell r="H478">
            <v>0</v>
          </cell>
        </row>
        <row r="479">
          <cell r="A479">
            <v>34347</v>
          </cell>
          <cell r="B479">
            <v>212</v>
          </cell>
          <cell r="C479" t="str">
            <v>COLONIAL AMERICAN CASUALTY AND SURETY COMPANY</v>
          </cell>
          <cell r="D479" t="str">
            <v>LA2 / LEE</v>
          </cell>
          <cell r="E479" t="str">
            <v>LA2 / LEE</v>
          </cell>
          <cell r="F479" t="str">
            <v>SF2 / GOTERA-PITROU</v>
          </cell>
          <cell r="G479">
            <v>0</v>
          </cell>
          <cell r="H479">
            <v>0</v>
          </cell>
        </row>
        <row r="480">
          <cell r="A480">
            <v>21326</v>
          </cell>
          <cell r="B480">
            <v>212</v>
          </cell>
          <cell r="C480" t="str">
            <v>EMPIRE FIRE AND MARINE INSURANCE COMPANY</v>
          </cell>
          <cell r="D480" t="str">
            <v>LA2 / LEE</v>
          </cell>
          <cell r="E480" t="str">
            <v>LA2 / LEE</v>
          </cell>
          <cell r="F480" t="str">
            <v>SF2 / GOTERA-PITROU</v>
          </cell>
          <cell r="G480">
            <v>0</v>
          </cell>
          <cell r="H480">
            <v>0</v>
          </cell>
        </row>
        <row r="481">
          <cell r="A481">
            <v>39306</v>
          </cell>
          <cell r="B481">
            <v>212</v>
          </cell>
          <cell r="C481" t="str">
            <v>FIDELITY AND DEPOSIT COMPANY OF MARYLAND</v>
          </cell>
          <cell r="D481" t="str">
            <v>LA2 / LEE</v>
          </cell>
          <cell r="E481" t="str">
            <v>LA2 / LEE</v>
          </cell>
          <cell r="F481" t="str">
            <v>SF2 / GOTERA-PITROU</v>
          </cell>
          <cell r="G481">
            <v>0</v>
          </cell>
          <cell r="H481">
            <v>0</v>
          </cell>
        </row>
        <row r="482">
          <cell r="A482">
            <v>22527</v>
          </cell>
          <cell r="B482">
            <v>212</v>
          </cell>
          <cell r="C482" t="str">
            <v>HOME INSURANCE COMPANY</v>
          </cell>
          <cell r="D482" t="str">
            <v>LA2 / LEE</v>
          </cell>
          <cell r="E482" t="str">
            <v>LA2 / LEE</v>
          </cell>
          <cell r="F482" t="str">
            <v>SF2 / GOTERA-PITROU</v>
          </cell>
          <cell r="G482">
            <v>0</v>
          </cell>
          <cell r="H482">
            <v>0</v>
          </cell>
        </row>
        <row r="483">
          <cell r="A483">
            <v>40363</v>
          </cell>
          <cell r="B483">
            <v>212</v>
          </cell>
          <cell r="C483" t="str">
            <v>HOME INSURANCE COMPANY OF WISCONSIN</v>
          </cell>
          <cell r="D483" t="str">
            <v>LA2 / LEE</v>
          </cell>
          <cell r="E483" t="str">
            <v>LA2 / LEE</v>
          </cell>
          <cell r="F483" t="str">
            <v>SF2 / GOTERA-PITROU</v>
          </cell>
          <cell r="G483">
            <v>0</v>
          </cell>
          <cell r="H483">
            <v>0</v>
          </cell>
        </row>
        <row r="484">
          <cell r="A484">
            <v>34649</v>
          </cell>
          <cell r="B484">
            <v>212</v>
          </cell>
          <cell r="C484" t="str">
            <v>LONDON GUARANTEE AND ACCIDENT COMPANY OF NEW YORK</v>
          </cell>
          <cell r="D484" t="str">
            <v>LA2 / LEE</v>
          </cell>
          <cell r="E484" t="str">
            <v>LA2 / LEE</v>
          </cell>
          <cell r="F484" t="str">
            <v>SF2 / GOTERA-PITROU</v>
          </cell>
          <cell r="G484">
            <v>0</v>
          </cell>
          <cell r="H484">
            <v>0</v>
          </cell>
        </row>
        <row r="485">
          <cell r="A485">
            <v>19321</v>
          </cell>
          <cell r="B485">
            <v>212</v>
          </cell>
          <cell r="C485" t="str">
            <v>MAINE BONDING AND CASUALTY COMPANY</v>
          </cell>
          <cell r="D485" t="str">
            <v>LA2 / LEE</v>
          </cell>
          <cell r="E485" t="str">
            <v>LA2 / LEE</v>
          </cell>
          <cell r="F485" t="str">
            <v>SF2 / GOTERA-PITROU</v>
          </cell>
          <cell r="G485">
            <v>0</v>
          </cell>
          <cell r="H485">
            <v>0</v>
          </cell>
        </row>
        <row r="486">
          <cell r="A486">
            <v>28519</v>
          </cell>
          <cell r="B486">
            <v>212</v>
          </cell>
          <cell r="C486" t="str">
            <v>MOUNTBATTEN SURETY COMPANY, INC.</v>
          </cell>
          <cell r="D486" t="str">
            <v>LA2 / LEE</v>
          </cell>
          <cell r="E486" t="str">
            <v>LA2 / LEE</v>
          </cell>
          <cell r="F486" t="str">
            <v>SF2 / GOTERA-PITROU</v>
          </cell>
          <cell r="G486">
            <v>0</v>
          </cell>
          <cell r="H486" t="str">
            <v>RAO / NGUYEN</v>
          </cell>
        </row>
        <row r="487">
          <cell r="A487">
            <v>39039</v>
          </cell>
          <cell r="B487">
            <v>212</v>
          </cell>
          <cell r="C487" t="str">
            <v>RURAL COMMUNITY INSURANCE COMPANY</v>
          </cell>
          <cell r="D487" t="str">
            <v>LA2 / LEE</v>
          </cell>
          <cell r="E487" t="str">
            <v>LA2 / LEE</v>
          </cell>
          <cell r="F487" t="str">
            <v>SF2 / GOTERA-PITROU</v>
          </cell>
          <cell r="G487">
            <v>0</v>
          </cell>
          <cell r="H487" t="str">
            <v>RAO / NGUYEN</v>
          </cell>
        </row>
        <row r="488">
          <cell r="A488">
            <v>41181</v>
          </cell>
          <cell r="B488">
            <v>212</v>
          </cell>
          <cell r="C488" t="str">
            <v>UNIVERSAL UNDERWRITERS INSURANCE COMPANY</v>
          </cell>
          <cell r="D488" t="str">
            <v>LA2 / LEE</v>
          </cell>
          <cell r="E488" t="str">
            <v>LA2 / LEE</v>
          </cell>
          <cell r="F488" t="str">
            <v>SF2 / GOTERA-PITROU</v>
          </cell>
          <cell r="G488">
            <v>0</v>
          </cell>
          <cell r="H488" t="str">
            <v>RAO / NGUYEN</v>
          </cell>
        </row>
        <row r="489">
          <cell r="A489">
            <v>38032</v>
          </cell>
          <cell r="B489">
            <v>212</v>
          </cell>
          <cell r="C489" t="str">
            <v>US INTERNATIONAL REINSURANCE COMPANY</v>
          </cell>
          <cell r="D489" t="str">
            <v>LA2 / LEE</v>
          </cell>
          <cell r="E489" t="str">
            <v>LA2 / LEE</v>
          </cell>
          <cell r="F489" t="str">
            <v>SF2 / GOTERA-PITROU</v>
          </cell>
          <cell r="G489">
            <v>0</v>
          </cell>
          <cell r="H489">
            <v>0</v>
          </cell>
        </row>
        <row r="490">
          <cell r="A490">
            <v>16535</v>
          </cell>
          <cell r="B490">
            <v>212</v>
          </cell>
          <cell r="C490" t="str">
            <v xml:space="preserve">ZURICH AMERICAN INSURANCE COMPANY </v>
          </cell>
          <cell r="D490" t="str">
            <v>LA2 / LEE</v>
          </cell>
          <cell r="E490" t="str">
            <v>LA2 / LEE</v>
          </cell>
          <cell r="F490" t="str">
            <v>SF2 / GOTERA-PITROU</v>
          </cell>
          <cell r="G490">
            <v>0</v>
          </cell>
          <cell r="H490">
            <v>0</v>
          </cell>
        </row>
        <row r="491">
          <cell r="A491">
            <v>27855</v>
          </cell>
          <cell r="B491">
            <v>212</v>
          </cell>
          <cell r="C491" t="str">
            <v>ZURICH AMERICAN INSURANCE COMPANY OF ILLINOIS</v>
          </cell>
          <cell r="D491" t="str">
            <v>LA2 / LEE</v>
          </cell>
          <cell r="E491" t="str">
            <v>LA2 / LEE</v>
          </cell>
          <cell r="F491" t="str">
            <v>SF2 / GOTERA-PITROU</v>
          </cell>
          <cell r="G491" t="str">
            <v>RAO / NGUYEN</v>
          </cell>
          <cell r="H491">
            <v>0</v>
          </cell>
        </row>
        <row r="492">
          <cell r="A492">
            <v>10920</v>
          </cell>
          <cell r="B492">
            <v>215</v>
          </cell>
          <cell r="C492" t="str">
            <v>ALLIANCE UNITED INSURANCE COMPANY</v>
          </cell>
          <cell r="D492" t="str">
            <v>SF1 / CARLSON</v>
          </cell>
          <cell r="E492" t="str">
            <v>SF1 / CARLSON</v>
          </cell>
          <cell r="F492" t="str">
            <v>SF2 / GOTERA-PITROU</v>
          </cell>
          <cell r="G492">
            <v>0</v>
          </cell>
          <cell r="H492">
            <v>0</v>
          </cell>
        </row>
        <row r="493">
          <cell r="A493">
            <v>19852</v>
          </cell>
          <cell r="B493">
            <v>215</v>
          </cell>
          <cell r="C493" t="str">
            <v>FINANCIAL INDEMNITY COMPANY</v>
          </cell>
          <cell r="D493" t="str">
            <v>SF1 / CARLSON</v>
          </cell>
          <cell r="E493" t="str">
            <v>SF1 / CARLSON</v>
          </cell>
          <cell r="F493" t="str">
            <v>SF2 / GOTERA-PITROU</v>
          </cell>
          <cell r="G493">
            <v>0</v>
          </cell>
          <cell r="H493">
            <v>0</v>
          </cell>
        </row>
        <row r="494">
          <cell r="A494">
            <v>22268</v>
          </cell>
          <cell r="B494">
            <v>215</v>
          </cell>
          <cell r="C494" t="str">
            <v>INFINITY INSURANCE COMPANY</v>
          </cell>
          <cell r="D494" t="str">
            <v>SF1 / CARLSON</v>
          </cell>
          <cell r="E494" t="str">
            <v>SF1 / CARLSON</v>
          </cell>
          <cell r="F494" t="str">
            <v>SF2 / GOTERA-PITROU</v>
          </cell>
          <cell r="G494">
            <v>0</v>
          </cell>
          <cell r="H494">
            <v>0</v>
          </cell>
        </row>
        <row r="495">
          <cell r="A495">
            <v>20260</v>
          </cell>
          <cell r="B495">
            <v>215</v>
          </cell>
          <cell r="C495" t="str">
            <v>INFINITY SELECT INSURANCE COMPANY</v>
          </cell>
          <cell r="D495" t="str">
            <v>SF1 / CARLSON</v>
          </cell>
          <cell r="E495" t="str">
            <v>SF1 / CARLSON</v>
          </cell>
          <cell r="F495" t="str">
            <v>SF2 / GOTERA-PITROU</v>
          </cell>
          <cell r="G495">
            <v>0</v>
          </cell>
          <cell r="H495">
            <v>0</v>
          </cell>
        </row>
        <row r="496">
          <cell r="A496">
            <v>39004</v>
          </cell>
          <cell r="B496">
            <v>215</v>
          </cell>
          <cell r="C496" t="str">
            <v>KEMPER FINANCIAL INDEMNITY CO</v>
          </cell>
          <cell r="D496" t="str">
            <v>SF1 / CARLSON</v>
          </cell>
          <cell r="E496" t="str">
            <v>SF1 / CARLSON</v>
          </cell>
          <cell r="F496" t="str">
            <v>SF2 / GOTERA-PITROU</v>
          </cell>
          <cell r="G496">
            <v>0</v>
          </cell>
          <cell r="H496">
            <v>0</v>
          </cell>
        </row>
        <row r="497">
          <cell r="A497">
            <v>10914</v>
          </cell>
          <cell r="B497">
            <v>215</v>
          </cell>
          <cell r="C497" t="str">
            <v>KEMPER INDEPENDENCE INSURANCE COMPANY</v>
          </cell>
          <cell r="D497" t="str">
            <v>SF1 / CARLSON</v>
          </cell>
          <cell r="E497" t="str">
            <v>SF1 / CARLSON</v>
          </cell>
          <cell r="F497" t="str">
            <v>SF2 / GOTERA-PITROU</v>
          </cell>
          <cell r="G497" t="str">
            <v>RAO / NGUYEN</v>
          </cell>
          <cell r="H497">
            <v>0</v>
          </cell>
        </row>
        <row r="498">
          <cell r="A498">
            <v>31968</v>
          </cell>
          <cell r="B498">
            <v>215</v>
          </cell>
          <cell r="C498" t="str">
            <v>MERASTAR INSURANCE COMPANY</v>
          </cell>
          <cell r="D498" t="str">
            <v>SF1 / CARLSON</v>
          </cell>
          <cell r="E498" t="str">
            <v>SF1 / CARLSON</v>
          </cell>
          <cell r="F498" t="str">
            <v>SF2 / GOTERA-PITROU</v>
          </cell>
          <cell r="G498">
            <v>0</v>
          </cell>
          <cell r="H498">
            <v>0</v>
          </cell>
        </row>
        <row r="499">
          <cell r="A499">
            <v>43044</v>
          </cell>
          <cell r="B499">
            <v>215</v>
          </cell>
          <cell r="C499" t="str">
            <v>RESPONSE INSURANCE COMPANY</v>
          </cell>
          <cell r="D499" t="str">
            <v>SF1 / CARLSON</v>
          </cell>
          <cell r="E499" t="str">
            <v>SF1 / CARLSON</v>
          </cell>
          <cell r="F499" t="str">
            <v>SF2 / GOTERA-PITROU</v>
          </cell>
          <cell r="G499">
            <v>0</v>
          </cell>
          <cell r="H499">
            <v>0</v>
          </cell>
        </row>
        <row r="500">
          <cell r="A500">
            <v>26050</v>
          </cell>
          <cell r="B500">
            <v>215</v>
          </cell>
          <cell r="C500" t="str">
            <v>RESPONSE WORLDWIDE INSURANCE COMPANY</v>
          </cell>
          <cell r="D500" t="str">
            <v>SF1 / CARLSON</v>
          </cell>
          <cell r="E500" t="str">
            <v>SF1 / CARLSON</v>
          </cell>
          <cell r="F500" t="str">
            <v>SF2 / GOTERA-PITROU</v>
          </cell>
          <cell r="G500">
            <v>0</v>
          </cell>
          <cell r="H500">
            <v>0</v>
          </cell>
        </row>
        <row r="501">
          <cell r="A501">
            <v>19887</v>
          </cell>
          <cell r="B501">
            <v>215</v>
          </cell>
          <cell r="C501" t="str">
            <v>TRINITY UNIVERSAL INSURANCE COMPANY</v>
          </cell>
          <cell r="D501" t="str">
            <v>SF1 / CARLSON</v>
          </cell>
          <cell r="E501" t="str">
            <v>SF1 / CARLSON</v>
          </cell>
          <cell r="F501" t="str">
            <v>SF2 / GOTERA-PITROU</v>
          </cell>
          <cell r="G501">
            <v>0</v>
          </cell>
          <cell r="H501">
            <v>0</v>
          </cell>
        </row>
        <row r="502">
          <cell r="A502">
            <v>11142</v>
          </cell>
          <cell r="B502">
            <v>215</v>
          </cell>
          <cell r="C502" t="str">
            <v>UNITED CASUALTY INSURANCE COMPANY OF AMERICA</v>
          </cell>
          <cell r="D502" t="str">
            <v>SF1 / CARLSON</v>
          </cell>
          <cell r="E502" t="str">
            <v>SF1 / CARLSON</v>
          </cell>
          <cell r="F502" t="str">
            <v>SF2 / GOTERA-PITROU</v>
          </cell>
          <cell r="G502">
            <v>0</v>
          </cell>
          <cell r="H502">
            <v>0</v>
          </cell>
        </row>
        <row r="503">
          <cell r="A503">
            <v>16063</v>
          </cell>
          <cell r="B503">
            <v>215</v>
          </cell>
          <cell r="C503" t="str">
            <v>UNITRIN AUTO AND HOME INSURANCE COMPANY</v>
          </cell>
          <cell r="D503" t="str">
            <v>SF1 / CARLSON</v>
          </cell>
          <cell r="E503" t="str">
            <v>SF1 / CARLSON</v>
          </cell>
          <cell r="F503" t="str">
            <v>SF2 / GOTERA-PITROU</v>
          </cell>
          <cell r="G503">
            <v>0</v>
          </cell>
          <cell r="H503">
            <v>0</v>
          </cell>
        </row>
        <row r="504">
          <cell r="A504">
            <v>10226</v>
          </cell>
          <cell r="B504">
            <v>215</v>
          </cell>
          <cell r="C504" t="str">
            <v>UNITRIN DIRECT INSURANCE COMPANY</v>
          </cell>
          <cell r="D504" t="str">
            <v>SF1 / CARLSON</v>
          </cell>
          <cell r="E504" t="str">
            <v>SF1 / CARLSON</v>
          </cell>
          <cell r="F504" t="str">
            <v>SF2 / GOTERA-PITROU</v>
          </cell>
          <cell r="G504">
            <v>0</v>
          </cell>
          <cell r="H504">
            <v>0</v>
          </cell>
        </row>
        <row r="505">
          <cell r="A505">
            <v>10915</v>
          </cell>
          <cell r="B505">
            <v>215</v>
          </cell>
          <cell r="C505" t="str">
            <v>UNITRIN DIRECT PROPERTY &amp; CASUALTY COMPANY</v>
          </cell>
          <cell r="D505" t="str">
            <v>SF1 / CARLSON</v>
          </cell>
          <cell r="E505" t="str">
            <v>SF1 / CARLSON</v>
          </cell>
          <cell r="F505" t="str">
            <v>SF2 / GOTERA-PITROU</v>
          </cell>
          <cell r="G505">
            <v>0</v>
          </cell>
          <cell r="H505">
            <v>0</v>
          </cell>
        </row>
        <row r="506">
          <cell r="A506">
            <v>20265</v>
          </cell>
          <cell r="B506">
            <v>217</v>
          </cell>
          <cell r="C506" t="str">
            <v>PROTECTIVE NATIONAL INSURANCE COMPANY OF OMAHA</v>
          </cell>
          <cell r="D506" t="str">
            <v>LA2 / GUAN</v>
          </cell>
          <cell r="E506" t="str">
            <v>LA2 / GUAN</v>
          </cell>
          <cell r="F506" t="str">
            <v>SF2 / GOTERA-PITROU</v>
          </cell>
          <cell r="G506">
            <v>0</v>
          </cell>
          <cell r="H506">
            <v>0</v>
          </cell>
        </row>
        <row r="507">
          <cell r="A507">
            <v>20427</v>
          </cell>
          <cell r="B507">
            <v>218</v>
          </cell>
          <cell r="C507" t="str">
            <v>AMERICAN CASUALTY COMPANY OF READING, PENNSYLVANIA</v>
          </cell>
          <cell r="D507" t="str">
            <v>SF2 / GOTERA-PITROU</v>
          </cell>
          <cell r="E507" t="str">
            <v>SF2 / GOTERA-PITROU</v>
          </cell>
          <cell r="F507" t="str">
            <v>SF2 / GOTERA-PITROU</v>
          </cell>
          <cell r="G507">
            <v>0</v>
          </cell>
          <cell r="H507">
            <v>0</v>
          </cell>
        </row>
        <row r="508">
          <cell r="A508">
            <v>20443</v>
          </cell>
          <cell r="B508">
            <v>218</v>
          </cell>
          <cell r="C508" t="str">
            <v>CONTINENTAL CASUALTY COMPANY</v>
          </cell>
          <cell r="D508" t="str">
            <v>SF2 / GOTERA-PITROU</v>
          </cell>
          <cell r="E508" t="str">
            <v>SF2 / GOTERA-PITROU</v>
          </cell>
          <cell r="F508" t="str">
            <v>SF2 / GOTERA-PITROU</v>
          </cell>
          <cell r="G508">
            <v>0</v>
          </cell>
          <cell r="H508">
            <v>0</v>
          </cell>
        </row>
        <row r="509">
          <cell r="A509">
            <v>35289</v>
          </cell>
          <cell r="B509">
            <v>218</v>
          </cell>
          <cell r="C509" t="str">
            <v>CONTINENTAL INSURANCE COMPANY</v>
          </cell>
          <cell r="D509" t="str">
            <v>SF2 / GOTERA-PITROU</v>
          </cell>
          <cell r="E509" t="str">
            <v>SF2 / GOTERA-PITROU</v>
          </cell>
          <cell r="F509" t="str">
            <v>SF2 / GOTERA-PITROU</v>
          </cell>
          <cell r="G509">
            <v>0</v>
          </cell>
          <cell r="H509">
            <v>0</v>
          </cell>
        </row>
        <row r="510">
          <cell r="A510">
            <v>10201</v>
          </cell>
          <cell r="B510">
            <v>218</v>
          </cell>
          <cell r="C510" t="str">
            <v>GALWAY INSURANCE COMPANY</v>
          </cell>
          <cell r="D510" t="str">
            <v>SF2 / GOTERA-PITROU</v>
          </cell>
          <cell r="E510" t="str">
            <v>SF2 / GOTERA-PITROU</v>
          </cell>
          <cell r="F510" t="str">
            <v>SF2 / GOTERA-PITROU</v>
          </cell>
          <cell r="G510">
            <v>0</v>
          </cell>
          <cell r="H510">
            <v>0</v>
          </cell>
        </row>
        <row r="511">
          <cell r="A511">
            <v>20478</v>
          </cell>
          <cell r="B511">
            <v>218</v>
          </cell>
          <cell r="C511" t="str">
            <v>NATIONAL FIRE INSURANCE COMPANY OF HARTFORD</v>
          </cell>
          <cell r="D511" t="str">
            <v>SF2 / GOTERA-PITROU</v>
          </cell>
          <cell r="E511" t="str">
            <v>SF2 / GOTERA-PITROU</v>
          </cell>
          <cell r="F511" t="str">
            <v>SF2 / GOTERA-PITROU</v>
          </cell>
          <cell r="G511">
            <v>0</v>
          </cell>
          <cell r="H511">
            <v>0</v>
          </cell>
        </row>
        <row r="512">
          <cell r="A512">
            <v>37338</v>
          </cell>
          <cell r="B512">
            <v>218</v>
          </cell>
          <cell r="C512" t="str">
            <v>PACIFIC INSURANCE COMPANY</v>
          </cell>
          <cell r="D512" t="str">
            <v>SF2 / GOTERA-PITROU</v>
          </cell>
          <cell r="E512" t="str">
            <v>SF2 / GOTERA-PITROU</v>
          </cell>
          <cell r="F512" t="str">
            <v>SF2 / GOTERA-PITROU</v>
          </cell>
          <cell r="G512">
            <v>0</v>
          </cell>
          <cell r="H512">
            <v>0</v>
          </cell>
        </row>
        <row r="513">
          <cell r="A513">
            <v>24047</v>
          </cell>
          <cell r="B513">
            <v>218</v>
          </cell>
          <cell r="C513" t="str">
            <v>SURETY BONDING COMPANY OF AMERICA</v>
          </cell>
          <cell r="D513" t="str">
            <v>SF2 / GOTERA-PITROU</v>
          </cell>
          <cell r="E513" t="str">
            <v>SF2 / GOTERA-PITROU</v>
          </cell>
          <cell r="F513" t="str">
            <v>SF2 / GOTERA-PITROU</v>
          </cell>
          <cell r="G513">
            <v>0</v>
          </cell>
          <cell r="H513">
            <v>0</v>
          </cell>
        </row>
        <row r="514">
          <cell r="A514">
            <v>20494</v>
          </cell>
          <cell r="B514">
            <v>218</v>
          </cell>
          <cell r="C514" t="str">
            <v>TRANSPORTATION INSURANCE COMPANY</v>
          </cell>
          <cell r="D514" t="str">
            <v>SF2 / GOTERA-PITROU</v>
          </cell>
          <cell r="E514" t="str">
            <v>SF2 / GOTERA-PITROU</v>
          </cell>
          <cell r="F514" t="str">
            <v xml:space="preserve"> </v>
          </cell>
          <cell r="G514">
            <v>0</v>
          </cell>
          <cell r="H514">
            <v>0</v>
          </cell>
        </row>
        <row r="515">
          <cell r="A515">
            <v>13200</v>
          </cell>
          <cell r="B515">
            <v>218</v>
          </cell>
          <cell r="C515" t="str">
            <v>UNIVERSAL SURETY OF AMERICA</v>
          </cell>
          <cell r="D515" t="str">
            <v>SF2 / GOTERA-PITROU</v>
          </cell>
          <cell r="E515" t="str">
            <v>SF2 / GOTERA-PITROU</v>
          </cell>
          <cell r="F515" t="str">
            <v>SF2 / GOTERA-PITROU</v>
          </cell>
          <cell r="G515">
            <v>0</v>
          </cell>
          <cell r="H515">
            <v>0</v>
          </cell>
        </row>
        <row r="516">
          <cell r="A516">
            <v>20508</v>
          </cell>
          <cell r="B516">
            <v>218</v>
          </cell>
          <cell r="C516" t="str">
            <v>VALLEY FORGE INSURANCE COMPANY</v>
          </cell>
          <cell r="D516" t="str">
            <v>SF2 / GOTERA-PITROU</v>
          </cell>
          <cell r="E516" t="str">
            <v>SF2 / GOTERA-PITROU</v>
          </cell>
          <cell r="F516" t="str">
            <v>SF2 / GOTERA-PITROU</v>
          </cell>
          <cell r="G516">
            <v>0</v>
          </cell>
          <cell r="H516">
            <v>0</v>
          </cell>
        </row>
        <row r="517">
          <cell r="A517">
            <v>13188</v>
          </cell>
          <cell r="B517">
            <v>218</v>
          </cell>
          <cell r="C517" t="str">
            <v>WESTERN SURETY COMPANY</v>
          </cell>
          <cell r="D517" t="str">
            <v>SF2 / GOTERA-PITROU</v>
          </cell>
          <cell r="E517" t="str">
            <v>SF2 / GOTERA-PITROU</v>
          </cell>
          <cell r="F517" t="str">
            <v>SF2 / GOTERA-PITROU</v>
          </cell>
          <cell r="G517">
            <v>0</v>
          </cell>
          <cell r="H517">
            <v>0</v>
          </cell>
        </row>
        <row r="518">
          <cell r="A518">
            <v>20010</v>
          </cell>
          <cell r="B518">
            <v>225</v>
          </cell>
          <cell r="C518" t="str">
            <v>ACCEPTANCE INDEMNITY INSURANCE COMPANY</v>
          </cell>
          <cell r="D518" t="str">
            <v>SF1 / LI</v>
          </cell>
          <cell r="E518" t="str">
            <v>SF1 / LI</v>
          </cell>
          <cell r="F518" t="str">
            <v>SF2 / GOTERA-PITROU</v>
          </cell>
          <cell r="G518">
            <v>0</v>
          </cell>
          <cell r="H518">
            <v>0</v>
          </cell>
        </row>
        <row r="519">
          <cell r="A519">
            <v>13285</v>
          </cell>
          <cell r="B519">
            <v>225</v>
          </cell>
          <cell r="C519" t="str">
            <v>ALLEGHENY CASUALTY COMPANY</v>
          </cell>
          <cell r="D519" t="str">
            <v>SF1 / LI</v>
          </cell>
          <cell r="E519" t="str">
            <v>SF1 / LI</v>
          </cell>
          <cell r="F519" t="str">
            <v>SF2 / GOTERA-PITROU</v>
          </cell>
          <cell r="G519">
            <v>0</v>
          </cell>
          <cell r="H519">
            <v>0</v>
          </cell>
        </row>
        <row r="520">
          <cell r="A520">
            <v>10906</v>
          </cell>
          <cell r="B520">
            <v>225</v>
          </cell>
          <cell r="C520" t="str">
            <v>COMMERCIAL ALLIANCE INSURANCE COMPANY</v>
          </cell>
          <cell r="D520" t="str">
            <v>SF1 / LI</v>
          </cell>
          <cell r="E520" t="str">
            <v>SF1 / LI</v>
          </cell>
          <cell r="F520" t="str">
            <v>SF2 / GOTERA-PITROU</v>
          </cell>
          <cell r="G520">
            <v>0</v>
          </cell>
          <cell r="H520">
            <v>0</v>
          </cell>
        </row>
        <row r="521">
          <cell r="A521">
            <v>26433</v>
          </cell>
          <cell r="B521">
            <v>225</v>
          </cell>
          <cell r="C521" t="str">
            <v>HARCO NATIONAL INSURANCE COMPANY</v>
          </cell>
          <cell r="D521" t="str">
            <v>SF1 / LI</v>
          </cell>
          <cell r="E521" t="str">
            <v>SF1 / LI</v>
          </cell>
          <cell r="F521" t="str">
            <v>SF2 / GOTERA-PITROU</v>
          </cell>
          <cell r="G521">
            <v>0</v>
          </cell>
          <cell r="H521">
            <v>0</v>
          </cell>
        </row>
        <row r="522">
          <cell r="A522">
            <v>11592</v>
          </cell>
          <cell r="B522">
            <v>225</v>
          </cell>
          <cell r="C522" t="str">
            <v>INTERNATIONAL FIDELITY INSURANCE COMPANY</v>
          </cell>
          <cell r="D522" t="str">
            <v>SF1 / LI</v>
          </cell>
          <cell r="E522" t="str">
            <v>SF1 / LI</v>
          </cell>
          <cell r="F522" t="str">
            <v>SF2 / GOTERA-PITROU</v>
          </cell>
          <cell r="G522">
            <v>0</v>
          </cell>
          <cell r="H522">
            <v>0</v>
          </cell>
        </row>
        <row r="523">
          <cell r="A523">
            <v>23248</v>
          </cell>
          <cell r="B523">
            <v>225</v>
          </cell>
          <cell r="C523" t="str">
            <v>NORTH CAROLINA OCCIDENTAL FIRE &amp; CASUALTY COMPANY (see Occidental Fire &amp; Casualty Co. of NC)</v>
          </cell>
          <cell r="D523" t="str">
            <v>SF1 / LI</v>
          </cell>
          <cell r="E523" t="str">
            <v>SF1 / LI</v>
          </cell>
          <cell r="F523" t="str">
            <v>SF2 / GOTERA-PITROU</v>
          </cell>
          <cell r="G523">
            <v>0</v>
          </cell>
          <cell r="H523">
            <v>0</v>
          </cell>
        </row>
        <row r="524">
          <cell r="A524">
            <v>23248</v>
          </cell>
          <cell r="B524">
            <v>225</v>
          </cell>
          <cell r="C524" t="str">
            <v>OCCIDENTAL FIRE &amp; CASUALTY CO OF NC (dba North Carolina Occ'l)</v>
          </cell>
          <cell r="D524" t="str">
            <v>SF1 / LI</v>
          </cell>
          <cell r="E524" t="str">
            <v>SF1 / LI</v>
          </cell>
          <cell r="F524" t="str">
            <v>SF2 / GOTERA-PITROU</v>
          </cell>
          <cell r="G524">
            <v>0</v>
          </cell>
          <cell r="H524">
            <v>0</v>
          </cell>
        </row>
        <row r="525">
          <cell r="A525">
            <v>36560</v>
          </cell>
          <cell r="B525">
            <v>225</v>
          </cell>
          <cell r="C525" t="str">
            <v>SERVICE INSURANCE COMPANY</v>
          </cell>
          <cell r="D525" t="str">
            <v>SF1 / LI</v>
          </cell>
          <cell r="E525" t="str">
            <v>SF1 / LI</v>
          </cell>
          <cell r="F525" t="str">
            <v>SF2 / GOTERA-PITROU</v>
          </cell>
          <cell r="G525">
            <v>0</v>
          </cell>
          <cell r="H525">
            <v>0</v>
          </cell>
        </row>
        <row r="526">
          <cell r="A526">
            <v>28886</v>
          </cell>
          <cell r="B526">
            <v>225</v>
          </cell>
          <cell r="C526" t="str">
            <v xml:space="preserve">TRANSGUARD INSURANCE COMPANY OF AMERICA, INC. </v>
          </cell>
          <cell r="D526" t="str">
            <v>SF1 / LI</v>
          </cell>
          <cell r="E526" t="str">
            <v>SF1 / LI</v>
          </cell>
          <cell r="F526" t="str">
            <v>SF2 / GOTERA-PITROU</v>
          </cell>
          <cell r="G526">
            <v>0</v>
          </cell>
          <cell r="H526">
            <v>0</v>
          </cell>
        </row>
        <row r="527">
          <cell r="A527">
            <v>13234</v>
          </cell>
          <cell r="B527">
            <v>225</v>
          </cell>
          <cell r="C527" t="str">
            <v>WILSHIRE INSURANCE COMPANY</v>
          </cell>
          <cell r="D527" t="str">
            <v>SF1 / LI</v>
          </cell>
          <cell r="E527" t="str">
            <v>SF1 / LI</v>
          </cell>
          <cell r="F527" t="str">
            <v>SF2 / GOTERA-PITROU</v>
          </cell>
          <cell r="G527">
            <v>0</v>
          </cell>
          <cell r="H527">
            <v>0</v>
          </cell>
        </row>
        <row r="528">
          <cell r="A528">
            <v>24120</v>
          </cell>
          <cell r="B528">
            <v>228</v>
          </cell>
          <cell r="C528" t="str">
            <v>WESTFIELD NATIONAL INSURANCE COMPANY</v>
          </cell>
          <cell r="D528" t="str">
            <v>LA2 / GUAN</v>
          </cell>
          <cell r="E528" t="str">
            <v>LA2 / GUAN</v>
          </cell>
          <cell r="F528">
            <v>0</v>
          </cell>
          <cell r="G528">
            <v>0</v>
          </cell>
          <cell r="H528">
            <v>0</v>
          </cell>
        </row>
        <row r="529">
          <cell r="A529">
            <v>22926</v>
          </cell>
          <cell r="B529">
            <v>241</v>
          </cell>
          <cell r="C529" t="str">
            <v>ECONOMY FIRE AND CASUALTY COMPANY</v>
          </cell>
          <cell r="D529" t="str">
            <v>SF2 / SALAZAR</v>
          </cell>
          <cell r="E529" t="str">
            <v>SF2 / SALAZAR</v>
          </cell>
          <cell r="F529" t="str">
            <v>SF2 / SALAZAR</v>
          </cell>
          <cell r="G529">
            <v>0</v>
          </cell>
          <cell r="H529">
            <v>0</v>
          </cell>
        </row>
        <row r="530">
          <cell r="A530">
            <v>87726</v>
          </cell>
          <cell r="B530">
            <v>241</v>
          </cell>
          <cell r="C530" t="str">
            <v>METLIFE INSURANCE COMPANY USA</v>
          </cell>
          <cell r="D530" t="str">
            <v>SF2 / SALAZAR</v>
          </cell>
          <cell r="E530" t="str">
            <v>SF2 / SALAZAR</v>
          </cell>
          <cell r="F530" t="str">
            <v>SF2 / SALAZAR</v>
          </cell>
          <cell r="G530">
            <v>0</v>
          </cell>
          <cell r="H530">
            <v>0</v>
          </cell>
        </row>
        <row r="531">
          <cell r="A531">
            <v>25321</v>
          </cell>
          <cell r="B531">
            <v>241</v>
          </cell>
          <cell r="C531" t="str">
            <v>METROPOLITAN DIRECT PROPERTY AND CASUALTY INSURANCE COMPANY</v>
          </cell>
          <cell r="D531" t="str">
            <v>SF2 / SALAZAR</v>
          </cell>
          <cell r="E531" t="str">
            <v>SF2 / SALAZAR</v>
          </cell>
          <cell r="F531" t="str">
            <v>SF2 / SALAZAR</v>
          </cell>
          <cell r="G531">
            <v>0</v>
          </cell>
          <cell r="H531">
            <v>0</v>
          </cell>
        </row>
        <row r="532">
          <cell r="A532">
            <v>34339</v>
          </cell>
          <cell r="B532">
            <v>241</v>
          </cell>
          <cell r="C532" t="str">
            <v>METROPOLITAN REINSURANCE COMPANY</v>
          </cell>
          <cell r="D532" t="str">
            <v>SF2 / SALAZAR</v>
          </cell>
          <cell r="E532" t="str">
            <v>SF2 / SALAZAR</v>
          </cell>
          <cell r="F532" t="str">
            <v>SF2 / SALAZAR</v>
          </cell>
          <cell r="G532">
            <v>0</v>
          </cell>
          <cell r="H532">
            <v>0</v>
          </cell>
        </row>
        <row r="533">
          <cell r="A533">
            <v>26298</v>
          </cell>
          <cell r="B533">
            <v>241</v>
          </cell>
          <cell r="C533" t="str">
            <v>METROPOLITIAN PROPERTY AND LIABILITY INSURANCE COMPANY</v>
          </cell>
          <cell r="D533" t="str">
            <v>SF2 / SALAZAR</v>
          </cell>
          <cell r="E533" t="str">
            <v>SF2 / SALAZAR</v>
          </cell>
          <cell r="F533" t="str">
            <v>SF2 / SALAZAR</v>
          </cell>
          <cell r="G533">
            <v>0</v>
          </cell>
          <cell r="H533">
            <v>0</v>
          </cell>
        </row>
        <row r="534">
          <cell r="A534">
            <v>28665</v>
          </cell>
          <cell r="B534">
            <v>244</v>
          </cell>
          <cell r="C534" t="str">
            <v>CINCINNATI CASUALTY COMPANY (THE)</v>
          </cell>
          <cell r="D534" t="str">
            <v>LA1 /  HUH</v>
          </cell>
          <cell r="E534" t="str">
            <v>LA1 / OKPARA</v>
          </cell>
          <cell r="F534" t="str">
            <v>SF2 / DEMESA</v>
          </cell>
          <cell r="G534">
            <v>0</v>
          </cell>
          <cell r="H534">
            <v>0</v>
          </cell>
        </row>
        <row r="535">
          <cell r="A535">
            <v>23280</v>
          </cell>
          <cell r="B535">
            <v>244</v>
          </cell>
          <cell r="C535" t="str">
            <v>CINCINNATI INDEMNITY COMPANY (THE)</v>
          </cell>
          <cell r="D535" t="str">
            <v>LA1 /  HUH</v>
          </cell>
          <cell r="E535" t="str">
            <v>LA1 / OKPARA</v>
          </cell>
          <cell r="F535" t="str">
            <v>SF2 / DEMESA</v>
          </cell>
          <cell r="G535">
            <v>0</v>
          </cell>
          <cell r="H535">
            <v>0</v>
          </cell>
        </row>
        <row r="536">
          <cell r="A536">
            <v>10677</v>
          </cell>
          <cell r="B536">
            <v>244</v>
          </cell>
          <cell r="C536" t="str">
            <v>CINCINNATI INSURANCE COMPANY (THE)</v>
          </cell>
          <cell r="D536" t="str">
            <v>LA1 /  HUH</v>
          </cell>
          <cell r="E536" t="str">
            <v>LA1 / OKPARA</v>
          </cell>
          <cell r="F536" t="str">
            <v>SF2 / DEMESA</v>
          </cell>
          <cell r="G536">
            <v>0</v>
          </cell>
          <cell r="H536">
            <v>0</v>
          </cell>
        </row>
        <row r="537">
          <cell r="A537">
            <v>14265</v>
          </cell>
          <cell r="B537">
            <v>246</v>
          </cell>
          <cell r="C537" t="str">
            <v>INDIANA LUMBERMENS MUTUAL INSURANCE COMPANY</v>
          </cell>
          <cell r="D537" t="str">
            <v>LA1 /  HUH</v>
          </cell>
          <cell r="E537" t="str">
            <v>LA1 / OKPARA</v>
          </cell>
          <cell r="F537">
            <v>0</v>
          </cell>
          <cell r="G537">
            <v>0</v>
          </cell>
          <cell r="H537">
            <v>0</v>
          </cell>
        </row>
        <row r="538">
          <cell r="A538">
            <v>14974</v>
          </cell>
          <cell r="B538">
            <v>246</v>
          </cell>
          <cell r="C538" t="str">
            <v>PENNSYLVANIA LUMBERMENS MUTUAL INSURANCE COMPANY</v>
          </cell>
          <cell r="D538" t="str">
            <v>LA1 /  HUH</v>
          </cell>
          <cell r="E538" t="str">
            <v>LA1 / OKPARA</v>
          </cell>
          <cell r="F538">
            <v>0</v>
          </cell>
          <cell r="G538">
            <v>0</v>
          </cell>
          <cell r="H538">
            <v>0</v>
          </cell>
        </row>
        <row r="539">
          <cell r="A539">
            <v>31453</v>
          </cell>
          <cell r="B539">
            <v>248</v>
          </cell>
          <cell r="C539" t="str">
            <v>FINANCIAL PACIFIC INSURANCE COMPANY</v>
          </cell>
          <cell r="D539" t="str">
            <v>LA2 / LEE</v>
          </cell>
          <cell r="E539" t="str">
            <v>LA2 / LEE</v>
          </cell>
          <cell r="F539">
            <v>0</v>
          </cell>
          <cell r="G539">
            <v>0</v>
          </cell>
          <cell r="H539">
            <v>0</v>
          </cell>
        </row>
        <row r="540">
          <cell r="A540">
            <v>19526</v>
          </cell>
          <cell r="B540">
            <v>248</v>
          </cell>
          <cell r="C540" t="str">
            <v>UFG SPECIALTY INSURANCE COMPANY</v>
          </cell>
          <cell r="D540" t="str">
            <v>LA2 / LEE</v>
          </cell>
          <cell r="E540" t="str">
            <v>LA2 / LEE</v>
          </cell>
          <cell r="F540">
            <v>0</v>
          </cell>
          <cell r="G540">
            <v>0</v>
          </cell>
          <cell r="H540">
            <v>0</v>
          </cell>
        </row>
        <row r="541">
          <cell r="A541">
            <v>13021</v>
          </cell>
          <cell r="B541">
            <v>248</v>
          </cell>
          <cell r="C541" t="str">
            <v>UNITED FIRE AND CASUALTY COMPANY</v>
          </cell>
          <cell r="D541" t="str">
            <v>LA2 / LEE</v>
          </cell>
          <cell r="E541" t="str">
            <v>LA2 / LEE</v>
          </cell>
          <cell r="F541">
            <v>0</v>
          </cell>
          <cell r="G541">
            <v>0</v>
          </cell>
          <cell r="H541">
            <v>0</v>
          </cell>
        </row>
        <row r="542">
          <cell r="A542">
            <v>23582</v>
          </cell>
          <cell r="B542">
            <v>253</v>
          </cell>
          <cell r="C542" t="str">
            <v>HARLEYSVILLE INSURANCE COMPANY</v>
          </cell>
          <cell r="D542" t="str">
            <v>LA2 / LEE</v>
          </cell>
          <cell r="E542" t="str">
            <v>LA2 / LEE</v>
          </cell>
          <cell r="F542">
            <v>0</v>
          </cell>
          <cell r="G542">
            <v>0</v>
          </cell>
          <cell r="H542">
            <v>0</v>
          </cell>
        </row>
        <row r="543">
          <cell r="A543">
            <v>16608</v>
          </cell>
          <cell r="B543">
            <v>256</v>
          </cell>
          <cell r="C543" t="str">
            <v>NEW YORK MARINE AND GENERAL INSURANCE COMPANY</v>
          </cell>
          <cell r="D543" t="str">
            <v>LA2 / LEE</v>
          </cell>
          <cell r="E543" t="str">
            <v>LA2 / LEE</v>
          </cell>
          <cell r="F543">
            <v>0</v>
          </cell>
          <cell r="G543">
            <v>0</v>
          </cell>
          <cell r="H543">
            <v>0</v>
          </cell>
        </row>
        <row r="544">
          <cell r="A544">
            <v>12521</v>
          </cell>
          <cell r="B544">
            <v>257</v>
          </cell>
          <cell r="C544" t="str">
            <v>SAFEWAY INSURANCE COMPANY</v>
          </cell>
          <cell r="D544" t="str">
            <v>SF1 / CARLSON</v>
          </cell>
          <cell r="E544" t="str">
            <v>SF1 / CARLSON</v>
          </cell>
          <cell r="F544">
            <v>0</v>
          </cell>
          <cell r="G544">
            <v>0</v>
          </cell>
          <cell r="H544">
            <v>0</v>
          </cell>
        </row>
        <row r="545">
          <cell r="A545">
            <v>10464</v>
          </cell>
          <cell r="B545">
            <v>262</v>
          </cell>
          <cell r="C545" t="str">
            <v>CANAL INSURANCE COMPANY</v>
          </cell>
          <cell r="D545" t="str">
            <v>LA1 /  HUH</v>
          </cell>
          <cell r="E545" t="str">
            <v>LA1 / OKPARA</v>
          </cell>
          <cell r="F545">
            <v>0</v>
          </cell>
          <cell r="G545">
            <v>0</v>
          </cell>
          <cell r="H545">
            <v>0</v>
          </cell>
        </row>
        <row r="546">
          <cell r="A546">
            <v>13331</v>
          </cell>
          <cell r="B546">
            <v>291</v>
          </cell>
          <cell r="C546" t="str">
            <v>MOTORISTS COMMERCIAL MUTUAL INSURANCE COMPANY</v>
          </cell>
          <cell r="D546" t="str">
            <v>LA1 /  HUH</v>
          </cell>
          <cell r="E546" t="str">
            <v>LA1 / AHN</v>
          </cell>
          <cell r="F546">
            <v>0</v>
          </cell>
          <cell r="G546">
            <v>0</v>
          </cell>
          <cell r="H546">
            <v>0</v>
          </cell>
        </row>
        <row r="547">
          <cell r="A547">
            <v>22578</v>
          </cell>
          <cell r="B547">
            <v>300</v>
          </cell>
          <cell r="C547" t="str">
            <v>HORACE MANN INSURANCE COMPANY</v>
          </cell>
          <cell r="D547" t="str">
            <v>SF2 / DEMESA</v>
          </cell>
          <cell r="E547" t="str">
            <v>SF2 / DEMESA</v>
          </cell>
          <cell r="F547" t="str">
            <v>SF2 / DEMESA</v>
          </cell>
          <cell r="G547">
            <v>0</v>
          </cell>
          <cell r="H547">
            <v>0</v>
          </cell>
        </row>
        <row r="548">
          <cell r="A548">
            <v>22756</v>
          </cell>
          <cell r="B548">
            <v>300</v>
          </cell>
          <cell r="C548" t="str">
            <v>HORACE MANN PROPERTY &amp; CASUALTY INS. CO.</v>
          </cell>
          <cell r="D548" t="str">
            <v>SF2 / DEMESA</v>
          </cell>
          <cell r="E548" t="str">
            <v>SF2 / DEMESA</v>
          </cell>
          <cell r="F548" t="str">
            <v>SF2 / DEMESA</v>
          </cell>
          <cell r="G548">
            <v>0</v>
          </cell>
          <cell r="H548">
            <v>0</v>
          </cell>
        </row>
        <row r="549">
          <cell r="A549">
            <v>22683</v>
          </cell>
          <cell r="B549">
            <v>300</v>
          </cell>
          <cell r="C549" t="str">
            <v>TEACHERS INSURANCE COMPANY</v>
          </cell>
          <cell r="D549" t="str">
            <v>SF2 / DEMESA</v>
          </cell>
          <cell r="E549" t="str">
            <v>SF2 / DEMESA</v>
          </cell>
          <cell r="F549" t="str">
            <v>SF2 / DEMESA</v>
          </cell>
          <cell r="G549">
            <v>0</v>
          </cell>
          <cell r="H549">
            <v>0</v>
          </cell>
        </row>
        <row r="550">
          <cell r="A550">
            <v>15032</v>
          </cell>
          <cell r="B550">
            <v>303</v>
          </cell>
          <cell r="C550" t="str">
            <v>GUIDEONE MUTUAL INSURANCE COMPANY</v>
          </cell>
          <cell r="D550" t="str">
            <v>LA2 / GUAN</v>
          </cell>
          <cell r="E550" t="str">
            <v>LA2 / GUAN</v>
          </cell>
          <cell r="F550" t="str">
            <v>SF2 / GOTERA-PITROU</v>
          </cell>
          <cell r="G550">
            <v>0</v>
          </cell>
          <cell r="H550">
            <v>0</v>
          </cell>
        </row>
        <row r="551">
          <cell r="A551">
            <v>14559</v>
          </cell>
          <cell r="B551">
            <v>303</v>
          </cell>
          <cell r="C551" t="str">
            <v>GUIDEONE SPECIALTY MUTUAL INSURANCE COMPANY</v>
          </cell>
          <cell r="D551" t="str">
            <v>LA2 / GUAN</v>
          </cell>
          <cell r="E551" t="str">
            <v>LA2 / GUAN</v>
          </cell>
          <cell r="F551" t="str">
            <v>SF2 / GOTERA-PITROU</v>
          </cell>
          <cell r="G551">
            <v>0</v>
          </cell>
          <cell r="H551">
            <v>0</v>
          </cell>
        </row>
        <row r="552">
          <cell r="A552">
            <v>68241</v>
          </cell>
          <cell r="B552">
            <v>304</v>
          </cell>
          <cell r="C552" t="str">
            <v>PRUDENTIAL INSURANCE COMPANY OF AMERICA</v>
          </cell>
          <cell r="D552" t="str">
            <v>LA2 / BAUTISTA</v>
          </cell>
          <cell r="E552" t="str">
            <v>LA2 / BAUTISTA</v>
          </cell>
          <cell r="F552" t="str">
            <v>SF2 / GOTERA-PITROU</v>
          </cell>
          <cell r="G552">
            <v>0</v>
          </cell>
          <cell r="H552">
            <v>0</v>
          </cell>
        </row>
        <row r="553">
          <cell r="A553">
            <v>10847</v>
          </cell>
          <cell r="B553">
            <v>306</v>
          </cell>
          <cell r="C553" t="str">
            <v>CUMIS INSURANCE  SOCIETY INCORPORATED</v>
          </cell>
          <cell r="D553" t="str">
            <v>LA1 /  HUH</v>
          </cell>
          <cell r="E553" t="str">
            <v>LA1 / AHN</v>
          </cell>
          <cell r="F553">
            <v>0</v>
          </cell>
          <cell r="G553">
            <v>0</v>
          </cell>
          <cell r="H553">
            <v>0</v>
          </cell>
        </row>
        <row r="554">
          <cell r="A554">
            <v>62626</v>
          </cell>
          <cell r="B554">
            <v>306</v>
          </cell>
          <cell r="C554" t="str">
            <v>CUNA MUTUAL INSURANCE SOCIETY INCORPORATION</v>
          </cell>
          <cell r="D554" t="str">
            <v>LA1 /  HUH</v>
          </cell>
          <cell r="E554" t="str">
            <v>LA1 / AHN</v>
          </cell>
          <cell r="F554">
            <v>0</v>
          </cell>
          <cell r="G554">
            <v>0</v>
          </cell>
          <cell r="H554">
            <v>0</v>
          </cell>
        </row>
        <row r="555">
          <cell r="A555">
            <v>14508</v>
          </cell>
          <cell r="B555">
            <v>309</v>
          </cell>
          <cell r="C555" t="str">
            <v>MICHIGAN MILLERS MUTUAL INSURANCE COMPANY</v>
          </cell>
          <cell r="D555" t="str">
            <v>LA2 / BAUTISTA</v>
          </cell>
          <cell r="E555" t="str">
            <v>LA2 / BAUTISTA</v>
          </cell>
          <cell r="F555">
            <v>0</v>
          </cell>
          <cell r="G555">
            <v>0</v>
          </cell>
          <cell r="H555">
            <v>0</v>
          </cell>
        </row>
        <row r="556">
          <cell r="A556">
            <v>26395</v>
          </cell>
          <cell r="B556">
            <v>309</v>
          </cell>
          <cell r="C556" t="str">
            <v>WESTERN HOME INSURANCE COMPANY</v>
          </cell>
          <cell r="D556" t="str">
            <v>LA2 / BAUTISTA</v>
          </cell>
          <cell r="E556" t="str">
            <v>LA2 / BAUTISTA</v>
          </cell>
          <cell r="F556">
            <v>0</v>
          </cell>
          <cell r="G556">
            <v>0</v>
          </cell>
          <cell r="H556">
            <v>0</v>
          </cell>
        </row>
        <row r="557">
          <cell r="A557">
            <v>15377</v>
          </cell>
          <cell r="B557">
            <v>309</v>
          </cell>
          <cell r="C557" t="str">
            <v>WESTERN NATIONAL MUTUAL INSURANCE COMPANY</v>
          </cell>
          <cell r="D557" t="str">
            <v>LA2 / BAUTISTA</v>
          </cell>
          <cell r="E557" t="str">
            <v>LA2 / BAUTISTA</v>
          </cell>
          <cell r="F557">
            <v>0</v>
          </cell>
          <cell r="G557">
            <v>0</v>
          </cell>
          <cell r="H557">
            <v>0</v>
          </cell>
        </row>
        <row r="558">
          <cell r="A558">
            <v>33898</v>
          </cell>
          <cell r="B558">
            <v>313</v>
          </cell>
          <cell r="C558" t="str">
            <v>AEGIS SECURITY INSURANCE COMPANY</v>
          </cell>
          <cell r="D558" t="str">
            <v>LA1 /  HUH</v>
          </cell>
          <cell r="E558" t="str">
            <v>LA1 / OKPARA</v>
          </cell>
          <cell r="F558">
            <v>0</v>
          </cell>
          <cell r="G558">
            <v>0</v>
          </cell>
          <cell r="H558">
            <v>0</v>
          </cell>
        </row>
        <row r="559">
          <cell r="A559">
            <v>17965</v>
          </cell>
          <cell r="B559">
            <v>313</v>
          </cell>
          <cell r="C559" t="str">
            <v>AMERICAN SENTINEL INSURANCE COMPANY</v>
          </cell>
          <cell r="D559" t="str">
            <v>LA1 /  HUH</v>
          </cell>
          <cell r="E559" t="str">
            <v>LA1 / OKPARA</v>
          </cell>
          <cell r="F559">
            <v>0</v>
          </cell>
          <cell r="G559">
            <v>0</v>
          </cell>
          <cell r="H559">
            <v>0</v>
          </cell>
        </row>
        <row r="560">
          <cell r="A560">
            <v>12114</v>
          </cell>
          <cell r="B560">
            <v>316</v>
          </cell>
          <cell r="C560" t="str">
            <v>NATIONAL SECURITY FIRE AND CASUALTY COMPANY</v>
          </cell>
          <cell r="D560" t="str">
            <v>LA2 / BAUTISTA</v>
          </cell>
          <cell r="E560" t="str">
            <v>LA2 / BAUTISTA</v>
          </cell>
          <cell r="F560">
            <v>0</v>
          </cell>
          <cell r="G560">
            <v>0</v>
          </cell>
          <cell r="H560">
            <v>0</v>
          </cell>
        </row>
        <row r="561">
          <cell r="A561">
            <v>10693</v>
          </cell>
          <cell r="B561">
            <v>323</v>
          </cell>
          <cell r="C561" t="str">
            <v>CIVIL SERVICE EMPLOYEES INSURANCE COMPANY</v>
          </cell>
          <cell r="D561" t="str">
            <v>SF2 / GOTERA-PITROU</v>
          </cell>
          <cell r="E561" t="str">
            <v>SF2 / GOTERA-PITROU</v>
          </cell>
          <cell r="F561" t="str">
            <v>SF2 / GOTERA-PITROU</v>
          </cell>
          <cell r="G561">
            <v>0</v>
          </cell>
          <cell r="H561">
            <v>0</v>
          </cell>
        </row>
        <row r="562">
          <cell r="A562">
            <v>18953</v>
          </cell>
          <cell r="B562">
            <v>323</v>
          </cell>
          <cell r="C562" t="str">
            <v>CSE SAFEGUARD INSURANCE COMPANY</v>
          </cell>
          <cell r="D562" t="str">
            <v>SF2 / GOTERA-PITROU</v>
          </cell>
          <cell r="E562" t="str">
            <v>SF2 / GOTERA-PITROU</v>
          </cell>
          <cell r="F562" t="str">
            <v>SF2 / GOTERA-PITROU</v>
          </cell>
          <cell r="G562">
            <v>0</v>
          </cell>
          <cell r="H562">
            <v>0</v>
          </cell>
        </row>
        <row r="563">
          <cell r="A563">
            <v>10007</v>
          </cell>
          <cell r="B563">
            <v>333</v>
          </cell>
          <cell r="C563" t="str">
            <v>NEVADA GENERAL INSURANCE COMPANY</v>
          </cell>
          <cell r="D563" t="str">
            <v>LA2 / BAUTISTA</v>
          </cell>
          <cell r="E563" t="str">
            <v>LA2 / BAUTISTA</v>
          </cell>
          <cell r="F563">
            <v>0</v>
          </cell>
          <cell r="G563">
            <v>0</v>
          </cell>
          <cell r="H563">
            <v>0</v>
          </cell>
        </row>
        <row r="564">
          <cell r="A564">
            <v>10669</v>
          </cell>
          <cell r="B564">
            <v>344</v>
          </cell>
          <cell r="C564" t="str">
            <v>CHURCH INSURANCE COMPANY</v>
          </cell>
          <cell r="D564" t="str">
            <v>SF1 / CARLSON</v>
          </cell>
          <cell r="E564" t="str">
            <v>SF1 / CARLSON</v>
          </cell>
          <cell r="F564" t="str">
            <v>SF2 / GOTERA-PITROU</v>
          </cell>
          <cell r="G564">
            <v>0</v>
          </cell>
          <cell r="H564">
            <v>0</v>
          </cell>
        </row>
        <row r="565">
          <cell r="A565">
            <v>21261</v>
          </cell>
          <cell r="B565">
            <v>350</v>
          </cell>
          <cell r="C565" t="str">
            <v>ELECTRIC INSURANCE COMPANY</v>
          </cell>
          <cell r="D565" t="str">
            <v>LA1 /  HUH</v>
          </cell>
          <cell r="E565" t="str">
            <v>LA1 / AHN</v>
          </cell>
          <cell r="F565" t="str">
            <v>SF2 / GOTERA-PITROU</v>
          </cell>
          <cell r="G565">
            <v>0</v>
          </cell>
          <cell r="H565">
            <v>0</v>
          </cell>
        </row>
        <row r="566">
          <cell r="A566">
            <v>16675</v>
          </cell>
          <cell r="B566">
            <v>350</v>
          </cell>
          <cell r="C566" t="str">
            <v>GENERAL ELECTRIC MORTGAGE INS CORP OF NORTH CAROLINA</v>
          </cell>
          <cell r="D566" t="str">
            <v>LA1 /  HUH</v>
          </cell>
          <cell r="E566" t="str">
            <v>LA1 / AHN</v>
          </cell>
          <cell r="F566" t="str">
            <v>SF2 / GOTERA-PITROU</v>
          </cell>
          <cell r="G566">
            <v>0</v>
          </cell>
          <cell r="H566">
            <v>0</v>
          </cell>
        </row>
        <row r="567">
          <cell r="A567">
            <v>38458</v>
          </cell>
          <cell r="B567">
            <v>350</v>
          </cell>
          <cell r="C567" t="str">
            <v>GENERAL ELECTRIC MORTGAGE INSURANCE CORPORATION</v>
          </cell>
          <cell r="D567" t="str">
            <v>LA1 /  HUH</v>
          </cell>
          <cell r="E567" t="str">
            <v>LA1 / AHN</v>
          </cell>
          <cell r="F567" t="str">
            <v>SF2 / GOTERA-PITROU</v>
          </cell>
          <cell r="G567">
            <v>0</v>
          </cell>
          <cell r="H567">
            <v>0</v>
          </cell>
        </row>
        <row r="568">
          <cell r="A568">
            <v>32077</v>
          </cell>
          <cell r="B568">
            <v>350</v>
          </cell>
          <cell r="C568" t="str">
            <v>HERITAGE CASUALTY INSURANCE COMPANY</v>
          </cell>
          <cell r="D568" t="str">
            <v>LA1 /  HUH</v>
          </cell>
          <cell r="E568" t="str">
            <v>LA1 / AHN</v>
          </cell>
          <cell r="F568" t="str">
            <v>SF2 / GOTERA-PITROU</v>
          </cell>
          <cell r="G568">
            <v>0</v>
          </cell>
          <cell r="H568">
            <v>0</v>
          </cell>
        </row>
        <row r="569">
          <cell r="A569">
            <v>41998</v>
          </cell>
          <cell r="B569">
            <v>361</v>
          </cell>
          <cell r="C569" t="str">
            <v>AFH INSURANCE COMPANY (see American Family Home Insurance Company)</v>
          </cell>
          <cell r="D569" t="str">
            <v>LA1 /  HUH</v>
          </cell>
          <cell r="E569" t="str">
            <v>LA1 / AHN</v>
          </cell>
          <cell r="F569" t="str">
            <v>SF2 / GOTERA-PITROU</v>
          </cell>
          <cell r="G569">
            <v>0</v>
          </cell>
          <cell r="H569">
            <v>0</v>
          </cell>
        </row>
        <row r="570">
          <cell r="A570">
            <v>19720</v>
          </cell>
          <cell r="B570">
            <v>361</v>
          </cell>
          <cell r="C570" t="str">
            <v>AMERICAN ALTERNATIVE INSURANCE CORPORATION</v>
          </cell>
          <cell r="D570" t="str">
            <v>LA1 /  HUH</v>
          </cell>
          <cell r="E570" t="str">
            <v>LA1 / AHN</v>
          </cell>
          <cell r="F570" t="str">
            <v>SF2 / GOTERA-PITROU</v>
          </cell>
          <cell r="G570">
            <v>0</v>
          </cell>
          <cell r="H570">
            <v>0</v>
          </cell>
        </row>
        <row r="571">
          <cell r="A571">
            <v>23450</v>
          </cell>
          <cell r="B571">
            <v>361</v>
          </cell>
          <cell r="C571" t="str">
            <v>AMERICAN FAMILY HOME INSURANCE COMPANY (dba AFH Ins Co)</v>
          </cell>
          <cell r="D571" t="str">
            <v>LA1 /  HUH</v>
          </cell>
          <cell r="E571" t="str">
            <v>LA1 / AHN</v>
          </cell>
          <cell r="F571" t="str">
            <v>SF2 / GOTERA-PITROU</v>
          </cell>
          <cell r="G571">
            <v>0</v>
          </cell>
          <cell r="H571">
            <v>0</v>
          </cell>
        </row>
        <row r="572">
          <cell r="A572">
            <v>23469</v>
          </cell>
          <cell r="B572">
            <v>361</v>
          </cell>
          <cell r="C572" t="str">
            <v>AMERICAN MODERN HOME INSURANCE CO (dba American Modern I/C)</v>
          </cell>
          <cell r="D572" t="str">
            <v>LA1 /  HUH</v>
          </cell>
          <cell r="E572" t="str">
            <v>LA1 / AHN</v>
          </cell>
          <cell r="F572" t="str">
            <v>SF2 / GOTERA-PITROU</v>
          </cell>
          <cell r="G572">
            <v>0</v>
          </cell>
          <cell r="H572">
            <v>0</v>
          </cell>
        </row>
        <row r="573">
          <cell r="A573">
            <v>42722</v>
          </cell>
          <cell r="B573">
            <v>361</v>
          </cell>
          <cell r="C573" t="str">
            <v>AMERICAN MODERN PROPERTY AND CASUALTY INSURANCE COMPANY</v>
          </cell>
          <cell r="D573" t="str">
            <v>LA1 /  HUH</v>
          </cell>
          <cell r="E573" t="str">
            <v>LA1 / AHN</v>
          </cell>
          <cell r="F573" t="str">
            <v>SF2 / GOTERA-PITROU</v>
          </cell>
          <cell r="G573">
            <v>0</v>
          </cell>
          <cell r="H573">
            <v>0</v>
          </cell>
        </row>
        <row r="574">
          <cell r="A574">
            <v>41998</v>
          </cell>
          <cell r="B574">
            <v>361</v>
          </cell>
          <cell r="C574" t="str">
            <v>AMERICAN SOUTHERN HOME INSURANCE COMPANY</v>
          </cell>
          <cell r="D574" t="str">
            <v>LA1 /  HUH</v>
          </cell>
          <cell r="E574" t="str">
            <v>LA1 / AHN</v>
          </cell>
          <cell r="F574" t="str">
            <v>SF2 / GOTERA-PITROU</v>
          </cell>
          <cell r="G574">
            <v>0</v>
          </cell>
          <cell r="H574">
            <v>0</v>
          </cell>
        </row>
        <row r="575">
          <cell r="A575">
            <v>34711</v>
          </cell>
          <cell r="B575">
            <v>361</v>
          </cell>
          <cell r="C575" t="str">
            <v>COMPUTER INSURANCE COMPANY</v>
          </cell>
          <cell r="D575" t="str">
            <v>LA2 / LEE</v>
          </cell>
          <cell r="E575" t="str">
            <v>LA2 / LEE</v>
          </cell>
          <cell r="F575">
            <v>0</v>
          </cell>
          <cell r="G575">
            <v>0</v>
          </cell>
          <cell r="H575">
            <v>0</v>
          </cell>
        </row>
        <row r="576">
          <cell r="A576">
            <v>11452</v>
          </cell>
          <cell r="B576">
            <v>361</v>
          </cell>
          <cell r="C576" t="str">
            <v>HARTFORD STEAM BOILER INSPECTION AND INSURANCE COMPANY</v>
          </cell>
          <cell r="D576" t="str">
            <v>LA1 /  HUH</v>
          </cell>
          <cell r="E576" t="str">
            <v>LA1 / AHN</v>
          </cell>
          <cell r="F576" t="str">
            <v>SF2 / GOTERA-PITROU</v>
          </cell>
          <cell r="G576">
            <v>0</v>
          </cell>
          <cell r="H576">
            <v>0</v>
          </cell>
        </row>
        <row r="577">
          <cell r="A577">
            <v>29890</v>
          </cell>
          <cell r="B577">
            <v>361</v>
          </cell>
          <cell r="C577" t="str">
            <v>HARTFORD STEAM BOILER INSPECTION AND INSURANCE COMPANY OF CONNECTICUT (THE)</v>
          </cell>
          <cell r="D577" t="str">
            <v>LA1 /  HUH</v>
          </cell>
          <cell r="E577" t="str">
            <v>LA1 / AHN</v>
          </cell>
          <cell r="F577" t="str">
            <v>SF2 / GOTERA-PITROU</v>
          </cell>
          <cell r="G577">
            <v>0</v>
          </cell>
          <cell r="H577">
            <v>0</v>
          </cell>
        </row>
        <row r="578">
          <cell r="A578">
            <v>10227</v>
          </cell>
          <cell r="B578">
            <v>361</v>
          </cell>
          <cell r="C578" t="str">
            <v>MUNICH REINSURANCE AMERICA, INC.</v>
          </cell>
          <cell r="D578" t="str">
            <v>LA1 /  HUH</v>
          </cell>
          <cell r="E578" t="str">
            <v>LA1 / AHN</v>
          </cell>
          <cell r="F578" t="str">
            <v>SF2 / GOTERA-PITROU</v>
          </cell>
          <cell r="G578">
            <v>0</v>
          </cell>
          <cell r="H578">
            <v>0</v>
          </cell>
        </row>
        <row r="579">
          <cell r="A579">
            <v>12017</v>
          </cell>
          <cell r="B579">
            <v>361</v>
          </cell>
          <cell r="C579" t="str">
            <v>MUNICH REINSURANCE COMPANY</v>
          </cell>
          <cell r="D579" t="str">
            <v>LA1 /  HUH</v>
          </cell>
          <cell r="E579" t="str">
            <v>LA1 / AHN</v>
          </cell>
          <cell r="F579" t="str">
            <v>SF2 / GOTERA-PITROU</v>
          </cell>
          <cell r="G579">
            <v>0</v>
          </cell>
          <cell r="H579">
            <v>0</v>
          </cell>
        </row>
        <row r="580">
          <cell r="A580">
            <v>37621</v>
          </cell>
          <cell r="B580">
            <v>372</v>
          </cell>
          <cell r="C580" t="str">
            <v>TOYOTA MOTOR INSURANCE COMPANY</v>
          </cell>
          <cell r="D580" t="str">
            <v>LA2 / LEE</v>
          </cell>
          <cell r="E580" t="str">
            <v>LA2 / LEE</v>
          </cell>
          <cell r="F580">
            <v>0</v>
          </cell>
          <cell r="G580">
            <v>0</v>
          </cell>
          <cell r="H580">
            <v>0</v>
          </cell>
        </row>
        <row r="581">
          <cell r="A581">
            <v>29017</v>
          </cell>
          <cell r="B581">
            <v>377</v>
          </cell>
          <cell r="C581" t="str">
            <v>PROFESSIONALS ADVOCATE INSURANCE COMPANY</v>
          </cell>
          <cell r="D581" t="str">
            <v>SF2 / SALAZAR</v>
          </cell>
          <cell r="E581" t="str">
            <v>SF2 / SALAZAR</v>
          </cell>
          <cell r="F581" t="str">
            <v>SF2 / SALAZAR</v>
          </cell>
          <cell r="G581">
            <v>0</v>
          </cell>
          <cell r="H581">
            <v>0</v>
          </cell>
        </row>
        <row r="582">
          <cell r="A582">
            <v>12220</v>
          </cell>
          <cell r="B582">
            <v>407</v>
          </cell>
          <cell r="C582" t="str">
            <v>SUPERIOR INSURANCE COMPANY</v>
          </cell>
          <cell r="D582" t="str">
            <v>LA1 /  HUH</v>
          </cell>
          <cell r="E582" t="str">
            <v>LA1 / AHN</v>
          </cell>
          <cell r="F582">
            <v>0</v>
          </cell>
          <cell r="G582">
            <v>0</v>
          </cell>
          <cell r="H582">
            <v>0</v>
          </cell>
        </row>
        <row r="583">
          <cell r="A583">
            <v>39942</v>
          </cell>
          <cell r="B583">
            <v>408</v>
          </cell>
          <cell r="C583" t="str">
            <v>AMERICAN NATIONAL GENERAL INS COMPANY (dba ANPAC General I/C)</v>
          </cell>
          <cell r="D583" t="str">
            <v>SF1 / LI</v>
          </cell>
          <cell r="E583" t="str">
            <v>SF1 / LI</v>
          </cell>
          <cell r="F583">
            <v>0</v>
          </cell>
          <cell r="G583">
            <v>0</v>
          </cell>
          <cell r="H583">
            <v>0</v>
          </cell>
        </row>
        <row r="584">
          <cell r="A584">
            <v>28401</v>
          </cell>
          <cell r="B584">
            <v>408</v>
          </cell>
          <cell r="C584" t="str">
            <v>AMERICAN NATIONAL PROPERTY AND CASUALTY COMPANY</v>
          </cell>
          <cell r="D584" t="str">
            <v>SF1 / LI</v>
          </cell>
          <cell r="E584" t="str">
            <v>SF1 / LI</v>
          </cell>
          <cell r="F584">
            <v>0</v>
          </cell>
          <cell r="G584">
            <v>0</v>
          </cell>
          <cell r="H584">
            <v>0</v>
          </cell>
        </row>
        <row r="585">
          <cell r="A585">
            <v>39942</v>
          </cell>
          <cell r="B585">
            <v>408</v>
          </cell>
          <cell r="C585" t="str">
            <v>ANPAC GENERAL INSURANCE COMPANY (see American National General Insurance Company)</v>
          </cell>
          <cell r="D585" t="str">
            <v>SF1 / LI</v>
          </cell>
          <cell r="E585" t="str">
            <v>SF1 / LI</v>
          </cell>
          <cell r="F585">
            <v>0</v>
          </cell>
          <cell r="G585">
            <v>0</v>
          </cell>
          <cell r="H585">
            <v>0</v>
          </cell>
        </row>
        <row r="586">
          <cell r="A586">
            <v>11048</v>
          </cell>
          <cell r="B586">
            <v>408</v>
          </cell>
          <cell r="C586" t="str">
            <v>PACIFIC PROPERTY AND CASUALTY COMPANY</v>
          </cell>
          <cell r="D586" t="str">
            <v>SF1 / LI</v>
          </cell>
          <cell r="E586" t="str">
            <v>SF1 / LI</v>
          </cell>
          <cell r="F586">
            <v>0</v>
          </cell>
          <cell r="G586">
            <v>0</v>
          </cell>
          <cell r="H586">
            <v>0</v>
          </cell>
        </row>
        <row r="587">
          <cell r="A587">
            <v>19941</v>
          </cell>
          <cell r="B587">
            <v>411</v>
          </cell>
          <cell r="C587" t="str">
            <v>AMERICAN COMMERCE INSURANCE COMPANY</v>
          </cell>
          <cell r="D587" t="str">
            <v>LA2 / GUAN</v>
          </cell>
          <cell r="E587" t="str">
            <v>LA2 / GUAN</v>
          </cell>
          <cell r="F587">
            <v>0</v>
          </cell>
          <cell r="G587">
            <v>0</v>
          </cell>
          <cell r="H587">
            <v>0</v>
          </cell>
        </row>
        <row r="588">
          <cell r="A588">
            <v>34754</v>
          </cell>
          <cell r="B588">
            <v>411</v>
          </cell>
          <cell r="C588" t="str">
            <v>COMMERCE INSURANCE COMPANY (THE)</v>
          </cell>
          <cell r="D588" t="str">
            <v>LA2 / GUAN</v>
          </cell>
          <cell r="E588" t="str">
            <v>LA2 / GUAN</v>
          </cell>
          <cell r="F588">
            <v>0</v>
          </cell>
          <cell r="G588">
            <v>0</v>
          </cell>
          <cell r="H588">
            <v>0</v>
          </cell>
        </row>
        <row r="589">
          <cell r="A589">
            <v>13161</v>
          </cell>
          <cell r="B589">
            <v>411</v>
          </cell>
          <cell r="C589" t="str">
            <v>COMMERCE WEST INSURANCE COMPANY</v>
          </cell>
          <cell r="D589" t="str">
            <v>LA2 / GUAN</v>
          </cell>
          <cell r="E589" t="str">
            <v>LA2 / GUAN</v>
          </cell>
          <cell r="F589">
            <v>0</v>
          </cell>
          <cell r="G589">
            <v>0</v>
          </cell>
          <cell r="H589">
            <v>0</v>
          </cell>
        </row>
        <row r="590">
          <cell r="A590">
            <v>23876</v>
          </cell>
          <cell r="B590">
            <v>411</v>
          </cell>
          <cell r="C590" t="str">
            <v>MAPFRE INSURANCE COMPANY</v>
          </cell>
          <cell r="D590" t="str">
            <v>LA2 / GUAN</v>
          </cell>
          <cell r="E590" t="str">
            <v>LA2 / GUAN</v>
          </cell>
          <cell r="F590">
            <v>0</v>
          </cell>
          <cell r="G590">
            <v>0</v>
          </cell>
          <cell r="H590">
            <v>0</v>
          </cell>
        </row>
        <row r="591">
          <cell r="A591">
            <v>42617</v>
          </cell>
          <cell r="B591">
            <v>413</v>
          </cell>
          <cell r="C591" t="str">
            <v>MAG MUTUAL INSURANCE COMPANY</v>
          </cell>
          <cell r="D591" t="str">
            <v>SF2 / DEMESA</v>
          </cell>
          <cell r="E591" t="str">
            <v>SF2 / DEMESA</v>
          </cell>
          <cell r="F591" t="str">
            <v>SF2 / DEMESA</v>
          </cell>
          <cell r="G591">
            <v>0</v>
          </cell>
          <cell r="H591">
            <v>0</v>
          </cell>
        </row>
        <row r="592">
          <cell r="A592">
            <v>24350</v>
          </cell>
          <cell r="B592">
            <v>421</v>
          </cell>
          <cell r="C592" t="str">
            <v>TRIAD GUARANTY INSURANCE CORPORATION</v>
          </cell>
          <cell r="D592" t="str">
            <v>LA2 / LEE</v>
          </cell>
          <cell r="E592" t="str">
            <v>LA2 / LEE</v>
          </cell>
          <cell r="F592">
            <v>0</v>
          </cell>
          <cell r="G592">
            <v>0</v>
          </cell>
          <cell r="H592">
            <v>0</v>
          </cell>
        </row>
        <row r="593">
          <cell r="A593">
            <v>26581</v>
          </cell>
          <cell r="B593">
            <v>450</v>
          </cell>
          <cell r="C593" t="str">
            <v>INDEPENDENCE AMERICAN INSURANCE COMPANY</v>
          </cell>
          <cell r="D593" t="str">
            <v>SF1 / LI</v>
          </cell>
          <cell r="E593" t="str">
            <v>SF1 / LI</v>
          </cell>
          <cell r="F593">
            <v>0</v>
          </cell>
          <cell r="G593">
            <v>0</v>
          </cell>
          <cell r="H593">
            <v>0</v>
          </cell>
        </row>
        <row r="594">
          <cell r="A594">
            <v>38148</v>
          </cell>
          <cell r="B594">
            <v>456</v>
          </cell>
          <cell r="C594" t="str">
            <v>LANCER INDEMNITY COMPANY</v>
          </cell>
          <cell r="D594" t="str">
            <v>LA2 / LEE</v>
          </cell>
          <cell r="E594" t="str">
            <v>LA2 / LEE</v>
          </cell>
          <cell r="F594" t="str">
            <v>SF2 / GOTERA-PITROU</v>
          </cell>
          <cell r="G594">
            <v>0</v>
          </cell>
          <cell r="H594">
            <v>0</v>
          </cell>
        </row>
        <row r="595">
          <cell r="A595">
            <v>26077</v>
          </cell>
          <cell r="B595">
            <v>456</v>
          </cell>
          <cell r="C595" t="str">
            <v>LANCER INSURANCE COMPANY</v>
          </cell>
          <cell r="D595" t="str">
            <v>LA2 / LEE</v>
          </cell>
          <cell r="E595" t="str">
            <v>LA2 / LEE</v>
          </cell>
          <cell r="F595" t="str">
            <v>SF2 / GOTERA-PITROU</v>
          </cell>
          <cell r="G595">
            <v>0</v>
          </cell>
          <cell r="H595">
            <v>0</v>
          </cell>
        </row>
        <row r="596">
          <cell r="A596">
            <v>19860</v>
          </cell>
          <cell r="B596">
            <v>457</v>
          </cell>
          <cell r="C596" t="str">
            <v>ARGONAUT GREAT CENTRAL INSURANCE COMPANY</v>
          </cell>
          <cell r="D596" t="str">
            <v>LA2 / GUAN</v>
          </cell>
          <cell r="E596" t="str">
            <v>LA2 / GUAN</v>
          </cell>
          <cell r="F596" t="str">
            <v>SF2 / GOTERA-PITROU</v>
          </cell>
          <cell r="G596">
            <v>0</v>
          </cell>
          <cell r="H596">
            <v>0</v>
          </cell>
        </row>
        <row r="597">
          <cell r="A597">
            <v>19801</v>
          </cell>
          <cell r="B597">
            <v>457</v>
          </cell>
          <cell r="C597" t="str">
            <v>ARGONAUT INSURANCE COMPANY</v>
          </cell>
          <cell r="D597" t="str">
            <v>LA2 / GUAN</v>
          </cell>
          <cell r="E597" t="str">
            <v>LA2 / GUAN</v>
          </cell>
          <cell r="F597" t="str">
            <v>SF2 / GOTERA-PITROU</v>
          </cell>
          <cell r="G597">
            <v>0</v>
          </cell>
          <cell r="H597">
            <v>0</v>
          </cell>
        </row>
        <row r="598">
          <cell r="A598">
            <v>19844</v>
          </cell>
          <cell r="B598">
            <v>457</v>
          </cell>
          <cell r="C598" t="str">
            <v>ARGONAUT SOUTHWEST INSURANCE COMPANY</v>
          </cell>
          <cell r="D598" t="str">
            <v>LA2 / GUAN</v>
          </cell>
          <cell r="E598" t="str">
            <v>LA2 / GUAN</v>
          </cell>
          <cell r="F598" t="str">
            <v>SF2 / GOTERA-PITROU</v>
          </cell>
          <cell r="G598">
            <v>0</v>
          </cell>
          <cell r="H598">
            <v>0</v>
          </cell>
        </row>
        <row r="599">
          <cell r="A599">
            <v>19828</v>
          </cell>
          <cell r="B599">
            <v>457</v>
          </cell>
          <cell r="C599" t="str">
            <v>ARGONAUT-MIDWEST INSURANCE COMPANY</v>
          </cell>
          <cell r="D599" t="str">
            <v>LA2 / GUAN</v>
          </cell>
          <cell r="E599" t="str">
            <v>LA2 / GUAN</v>
          </cell>
          <cell r="F599" t="str">
            <v>SF2 / GOTERA-PITROU</v>
          </cell>
          <cell r="G599">
            <v>0</v>
          </cell>
          <cell r="H599">
            <v>0</v>
          </cell>
        </row>
        <row r="600">
          <cell r="A600">
            <v>36927</v>
          </cell>
          <cell r="B600">
            <v>457</v>
          </cell>
          <cell r="C600" t="str">
            <v>COLONY SPECIALTY INSURANCE COMPANY</v>
          </cell>
          <cell r="D600" t="str">
            <v>LA2 / GUAN</v>
          </cell>
          <cell r="E600" t="str">
            <v>LA2 / GUAN</v>
          </cell>
          <cell r="F600" t="str">
            <v>SF2 / GOTERA-PITROU</v>
          </cell>
          <cell r="G600">
            <v>0</v>
          </cell>
          <cell r="H600">
            <v>0</v>
          </cell>
        </row>
        <row r="601">
          <cell r="A601">
            <v>19860</v>
          </cell>
          <cell r="B601">
            <v>457</v>
          </cell>
          <cell r="C601" t="str">
            <v>GREAT CENTRAL INSURANCE COMPANY</v>
          </cell>
          <cell r="D601" t="str">
            <v>LA2 / GUAN</v>
          </cell>
          <cell r="E601" t="str">
            <v>LA2 / GUAN</v>
          </cell>
          <cell r="F601" t="str">
            <v>SF2 / GOTERA-PITROU</v>
          </cell>
          <cell r="G601">
            <v>0</v>
          </cell>
          <cell r="H601">
            <v>0</v>
          </cell>
        </row>
        <row r="602">
          <cell r="A602">
            <v>35769</v>
          </cell>
          <cell r="B602">
            <v>458</v>
          </cell>
          <cell r="C602" t="str">
            <v>PROTECTIVE PROPERTY &amp; CASUALTY INSURANCE COMPANY</v>
          </cell>
          <cell r="D602" t="str">
            <v>LA1 /  HUH</v>
          </cell>
          <cell r="E602" t="str">
            <v>LA1 / AHN</v>
          </cell>
          <cell r="F602" t="str">
            <v>SF2 / GOTERA-PITROU</v>
          </cell>
          <cell r="G602">
            <v>0</v>
          </cell>
          <cell r="H602">
            <v>0</v>
          </cell>
        </row>
        <row r="603">
          <cell r="A603">
            <v>40738</v>
          </cell>
          <cell r="B603">
            <v>464</v>
          </cell>
          <cell r="C603" t="str">
            <v>PHYSICIANS INSURANCE A MUTUAL COMPANY</v>
          </cell>
          <cell r="D603" t="str">
            <v>SF2 / SALAZAR</v>
          </cell>
          <cell r="E603" t="str">
            <v>SF2 / SALAZAR</v>
          </cell>
          <cell r="F603" t="str">
            <v>SF2 / SALAZAR</v>
          </cell>
          <cell r="G603">
            <v>0</v>
          </cell>
          <cell r="H603">
            <v>0</v>
          </cell>
        </row>
        <row r="604">
          <cell r="A604">
            <v>35165</v>
          </cell>
          <cell r="B604">
            <v>468</v>
          </cell>
          <cell r="C604" t="str">
            <v>CORPA REINSURANCE COMPANY</v>
          </cell>
          <cell r="D604" t="str">
            <v>SF1 / CARLSON</v>
          </cell>
          <cell r="E604" t="str">
            <v>SF1 / CARLSON</v>
          </cell>
          <cell r="F604">
            <v>0</v>
          </cell>
          <cell r="G604">
            <v>0</v>
          </cell>
          <cell r="H604">
            <v>0</v>
          </cell>
        </row>
        <row r="605">
          <cell r="A605">
            <v>10952</v>
          </cell>
          <cell r="B605">
            <v>468</v>
          </cell>
          <cell r="C605" t="str">
            <v>TRANSAMERICA CASUALTY INSURANCE COMPANY</v>
          </cell>
          <cell r="D605" t="str">
            <v>SF1 / CARLSON</v>
          </cell>
          <cell r="E605" t="str">
            <v>SF1 / CARLSON</v>
          </cell>
          <cell r="F605">
            <v>0</v>
          </cell>
          <cell r="G605" t="str">
            <v>RAO / YE</v>
          </cell>
          <cell r="H605" t="str">
            <v>RAO / YE</v>
          </cell>
        </row>
        <row r="606">
          <cell r="A606">
            <v>31232</v>
          </cell>
          <cell r="B606">
            <v>468</v>
          </cell>
          <cell r="C606" t="str">
            <v>WORK FIRST CASUALTY COMPANY</v>
          </cell>
          <cell r="D606" t="str">
            <v>SF1 / CARLSON</v>
          </cell>
          <cell r="E606" t="str">
            <v>SF1 / CARLSON</v>
          </cell>
          <cell r="F606">
            <v>0</v>
          </cell>
          <cell r="G606" t="str">
            <v>RAO / YE</v>
          </cell>
          <cell r="H606" t="str">
            <v>RAO / YE</v>
          </cell>
        </row>
        <row r="607">
          <cell r="A607">
            <v>42765</v>
          </cell>
          <cell r="B607">
            <v>471</v>
          </cell>
          <cell r="C607" t="str">
            <v>CENLINRION CASUALTY COMPANY</v>
          </cell>
          <cell r="D607" t="str">
            <v>LA2 / LEE</v>
          </cell>
          <cell r="E607" t="str">
            <v>LA2 / LEE</v>
          </cell>
          <cell r="F607" t="str">
            <v>SF2 / GOTERA-PITROU</v>
          </cell>
          <cell r="G607">
            <v>0</v>
          </cell>
          <cell r="H607">
            <v>0</v>
          </cell>
        </row>
        <row r="608">
          <cell r="A608">
            <v>11005</v>
          </cell>
          <cell r="B608">
            <v>473</v>
          </cell>
          <cell r="C608" t="str">
            <v>HOMESITE INSURANCE COMPANY OF CALIFORNIA</v>
          </cell>
          <cell r="D608" t="str">
            <v>LA1 /  HUH</v>
          </cell>
          <cell r="E608" t="str">
            <v>LA1 / OKPARA</v>
          </cell>
          <cell r="F608" t="str">
            <v>SF2 / GOTERA-PITROU</v>
          </cell>
          <cell r="G608">
            <v>0</v>
          </cell>
          <cell r="H608">
            <v>0</v>
          </cell>
        </row>
        <row r="609">
          <cell r="A609">
            <v>13927</v>
          </cell>
          <cell r="B609">
            <v>473</v>
          </cell>
          <cell r="C609" t="str">
            <v>HOMESITE INSURANCE COMPANY OF THE MIDWEST</v>
          </cell>
          <cell r="D609" t="str">
            <v>LA1 /  HUH</v>
          </cell>
          <cell r="E609" t="str">
            <v>LA1 / OKPARA</v>
          </cell>
          <cell r="F609" t="str">
            <v>SF2 / GOTERA-PITROU</v>
          </cell>
          <cell r="G609">
            <v>0</v>
          </cell>
          <cell r="H609">
            <v>0</v>
          </cell>
        </row>
        <row r="610">
          <cell r="A610">
            <v>27138</v>
          </cell>
          <cell r="B610">
            <v>473</v>
          </cell>
          <cell r="C610" t="str">
            <v>MIDVALE INDEMNITY COMPANY</v>
          </cell>
          <cell r="D610" t="str">
            <v>LA1 /  HUH</v>
          </cell>
          <cell r="E610" t="str">
            <v>LA1 / OKPARA</v>
          </cell>
          <cell r="F610" t="str">
            <v>SF2 / GOTERA-PITROU</v>
          </cell>
          <cell r="G610">
            <v>0</v>
          </cell>
          <cell r="H610">
            <v>0</v>
          </cell>
        </row>
        <row r="611">
          <cell r="A611">
            <v>37648</v>
          </cell>
          <cell r="B611">
            <v>473</v>
          </cell>
          <cell r="C611" t="str">
            <v>PERMANENT GENERAL ASSURANCE CORPORATION</v>
          </cell>
          <cell r="D611" t="str">
            <v>LA1 /  HUH</v>
          </cell>
          <cell r="E611" t="str">
            <v>LA1 / OKPARA</v>
          </cell>
          <cell r="F611" t="str">
            <v>SF2 / GOTERA-PITROU</v>
          </cell>
          <cell r="G611">
            <v>0</v>
          </cell>
          <cell r="H611">
            <v>0</v>
          </cell>
        </row>
        <row r="612">
          <cell r="A612">
            <v>10957</v>
          </cell>
          <cell r="B612">
            <v>479</v>
          </cell>
          <cell r="C612" t="str">
            <v>ALAMANCE INSURANCE COMPANY</v>
          </cell>
          <cell r="D612" t="str">
            <v>SF1 / POON</v>
          </cell>
          <cell r="E612" t="str">
            <v>SF1 / POON</v>
          </cell>
          <cell r="F612">
            <v>0</v>
          </cell>
          <cell r="G612">
            <v>0</v>
          </cell>
          <cell r="H612">
            <v>0</v>
          </cell>
        </row>
        <row r="613">
          <cell r="A613">
            <v>11177</v>
          </cell>
          <cell r="B613">
            <v>479</v>
          </cell>
          <cell r="C613" t="str">
            <v>FIRST FINANCIAL INSURANCE COMPANY</v>
          </cell>
          <cell r="D613" t="str">
            <v>SF1 / POON</v>
          </cell>
          <cell r="E613" t="str">
            <v>SF1 / POON</v>
          </cell>
          <cell r="F613">
            <v>0</v>
          </cell>
          <cell r="G613">
            <v>0</v>
          </cell>
          <cell r="H613">
            <v>0</v>
          </cell>
        </row>
        <row r="614">
          <cell r="A614">
            <v>33359</v>
          </cell>
          <cell r="B614">
            <v>480</v>
          </cell>
          <cell r="C614" t="str">
            <v>PLICO INSURANCE COMPANY (see Professional Liability Insurance Company)</v>
          </cell>
          <cell r="D614" t="str">
            <v>SF2 / SALAZAR</v>
          </cell>
          <cell r="E614" t="str">
            <v>SF2 / SALAZAR</v>
          </cell>
          <cell r="F614" t="str">
            <v>SF2 / SALAZAR</v>
          </cell>
          <cell r="G614">
            <v>0</v>
          </cell>
          <cell r="H614">
            <v>0</v>
          </cell>
        </row>
        <row r="615">
          <cell r="A615">
            <v>33359</v>
          </cell>
          <cell r="B615">
            <v>480</v>
          </cell>
          <cell r="C615" t="str">
            <v>PROFESSIONAL LIABILITY INSURANCE COMPANY</v>
          </cell>
          <cell r="D615" t="str">
            <v>SF2 / SALAZAR</v>
          </cell>
          <cell r="E615" t="str">
            <v>SF2 / SALAZAR</v>
          </cell>
          <cell r="F615" t="str">
            <v>SF2 / SALAZAR</v>
          </cell>
          <cell r="G615">
            <v>0</v>
          </cell>
          <cell r="H615">
            <v>0</v>
          </cell>
        </row>
        <row r="616">
          <cell r="A616">
            <v>10472</v>
          </cell>
          <cell r="B616">
            <v>501</v>
          </cell>
          <cell r="C616" t="str">
            <v>CAPITOL INDEMNITY CORPORATION</v>
          </cell>
          <cell r="D616" t="str">
            <v>SF2 / DEMESA</v>
          </cell>
          <cell r="E616" t="str">
            <v>SF2 / DEMESA</v>
          </cell>
          <cell r="F616" t="str">
            <v>SF2 / DEMESA</v>
          </cell>
          <cell r="G616">
            <v>0</v>
          </cell>
          <cell r="H616">
            <v>0</v>
          </cell>
        </row>
        <row r="617">
          <cell r="A617">
            <v>18619</v>
          </cell>
          <cell r="B617">
            <v>501</v>
          </cell>
          <cell r="C617" t="str">
            <v>PLATTE RIVER INSURANCE COMPANY</v>
          </cell>
          <cell r="D617" t="str">
            <v>SF2 / DEMESA</v>
          </cell>
          <cell r="E617" t="str">
            <v>SF2 / DEMESA</v>
          </cell>
          <cell r="F617" t="str">
            <v>SF2 / DEMESA</v>
          </cell>
          <cell r="G617">
            <v>0</v>
          </cell>
          <cell r="H617">
            <v>0</v>
          </cell>
        </row>
        <row r="618">
          <cell r="A618">
            <v>22314</v>
          </cell>
          <cell r="B618">
            <v>501</v>
          </cell>
          <cell r="C618" t="str">
            <v>RSUI INDEMNITY COMPANY</v>
          </cell>
          <cell r="D618" t="str">
            <v>SF2 / DEMESA</v>
          </cell>
          <cell r="E618" t="str">
            <v>SF2 / DEMESA</v>
          </cell>
          <cell r="F618" t="str">
            <v>SF2 / DEMESA</v>
          </cell>
          <cell r="G618">
            <v>0</v>
          </cell>
          <cell r="H618">
            <v>0</v>
          </cell>
        </row>
        <row r="619">
          <cell r="A619">
            <v>37109</v>
          </cell>
          <cell r="B619">
            <v>503</v>
          </cell>
          <cell r="C619" t="str">
            <v>LANDCAR CASUALTY COMPANY</v>
          </cell>
          <cell r="D619" t="str">
            <v>SF2 / DEMESA</v>
          </cell>
          <cell r="E619" t="str">
            <v>SF2 / DEMESA</v>
          </cell>
          <cell r="F619" t="str">
            <v>SF2 / DEMESA</v>
          </cell>
          <cell r="G619">
            <v>0</v>
          </cell>
          <cell r="H619">
            <v>0</v>
          </cell>
        </row>
        <row r="620">
          <cell r="A620">
            <v>10801</v>
          </cell>
          <cell r="B620">
            <v>508</v>
          </cell>
          <cell r="C620" t="str">
            <v>FORTRESS INSURANCE COMPANY</v>
          </cell>
          <cell r="D620" t="str">
            <v>SF2 / GOTERA-PITROU</v>
          </cell>
          <cell r="E620" t="str">
            <v>SF2 / GOTERA-PITROU</v>
          </cell>
          <cell r="F620" t="str">
            <v>SF2 / GOTERA-PITROU</v>
          </cell>
          <cell r="G620">
            <v>0</v>
          </cell>
          <cell r="H620">
            <v>0</v>
          </cell>
        </row>
        <row r="621">
          <cell r="A621">
            <v>42307</v>
          </cell>
          <cell r="B621">
            <v>510</v>
          </cell>
          <cell r="C621" t="str">
            <v>NAVIGATORS INSURANCE COMPANY</v>
          </cell>
          <cell r="D621" t="str">
            <v>LA2 / GUAN</v>
          </cell>
          <cell r="E621" t="str">
            <v>LA2 / GUAN</v>
          </cell>
          <cell r="F621">
            <v>0</v>
          </cell>
          <cell r="G621">
            <v>0</v>
          </cell>
          <cell r="H621">
            <v>0</v>
          </cell>
        </row>
        <row r="622">
          <cell r="A622">
            <v>10928</v>
          </cell>
          <cell r="B622">
            <v>515</v>
          </cell>
          <cell r="C622" t="str">
            <v>CAL EAGLE INSURANCE COMPANY (see Eagle Insurance Company)</v>
          </cell>
          <cell r="D622" t="str">
            <v>SF1 / CARLSON</v>
          </cell>
          <cell r="E622" t="str">
            <v>SF1 / CARLSON</v>
          </cell>
          <cell r="F622">
            <v>0</v>
          </cell>
          <cell r="G622">
            <v>0</v>
          </cell>
          <cell r="H622">
            <v>0</v>
          </cell>
        </row>
        <row r="623">
          <cell r="A623">
            <v>10928</v>
          </cell>
          <cell r="B623">
            <v>515</v>
          </cell>
          <cell r="C623" t="str">
            <v>EAGLE INSURANCE COMPANY (dba Cal Eagle Insurance Company)</v>
          </cell>
          <cell r="D623" t="str">
            <v>SF1 / CARLSON</v>
          </cell>
          <cell r="E623" t="str">
            <v>SF1 / CARLSON</v>
          </cell>
          <cell r="F623">
            <v>0</v>
          </cell>
          <cell r="G623">
            <v>0</v>
          </cell>
          <cell r="H623">
            <v>0</v>
          </cell>
        </row>
        <row r="624">
          <cell r="A624">
            <v>24643</v>
          </cell>
          <cell r="B624">
            <v>515</v>
          </cell>
          <cell r="C624" t="str">
            <v>NEWARK INSURANCE COMPANY</v>
          </cell>
          <cell r="D624" t="str">
            <v>SF1 / CARLSON</v>
          </cell>
          <cell r="E624" t="str">
            <v>SF1 / CARLSON</v>
          </cell>
          <cell r="F624">
            <v>0</v>
          </cell>
          <cell r="G624">
            <v>0</v>
          </cell>
          <cell r="H624">
            <v>0</v>
          </cell>
        </row>
        <row r="625">
          <cell r="A625">
            <v>12254</v>
          </cell>
          <cell r="B625">
            <v>517</v>
          </cell>
          <cell r="C625" t="str">
            <v>GLENCAR INSURANCE COMPANY</v>
          </cell>
          <cell r="D625" t="str">
            <v>SF1 / LI</v>
          </cell>
          <cell r="E625" t="str">
            <v>SF1 / LI</v>
          </cell>
          <cell r="F625">
            <v>0</v>
          </cell>
          <cell r="G625">
            <v>0</v>
          </cell>
          <cell r="H625">
            <v>0</v>
          </cell>
        </row>
        <row r="626">
          <cell r="A626">
            <v>41343</v>
          </cell>
          <cell r="B626">
            <v>517</v>
          </cell>
          <cell r="C626" t="str">
            <v>HDI GLOBAL INSURANCE COMPANY</v>
          </cell>
          <cell r="D626" t="str">
            <v>SF1 / LI</v>
          </cell>
          <cell r="E626" t="str">
            <v>SF1 / LI</v>
          </cell>
          <cell r="F626">
            <v>0</v>
          </cell>
          <cell r="G626">
            <v>0</v>
          </cell>
          <cell r="H626">
            <v>0</v>
          </cell>
        </row>
        <row r="627">
          <cell r="A627">
            <v>12254</v>
          </cell>
          <cell r="B627">
            <v>517</v>
          </cell>
          <cell r="C627" t="str">
            <v>OMAHA INDEMNITY COMPANY (Name changed to Glencar Insurance Company effective August 6, 2018)</v>
          </cell>
          <cell r="D627" t="str">
            <v>SF1 / LI</v>
          </cell>
          <cell r="E627" t="str">
            <v>SF1 / LI</v>
          </cell>
          <cell r="F627">
            <v>0</v>
          </cell>
          <cell r="G627">
            <v>0</v>
          </cell>
          <cell r="H627">
            <v>0</v>
          </cell>
        </row>
        <row r="628">
          <cell r="A628">
            <v>37524</v>
          </cell>
          <cell r="B628">
            <v>519</v>
          </cell>
          <cell r="C628" t="str">
            <v>CHARTER INDEMNITY COMPANY</v>
          </cell>
          <cell r="D628" t="str">
            <v>LA2 / BAUTISTA</v>
          </cell>
          <cell r="E628" t="str">
            <v>LA2 / BAUTISTA</v>
          </cell>
          <cell r="F628" t="str">
            <v>SF2 / GOTERA-PITROU</v>
          </cell>
          <cell r="G628">
            <v>0</v>
          </cell>
          <cell r="H628">
            <v>0</v>
          </cell>
        </row>
        <row r="629">
          <cell r="A629">
            <v>12041</v>
          </cell>
          <cell r="B629">
            <v>528</v>
          </cell>
          <cell r="C629" t="str">
            <v>MBIA INSURANCE CORPORATION</v>
          </cell>
          <cell r="D629" t="str">
            <v>LA3 / LIN</v>
          </cell>
          <cell r="E629" t="str">
            <v>LA3 / LIN</v>
          </cell>
          <cell r="F629">
            <v>0</v>
          </cell>
          <cell r="G629">
            <v>0</v>
          </cell>
          <cell r="H629">
            <v>0</v>
          </cell>
        </row>
        <row r="630">
          <cell r="A630">
            <v>23825</v>
          </cell>
          <cell r="B630">
            <v>528</v>
          </cell>
          <cell r="C630" t="str">
            <v>NATIONAL PUBLIC FINANCE GUARANTEE CORPORATION</v>
          </cell>
          <cell r="D630" t="str">
            <v>LA3 / LIN</v>
          </cell>
          <cell r="E630" t="str">
            <v>LA3 / LIN</v>
          </cell>
          <cell r="F630">
            <v>0</v>
          </cell>
          <cell r="G630">
            <v>0</v>
          </cell>
          <cell r="H630">
            <v>0</v>
          </cell>
        </row>
        <row r="631">
          <cell r="A631">
            <v>24678</v>
          </cell>
          <cell r="B631">
            <v>553</v>
          </cell>
          <cell r="C631" t="str">
            <v>ARROWOOD INDEMNITY COMPANY</v>
          </cell>
          <cell r="D631" t="str">
            <v>LA1 /  HUH</v>
          </cell>
          <cell r="E631" t="str">
            <v>LA1 / OKPARA</v>
          </cell>
          <cell r="F631" t="str">
            <v>SF2 / GOTERA-PITROU</v>
          </cell>
          <cell r="G631">
            <v>0</v>
          </cell>
          <cell r="H631">
            <v>0</v>
          </cell>
        </row>
        <row r="632">
          <cell r="A632">
            <v>18260</v>
          </cell>
          <cell r="B632">
            <v>553</v>
          </cell>
          <cell r="C632" t="str">
            <v>DESIGN PROFESSIONALS INSURANCE COMPANY</v>
          </cell>
          <cell r="D632" t="str">
            <v>LA1 /  HUH</v>
          </cell>
          <cell r="E632" t="str">
            <v>LA1 / OKPARA</v>
          </cell>
          <cell r="F632" t="str">
            <v>SF2 / GOTERA-PITROU</v>
          </cell>
          <cell r="G632">
            <v>0</v>
          </cell>
          <cell r="H632">
            <v>0</v>
          </cell>
        </row>
        <row r="633">
          <cell r="A633">
            <v>32794</v>
          </cell>
          <cell r="B633">
            <v>553</v>
          </cell>
          <cell r="C633" t="str">
            <v>EMPLOYEE BENEFITS INSURANCE COMPANY</v>
          </cell>
          <cell r="D633" t="str">
            <v>LA1 /  HUH</v>
          </cell>
          <cell r="E633" t="str">
            <v>LA1 / OKPARA</v>
          </cell>
          <cell r="F633" t="str">
            <v>SF2 / GOTERA-PITROU</v>
          </cell>
          <cell r="G633">
            <v>0</v>
          </cell>
          <cell r="H633">
            <v>0</v>
          </cell>
        </row>
        <row r="634">
          <cell r="A634">
            <v>40541</v>
          </cell>
          <cell r="B634">
            <v>553</v>
          </cell>
          <cell r="C634" t="str">
            <v>GROCERS INS CO (was United Employers I/C)</v>
          </cell>
          <cell r="D634" t="str">
            <v>LA1 /  HUH</v>
          </cell>
          <cell r="E634" t="str">
            <v>LA1 / OKPARA</v>
          </cell>
          <cell r="F634" t="str">
            <v>SF2 / GOTERA-PITROU</v>
          </cell>
          <cell r="G634">
            <v>0</v>
          </cell>
          <cell r="H634">
            <v>0</v>
          </cell>
        </row>
        <row r="635">
          <cell r="A635">
            <v>20354</v>
          </cell>
          <cell r="B635">
            <v>553</v>
          </cell>
          <cell r="C635" t="str">
            <v>SEA INSURANCE COMPANY OF AMERICA</v>
          </cell>
          <cell r="D635" t="str">
            <v>LA1 /  HUH</v>
          </cell>
          <cell r="E635" t="str">
            <v>LA1 / OKPARA</v>
          </cell>
          <cell r="F635" t="str">
            <v>SF2 / GOTERA-PITROU</v>
          </cell>
          <cell r="G635">
            <v>0</v>
          </cell>
          <cell r="H635">
            <v>0</v>
          </cell>
        </row>
        <row r="636">
          <cell r="A636">
            <v>13897</v>
          </cell>
          <cell r="B636">
            <v>569</v>
          </cell>
          <cell r="C636" t="str">
            <v>FARMERS MUTUAL HAIL INSURANCE COMPANY OF INDIANA</v>
          </cell>
          <cell r="D636" t="str">
            <v>LA1 /  HUH</v>
          </cell>
          <cell r="E636" t="str">
            <v>LA1 / AHN</v>
          </cell>
          <cell r="F636">
            <v>0</v>
          </cell>
          <cell r="G636">
            <v>0</v>
          </cell>
          <cell r="H636">
            <v>0</v>
          </cell>
        </row>
        <row r="637">
          <cell r="A637">
            <v>36781</v>
          </cell>
          <cell r="B637">
            <v>569</v>
          </cell>
          <cell r="C637" t="str">
            <v>FMH Ag RISK INSURANCE COMPANY</v>
          </cell>
          <cell r="D637" t="str">
            <v>LA1 /  HUH</v>
          </cell>
          <cell r="E637" t="str">
            <v>LA1 / AHN</v>
          </cell>
          <cell r="F637">
            <v>0</v>
          </cell>
          <cell r="G637">
            <v>0</v>
          </cell>
          <cell r="H637">
            <v>0</v>
          </cell>
        </row>
        <row r="638">
          <cell r="A638">
            <v>10166</v>
          </cell>
          <cell r="B638">
            <v>572</v>
          </cell>
          <cell r="C638" t="str">
            <v>ACCIDENT FUND INSURANCE COMPANY OF AMERICA</v>
          </cell>
          <cell r="D638" t="str">
            <v>LA1 /  HUH</v>
          </cell>
          <cell r="E638" t="str">
            <v>LA1 / AHN</v>
          </cell>
          <cell r="F638">
            <v>0</v>
          </cell>
          <cell r="G638">
            <v>0</v>
          </cell>
          <cell r="H638">
            <v>0</v>
          </cell>
        </row>
        <row r="639">
          <cell r="A639">
            <v>29157</v>
          </cell>
          <cell r="B639">
            <v>572</v>
          </cell>
          <cell r="C639" t="str">
            <v>UNITED WISCONSIN INSURANCE COMPANY</v>
          </cell>
          <cell r="D639" t="str">
            <v>LA1 /  HUH</v>
          </cell>
          <cell r="E639" t="str">
            <v>LA1 / AHN</v>
          </cell>
          <cell r="F639">
            <v>0</v>
          </cell>
          <cell r="G639">
            <v>0</v>
          </cell>
          <cell r="H639">
            <v>0</v>
          </cell>
        </row>
        <row r="640">
          <cell r="A640">
            <v>31089</v>
          </cell>
          <cell r="B640">
            <v>574</v>
          </cell>
          <cell r="C640" t="str">
            <v>REPWEST INSURANCE COMPANY</v>
          </cell>
          <cell r="D640" t="str">
            <v>LA1 /  HUH</v>
          </cell>
          <cell r="E640" t="str">
            <v>LA1 / OKPARA</v>
          </cell>
          <cell r="F640">
            <v>0</v>
          </cell>
          <cell r="G640">
            <v>0</v>
          </cell>
          <cell r="H640">
            <v>0</v>
          </cell>
        </row>
        <row r="641">
          <cell r="A641">
            <v>32115</v>
          </cell>
          <cell r="B641">
            <v>575</v>
          </cell>
          <cell r="C641" t="str">
            <v>PAULA INSURANCE COMPANY</v>
          </cell>
          <cell r="D641" t="str">
            <v>LA2 / LEE</v>
          </cell>
          <cell r="E641" t="str">
            <v>LA2 / LEE</v>
          </cell>
          <cell r="F641">
            <v>0</v>
          </cell>
          <cell r="G641">
            <v>0</v>
          </cell>
          <cell r="H641">
            <v>0</v>
          </cell>
        </row>
        <row r="642">
          <cell r="A642">
            <v>10297</v>
          </cell>
          <cell r="B642">
            <v>602</v>
          </cell>
          <cell r="C642" t="str">
            <v>CREDIT GENERAL INDEMNITY</v>
          </cell>
          <cell r="D642" t="str">
            <v>LA1 /  HUH</v>
          </cell>
          <cell r="E642" t="str">
            <v>LA1 / OKPARA</v>
          </cell>
          <cell r="F642">
            <v>0</v>
          </cell>
          <cell r="G642">
            <v>0</v>
          </cell>
          <cell r="H642">
            <v>0</v>
          </cell>
        </row>
        <row r="643">
          <cell r="A643">
            <v>12912</v>
          </cell>
          <cell r="B643">
            <v>602</v>
          </cell>
          <cell r="C643" t="str">
            <v>CREDIT GENERAL INSURANCE COMPANY</v>
          </cell>
          <cell r="D643" t="str">
            <v>LA1 /  HUH</v>
          </cell>
          <cell r="E643" t="str">
            <v>LA1 / OKPARA</v>
          </cell>
          <cell r="F643">
            <v>0</v>
          </cell>
          <cell r="G643">
            <v>0</v>
          </cell>
          <cell r="H643">
            <v>0</v>
          </cell>
        </row>
        <row r="644">
          <cell r="A644">
            <v>21830</v>
          </cell>
          <cell r="B644">
            <v>624</v>
          </cell>
          <cell r="C644" t="str">
            <v>NEW ENGLAND INSURANCE COMPANY</v>
          </cell>
          <cell r="D644" t="str">
            <v>SF1 / POON</v>
          </cell>
          <cell r="E644" t="str">
            <v>SF1 / POON</v>
          </cell>
          <cell r="F644">
            <v>0</v>
          </cell>
          <cell r="G644">
            <v>0</v>
          </cell>
          <cell r="H644">
            <v>0</v>
          </cell>
        </row>
        <row r="645">
          <cell r="A645">
            <v>22667</v>
          </cell>
          <cell r="B645">
            <v>626</v>
          </cell>
          <cell r="C645" t="str">
            <v>ACE AMERICAN INSURANCE COMPANY</v>
          </cell>
          <cell r="D645" t="str">
            <v>SF1 / POON</v>
          </cell>
          <cell r="E645" t="str">
            <v>SF1 / POON</v>
          </cell>
          <cell r="F645" t="str">
            <v>SF2 / GOTERA-PITROU</v>
          </cell>
          <cell r="G645">
            <v>0</v>
          </cell>
          <cell r="H645">
            <v>0</v>
          </cell>
        </row>
        <row r="646">
          <cell r="A646">
            <v>20702</v>
          </cell>
          <cell r="B646">
            <v>626</v>
          </cell>
          <cell r="C646" t="str">
            <v>ACE FIRE UNDERWRITERS INSURANCE COMPANY</v>
          </cell>
          <cell r="D646" t="str">
            <v>SF1 / POON</v>
          </cell>
          <cell r="E646" t="str">
            <v>SF1 / POON</v>
          </cell>
          <cell r="F646" t="str">
            <v>SF2 / GOTERA-PITROU</v>
          </cell>
          <cell r="G646" t="str">
            <v>RAO / UPPAL</v>
          </cell>
          <cell r="H646" t="str">
            <v>RAO / UPPAL</v>
          </cell>
        </row>
        <row r="647">
          <cell r="A647">
            <v>20699</v>
          </cell>
          <cell r="B647">
            <v>626</v>
          </cell>
          <cell r="C647" t="str">
            <v>ACE PROPERTY AND CASUALTY INSURANCE COMPANY</v>
          </cell>
          <cell r="D647" t="str">
            <v>SF1 / POON</v>
          </cell>
          <cell r="E647" t="str">
            <v>SF1 / POON</v>
          </cell>
          <cell r="F647" t="str">
            <v>SF2 / GOTERA-PITROU</v>
          </cell>
          <cell r="G647">
            <v>0</v>
          </cell>
          <cell r="H647">
            <v>0</v>
          </cell>
        </row>
        <row r="648">
          <cell r="A648">
            <v>42757</v>
          </cell>
          <cell r="B648">
            <v>626</v>
          </cell>
          <cell r="C648" t="str">
            <v>AGRI GENERAL INSURANCE COMPANY</v>
          </cell>
          <cell r="D648" t="str">
            <v>SF1 / POON</v>
          </cell>
          <cell r="E648" t="str">
            <v>SF1 / POON</v>
          </cell>
          <cell r="F648" t="str">
            <v>SF2 / GOTERA-PITROU</v>
          </cell>
          <cell r="G648">
            <v>0</v>
          </cell>
          <cell r="H648">
            <v>0</v>
          </cell>
        </row>
        <row r="649">
          <cell r="A649">
            <v>36528</v>
          </cell>
          <cell r="B649">
            <v>626</v>
          </cell>
          <cell r="C649" t="str">
            <v>ALLIED INSURANCE COMPANY</v>
          </cell>
          <cell r="D649" t="str">
            <v>SF1 / POON</v>
          </cell>
          <cell r="E649" t="str">
            <v>SF1 / POON</v>
          </cell>
          <cell r="F649" t="str">
            <v>SF2 / GOTERA-PITROU</v>
          </cell>
          <cell r="G649">
            <v>0</v>
          </cell>
          <cell r="H649">
            <v>0</v>
          </cell>
        </row>
        <row r="650">
          <cell r="A650">
            <v>18279</v>
          </cell>
          <cell r="B650">
            <v>626</v>
          </cell>
          <cell r="C650" t="str">
            <v>BANKERS STANDARD INSURANCE COMPANY</v>
          </cell>
          <cell r="D650" t="str">
            <v>SF1 / POON</v>
          </cell>
          <cell r="E650" t="str">
            <v>SF1 / POON</v>
          </cell>
          <cell r="F650" t="str">
            <v>SF2 / GOTERA-PITROU</v>
          </cell>
          <cell r="G650">
            <v>0</v>
          </cell>
          <cell r="H650">
            <v>0</v>
          </cell>
        </row>
        <row r="651">
          <cell r="A651">
            <v>12777</v>
          </cell>
          <cell r="B651">
            <v>626</v>
          </cell>
          <cell r="C651" t="str">
            <v>CHUBB INDEMNITY INS CO (was Sun I/C of New York)</v>
          </cell>
          <cell r="D651" t="str">
            <v>SF1 / POON</v>
          </cell>
          <cell r="E651" t="str">
            <v>SF1 / POON</v>
          </cell>
          <cell r="F651" t="str">
            <v>SF2 / GOTERA-PITROU</v>
          </cell>
          <cell r="G651" t="str">
            <v>RAO / UPPAL</v>
          </cell>
          <cell r="H651" t="str">
            <v>RAO / UPPAL</v>
          </cell>
        </row>
        <row r="652">
          <cell r="A652">
            <v>10052</v>
          </cell>
          <cell r="B652">
            <v>626</v>
          </cell>
          <cell r="C652" t="str">
            <v>CHUBB NATIONAL INSURANCE COMPANY</v>
          </cell>
          <cell r="D652" t="str">
            <v>SF1 / POON</v>
          </cell>
          <cell r="E652" t="str">
            <v>SF1 / POON</v>
          </cell>
          <cell r="F652" t="str">
            <v>SF2 / GOTERA-PITROU</v>
          </cell>
          <cell r="G652">
            <v>0</v>
          </cell>
          <cell r="H652">
            <v>0</v>
          </cell>
        </row>
        <row r="653">
          <cell r="A653">
            <v>22675</v>
          </cell>
          <cell r="B653">
            <v>626</v>
          </cell>
          <cell r="C653" t="str">
            <v>CIGNA SPECIALTY INSURANCE COMPANY</v>
          </cell>
          <cell r="D653" t="str">
            <v>SF1 / POON</v>
          </cell>
          <cell r="E653" t="str">
            <v>SF1 / POON</v>
          </cell>
          <cell r="F653" t="str">
            <v>SF2 / GOTERA-PITROU</v>
          </cell>
          <cell r="G653">
            <v>0</v>
          </cell>
          <cell r="H653">
            <v>0</v>
          </cell>
        </row>
        <row r="654">
          <cell r="A654">
            <v>35181</v>
          </cell>
          <cell r="B654">
            <v>626</v>
          </cell>
          <cell r="C654" t="str">
            <v>EXECUTIVE RISK INDEMNITY INC.</v>
          </cell>
          <cell r="D654" t="str">
            <v>SF1 / POON</v>
          </cell>
          <cell r="E654" t="str">
            <v>SF1 / POON</v>
          </cell>
          <cell r="F654" t="str">
            <v>SF2 / GOTERA-PITROU</v>
          </cell>
          <cell r="G654">
            <v>0</v>
          </cell>
          <cell r="H654">
            <v>0</v>
          </cell>
        </row>
        <row r="655">
          <cell r="A655">
            <v>20281</v>
          </cell>
          <cell r="B655">
            <v>626</v>
          </cell>
          <cell r="C655" t="str">
            <v>FEDERAL INSURANCE COMPANY</v>
          </cell>
          <cell r="D655" t="str">
            <v>SF1 / POON</v>
          </cell>
          <cell r="E655" t="str">
            <v>SF1 / POON</v>
          </cell>
          <cell r="F655" t="str">
            <v>SF2 / GOTERA-PITROU</v>
          </cell>
          <cell r="G655">
            <v>0</v>
          </cell>
          <cell r="H655">
            <v>0</v>
          </cell>
        </row>
        <row r="656">
          <cell r="A656">
            <v>20303</v>
          </cell>
          <cell r="B656">
            <v>626</v>
          </cell>
          <cell r="C656" t="str">
            <v>GREAT NORTHERN INSURANCE COMPANY</v>
          </cell>
          <cell r="D656" t="str">
            <v>SF1 / POON</v>
          </cell>
          <cell r="E656" t="str">
            <v>SF1 / POON</v>
          </cell>
          <cell r="F656" t="str">
            <v>SF2 / GOTERA-PITROU</v>
          </cell>
          <cell r="G656" t="str">
            <v>RAO / UPPAL</v>
          </cell>
          <cell r="H656" t="str">
            <v>RAO / UPPAL</v>
          </cell>
        </row>
        <row r="657">
          <cell r="A657">
            <v>43575</v>
          </cell>
          <cell r="B657">
            <v>626</v>
          </cell>
          <cell r="C657" t="str">
            <v>INDEMNITY INSURANCE COMPANY OF NORTH AMERICA</v>
          </cell>
          <cell r="D657" t="str">
            <v>SF1 / POON</v>
          </cell>
          <cell r="E657" t="str">
            <v>SF1 / POON</v>
          </cell>
          <cell r="F657" t="str">
            <v>SF2 / GOTERA-PITROU</v>
          </cell>
          <cell r="G657" t="str">
            <v>RAO / UPPAL</v>
          </cell>
          <cell r="H657" t="str">
            <v>RAO / UPPAL</v>
          </cell>
        </row>
        <row r="658">
          <cell r="A658">
            <v>22713</v>
          </cell>
          <cell r="B658">
            <v>626</v>
          </cell>
          <cell r="C658" t="str">
            <v>INSURANCE COMPANY OF NORTH AMERICA</v>
          </cell>
          <cell r="D658" t="str">
            <v>SF1 / POON</v>
          </cell>
          <cell r="E658" t="str">
            <v>SF1 / POON</v>
          </cell>
          <cell r="F658" t="str">
            <v>SF2 / GOTERA-PITROU</v>
          </cell>
          <cell r="G658">
            <v>0</v>
          </cell>
          <cell r="H658">
            <v>0</v>
          </cell>
        </row>
        <row r="659">
          <cell r="A659">
            <v>22748</v>
          </cell>
          <cell r="B659">
            <v>626</v>
          </cell>
          <cell r="C659" t="str">
            <v>PACIFIC EMPLOYERS INSURANCE COMPANY</v>
          </cell>
          <cell r="D659" t="str">
            <v>SF1 / POON</v>
          </cell>
          <cell r="E659" t="str">
            <v>SF1 / POON</v>
          </cell>
          <cell r="F659" t="str">
            <v>SF2 / GOTERA-PITROU</v>
          </cell>
          <cell r="G659">
            <v>0</v>
          </cell>
          <cell r="H659">
            <v>0</v>
          </cell>
        </row>
        <row r="660">
          <cell r="A660">
            <v>20346</v>
          </cell>
          <cell r="B660">
            <v>626</v>
          </cell>
          <cell r="C660" t="str">
            <v>PACIFIC INDEMNITY COMPANY</v>
          </cell>
          <cell r="D660" t="str">
            <v>SF1 / POON</v>
          </cell>
          <cell r="E660" t="str">
            <v>SF1 / POON</v>
          </cell>
          <cell r="F660" t="str">
            <v>SF2 / GOTERA-PITROU</v>
          </cell>
          <cell r="G660">
            <v>0</v>
          </cell>
          <cell r="H660">
            <v>0</v>
          </cell>
        </row>
        <row r="661">
          <cell r="A661">
            <v>20397</v>
          </cell>
          <cell r="B661">
            <v>626</v>
          </cell>
          <cell r="C661" t="str">
            <v>VIGILANT INSURANCE COMPANY</v>
          </cell>
          <cell r="D661" t="str">
            <v>SF1 / POON</v>
          </cell>
          <cell r="E661" t="str">
            <v>SF1 / POON</v>
          </cell>
          <cell r="F661" t="str">
            <v>SF2 / GOTERA-PITROU</v>
          </cell>
          <cell r="G661">
            <v>0</v>
          </cell>
          <cell r="H661">
            <v>0</v>
          </cell>
        </row>
        <row r="662">
          <cell r="A662">
            <v>10030</v>
          </cell>
          <cell r="B662">
            <v>626</v>
          </cell>
          <cell r="C662" t="str">
            <v>WESTCHESTER FIRE INSURANCE COMPANY</v>
          </cell>
          <cell r="D662" t="str">
            <v>SF1 / POON</v>
          </cell>
          <cell r="E662" t="str">
            <v>SF1 / POON</v>
          </cell>
          <cell r="F662" t="str">
            <v>SF2 / GOTERA-PITROU</v>
          </cell>
          <cell r="G662" t="str">
            <v>RAO / NGUYEN</v>
          </cell>
          <cell r="H662" t="str">
            <v>RAO / NGUYEN</v>
          </cell>
        </row>
        <row r="663">
          <cell r="A663">
            <v>10817</v>
          </cell>
          <cell r="B663">
            <v>629</v>
          </cell>
          <cell r="C663" t="str">
            <v>PLATEAU CASUALTY INSURANCE COMPANY</v>
          </cell>
          <cell r="D663" t="str">
            <v>LA2 / GUAN</v>
          </cell>
          <cell r="E663" t="str">
            <v>LA2 / GUAN</v>
          </cell>
          <cell r="F663">
            <v>0</v>
          </cell>
          <cell r="G663">
            <v>0</v>
          </cell>
          <cell r="H663">
            <v>0</v>
          </cell>
        </row>
        <row r="664">
          <cell r="A664">
            <v>14907</v>
          </cell>
          <cell r="B664">
            <v>645</v>
          </cell>
          <cell r="C664" t="str">
            <v>OREGON MUTUAL INSURANCE COMPANY</v>
          </cell>
          <cell r="D664" t="str">
            <v>SF2 / GOTERA-PITROU</v>
          </cell>
          <cell r="E664" t="str">
            <v>SF2 / GOTERA-PITROU</v>
          </cell>
          <cell r="F664" t="str">
            <v>SF2 / GOTERA-PITROU</v>
          </cell>
          <cell r="G664">
            <v>0</v>
          </cell>
          <cell r="H664">
            <v>0</v>
          </cell>
        </row>
        <row r="665">
          <cell r="A665">
            <v>16810</v>
          </cell>
          <cell r="B665">
            <v>660</v>
          </cell>
          <cell r="C665" t="str">
            <v>AMERICAN MERCURY INSURANCE COMPANY</v>
          </cell>
          <cell r="D665" t="str">
            <v>LA1 /  HUH</v>
          </cell>
          <cell r="E665" t="str">
            <v>LA1 / OKPARA</v>
          </cell>
          <cell r="F665">
            <v>0</v>
          </cell>
          <cell r="G665">
            <v>0</v>
          </cell>
          <cell r="H665" t="str">
            <v>RAO / NGUYEN</v>
          </cell>
        </row>
        <row r="666">
          <cell r="A666">
            <v>38342</v>
          </cell>
          <cell r="B666">
            <v>660</v>
          </cell>
          <cell r="C666" t="str">
            <v>CALIFORNIA AUTOMOBILE INSURANCE COMPANY</v>
          </cell>
          <cell r="D666" t="str">
            <v>LA1 /  HUH</v>
          </cell>
          <cell r="E666" t="str">
            <v>LA1 / OKPARA</v>
          </cell>
          <cell r="F666">
            <v>0</v>
          </cell>
          <cell r="G666">
            <v>0</v>
          </cell>
          <cell r="H666">
            <v>0</v>
          </cell>
        </row>
        <row r="667">
          <cell r="A667">
            <v>31046</v>
          </cell>
          <cell r="B667">
            <v>660</v>
          </cell>
          <cell r="C667" t="str">
            <v>CALIFORNIA GENERAL UNDERWRITERS INSURANCE COMPANY</v>
          </cell>
          <cell r="D667" t="str">
            <v>LA1 /  HUH</v>
          </cell>
          <cell r="E667" t="str">
            <v>LA1 / OKPARA</v>
          </cell>
          <cell r="F667">
            <v>0</v>
          </cell>
          <cell r="G667">
            <v>0</v>
          </cell>
          <cell r="H667">
            <v>0</v>
          </cell>
        </row>
        <row r="668">
          <cell r="A668">
            <v>11908</v>
          </cell>
          <cell r="B668">
            <v>660</v>
          </cell>
          <cell r="C668" t="str">
            <v>MERCURY CASUALTY COMPANY</v>
          </cell>
          <cell r="D668" t="str">
            <v>LA1 /  HUH</v>
          </cell>
          <cell r="E668" t="str">
            <v>LA1 / OKPARA</v>
          </cell>
          <cell r="F668">
            <v>0</v>
          </cell>
          <cell r="G668">
            <v>0</v>
          </cell>
          <cell r="H668">
            <v>0</v>
          </cell>
        </row>
        <row r="669">
          <cell r="A669">
            <v>27553</v>
          </cell>
          <cell r="B669">
            <v>660</v>
          </cell>
          <cell r="C669" t="str">
            <v>MERCURY INSURANCE COMPANY</v>
          </cell>
          <cell r="D669" t="str">
            <v>LA1 /  HUH</v>
          </cell>
          <cell r="E669" t="str">
            <v>LA1 / OKPARA</v>
          </cell>
          <cell r="F669">
            <v>0</v>
          </cell>
          <cell r="G669">
            <v>0</v>
          </cell>
          <cell r="H669">
            <v>0</v>
          </cell>
        </row>
        <row r="670">
          <cell r="A670">
            <v>13250</v>
          </cell>
          <cell r="B670">
            <v>660</v>
          </cell>
          <cell r="C670" t="str">
            <v>WORKMENS AUTO INSURANCE COMPANY</v>
          </cell>
          <cell r="D670" t="str">
            <v>LA1 /  HUH</v>
          </cell>
          <cell r="E670" t="str">
            <v>LA1 / OKPARA</v>
          </cell>
          <cell r="F670">
            <v>0</v>
          </cell>
          <cell r="G670">
            <v>0</v>
          </cell>
          <cell r="H670">
            <v>0</v>
          </cell>
        </row>
        <row r="671">
          <cell r="A671">
            <v>39152</v>
          </cell>
          <cell r="B671">
            <v>681</v>
          </cell>
          <cell r="C671" t="str">
            <v>AMERICAN HEALTHCARE INDEMNITY COMPANY</v>
          </cell>
          <cell r="D671" t="str">
            <v>SF2 / DEMESA</v>
          </cell>
          <cell r="E671" t="str">
            <v>SF2 / DEMESA</v>
          </cell>
          <cell r="F671" t="str">
            <v>SF2 / DEMESA</v>
          </cell>
          <cell r="G671">
            <v>0</v>
          </cell>
          <cell r="H671">
            <v>0</v>
          </cell>
        </row>
        <row r="672">
          <cell r="A672">
            <v>13099</v>
          </cell>
          <cell r="B672">
            <v>685</v>
          </cell>
          <cell r="C672" t="str">
            <v>UTAH HOME FIRE INS CO</v>
          </cell>
          <cell r="D672" t="str">
            <v>SF1 / CARLSON</v>
          </cell>
          <cell r="E672" t="str">
            <v>SF1 / CARLSON</v>
          </cell>
          <cell r="F672">
            <v>0</v>
          </cell>
          <cell r="G672">
            <v>0</v>
          </cell>
          <cell r="H672">
            <v>0</v>
          </cell>
        </row>
        <row r="673">
          <cell r="A673">
            <v>33162</v>
          </cell>
          <cell r="B673">
            <v>689</v>
          </cell>
          <cell r="C673" t="str">
            <v>BANKERS INS COMPANY (dba Western Bankers I/C)</v>
          </cell>
          <cell r="D673" t="str">
            <v>LA2 / GUAN</v>
          </cell>
          <cell r="E673" t="str">
            <v>LA2 / GUAN</v>
          </cell>
          <cell r="F673">
            <v>0</v>
          </cell>
          <cell r="G673">
            <v>0</v>
          </cell>
          <cell r="H673">
            <v>0</v>
          </cell>
        </row>
        <row r="674">
          <cell r="A674">
            <v>33162</v>
          </cell>
          <cell r="B674">
            <v>689</v>
          </cell>
          <cell r="C674" t="str">
            <v>WESTERN BANKERS INSURANCE COMPANY (see Bankers Insurance Company)</v>
          </cell>
          <cell r="D674" t="str">
            <v>LA2 / GUAN</v>
          </cell>
          <cell r="E674" t="str">
            <v>LA2 / GUAN</v>
          </cell>
          <cell r="F674">
            <v>0</v>
          </cell>
          <cell r="G674">
            <v>0</v>
          </cell>
          <cell r="H674">
            <v>0</v>
          </cell>
        </row>
        <row r="675">
          <cell r="A675">
            <v>11499</v>
          </cell>
          <cell r="B675">
            <v>690</v>
          </cell>
          <cell r="C675" t="str">
            <v>CENSTAT CASUALTY COMPANY</v>
          </cell>
          <cell r="D675" t="str">
            <v>SF1 / CARLSON</v>
          </cell>
          <cell r="E675" t="str">
            <v>SF1 / CARLSON</v>
          </cell>
          <cell r="F675" t="str">
            <v>SF2 / GOTERA-PITROU</v>
          </cell>
          <cell r="G675">
            <v>0</v>
          </cell>
          <cell r="H675">
            <v>0</v>
          </cell>
        </row>
        <row r="676">
          <cell r="A676">
            <v>26107</v>
          </cell>
          <cell r="B676">
            <v>711</v>
          </cell>
          <cell r="C676" t="str">
            <v>PENNSYLVANIA CASUALTY COMPANY</v>
          </cell>
          <cell r="D676" t="str">
            <v>LA2 / GUAN</v>
          </cell>
          <cell r="E676" t="str">
            <v>LA2 / GUAN</v>
          </cell>
          <cell r="F676" t="str">
            <v>SF2 / GOTERA-PITROU</v>
          </cell>
          <cell r="G676">
            <v>0</v>
          </cell>
          <cell r="H676">
            <v>0</v>
          </cell>
        </row>
        <row r="677">
          <cell r="A677">
            <v>35718</v>
          </cell>
          <cell r="B677">
            <v>711</v>
          </cell>
          <cell r="C677" t="str">
            <v>PHICO INSURANCE COMPANY</v>
          </cell>
          <cell r="D677" t="str">
            <v>LA2 / GUAN</v>
          </cell>
          <cell r="E677" t="str">
            <v>LA2 / GUAN</v>
          </cell>
          <cell r="F677" t="str">
            <v>SF2 / GOTERA-PITROU</v>
          </cell>
          <cell r="G677">
            <v>0</v>
          </cell>
          <cell r="H677">
            <v>0</v>
          </cell>
        </row>
        <row r="678">
          <cell r="A678">
            <v>19623</v>
          </cell>
          <cell r="B678">
            <v>732</v>
          </cell>
          <cell r="C678" t="str">
            <v>AMERICAN SUMMIT INSURANCE COMPANY</v>
          </cell>
          <cell r="D678" t="str">
            <v>SF2 / GOTERA-PITROU</v>
          </cell>
          <cell r="E678" t="str">
            <v>SF2 / GOTERA-PITROU</v>
          </cell>
          <cell r="F678" t="str">
            <v>SF2 / GOTERA-PITROU</v>
          </cell>
          <cell r="G678">
            <v>0</v>
          </cell>
          <cell r="H678">
            <v>0</v>
          </cell>
        </row>
        <row r="679">
          <cell r="A679">
            <v>15474</v>
          </cell>
          <cell r="B679">
            <v>732</v>
          </cell>
          <cell r="C679" t="str">
            <v>NATIONAL LLOYDS INSURANCE COMPANY</v>
          </cell>
          <cell r="D679" t="str">
            <v>SF2 / GOTERA-PITROU</v>
          </cell>
          <cell r="E679" t="str">
            <v>SF2 / GOTERA-PITROU</v>
          </cell>
          <cell r="F679" t="str">
            <v>SF2 / GOTERA-PITROU</v>
          </cell>
          <cell r="G679">
            <v>0</v>
          </cell>
          <cell r="H679">
            <v>0</v>
          </cell>
        </row>
        <row r="680">
          <cell r="A680">
            <v>21903</v>
          </cell>
          <cell r="B680">
            <v>748</v>
          </cell>
          <cell r="C680" t="str">
            <v>PROCENTURY INSURANCE COMPANY</v>
          </cell>
          <cell r="D680" t="str">
            <v>LA1 /  HUH</v>
          </cell>
          <cell r="E680" t="str">
            <v>LA1 / AHN</v>
          </cell>
          <cell r="F680" t="str">
            <v>SF2 / GOTERA-PITROU</v>
          </cell>
          <cell r="G680">
            <v>0</v>
          </cell>
          <cell r="H680">
            <v>0</v>
          </cell>
        </row>
        <row r="681">
          <cell r="A681">
            <v>18023</v>
          </cell>
          <cell r="B681">
            <v>748</v>
          </cell>
          <cell r="C681" t="str">
            <v>STAR INSURANCE COMPANY</v>
          </cell>
          <cell r="D681" t="str">
            <v>LA1 /  HUH</v>
          </cell>
          <cell r="E681" t="str">
            <v>LA1 / AHN</v>
          </cell>
          <cell r="F681" t="str">
            <v>SF2 / GOTERA-PITROU</v>
          </cell>
          <cell r="G681">
            <v>0</v>
          </cell>
          <cell r="H681">
            <v>0</v>
          </cell>
        </row>
        <row r="682">
          <cell r="A682">
            <v>25780</v>
          </cell>
          <cell r="B682">
            <v>748</v>
          </cell>
          <cell r="C682" t="str">
            <v>WILLIAMSBURG NATIONAL INSURANCE COMPANY</v>
          </cell>
          <cell r="D682" t="str">
            <v>LA1 /  HUH</v>
          </cell>
          <cell r="E682" t="str">
            <v>LA1 / AHN</v>
          </cell>
          <cell r="F682" t="str">
            <v>SF2 / GOTERA-PITROU</v>
          </cell>
          <cell r="G682">
            <v>0</v>
          </cell>
          <cell r="H682">
            <v>0</v>
          </cell>
        </row>
        <row r="683">
          <cell r="A683">
            <v>39322</v>
          </cell>
          <cell r="B683">
            <v>749</v>
          </cell>
          <cell r="C683" t="str">
            <v>GENERAL SECURITY NATIONAL INSURANCE COMPANY</v>
          </cell>
          <cell r="D683" t="str">
            <v>LA2 / LEE</v>
          </cell>
          <cell r="E683" t="str">
            <v>LA2 / LEE</v>
          </cell>
          <cell r="F683" t="str">
            <v>SF2 / GOTERA-PITROU</v>
          </cell>
          <cell r="G683">
            <v>0</v>
          </cell>
          <cell r="H683">
            <v>0</v>
          </cell>
        </row>
        <row r="684">
          <cell r="A684">
            <v>30058</v>
          </cell>
          <cell r="B684">
            <v>749</v>
          </cell>
          <cell r="C684" t="str">
            <v>SCOR REINSURANCE COMPANY</v>
          </cell>
          <cell r="D684" t="str">
            <v>LA2 / LEE</v>
          </cell>
          <cell r="E684" t="str">
            <v>LA2 / LEE</v>
          </cell>
          <cell r="F684" t="str">
            <v>SF2 / GOTERA-PITROU</v>
          </cell>
          <cell r="G684">
            <v>0</v>
          </cell>
          <cell r="H684">
            <v>0</v>
          </cell>
        </row>
        <row r="685">
          <cell r="A685">
            <v>22837</v>
          </cell>
          <cell r="B685">
            <v>761</v>
          </cell>
          <cell r="C685" t="str">
            <v>AGCS MARINE INSURANCE COMPANY</v>
          </cell>
          <cell r="D685" t="str">
            <v>SF1 / POON</v>
          </cell>
          <cell r="E685" t="str">
            <v>SF1 / POON</v>
          </cell>
          <cell r="F685" t="str">
            <v>SF2 / GOTERA-PITROU</v>
          </cell>
          <cell r="G685">
            <v>0</v>
          </cell>
          <cell r="H685">
            <v>0</v>
          </cell>
        </row>
        <row r="686">
          <cell r="A686">
            <v>35300</v>
          </cell>
          <cell r="B686">
            <v>761</v>
          </cell>
          <cell r="C686" t="str">
            <v>ALLIANZ GLOBAL RISKS US INSURANCE COMPANY</v>
          </cell>
          <cell r="D686" t="str">
            <v>SF1 / POON</v>
          </cell>
          <cell r="E686" t="str">
            <v>SF1 / POON</v>
          </cell>
          <cell r="F686" t="str">
            <v>SF2 / GOTERA-PITROU</v>
          </cell>
          <cell r="G686">
            <v>0</v>
          </cell>
          <cell r="H686">
            <v>0</v>
          </cell>
        </row>
        <row r="687">
          <cell r="A687">
            <v>21911</v>
          </cell>
          <cell r="B687">
            <v>761</v>
          </cell>
          <cell r="C687" t="str">
            <v>ALLIANZ REINSURANCE AMERICA, INC.</v>
          </cell>
          <cell r="D687" t="str">
            <v>SF1 / POON</v>
          </cell>
          <cell r="E687" t="str">
            <v>SF1 / POON</v>
          </cell>
          <cell r="F687" t="str">
            <v>SF2 / GOTERA-PITROU</v>
          </cell>
          <cell r="G687">
            <v>0</v>
          </cell>
          <cell r="H687">
            <v>0</v>
          </cell>
        </row>
        <row r="688">
          <cell r="A688">
            <v>36420</v>
          </cell>
          <cell r="B688">
            <v>761</v>
          </cell>
          <cell r="C688" t="str">
            <v>ALLIANZ UNDERWRITERS INSURANCE COMPANY</v>
          </cell>
          <cell r="D688" t="str">
            <v>SF1 / POON</v>
          </cell>
          <cell r="E688" t="str">
            <v>SF1 / POON</v>
          </cell>
          <cell r="F688" t="str">
            <v>SF2 / GOTERA-PITROU</v>
          </cell>
          <cell r="G688">
            <v>0</v>
          </cell>
          <cell r="H688">
            <v>0</v>
          </cell>
        </row>
        <row r="689">
          <cell r="A689">
            <v>21849</v>
          </cell>
          <cell r="B689">
            <v>761</v>
          </cell>
          <cell r="C689" t="str">
            <v>AMERICAN AUTOMOBILE INSURANCE COMPANY</v>
          </cell>
          <cell r="D689" t="str">
            <v>SF1 / POON</v>
          </cell>
          <cell r="E689" t="str">
            <v>SF1 / POON</v>
          </cell>
          <cell r="F689" t="str">
            <v>SF2 / GOTERA-PITROU</v>
          </cell>
          <cell r="G689">
            <v>0</v>
          </cell>
          <cell r="H689">
            <v>0</v>
          </cell>
        </row>
        <row r="690">
          <cell r="A690">
            <v>21857</v>
          </cell>
          <cell r="B690">
            <v>761</v>
          </cell>
          <cell r="C690" t="str">
            <v>AMERICAN INSURANCE COMPANY</v>
          </cell>
          <cell r="D690" t="str">
            <v>SF1 / POON</v>
          </cell>
          <cell r="E690" t="str">
            <v>SF1 / POON</v>
          </cell>
          <cell r="F690" t="str">
            <v>SF2 / GOTERA-PITROU</v>
          </cell>
          <cell r="G690">
            <v>0</v>
          </cell>
          <cell r="H690">
            <v>0</v>
          </cell>
        </row>
        <row r="691">
          <cell r="A691">
            <v>21865</v>
          </cell>
          <cell r="B691">
            <v>761</v>
          </cell>
          <cell r="C691" t="str">
            <v>ASSOCIATED INDEMNITY CORPORATION</v>
          </cell>
          <cell r="D691" t="str">
            <v>SF1 / POON</v>
          </cell>
          <cell r="E691" t="str">
            <v>SF1 / POON</v>
          </cell>
          <cell r="F691" t="str">
            <v>SF2 / GOTERA-PITROU</v>
          </cell>
          <cell r="G691">
            <v>0</v>
          </cell>
          <cell r="H691">
            <v>0</v>
          </cell>
        </row>
        <row r="692">
          <cell r="A692">
            <v>22810</v>
          </cell>
          <cell r="B692">
            <v>761</v>
          </cell>
          <cell r="C692" t="str">
            <v>CHICAGO INSURANCE COMPANY</v>
          </cell>
          <cell r="D692" t="str">
            <v>SF1 / POON</v>
          </cell>
          <cell r="E692" t="str">
            <v>SF1 / POON</v>
          </cell>
          <cell r="F692" t="str">
            <v>SF2 / GOTERA-PITROU</v>
          </cell>
          <cell r="G692">
            <v>0</v>
          </cell>
          <cell r="H692">
            <v>0</v>
          </cell>
        </row>
        <row r="693">
          <cell r="A693">
            <v>20516</v>
          </cell>
          <cell r="B693">
            <v>761</v>
          </cell>
          <cell r="C693" t="str">
            <v>EULER HERMES NORTH AMERICA INSURANCE COMPANY</v>
          </cell>
          <cell r="D693" t="str">
            <v>SF1 / POON</v>
          </cell>
          <cell r="E693" t="str">
            <v>SF1 / POON</v>
          </cell>
          <cell r="F693" t="str">
            <v>SF2 / GOTERA-PITROU</v>
          </cell>
          <cell r="G693">
            <v>0</v>
          </cell>
          <cell r="H693">
            <v>0</v>
          </cell>
        </row>
        <row r="694">
          <cell r="A694">
            <v>21873</v>
          </cell>
          <cell r="B694">
            <v>761</v>
          </cell>
          <cell r="C694" t="str">
            <v>FIREMAN'S FUND INSURANCE COMPANY</v>
          </cell>
          <cell r="D694" t="str">
            <v>SF1 / POON</v>
          </cell>
          <cell r="E694" t="str">
            <v>SF1 / POON</v>
          </cell>
          <cell r="F694" t="str">
            <v>SF2 / GOTERA-PITROU</v>
          </cell>
          <cell r="G694">
            <v>0</v>
          </cell>
          <cell r="H694">
            <v>0</v>
          </cell>
        </row>
        <row r="695">
          <cell r="A695">
            <v>11630</v>
          </cell>
          <cell r="B695">
            <v>761</v>
          </cell>
          <cell r="C695" t="str">
            <v>JEFFERSON INSURANCE COMPANY</v>
          </cell>
          <cell r="D695" t="str">
            <v>SF1 / POON</v>
          </cell>
          <cell r="E695" t="str">
            <v>SF1 / POON</v>
          </cell>
          <cell r="F695" t="str">
            <v>SF2 / GOTERA-PITROU</v>
          </cell>
          <cell r="G695">
            <v>0</v>
          </cell>
          <cell r="H695">
            <v>0</v>
          </cell>
        </row>
        <row r="696">
          <cell r="A696">
            <v>21881</v>
          </cell>
          <cell r="B696">
            <v>761</v>
          </cell>
          <cell r="C696" t="str">
            <v>NATIONAL SURETY CORPORATION</v>
          </cell>
          <cell r="D696" t="str">
            <v>SF1 / POON</v>
          </cell>
          <cell r="E696" t="str">
            <v>SF1 / POON</v>
          </cell>
          <cell r="F696" t="str">
            <v>SF2 / GOTERA-PITROU</v>
          </cell>
          <cell r="G696">
            <v>0</v>
          </cell>
          <cell r="H696">
            <v>0</v>
          </cell>
        </row>
        <row r="697">
          <cell r="A697">
            <v>21911</v>
          </cell>
          <cell r="B697">
            <v>761</v>
          </cell>
          <cell r="C697" t="str">
            <v>SAN FRANCISCO REINSURANCE COMPANY (Name changed to Allianz Reinsurance America, Inc. effective September 20, 2018)</v>
          </cell>
          <cell r="D697" t="str">
            <v>SF1 / POON</v>
          </cell>
          <cell r="E697" t="str">
            <v>SF1 / POON</v>
          </cell>
          <cell r="F697" t="str">
            <v>SF2 / GOTERA-PITROU</v>
          </cell>
          <cell r="G697">
            <v>0</v>
          </cell>
          <cell r="H697">
            <v>0</v>
          </cell>
        </row>
        <row r="698">
          <cell r="A698">
            <v>35815</v>
          </cell>
          <cell r="B698">
            <v>763</v>
          </cell>
          <cell r="C698" t="str">
            <v>FORESTERS INDEMNITY COMPANY</v>
          </cell>
          <cell r="D698" t="str">
            <v>LA1 /  HUH</v>
          </cell>
          <cell r="E698" t="str">
            <v>LA1 / OKPARA</v>
          </cell>
          <cell r="F698" t="str">
            <v>SF2 / GOTERA-PITROU</v>
          </cell>
          <cell r="G698">
            <v>0</v>
          </cell>
          <cell r="H698">
            <v>0</v>
          </cell>
        </row>
        <row r="699">
          <cell r="A699">
            <v>33790</v>
          </cell>
          <cell r="B699">
            <v>766</v>
          </cell>
          <cell r="C699" t="str">
            <v>COMMONWEALTH MORTGAGE ASSURANCE COMPANY</v>
          </cell>
          <cell r="D699" t="str">
            <v>LA2 / LEE</v>
          </cell>
          <cell r="E699" t="str">
            <v>LA2 / LEE</v>
          </cell>
          <cell r="F699" t="str">
            <v>SF2 / GOTERA-PITROU</v>
          </cell>
          <cell r="G699">
            <v>0</v>
          </cell>
          <cell r="H699">
            <v>0</v>
          </cell>
        </row>
        <row r="700">
          <cell r="A700">
            <v>30872</v>
          </cell>
          <cell r="B700">
            <v>766</v>
          </cell>
          <cell r="C700" t="str">
            <v>RADIAN MORTGAGE ASSURANCE INC.</v>
          </cell>
          <cell r="D700" t="str">
            <v>LA2 / LEE</v>
          </cell>
          <cell r="E700" t="str">
            <v>LA2 / LEE</v>
          </cell>
          <cell r="F700" t="str">
            <v>SF2 / GOTERA-PITROU</v>
          </cell>
          <cell r="G700">
            <v>0</v>
          </cell>
          <cell r="H700">
            <v>0</v>
          </cell>
        </row>
        <row r="701">
          <cell r="A701">
            <v>27731</v>
          </cell>
          <cell r="B701">
            <v>772</v>
          </cell>
          <cell r="C701" t="str">
            <v>CITATION GENERAL INSURANCE COMPANY</v>
          </cell>
          <cell r="D701" t="str">
            <v>LA1 /  HUH</v>
          </cell>
          <cell r="E701" t="str">
            <v>LA1 / AHN</v>
          </cell>
          <cell r="F701">
            <v>0</v>
          </cell>
          <cell r="G701">
            <v>0</v>
          </cell>
          <cell r="H701">
            <v>0</v>
          </cell>
        </row>
        <row r="702">
          <cell r="A702">
            <v>13714</v>
          </cell>
          <cell r="B702">
            <v>775</v>
          </cell>
          <cell r="C702" t="str">
            <v>PHARMACISTS MUTUAL INSURANCE COMPANY</v>
          </cell>
          <cell r="D702" t="str">
            <v>SF2 / SALAZAR</v>
          </cell>
          <cell r="E702" t="str">
            <v>SF2 / SALAZAR</v>
          </cell>
          <cell r="F702" t="str">
            <v>SF2 / SALAZAR</v>
          </cell>
          <cell r="G702">
            <v>0</v>
          </cell>
          <cell r="H702">
            <v>0</v>
          </cell>
        </row>
        <row r="703">
          <cell r="A703">
            <v>37893</v>
          </cell>
          <cell r="B703">
            <v>781</v>
          </cell>
          <cell r="C703" t="str">
            <v>ULLICO CASUALTY COMPANY</v>
          </cell>
          <cell r="D703" t="str">
            <v>LA1 /  HUH</v>
          </cell>
          <cell r="E703" t="str">
            <v>LA1 / OKPARA</v>
          </cell>
          <cell r="F703">
            <v>0</v>
          </cell>
          <cell r="G703">
            <v>0</v>
          </cell>
          <cell r="H703">
            <v>0</v>
          </cell>
        </row>
        <row r="704">
          <cell r="A704">
            <v>37206</v>
          </cell>
          <cell r="B704">
            <v>783</v>
          </cell>
          <cell r="C704" t="str">
            <v>CBIC BONDING AND INSURANCE COMPANY (see Contractors Bonding and Insurance Company)</v>
          </cell>
          <cell r="D704" t="str">
            <v>LA2 / BAUTISTA</v>
          </cell>
          <cell r="E704" t="str">
            <v>LA2 / BAUTISTA</v>
          </cell>
          <cell r="F704" t="str">
            <v>SF2 / GOTERA-PITROU</v>
          </cell>
          <cell r="G704">
            <v>0</v>
          </cell>
          <cell r="H704">
            <v>0</v>
          </cell>
        </row>
        <row r="705">
          <cell r="A705">
            <v>37206</v>
          </cell>
          <cell r="B705">
            <v>783</v>
          </cell>
          <cell r="C705" t="str">
            <v>CONTRACTORS BONDING AND INS CO (dba CBIC Bonding &amp; Ins Co.)</v>
          </cell>
          <cell r="D705" t="str">
            <v>LA2 / BAUTISTA</v>
          </cell>
          <cell r="E705" t="str">
            <v>LA2 / BAUTISTA</v>
          </cell>
          <cell r="F705" t="str">
            <v>SF2 / GOTERA-PITROU</v>
          </cell>
          <cell r="G705">
            <v>0</v>
          </cell>
          <cell r="H705">
            <v>0</v>
          </cell>
        </row>
        <row r="706">
          <cell r="A706">
            <v>13056</v>
          </cell>
          <cell r="B706">
            <v>783</v>
          </cell>
          <cell r="C706" t="str">
            <v>RLI INSURANCE COMPANY</v>
          </cell>
          <cell r="D706" t="str">
            <v>LA2 / BAUTISTA</v>
          </cell>
          <cell r="E706" t="str">
            <v>LA2 / BAUTISTA</v>
          </cell>
          <cell r="F706" t="str">
            <v>SF2 / GOTERA-PITROU</v>
          </cell>
          <cell r="G706">
            <v>0</v>
          </cell>
          <cell r="H706">
            <v>0</v>
          </cell>
        </row>
        <row r="707">
          <cell r="A707">
            <v>21296</v>
          </cell>
          <cell r="B707">
            <v>785</v>
          </cell>
          <cell r="C707" t="str">
            <v>ALTERRA AMERICA INSURANCE COMPANY</v>
          </cell>
          <cell r="D707" t="str">
            <v>SF1 / LI</v>
          </cell>
          <cell r="E707" t="str">
            <v>SF1 / LI</v>
          </cell>
          <cell r="F707" t="str">
            <v>SF2 / GOTERA-PITROU</v>
          </cell>
          <cell r="G707">
            <v>0</v>
          </cell>
          <cell r="H707">
            <v>0</v>
          </cell>
        </row>
        <row r="708">
          <cell r="A708">
            <v>41335</v>
          </cell>
          <cell r="B708">
            <v>785</v>
          </cell>
          <cell r="C708" t="str">
            <v>CITY NATIONAL INSURANCE COMPANY</v>
          </cell>
          <cell r="D708" t="str">
            <v>SF1 / LI</v>
          </cell>
          <cell r="E708" t="str">
            <v>SF1 / LI</v>
          </cell>
          <cell r="F708" t="str">
            <v>SF2 / GOTERA-PITROU</v>
          </cell>
          <cell r="G708">
            <v>0</v>
          </cell>
          <cell r="H708">
            <v>0</v>
          </cell>
        </row>
        <row r="709">
          <cell r="A709">
            <v>37915</v>
          </cell>
          <cell r="B709">
            <v>785</v>
          </cell>
          <cell r="C709" t="str">
            <v>ESSENTIA INSURANCE COMPANY</v>
          </cell>
          <cell r="D709" t="str">
            <v>SF1 / LI</v>
          </cell>
          <cell r="E709" t="str">
            <v>SF1 / LI</v>
          </cell>
          <cell r="F709" t="str">
            <v>SF2 / GOTERA-PITROU</v>
          </cell>
          <cell r="G709">
            <v>0</v>
          </cell>
          <cell r="H709">
            <v>0</v>
          </cell>
        </row>
        <row r="710">
          <cell r="A710">
            <v>28932</v>
          </cell>
          <cell r="B710">
            <v>785</v>
          </cell>
          <cell r="C710" t="str">
            <v>MARKEL AMERICAN INSURANCE COMPANY</v>
          </cell>
          <cell r="D710" t="str">
            <v>SF1 / LI</v>
          </cell>
          <cell r="E710" t="str">
            <v>SF1 / LI</v>
          </cell>
          <cell r="F710" t="str">
            <v>SF2 / GOTERA-PITROU</v>
          </cell>
          <cell r="G710">
            <v>0</v>
          </cell>
          <cell r="H710">
            <v>0</v>
          </cell>
        </row>
        <row r="711">
          <cell r="A711">
            <v>10829</v>
          </cell>
          <cell r="B711">
            <v>785</v>
          </cell>
          <cell r="C711" t="str">
            <v>MARKEL GLOBAL REINSURANCE COMPANY</v>
          </cell>
          <cell r="D711" t="str">
            <v>SF1 / LI</v>
          </cell>
          <cell r="E711" t="str">
            <v>SF1 / LI</v>
          </cell>
          <cell r="F711" t="str">
            <v>SF2 / GOTERA-PITROU</v>
          </cell>
          <cell r="G711">
            <v>0</v>
          </cell>
          <cell r="H711">
            <v>0</v>
          </cell>
        </row>
        <row r="712">
          <cell r="A712">
            <v>38970</v>
          </cell>
          <cell r="B712">
            <v>785</v>
          </cell>
          <cell r="C712" t="str">
            <v>MARKEL INSURANCE COMPANY</v>
          </cell>
          <cell r="D712" t="str">
            <v>SF1 / LI</v>
          </cell>
          <cell r="E712" t="str">
            <v>SF1 / LI</v>
          </cell>
          <cell r="F712" t="str">
            <v>SF2 / GOTERA-PITROU</v>
          </cell>
          <cell r="G712">
            <v>0</v>
          </cell>
          <cell r="H712">
            <v>0</v>
          </cell>
        </row>
        <row r="713">
          <cell r="A713">
            <v>22608</v>
          </cell>
          <cell r="B713">
            <v>785</v>
          </cell>
          <cell r="C713" t="str">
            <v>NATIONAL SPECIALTY INSURANCE COMPANY</v>
          </cell>
          <cell r="D713" t="str">
            <v>SF1 / LI</v>
          </cell>
          <cell r="E713" t="str">
            <v>SF1 / LI</v>
          </cell>
          <cell r="F713" t="str">
            <v>SF2 / GOTERA-PITROU</v>
          </cell>
          <cell r="G713">
            <v>0</v>
          </cell>
          <cell r="H713">
            <v>0</v>
          </cell>
        </row>
        <row r="714">
          <cell r="A714">
            <v>12831</v>
          </cell>
          <cell r="B714">
            <v>785</v>
          </cell>
          <cell r="C714" t="str">
            <v>STATE NATIONAL INSURANCE COMPANY, INC</v>
          </cell>
          <cell r="D714" t="str">
            <v>SF1 / LI</v>
          </cell>
          <cell r="E714" t="str">
            <v>SF1 / LI</v>
          </cell>
          <cell r="F714" t="str">
            <v>SF2 / GOTERA-PITROU</v>
          </cell>
          <cell r="G714">
            <v>0</v>
          </cell>
          <cell r="H714">
            <v>0</v>
          </cell>
        </row>
        <row r="715">
          <cell r="A715">
            <v>15099</v>
          </cell>
          <cell r="B715">
            <v>785</v>
          </cell>
          <cell r="C715" t="str">
            <v>SURETEC INDEMNITY COMPANY</v>
          </cell>
          <cell r="D715" t="str">
            <v>SF1 / LI</v>
          </cell>
          <cell r="E715" t="str">
            <v>SF1 / LI</v>
          </cell>
          <cell r="F715" t="str">
            <v>SF2 / GOTERA-PITROU</v>
          </cell>
          <cell r="G715">
            <v>0</v>
          </cell>
          <cell r="H715">
            <v>0</v>
          </cell>
        </row>
        <row r="716">
          <cell r="A716">
            <v>10916</v>
          </cell>
          <cell r="B716">
            <v>785</v>
          </cell>
          <cell r="C716" t="str">
            <v>SURETEC INSURANCE COMPANY</v>
          </cell>
          <cell r="D716" t="str">
            <v>SF1 / LI</v>
          </cell>
          <cell r="E716" t="str">
            <v>SF1 / LI</v>
          </cell>
          <cell r="F716" t="str">
            <v>SF2 / GOTERA-PITROU</v>
          </cell>
          <cell r="G716">
            <v>0</v>
          </cell>
          <cell r="H716">
            <v>0</v>
          </cell>
        </row>
        <row r="717">
          <cell r="A717">
            <v>25593</v>
          </cell>
          <cell r="B717">
            <v>790</v>
          </cell>
          <cell r="C717" t="str">
            <v>BEAVER INSURANCE COMPANY</v>
          </cell>
          <cell r="D717" t="str">
            <v>SF1 / LI</v>
          </cell>
          <cell r="E717" t="str">
            <v>SF1 / LI</v>
          </cell>
          <cell r="F717" t="str">
            <v>SF2 / GOTERA-PITROU</v>
          </cell>
          <cell r="G717">
            <v>0</v>
          </cell>
          <cell r="H717">
            <v>0</v>
          </cell>
        </row>
        <row r="718">
          <cell r="A718">
            <v>10545</v>
          </cell>
          <cell r="B718">
            <v>790</v>
          </cell>
          <cell r="C718" t="str">
            <v>FREMONT CASUALTY INSURANCE COMPANY</v>
          </cell>
          <cell r="D718" t="str">
            <v>SF1 / LI</v>
          </cell>
          <cell r="E718" t="str">
            <v>SF1 / LI</v>
          </cell>
          <cell r="F718" t="str">
            <v>SF2 / GOTERA-PITROU</v>
          </cell>
          <cell r="G718">
            <v>0</v>
          </cell>
          <cell r="H718">
            <v>0</v>
          </cell>
        </row>
        <row r="719">
          <cell r="A719">
            <v>11207</v>
          </cell>
          <cell r="B719">
            <v>790</v>
          </cell>
          <cell r="C719" t="str">
            <v>FREMONT INDEMNITY COMPANY</v>
          </cell>
          <cell r="D719" t="str">
            <v>SF1 / LI</v>
          </cell>
          <cell r="E719" t="str">
            <v>SF1 / LI</v>
          </cell>
          <cell r="F719" t="str">
            <v>SF2 / GOTERA-PITROU</v>
          </cell>
          <cell r="G719">
            <v>0</v>
          </cell>
          <cell r="H719">
            <v>0</v>
          </cell>
        </row>
        <row r="720">
          <cell r="A720">
            <v>21040</v>
          </cell>
          <cell r="B720">
            <v>790</v>
          </cell>
          <cell r="C720" t="str">
            <v>FREMONT INDUSTRIAL INDEMNITY COMPANY</v>
          </cell>
          <cell r="D720" t="str">
            <v>SF1 / LI</v>
          </cell>
          <cell r="E720" t="str">
            <v>SF1 / LI</v>
          </cell>
          <cell r="F720" t="str">
            <v>SF2 / GOTERA-PITROU</v>
          </cell>
          <cell r="G720">
            <v>0</v>
          </cell>
          <cell r="H720">
            <v>0</v>
          </cell>
        </row>
        <row r="721">
          <cell r="A721">
            <v>38725</v>
          </cell>
          <cell r="B721">
            <v>790</v>
          </cell>
          <cell r="C721" t="str">
            <v>FREMONT PACIFIC INSURANCE COMPANY</v>
          </cell>
          <cell r="D721" t="str">
            <v>SF1 / LI</v>
          </cell>
          <cell r="E721" t="str">
            <v>SF1 / LI</v>
          </cell>
          <cell r="F721" t="str">
            <v>SF2 / GOTERA-PITROU</v>
          </cell>
          <cell r="G721">
            <v>0</v>
          </cell>
          <cell r="H721">
            <v>0</v>
          </cell>
        </row>
        <row r="722">
          <cell r="A722">
            <v>21148</v>
          </cell>
          <cell r="B722">
            <v>790</v>
          </cell>
          <cell r="C722" t="str">
            <v>INDUSTRIAL INDEMNITY COMPANY OF THE NORTHWEST</v>
          </cell>
          <cell r="D722" t="str">
            <v>SF1 / LI</v>
          </cell>
          <cell r="E722" t="str">
            <v>SF1 / LI</v>
          </cell>
          <cell r="F722" t="str">
            <v>SF2 / GOTERA-PITROU</v>
          </cell>
          <cell r="G722">
            <v>0</v>
          </cell>
          <cell r="H722">
            <v>0</v>
          </cell>
        </row>
        <row r="723">
          <cell r="A723">
            <v>24414</v>
          </cell>
          <cell r="B723">
            <v>796</v>
          </cell>
          <cell r="C723" t="str">
            <v>GENERAL CASUALTY COMPANY OF WISCONSIN</v>
          </cell>
          <cell r="D723" t="str">
            <v>LA2 / BAUTISTA</v>
          </cell>
          <cell r="E723" t="str">
            <v>LA2 / BAUTISTA</v>
          </cell>
          <cell r="F723" t="str">
            <v>SF2 / GOTERA-PITROU</v>
          </cell>
          <cell r="G723" t="str">
            <v>RAO / ZHOU</v>
          </cell>
          <cell r="H723">
            <v>0</v>
          </cell>
        </row>
        <row r="724">
          <cell r="A724">
            <v>16217</v>
          </cell>
          <cell r="B724">
            <v>796</v>
          </cell>
          <cell r="C724" t="str">
            <v>NATIONAL FARMERS UNION PROPERTY AND CASUALTY COMPANY</v>
          </cell>
          <cell r="D724" t="str">
            <v>LA2 / BAUTISTA</v>
          </cell>
          <cell r="E724" t="str">
            <v>LA2 / BAUTISTA</v>
          </cell>
          <cell r="F724" t="str">
            <v>SF2 / GOTERA-PITROU</v>
          </cell>
          <cell r="G724">
            <v>0</v>
          </cell>
          <cell r="H724">
            <v>0</v>
          </cell>
        </row>
        <row r="725">
          <cell r="A725">
            <v>25240</v>
          </cell>
          <cell r="B725">
            <v>796</v>
          </cell>
          <cell r="C725" t="str">
            <v>NAU COUNTRY INSURANCE COMPANY</v>
          </cell>
          <cell r="D725" t="str">
            <v>LA2 / BAUTISTA</v>
          </cell>
          <cell r="E725" t="str">
            <v>LA2 / BAUTISTA</v>
          </cell>
          <cell r="F725" t="str">
            <v>SF2 / GOTERA-PITROU</v>
          </cell>
          <cell r="G725">
            <v>0</v>
          </cell>
          <cell r="H725">
            <v>0</v>
          </cell>
        </row>
        <row r="726">
          <cell r="A726">
            <v>27740</v>
          </cell>
          <cell r="B726">
            <v>796</v>
          </cell>
          <cell r="C726" t="str">
            <v>NORTH POINTE INSURANCE COMPANY</v>
          </cell>
          <cell r="D726" t="str">
            <v>LA2 / BAUTISTA</v>
          </cell>
          <cell r="E726" t="str">
            <v>LA2 / BAUTISTA</v>
          </cell>
          <cell r="F726" t="str">
            <v>SF2 / GOTERA-PITROU</v>
          </cell>
          <cell r="G726">
            <v>0</v>
          </cell>
          <cell r="H726">
            <v>0</v>
          </cell>
        </row>
        <row r="727">
          <cell r="A727">
            <v>37257</v>
          </cell>
          <cell r="B727">
            <v>796</v>
          </cell>
          <cell r="C727" t="str">
            <v>PRAETORIAN INSURANCE COMPANY</v>
          </cell>
          <cell r="D727" t="str">
            <v>LA2 / BAUTISTA</v>
          </cell>
          <cell r="E727" t="str">
            <v>LA2 / BAUTISTA</v>
          </cell>
          <cell r="F727" t="str">
            <v>SF2 / GOTERA-PITROU</v>
          </cell>
          <cell r="G727">
            <v>0</v>
          </cell>
          <cell r="H727">
            <v>0</v>
          </cell>
        </row>
        <row r="728">
          <cell r="A728">
            <v>39217</v>
          </cell>
          <cell r="B728">
            <v>796</v>
          </cell>
          <cell r="C728" t="str">
            <v>QBE INSURANCE CORPORATION</v>
          </cell>
          <cell r="D728" t="str">
            <v>LA2 / BAUTISTA</v>
          </cell>
          <cell r="E728" t="str">
            <v>LA2 / BAUTISTA</v>
          </cell>
          <cell r="F728" t="str">
            <v>SF2 / GOTERA-PITROU</v>
          </cell>
          <cell r="G728">
            <v>0</v>
          </cell>
          <cell r="H728">
            <v>0</v>
          </cell>
        </row>
        <row r="729">
          <cell r="A729">
            <v>10219</v>
          </cell>
          <cell r="B729">
            <v>796</v>
          </cell>
          <cell r="C729" t="str">
            <v>QBE REINSURANCE CORPORATION</v>
          </cell>
          <cell r="D729" t="str">
            <v>LA2 / BAUTISTA</v>
          </cell>
          <cell r="E729" t="str">
            <v>LA2 / BAUTISTA</v>
          </cell>
          <cell r="F729" t="str">
            <v>SF2 / GOTERA-PITROU</v>
          </cell>
          <cell r="G729">
            <v>0</v>
          </cell>
          <cell r="H729">
            <v>0</v>
          </cell>
        </row>
        <row r="730">
          <cell r="A730">
            <v>24449</v>
          </cell>
          <cell r="B730">
            <v>796</v>
          </cell>
          <cell r="C730" t="str">
            <v>REGENT INSURANCE COMPANY</v>
          </cell>
          <cell r="D730" t="str">
            <v>LA2 / BAUTISTA</v>
          </cell>
          <cell r="E730" t="str">
            <v>LA2 / BAUTISTA</v>
          </cell>
          <cell r="F730" t="str">
            <v>SF2 / GOTERA-PITROU</v>
          </cell>
          <cell r="G730">
            <v>0</v>
          </cell>
          <cell r="H730">
            <v>0</v>
          </cell>
        </row>
        <row r="731">
          <cell r="A731">
            <v>10340</v>
          </cell>
          <cell r="B731">
            <v>796</v>
          </cell>
          <cell r="C731" t="str">
            <v>STONINGTON INSURANCE COMPANY</v>
          </cell>
          <cell r="D731" t="str">
            <v>LA2 / BAUTISTA</v>
          </cell>
          <cell r="E731" t="str">
            <v>LA2 / BAUTISTA</v>
          </cell>
          <cell r="F731" t="str">
            <v>SF2 / GOTERA-PITROU</v>
          </cell>
          <cell r="G731" t="str">
            <v>RAO / NGUYEN</v>
          </cell>
          <cell r="H731" t="str">
            <v>RAO / NGUYEN</v>
          </cell>
        </row>
        <row r="732">
          <cell r="A732">
            <v>25798</v>
          </cell>
          <cell r="B732">
            <v>796</v>
          </cell>
          <cell r="C732" t="str">
            <v>UNIGARD INDEMNITY COMPANY</v>
          </cell>
          <cell r="D732" t="str">
            <v>LA2 / BAUTISTA</v>
          </cell>
          <cell r="E732" t="str">
            <v>LA2 / BAUTISTA</v>
          </cell>
          <cell r="F732" t="str">
            <v>SF2 / GOTERA-PITROU</v>
          </cell>
          <cell r="G732" t="str">
            <v>RAO / NGUYEN</v>
          </cell>
          <cell r="H732" t="str">
            <v>RAO / NGUYEN</v>
          </cell>
        </row>
        <row r="733">
          <cell r="A733">
            <v>25747</v>
          </cell>
          <cell r="B733">
            <v>796</v>
          </cell>
          <cell r="C733" t="str">
            <v>UNIGARD INSURANCE COMPANY</v>
          </cell>
          <cell r="D733" t="str">
            <v>LA2 / BAUTISTA</v>
          </cell>
          <cell r="E733" t="str">
            <v>LA2 / BAUTISTA</v>
          </cell>
          <cell r="F733" t="str">
            <v>SF2 / GOTERA-PITROU</v>
          </cell>
          <cell r="G733">
            <v>0</v>
          </cell>
          <cell r="H733">
            <v>0</v>
          </cell>
        </row>
        <row r="734">
          <cell r="A734">
            <v>15776</v>
          </cell>
          <cell r="B734">
            <v>800</v>
          </cell>
          <cell r="C734" t="str">
            <v>RESIDENCE MUTUAL INSURANCE COMPANY</v>
          </cell>
          <cell r="D734" t="str">
            <v>LA2 / BAUTISTA</v>
          </cell>
          <cell r="E734" t="str">
            <v>LA2 / BAUTISTA</v>
          </cell>
          <cell r="F734">
            <v>0</v>
          </cell>
          <cell r="G734">
            <v>0</v>
          </cell>
          <cell r="H734">
            <v>0</v>
          </cell>
        </row>
        <row r="735">
          <cell r="A735">
            <v>13625</v>
          </cell>
          <cell r="B735">
            <v>800</v>
          </cell>
          <cell r="C735" t="str">
            <v>WESTERN MUTUAL INSURANCE COMPANY</v>
          </cell>
          <cell r="D735" t="str">
            <v>LA2 / BAUTISTA</v>
          </cell>
          <cell r="E735" t="str">
            <v>LA2 / BAUTISTA</v>
          </cell>
          <cell r="F735">
            <v>0</v>
          </cell>
          <cell r="G735">
            <v>0</v>
          </cell>
          <cell r="H735">
            <v>0</v>
          </cell>
        </row>
        <row r="736">
          <cell r="A736">
            <v>13544</v>
          </cell>
          <cell r="B736">
            <v>802</v>
          </cell>
          <cell r="C736" t="str">
            <v>CALIFORNIA CAPITAL INSURANCE COMPANY</v>
          </cell>
          <cell r="D736" t="str">
            <v>SF1 / LI</v>
          </cell>
          <cell r="E736" t="str">
            <v>SF1 / LI</v>
          </cell>
          <cell r="F736">
            <v>0</v>
          </cell>
          <cell r="G736">
            <v>0</v>
          </cell>
          <cell r="H736">
            <v>0</v>
          </cell>
        </row>
        <row r="737">
          <cell r="A737">
            <v>12890</v>
          </cell>
          <cell r="B737">
            <v>802</v>
          </cell>
          <cell r="C737" t="str">
            <v>EAGLE WEST INSURANCE COMPANY</v>
          </cell>
          <cell r="D737" t="str">
            <v>SF1 / LI</v>
          </cell>
          <cell r="E737" t="str">
            <v>SF1 / LI</v>
          </cell>
          <cell r="F737">
            <v>0</v>
          </cell>
          <cell r="G737">
            <v>0</v>
          </cell>
          <cell r="H737">
            <v>0</v>
          </cell>
        </row>
        <row r="738">
          <cell r="A738">
            <v>23540</v>
          </cell>
          <cell r="B738">
            <v>802</v>
          </cell>
          <cell r="C738" t="str">
            <v>MONTEREY INSURANCE COMPANY</v>
          </cell>
          <cell r="D738" t="str">
            <v>SF1 / LI</v>
          </cell>
          <cell r="E738" t="str">
            <v>SF1 / LI</v>
          </cell>
          <cell r="F738">
            <v>0</v>
          </cell>
          <cell r="G738">
            <v>0</v>
          </cell>
          <cell r="H738">
            <v>0</v>
          </cell>
        </row>
        <row r="739">
          <cell r="A739">
            <v>32107</v>
          </cell>
          <cell r="B739">
            <v>808</v>
          </cell>
          <cell r="C739" t="str">
            <v>SUTTER INSURANCE COMPANY</v>
          </cell>
          <cell r="D739" t="str">
            <v>SF1 / POON</v>
          </cell>
          <cell r="E739" t="str">
            <v>SF1 / POON</v>
          </cell>
          <cell r="F739">
            <v>0</v>
          </cell>
          <cell r="G739">
            <v>0</v>
          </cell>
          <cell r="H739">
            <v>0</v>
          </cell>
        </row>
        <row r="740">
          <cell r="A740">
            <v>20710</v>
          </cell>
          <cell r="B740">
            <v>826</v>
          </cell>
          <cell r="C740" t="str">
            <v>CENTURY INDEMNITY COMPANY</v>
          </cell>
          <cell r="D740" t="str">
            <v>SF1 / LI</v>
          </cell>
          <cell r="E740" t="str">
            <v>SF1 / LI</v>
          </cell>
          <cell r="F740" t="str">
            <v>SF2 / GOTERA-PITROU</v>
          </cell>
          <cell r="G740">
            <v>0</v>
          </cell>
          <cell r="H740">
            <v>0</v>
          </cell>
        </row>
        <row r="741">
          <cell r="A741">
            <v>34495</v>
          </cell>
          <cell r="B741">
            <v>831</v>
          </cell>
          <cell r="C741" t="str">
            <v>DOCTORS COMPANY, AN INTER-INSURANCE EXCHANGE</v>
          </cell>
          <cell r="D741" t="str">
            <v>SF2 / DEMESA</v>
          </cell>
          <cell r="E741" t="str">
            <v>SF2 / DEMESA</v>
          </cell>
          <cell r="F741" t="str">
            <v>SF2 / DEMESA</v>
          </cell>
          <cell r="G741">
            <v>0</v>
          </cell>
          <cell r="H741">
            <v>0</v>
          </cell>
        </row>
        <row r="742">
          <cell r="A742">
            <v>34487</v>
          </cell>
          <cell r="B742">
            <v>831</v>
          </cell>
          <cell r="C742" t="str">
            <v>TDC SPECIALTY INSURANCE COMPANY</v>
          </cell>
          <cell r="D742" t="str">
            <v>SF2 / DEMESA</v>
          </cell>
          <cell r="E742" t="str">
            <v>SF2 / DEMESA</v>
          </cell>
          <cell r="F742" t="str">
            <v>SF2 / DEMESA</v>
          </cell>
          <cell r="G742">
            <v>0</v>
          </cell>
          <cell r="H742">
            <v>0</v>
          </cell>
        </row>
        <row r="743">
          <cell r="A743">
            <v>15059</v>
          </cell>
          <cell r="B743">
            <v>853</v>
          </cell>
          <cell r="C743" t="str">
            <v>PUBLIC SERVICE INSURANCE COMPANY (dba PSM Insurance Company)</v>
          </cell>
          <cell r="D743" t="str">
            <v>SF1 / LI</v>
          </cell>
          <cell r="E743" t="str">
            <v>SF1 / LI</v>
          </cell>
          <cell r="F743" t="str">
            <v>SF2 / GOTERA-PITROU</v>
          </cell>
          <cell r="G743">
            <v>0</v>
          </cell>
          <cell r="H743">
            <v>0</v>
          </cell>
        </row>
        <row r="744">
          <cell r="A744">
            <v>10997</v>
          </cell>
          <cell r="B744">
            <v>853</v>
          </cell>
          <cell r="C744" t="str">
            <v>WESTERN SELECT INSURANCE COMPANY</v>
          </cell>
          <cell r="D744" t="str">
            <v>SF1 / LI</v>
          </cell>
          <cell r="E744" t="str">
            <v>SF1 / LI</v>
          </cell>
          <cell r="F744" t="str">
            <v>SF2 / GOTERA-PITROU</v>
          </cell>
          <cell r="G744">
            <v>0</v>
          </cell>
          <cell r="H744">
            <v>0</v>
          </cell>
        </row>
        <row r="745">
          <cell r="A745">
            <v>12416</v>
          </cell>
          <cell r="B745">
            <v>867</v>
          </cell>
          <cell r="C745" t="str">
            <v>PROTECTIVE INSURANCE COMPANY</v>
          </cell>
          <cell r="D745" t="str">
            <v>LA2 / GUAN</v>
          </cell>
          <cell r="E745" t="str">
            <v>LA2 / GUAN</v>
          </cell>
          <cell r="F745" t="str">
            <v>SF2 / GOTERA-PITROU</v>
          </cell>
          <cell r="G745">
            <v>0</v>
          </cell>
          <cell r="H745">
            <v>0</v>
          </cell>
        </row>
        <row r="746">
          <cell r="A746">
            <v>40460</v>
          </cell>
          <cell r="B746">
            <v>867</v>
          </cell>
          <cell r="C746" t="str">
            <v>SAGAMORE INSURANCE COMPANY</v>
          </cell>
          <cell r="D746" t="str">
            <v>LA2 / GUAN</v>
          </cell>
          <cell r="E746" t="str">
            <v>LA2 / GUAN</v>
          </cell>
          <cell r="F746" t="str">
            <v>SF2 / GOTERA-PITROU</v>
          </cell>
          <cell r="G746">
            <v>0</v>
          </cell>
          <cell r="H746">
            <v>0</v>
          </cell>
        </row>
        <row r="747">
          <cell r="A747">
            <v>10054</v>
          </cell>
          <cell r="B747">
            <v>869</v>
          </cell>
          <cell r="C747" t="str">
            <v>SECURIAN CASUALTY COMPANY</v>
          </cell>
          <cell r="D747" t="str">
            <v>LA1 /  HUH</v>
          </cell>
          <cell r="E747" t="str">
            <v>LA1 / AHN</v>
          </cell>
          <cell r="F747">
            <v>0</v>
          </cell>
          <cell r="G747">
            <v>0</v>
          </cell>
          <cell r="H747">
            <v>0</v>
          </cell>
        </row>
        <row r="748">
          <cell r="A748">
            <v>40711</v>
          </cell>
          <cell r="B748">
            <v>879</v>
          </cell>
          <cell r="C748" t="str">
            <v>FRANKONA REINSURANCE COMPANY</v>
          </cell>
          <cell r="D748" t="str">
            <v>SF1 / POON</v>
          </cell>
          <cell r="E748" t="str">
            <v>SF1 / POON</v>
          </cell>
          <cell r="F748">
            <v>0</v>
          </cell>
          <cell r="G748">
            <v>0</v>
          </cell>
          <cell r="H748">
            <v>0</v>
          </cell>
        </row>
        <row r="749">
          <cell r="A749">
            <v>19615</v>
          </cell>
          <cell r="B749">
            <v>920</v>
          </cell>
          <cell r="C749" t="str">
            <v>AMERICAN RELIABLE INSURANCE COMPANY</v>
          </cell>
          <cell r="D749" t="str">
            <v>LA1 /  HUH</v>
          </cell>
          <cell r="E749" t="str">
            <v>LA1 / AHN</v>
          </cell>
          <cell r="F749">
            <v>0</v>
          </cell>
          <cell r="G749">
            <v>0</v>
          </cell>
          <cell r="H749">
            <v>0</v>
          </cell>
        </row>
        <row r="750">
          <cell r="A750">
            <v>11445</v>
          </cell>
          <cell r="B750">
            <v>920</v>
          </cell>
          <cell r="C750" t="str">
            <v>CGB INSURANCE COMPANY</v>
          </cell>
          <cell r="D750" t="str">
            <v>LA1 /  HUH</v>
          </cell>
          <cell r="E750" t="str">
            <v>LA1 / AHN</v>
          </cell>
          <cell r="F750">
            <v>0</v>
          </cell>
          <cell r="G750">
            <v>0</v>
          </cell>
          <cell r="H750">
            <v>0</v>
          </cell>
        </row>
        <row r="751">
          <cell r="A751">
            <v>42048</v>
          </cell>
          <cell r="B751">
            <v>920</v>
          </cell>
          <cell r="C751" t="str">
            <v>DIAMOND STATE INSURANCE COMPANY</v>
          </cell>
          <cell r="D751" t="str">
            <v>LA1 /  HUH</v>
          </cell>
          <cell r="E751" t="str">
            <v>LA1 / AHN</v>
          </cell>
          <cell r="F751">
            <v>0</v>
          </cell>
          <cell r="G751">
            <v>0</v>
          </cell>
          <cell r="H751">
            <v>0</v>
          </cell>
        </row>
        <row r="752">
          <cell r="A752">
            <v>40029</v>
          </cell>
          <cell r="B752">
            <v>922</v>
          </cell>
          <cell r="C752" t="str">
            <v>EXPLORER INSURANCE COMPANY</v>
          </cell>
          <cell r="D752" t="str">
            <v>LA1 /  HUH</v>
          </cell>
          <cell r="E752" t="str">
            <v>LA1 / AHN</v>
          </cell>
          <cell r="F752">
            <v>0</v>
          </cell>
          <cell r="G752">
            <v>0</v>
          </cell>
          <cell r="H752">
            <v>0</v>
          </cell>
        </row>
        <row r="753">
          <cell r="A753">
            <v>24635</v>
          </cell>
          <cell r="B753">
            <v>922</v>
          </cell>
          <cell r="C753" t="str">
            <v>ICW NATIONAL INSURANCE COMPANY</v>
          </cell>
          <cell r="D753" t="str">
            <v>LA1 /  HUH</v>
          </cell>
          <cell r="E753" t="str">
            <v>LA1 / AHN</v>
          </cell>
          <cell r="F753">
            <v>0</v>
          </cell>
          <cell r="G753">
            <v>0</v>
          </cell>
          <cell r="H753">
            <v>0</v>
          </cell>
        </row>
        <row r="754">
          <cell r="A754">
            <v>27847</v>
          </cell>
          <cell r="B754">
            <v>922</v>
          </cell>
          <cell r="C754" t="str">
            <v>INSURANCE COMPANY OF THE WEST</v>
          </cell>
          <cell r="D754" t="str">
            <v>LA1 /  HUH</v>
          </cell>
          <cell r="E754" t="str">
            <v>LA1 / AHN</v>
          </cell>
          <cell r="F754">
            <v>0</v>
          </cell>
          <cell r="G754">
            <v>0</v>
          </cell>
          <cell r="H754">
            <v>0</v>
          </cell>
        </row>
        <row r="755">
          <cell r="A755">
            <v>32778</v>
          </cell>
          <cell r="B755">
            <v>923</v>
          </cell>
          <cell r="C755" t="str">
            <v>WASHINGTON INTERNATIONAL INSURANCE COMPANY</v>
          </cell>
          <cell r="D755" t="str">
            <v>LA1 /  HUH</v>
          </cell>
          <cell r="E755" t="str">
            <v>LA1 / OKPARA</v>
          </cell>
          <cell r="F755">
            <v>0</v>
          </cell>
          <cell r="G755">
            <v>0</v>
          </cell>
          <cell r="H755">
            <v>0</v>
          </cell>
        </row>
        <row r="756">
          <cell r="A756">
            <v>14435</v>
          </cell>
          <cell r="B756">
            <v>946</v>
          </cell>
          <cell r="C756" t="str">
            <v>LUMBER MUTUAL INSURANCE COMPANY</v>
          </cell>
          <cell r="D756" t="str">
            <v>LA1 /  HUH</v>
          </cell>
          <cell r="E756" t="str">
            <v>LA1 / OKPARA</v>
          </cell>
          <cell r="F756">
            <v>0</v>
          </cell>
          <cell r="G756">
            <v>0</v>
          </cell>
          <cell r="H756">
            <v>0</v>
          </cell>
        </row>
        <row r="757">
          <cell r="A757">
            <v>30503</v>
          </cell>
          <cell r="B757">
            <v>958</v>
          </cell>
          <cell r="C757" t="str">
            <v>FEDERAL KEMPER INS CO (dba Ins Co of DecaLINr)</v>
          </cell>
          <cell r="D757" t="str">
            <v>LA2 / GUAN</v>
          </cell>
          <cell r="E757" t="str">
            <v>LA2 / GUAN</v>
          </cell>
          <cell r="F757" t="str">
            <v>SF2 / GOTERA-PITROU</v>
          </cell>
          <cell r="G757">
            <v>0</v>
          </cell>
          <cell r="H757">
            <v>0</v>
          </cell>
        </row>
        <row r="758">
          <cell r="A758">
            <v>22438</v>
          </cell>
          <cell r="B758">
            <v>958</v>
          </cell>
          <cell r="C758" t="str">
            <v>HAWAIIAN INSURANCE AND GUARANTY COMPANY, LTD</v>
          </cell>
          <cell r="D758" t="str">
            <v>LA2 / GUAN</v>
          </cell>
          <cell r="E758" t="str">
            <v>LA2 / GUAN</v>
          </cell>
          <cell r="F758" t="str">
            <v>SF2 / GOTERA-PITROU</v>
          </cell>
          <cell r="G758">
            <v>0</v>
          </cell>
          <cell r="H758">
            <v>0</v>
          </cell>
        </row>
        <row r="759">
          <cell r="A759">
            <v>30503</v>
          </cell>
          <cell r="B759">
            <v>958</v>
          </cell>
          <cell r="C759" t="str">
            <v>INSURANCE COMPANY OF DECALINR (see Federal Kemper Insurance Company_</v>
          </cell>
          <cell r="D759" t="str">
            <v>LA2 / GUAN</v>
          </cell>
          <cell r="E759" t="str">
            <v>LA2 / GUAN</v>
          </cell>
          <cell r="F759" t="str">
            <v>SF2 / GOTERA-PITROU</v>
          </cell>
          <cell r="G759">
            <v>0</v>
          </cell>
          <cell r="H759">
            <v>0</v>
          </cell>
        </row>
        <row r="760">
          <cell r="A760">
            <v>26620</v>
          </cell>
          <cell r="B760">
            <v>958</v>
          </cell>
          <cell r="C760" t="str">
            <v>SHEFFIELD INSURANCE CORPORATION (ALABAMA)</v>
          </cell>
          <cell r="D760" t="str">
            <v>LA2 / GUAN</v>
          </cell>
          <cell r="E760" t="str">
            <v>LA2 / GUAN</v>
          </cell>
          <cell r="F760" t="str">
            <v>SF2 / GOTERA-PITROU</v>
          </cell>
          <cell r="G760">
            <v>0</v>
          </cell>
          <cell r="H760">
            <v>0</v>
          </cell>
        </row>
        <row r="761">
          <cell r="A761">
            <v>11762</v>
          </cell>
          <cell r="B761">
            <v>958</v>
          </cell>
          <cell r="C761" t="str">
            <v>VESTA FIRE INSURANCE CORPORATION</v>
          </cell>
          <cell r="D761" t="str">
            <v>LA2 / GUAN</v>
          </cell>
          <cell r="E761" t="str">
            <v>LA2 / GUAN</v>
          </cell>
          <cell r="F761" t="str">
            <v>SF2 / GOTERA-PITROU</v>
          </cell>
          <cell r="G761">
            <v>0</v>
          </cell>
          <cell r="H761">
            <v>0</v>
          </cell>
        </row>
        <row r="762">
          <cell r="A762">
            <v>42250</v>
          </cell>
          <cell r="B762">
            <v>961</v>
          </cell>
          <cell r="C762" t="str">
            <v>FRONTIER PACIFIC INSURANCE COMPANY</v>
          </cell>
          <cell r="D762" t="str">
            <v>SF2 / SALAZAR</v>
          </cell>
          <cell r="E762" t="str">
            <v>SF2 / SALAZAR</v>
          </cell>
          <cell r="F762" t="str">
            <v>SF2 / SALAZAR</v>
          </cell>
          <cell r="G762">
            <v>0</v>
          </cell>
          <cell r="H762">
            <v>0</v>
          </cell>
        </row>
        <row r="763">
          <cell r="A763">
            <v>33022</v>
          </cell>
          <cell r="B763">
            <v>968</v>
          </cell>
          <cell r="C763" t="str">
            <v>AXA INSURANCE COMPANY</v>
          </cell>
          <cell r="D763" t="str">
            <v>SF2 / DEMESA</v>
          </cell>
          <cell r="E763" t="str">
            <v>SF2 / DEMESA</v>
          </cell>
          <cell r="F763" t="str">
            <v>SF2 / DEMESA</v>
          </cell>
          <cell r="G763">
            <v>0</v>
          </cell>
          <cell r="H763">
            <v>0</v>
          </cell>
        </row>
        <row r="764">
          <cell r="A764">
            <v>24503</v>
          </cell>
          <cell r="B764">
            <v>968</v>
          </cell>
          <cell r="C764" t="str">
            <v>CATLIN INDEMNITY COMPANY</v>
          </cell>
          <cell r="D764" t="str">
            <v>SF2 / DEMESA</v>
          </cell>
          <cell r="E764" t="str">
            <v>SF2 / DEMESA</v>
          </cell>
          <cell r="F764" t="str">
            <v>SF2 / DEMESA</v>
          </cell>
          <cell r="G764">
            <v>0</v>
          </cell>
          <cell r="H764">
            <v>0</v>
          </cell>
        </row>
        <row r="765">
          <cell r="A765">
            <v>19518</v>
          </cell>
          <cell r="B765">
            <v>968</v>
          </cell>
          <cell r="C765" t="str">
            <v>CATLIN INSURANCE COMPANY, INC.</v>
          </cell>
          <cell r="D765" t="str">
            <v>SF2 / DEMESA</v>
          </cell>
          <cell r="E765" t="str">
            <v>SF2 / DEMESA</v>
          </cell>
          <cell r="F765" t="str">
            <v>SF2 / DEMESA</v>
          </cell>
          <cell r="G765">
            <v>0</v>
          </cell>
          <cell r="H765">
            <v>0</v>
          </cell>
        </row>
        <row r="766">
          <cell r="A766">
            <v>36552</v>
          </cell>
          <cell r="B766">
            <v>968</v>
          </cell>
          <cell r="C766" t="str">
            <v>COLISEUM REINSURANCE COMPANY</v>
          </cell>
          <cell r="D766" t="str">
            <v>SF2 / DEMESA</v>
          </cell>
          <cell r="E766" t="str">
            <v>SF2 / DEMESA</v>
          </cell>
          <cell r="F766" t="str">
            <v>SF2 / DEMESA</v>
          </cell>
          <cell r="G766">
            <v>0</v>
          </cell>
          <cell r="H766">
            <v>0</v>
          </cell>
        </row>
        <row r="767">
          <cell r="A767">
            <v>21032</v>
          </cell>
          <cell r="B767">
            <v>968</v>
          </cell>
          <cell r="C767" t="str">
            <v>GLOBAL REINSURANCE CORPORATION OF AMERICA</v>
          </cell>
          <cell r="D767" t="str">
            <v>SF2 / DEMESA</v>
          </cell>
          <cell r="E767" t="str">
            <v>SF2 / DEMESA</v>
          </cell>
          <cell r="F767" t="str">
            <v>SF2 / DEMESA</v>
          </cell>
          <cell r="G767">
            <v>0</v>
          </cell>
          <cell r="H767">
            <v>0</v>
          </cell>
        </row>
        <row r="768">
          <cell r="A768">
            <v>22322</v>
          </cell>
          <cell r="B768">
            <v>968</v>
          </cell>
          <cell r="C768" t="str">
            <v>GREENWICH INSURANCE COMPANY</v>
          </cell>
          <cell r="D768" t="str">
            <v>SF2 / DEMESA</v>
          </cell>
          <cell r="E768" t="str">
            <v>SF2 / DEMESA</v>
          </cell>
          <cell r="F768" t="str">
            <v>SF2 / DEMESA</v>
          </cell>
          <cell r="G768">
            <v>0</v>
          </cell>
          <cell r="H768">
            <v>0</v>
          </cell>
        </row>
        <row r="769">
          <cell r="A769">
            <v>40193</v>
          </cell>
          <cell r="B769">
            <v>968</v>
          </cell>
          <cell r="C769" t="str">
            <v>X. L. INSURANCE COMPANY OF NY INC.</v>
          </cell>
          <cell r="D769" t="str">
            <v>SF2 / DEMESA</v>
          </cell>
          <cell r="E769" t="str">
            <v>SF2 / DEMESA</v>
          </cell>
          <cell r="F769" t="str">
            <v>SF2 / DEMESA</v>
          </cell>
          <cell r="G769">
            <v>0</v>
          </cell>
          <cell r="H769">
            <v>0</v>
          </cell>
        </row>
        <row r="770">
          <cell r="A770">
            <v>24554</v>
          </cell>
          <cell r="B770">
            <v>968</v>
          </cell>
          <cell r="C770" t="str">
            <v>XL INSURANCE AMERICA, INC.</v>
          </cell>
          <cell r="D770" t="str">
            <v>SF2 / DEMESA</v>
          </cell>
          <cell r="E770" t="str">
            <v>SF2 / DEMESA</v>
          </cell>
          <cell r="F770" t="str">
            <v>SF2 / DEMESA</v>
          </cell>
          <cell r="G770">
            <v>0</v>
          </cell>
          <cell r="H770">
            <v>0</v>
          </cell>
        </row>
        <row r="771">
          <cell r="A771">
            <v>20583</v>
          </cell>
          <cell r="B771">
            <v>968</v>
          </cell>
          <cell r="C771" t="str">
            <v>XL REINSURANCE AMERICA INC.</v>
          </cell>
          <cell r="D771" t="str">
            <v>SF2 / DEMESA</v>
          </cell>
          <cell r="E771" t="str">
            <v>SF2 / DEMESA</v>
          </cell>
          <cell r="F771" t="str">
            <v>SF2 / DEMESA</v>
          </cell>
          <cell r="G771">
            <v>0</v>
          </cell>
          <cell r="H771">
            <v>0</v>
          </cell>
        </row>
        <row r="772">
          <cell r="A772">
            <v>37885</v>
          </cell>
          <cell r="B772">
            <v>968</v>
          </cell>
          <cell r="C772" t="str">
            <v>XL SPECIALTY INSURANCE COMPANY</v>
          </cell>
          <cell r="D772" t="str">
            <v>SF2 / DEMESA</v>
          </cell>
          <cell r="E772" t="str">
            <v>SF2 / DEMESA</v>
          </cell>
          <cell r="F772" t="str">
            <v>SF2 / DEMESA</v>
          </cell>
          <cell r="G772">
            <v>0</v>
          </cell>
          <cell r="H772">
            <v>0</v>
          </cell>
        </row>
        <row r="773">
          <cell r="A773">
            <v>22489</v>
          </cell>
          <cell r="B773">
            <v>1116</v>
          </cell>
          <cell r="C773" t="str">
            <v>HIGHLANDS INSURANCE COMPANY</v>
          </cell>
          <cell r="D773" t="str">
            <v>SF1 / CARLSON</v>
          </cell>
          <cell r="E773" t="str">
            <v>SF1 / CARLSON</v>
          </cell>
          <cell r="F773" t="str">
            <v>SF2 / GOTERA-PITROU</v>
          </cell>
          <cell r="G773">
            <v>0</v>
          </cell>
          <cell r="H773">
            <v>0</v>
          </cell>
        </row>
        <row r="774">
          <cell r="A774">
            <v>22497</v>
          </cell>
          <cell r="B774">
            <v>1116</v>
          </cell>
          <cell r="C774" t="str">
            <v>HIGHLANDS UNDERWRITERS INSURANCE COMPANY</v>
          </cell>
          <cell r="D774" t="str">
            <v>SF1 / CARLSON</v>
          </cell>
          <cell r="E774" t="str">
            <v>SF1 / CARLSON</v>
          </cell>
          <cell r="F774" t="str">
            <v>SF2 / GOTERA-PITROU</v>
          </cell>
          <cell r="G774">
            <v>0</v>
          </cell>
          <cell r="H774">
            <v>0</v>
          </cell>
        </row>
        <row r="775">
          <cell r="A775">
            <v>23086</v>
          </cell>
          <cell r="B775">
            <v>1116</v>
          </cell>
          <cell r="C775" t="str">
            <v>LMI INSURANCE COMPANY</v>
          </cell>
          <cell r="D775" t="str">
            <v>SF1 / CARLSON</v>
          </cell>
          <cell r="E775" t="str">
            <v>SF1 / CARLSON</v>
          </cell>
          <cell r="F775" t="str">
            <v>SF2 / GOTERA-PITROU</v>
          </cell>
          <cell r="G775">
            <v>0</v>
          </cell>
          <cell r="H775">
            <v>0</v>
          </cell>
        </row>
        <row r="776">
          <cell r="A776">
            <v>23906</v>
          </cell>
          <cell r="B776">
            <v>1116</v>
          </cell>
          <cell r="C776" t="str">
            <v>NORTHWESTERN NATIONAL CASUALTY COMPANY</v>
          </cell>
          <cell r="D776" t="str">
            <v>SF1 / CARLSON</v>
          </cell>
          <cell r="E776" t="str">
            <v>SF1 / CARLSON</v>
          </cell>
          <cell r="F776" t="str">
            <v>SF2 / GOTERA-PITROU</v>
          </cell>
          <cell r="G776">
            <v>0</v>
          </cell>
          <cell r="H776">
            <v>0</v>
          </cell>
        </row>
        <row r="777">
          <cell r="A777">
            <v>23930</v>
          </cell>
          <cell r="B777">
            <v>1116</v>
          </cell>
          <cell r="C777" t="str">
            <v>PACIFIC NATIONAL INSURANCE COMPANY</v>
          </cell>
          <cell r="D777" t="str">
            <v>SF1 / CARLSON</v>
          </cell>
          <cell r="E777" t="str">
            <v>SF1 / CARLSON</v>
          </cell>
          <cell r="F777" t="str">
            <v>SF2 / GOTERA-PITROU</v>
          </cell>
          <cell r="G777">
            <v>0</v>
          </cell>
          <cell r="H777">
            <v>0</v>
          </cell>
        </row>
        <row r="778">
          <cell r="A778">
            <v>16044</v>
          </cell>
          <cell r="B778">
            <v>1120</v>
          </cell>
          <cell r="C778" t="str">
            <v>EVEREST DENALI INSURANCE COMPANY</v>
          </cell>
          <cell r="D778" t="str">
            <v>SF2 / SALAZAR</v>
          </cell>
          <cell r="E778" t="str">
            <v>SF2 / SALAZAR</v>
          </cell>
          <cell r="F778" t="str">
            <v>SF2 / SALAZAR</v>
          </cell>
          <cell r="G778">
            <v>0</v>
          </cell>
          <cell r="H778">
            <v>0</v>
          </cell>
        </row>
        <row r="779">
          <cell r="A779">
            <v>10120</v>
          </cell>
          <cell r="B779">
            <v>1120</v>
          </cell>
          <cell r="C779" t="str">
            <v>EVEREST NATIONAL INSURANCE COMPANY</v>
          </cell>
          <cell r="D779" t="str">
            <v>SF2 / SALAZAR</v>
          </cell>
          <cell r="E779" t="str">
            <v>SF2 / SALAZAR</v>
          </cell>
          <cell r="F779" t="str">
            <v>SF2 / SALAZAR</v>
          </cell>
          <cell r="G779">
            <v>0</v>
          </cell>
          <cell r="H779">
            <v>0</v>
          </cell>
        </row>
        <row r="780">
          <cell r="A780">
            <v>16045</v>
          </cell>
          <cell r="B780">
            <v>1120</v>
          </cell>
          <cell r="C780" t="str">
            <v>EVEREST PREMIER INSURANCE COMPANY</v>
          </cell>
          <cell r="D780" t="str">
            <v>SF2 / SALAZAR</v>
          </cell>
          <cell r="E780" t="str">
            <v>SF2 / SALAZAR</v>
          </cell>
          <cell r="F780" t="str">
            <v>SF2 / SALAZAR</v>
          </cell>
          <cell r="G780">
            <v>0</v>
          </cell>
          <cell r="H780">
            <v>0</v>
          </cell>
        </row>
        <row r="781">
          <cell r="A781">
            <v>26921</v>
          </cell>
          <cell r="B781">
            <v>1120</v>
          </cell>
          <cell r="C781" t="str">
            <v>EVEREST REINSURANCE COMPANY</v>
          </cell>
          <cell r="D781" t="str">
            <v>SF2 / SALAZAR</v>
          </cell>
          <cell r="E781" t="str">
            <v>SF2 / SALAZAR</v>
          </cell>
          <cell r="F781" t="str">
            <v>SF2 / SALAZAR</v>
          </cell>
          <cell r="G781">
            <v>0</v>
          </cell>
          <cell r="H781">
            <v>0</v>
          </cell>
        </row>
        <row r="782">
          <cell r="A782">
            <v>27154</v>
          </cell>
          <cell r="B782">
            <v>1129</v>
          </cell>
          <cell r="C782" t="str">
            <v>ATLANTIC SPECIALTY INSURANCE COMPANY</v>
          </cell>
          <cell r="D782" t="str">
            <v>SF2 / DEMESA</v>
          </cell>
          <cell r="E782" t="str">
            <v>SF2 / DEMESA</v>
          </cell>
          <cell r="F782" t="str">
            <v>SF2 / DEMESA</v>
          </cell>
          <cell r="G782">
            <v>0</v>
          </cell>
          <cell r="H782">
            <v>0</v>
          </cell>
        </row>
        <row r="783">
          <cell r="A783">
            <v>27251</v>
          </cell>
          <cell r="B783">
            <v>1135</v>
          </cell>
          <cell r="C783" t="str">
            <v>PMI MORTGAGE INSURANCE COMPANY</v>
          </cell>
          <cell r="D783" t="str">
            <v>SF1 / CARLSON</v>
          </cell>
          <cell r="E783" t="str">
            <v>SF1 / CARLSON</v>
          </cell>
          <cell r="F783" t="str">
            <v>SF2 / GOTERA-PITROU</v>
          </cell>
          <cell r="G783">
            <v>0</v>
          </cell>
          <cell r="H783">
            <v>0</v>
          </cell>
        </row>
        <row r="784">
          <cell r="A784">
            <v>27251</v>
          </cell>
          <cell r="B784">
            <v>1135</v>
          </cell>
          <cell r="C784" t="str">
            <v>PMI MORTGAGE INSURANCE COMPANY</v>
          </cell>
          <cell r="D784" t="str">
            <v>SF1 / CARLSON</v>
          </cell>
          <cell r="E784" t="str">
            <v>SF1 / CARLSON</v>
          </cell>
          <cell r="F784" t="str">
            <v>SF2 / GOTERA-PITROU</v>
          </cell>
          <cell r="G784">
            <v>0</v>
          </cell>
          <cell r="H784">
            <v>0</v>
          </cell>
        </row>
        <row r="785">
          <cell r="A785">
            <v>28800</v>
          </cell>
          <cell r="B785">
            <v>1144</v>
          </cell>
          <cell r="C785" t="str">
            <v>INSURANCE CORPORATION OF AMERICA</v>
          </cell>
          <cell r="D785" t="str">
            <v>SF1 / POON</v>
          </cell>
          <cell r="E785" t="str">
            <v>SF1 / POON</v>
          </cell>
          <cell r="F785">
            <v>0</v>
          </cell>
          <cell r="G785">
            <v>0</v>
          </cell>
          <cell r="H785">
            <v>0</v>
          </cell>
        </row>
        <row r="786">
          <cell r="A786">
            <v>36234</v>
          </cell>
          <cell r="B786">
            <v>1154</v>
          </cell>
          <cell r="C786" t="str">
            <v>PREFERRED PROFESSIONAL INSURANCE COMPANY</v>
          </cell>
          <cell r="D786" t="str">
            <v>SF2 / SALAZAR</v>
          </cell>
          <cell r="E786" t="str">
            <v>SF2 / SALAZAR</v>
          </cell>
          <cell r="F786" t="str">
            <v>SF2 / SALAZAR</v>
          </cell>
          <cell r="G786">
            <v>0</v>
          </cell>
          <cell r="H786">
            <v>0</v>
          </cell>
        </row>
        <row r="787">
          <cell r="A787">
            <v>24422</v>
          </cell>
          <cell r="B787">
            <v>1172</v>
          </cell>
          <cell r="C787" t="str">
            <v>LEGION INSURANCE COMPANY</v>
          </cell>
          <cell r="D787" t="str">
            <v>LA1 /  HUH</v>
          </cell>
          <cell r="E787" t="str">
            <v>LA1 / AHN</v>
          </cell>
          <cell r="F787" t="str">
            <v>SF2 / GOTERA-PITROU</v>
          </cell>
          <cell r="G787">
            <v>0</v>
          </cell>
          <cell r="H787">
            <v>0</v>
          </cell>
        </row>
        <row r="788">
          <cell r="A788">
            <v>19577</v>
          </cell>
          <cell r="B788">
            <v>1172</v>
          </cell>
          <cell r="C788" t="str">
            <v>VILLANOVA INSURANCE COMPANY</v>
          </cell>
          <cell r="D788" t="str">
            <v>LA1 /  HUH</v>
          </cell>
          <cell r="E788" t="str">
            <v>LA1 / AHN</v>
          </cell>
          <cell r="F788" t="str">
            <v>SF2 / GOTERA-PITROU</v>
          </cell>
          <cell r="G788">
            <v>0</v>
          </cell>
          <cell r="H788">
            <v>0</v>
          </cell>
        </row>
        <row r="789">
          <cell r="A789">
            <v>10671</v>
          </cell>
          <cell r="B789">
            <v>1208</v>
          </cell>
          <cell r="C789" t="str">
            <v>GRAY CASUALTY &amp; SURETY COMPANY</v>
          </cell>
          <cell r="D789" t="str">
            <v>SF1 / LI</v>
          </cell>
          <cell r="E789" t="str">
            <v>SF1 / LI</v>
          </cell>
          <cell r="F789">
            <v>0</v>
          </cell>
          <cell r="G789">
            <v>0</v>
          </cell>
          <cell r="H789">
            <v>0</v>
          </cell>
        </row>
        <row r="790">
          <cell r="A790">
            <v>36307</v>
          </cell>
          <cell r="B790">
            <v>1208</v>
          </cell>
          <cell r="C790" t="str">
            <v>GRAY INSURANCE COMPANY</v>
          </cell>
          <cell r="D790" t="str">
            <v>SF1 / LI</v>
          </cell>
          <cell r="E790" t="str">
            <v>SF1 / LI</v>
          </cell>
          <cell r="F790">
            <v>0</v>
          </cell>
          <cell r="G790">
            <v>0</v>
          </cell>
          <cell r="H790">
            <v>0</v>
          </cell>
        </row>
        <row r="791">
          <cell r="A791">
            <v>32859</v>
          </cell>
          <cell r="B791">
            <v>1218</v>
          </cell>
          <cell r="C791" t="str">
            <v>PENN-AMERICA INSURANCE COMPANY</v>
          </cell>
          <cell r="D791" t="str">
            <v>LA1 /  HUH</v>
          </cell>
          <cell r="E791" t="str">
            <v>LA1 / OKPARA</v>
          </cell>
          <cell r="F791">
            <v>0</v>
          </cell>
          <cell r="G791">
            <v>0</v>
          </cell>
          <cell r="H791" t="str">
            <v>RAO / YE</v>
          </cell>
        </row>
        <row r="792">
          <cell r="A792">
            <v>18872</v>
          </cell>
          <cell r="B792">
            <v>1222</v>
          </cell>
          <cell r="C792" t="str">
            <v>ACHD INSURANCE COMPANY</v>
          </cell>
          <cell r="D792" t="str">
            <v>SF1 / CARLSON</v>
          </cell>
          <cell r="E792" t="str">
            <v>SF1 / CARLSON</v>
          </cell>
          <cell r="F792">
            <v>0</v>
          </cell>
          <cell r="G792" t="str">
            <v>RAO / YE</v>
          </cell>
          <cell r="H792" t="str">
            <v>RAO / YE</v>
          </cell>
        </row>
        <row r="793">
          <cell r="A793">
            <v>29513</v>
          </cell>
          <cell r="B793">
            <v>1228</v>
          </cell>
          <cell r="C793" t="str">
            <v>BAR PLAN MUTUAL INSURANCE COMPANY (THE)</v>
          </cell>
          <cell r="D793" t="str">
            <v>LA3 / LIN</v>
          </cell>
          <cell r="E793" t="str">
            <v>LA3 / LIN</v>
          </cell>
          <cell r="F793">
            <v>0</v>
          </cell>
          <cell r="G793">
            <v>0</v>
          </cell>
          <cell r="H793">
            <v>0</v>
          </cell>
        </row>
        <row r="794">
          <cell r="A794">
            <v>18708</v>
          </cell>
          <cell r="B794">
            <v>1248</v>
          </cell>
          <cell r="C794" t="str">
            <v>AMBAC ASSURANCE CORPORATION</v>
          </cell>
          <cell r="D794" t="str">
            <v>SF2 / GOTERA-PITROU</v>
          </cell>
          <cell r="E794" t="str">
            <v>SF2 / GOTERA-PITROU</v>
          </cell>
          <cell r="F794" t="str">
            <v>SF2 / GOTERA-PITROU</v>
          </cell>
          <cell r="G794">
            <v>0</v>
          </cell>
          <cell r="H794">
            <v>0</v>
          </cell>
        </row>
        <row r="795">
          <cell r="A795">
            <v>24961</v>
          </cell>
          <cell r="B795">
            <v>1248</v>
          </cell>
          <cell r="C795" t="str">
            <v>EVERSPAN FINANCIAL GUARANTEE CORP.</v>
          </cell>
          <cell r="D795" t="str">
            <v>SF2 / GOTERA-PITROU</v>
          </cell>
          <cell r="E795" t="str">
            <v>SF2 / GOTERA-PITROU</v>
          </cell>
          <cell r="F795" t="str">
            <v>SF2 / GOTERA-PITROU</v>
          </cell>
          <cell r="G795">
            <v>0</v>
          </cell>
          <cell r="H795">
            <v>0</v>
          </cell>
        </row>
        <row r="796">
          <cell r="A796">
            <v>33383</v>
          </cell>
          <cell r="B796">
            <v>1272</v>
          </cell>
          <cell r="C796" t="str">
            <v>FIRST PROFESSIONALS INSURANCE COMPANY</v>
          </cell>
          <cell r="D796" t="str">
            <v>SF2 / SALAZAR</v>
          </cell>
          <cell r="E796" t="str">
            <v>SF2 / SALAZAR</v>
          </cell>
          <cell r="F796" t="str">
            <v>SF2 / SALAZAR</v>
          </cell>
          <cell r="G796">
            <v>0</v>
          </cell>
          <cell r="H796">
            <v>0</v>
          </cell>
        </row>
        <row r="797">
          <cell r="A797">
            <v>10921</v>
          </cell>
          <cell r="B797">
            <v>1278</v>
          </cell>
          <cell r="C797" t="str">
            <v>CSAA FIRE &amp; CASUALTY INSURANCE COMPANY</v>
          </cell>
          <cell r="D797" t="str">
            <v>SF1 / LI</v>
          </cell>
          <cell r="E797" t="str">
            <v>SF1 / LI</v>
          </cell>
          <cell r="F797">
            <v>0</v>
          </cell>
          <cell r="G797">
            <v>0</v>
          </cell>
          <cell r="H797">
            <v>0</v>
          </cell>
        </row>
        <row r="798">
          <cell r="A798">
            <v>37770</v>
          </cell>
          <cell r="B798">
            <v>1278</v>
          </cell>
          <cell r="C798" t="str">
            <v>CSAA GENERAL INSURANCE COMPANY</v>
          </cell>
          <cell r="D798" t="str">
            <v>SF1 / LI</v>
          </cell>
          <cell r="E798" t="str">
            <v>SF1 / LI</v>
          </cell>
          <cell r="F798">
            <v>0</v>
          </cell>
          <cell r="G798">
            <v>0</v>
          </cell>
          <cell r="H798">
            <v>0</v>
          </cell>
        </row>
        <row r="799">
          <cell r="A799">
            <v>15539</v>
          </cell>
          <cell r="B799">
            <v>1278</v>
          </cell>
          <cell r="C799" t="str">
            <v>CSAA INSURANCE EXCHANGE</v>
          </cell>
          <cell r="D799" t="str">
            <v>SF1 / LI</v>
          </cell>
          <cell r="E799" t="str">
            <v>SF1 / LI</v>
          </cell>
          <cell r="F799">
            <v>0</v>
          </cell>
          <cell r="G799">
            <v>0</v>
          </cell>
          <cell r="H799">
            <v>0</v>
          </cell>
        </row>
        <row r="800">
          <cell r="A800">
            <v>16392</v>
          </cell>
          <cell r="B800">
            <v>1278</v>
          </cell>
          <cell r="C800" t="str">
            <v>MOBILITAS INSURANCE COMPANY</v>
          </cell>
          <cell r="D800" t="str">
            <v>SF1 / LI</v>
          </cell>
          <cell r="E800" t="str">
            <v>SF1 / LI</v>
          </cell>
          <cell r="F800">
            <v>0</v>
          </cell>
          <cell r="G800">
            <v>0</v>
          </cell>
          <cell r="H800">
            <v>0</v>
          </cell>
        </row>
        <row r="801">
          <cell r="A801">
            <v>11150</v>
          </cell>
          <cell r="B801">
            <v>1279</v>
          </cell>
          <cell r="C801" t="str">
            <v>ARCH INSURANCE COMPANY</v>
          </cell>
          <cell r="D801" t="str">
            <v>SF2 / DEMESA</v>
          </cell>
          <cell r="E801" t="str">
            <v>SF2 / DEMESA</v>
          </cell>
          <cell r="F801" t="str">
            <v>SF2 / GOTERA-PITROU</v>
          </cell>
          <cell r="G801">
            <v>0</v>
          </cell>
          <cell r="H801">
            <v>0</v>
          </cell>
        </row>
        <row r="802">
          <cell r="A802">
            <v>29114</v>
          </cell>
          <cell r="B802">
            <v>1279</v>
          </cell>
          <cell r="C802" t="str">
            <v>ARCH MORTGAGE ASSURANCE COMPANY</v>
          </cell>
          <cell r="D802" t="str">
            <v>SF2 / DEMESA</v>
          </cell>
          <cell r="E802" t="str">
            <v>SF2 / DEMESA</v>
          </cell>
          <cell r="F802" t="str">
            <v>SF2 / GOTERA-PITROU</v>
          </cell>
          <cell r="G802">
            <v>0</v>
          </cell>
          <cell r="H802">
            <v>0</v>
          </cell>
        </row>
        <row r="803">
          <cell r="A803">
            <v>18732</v>
          </cell>
          <cell r="B803">
            <v>1279</v>
          </cell>
          <cell r="C803" t="str">
            <v>ARCH MORTGAGE GUARANTY COMPANY</v>
          </cell>
          <cell r="D803" t="str">
            <v>SF2 / DEMESA</v>
          </cell>
          <cell r="E803" t="str">
            <v>SF2 / DEMESA</v>
          </cell>
          <cell r="F803" t="str">
            <v>SF2 / GOTERA-PITROU</v>
          </cell>
          <cell r="G803">
            <v>0</v>
          </cell>
          <cell r="H803">
            <v>0</v>
          </cell>
        </row>
        <row r="804">
          <cell r="A804">
            <v>40266</v>
          </cell>
          <cell r="B804">
            <v>1279</v>
          </cell>
          <cell r="C804" t="str">
            <v>ARCH MORTGAGE INSURANCE COMPANY</v>
          </cell>
          <cell r="D804" t="str">
            <v>SF2 / DEMESA</v>
          </cell>
          <cell r="E804" t="str">
            <v>SF2 / DEMESA</v>
          </cell>
          <cell r="F804" t="str">
            <v>SF2 / GOTERA-PITROU</v>
          </cell>
          <cell r="G804">
            <v>0</v>
          </cell>
          <cell r="H804">
            <v>0</v>
          </cell>
        </row>
        <row r="805">
          <cell r="A805">
            <v>10348</v>
          </cell>
          <cell r="B805">
            <v>1279</v>
          </cell>
          <cell r="C805" t="str">
            <v>ARCH REINSURANCE COMPANY</v>
          </cell>
          <cell r="D805" t="str">
            <v>SF2 / DEMESA</v>
          </cell>
          <cell r="E805" t="str">
            <v>SF2 / DEMESA</v>
          </cell>
          <cell r="F805" t="str">
            <v>SF2 / GOTERA-PITROU</v>
          </cell>
          <cell r="G805">
            <v>0</v>
          </cell>
          <cell r="H805">
            <v>0</v>
          </cell>
        </row>
        <row r="806">
          <cell r="A806">
            <v>16659</v>
          </cell>
          <cell r="B806">
            <v>1279</v>
          </cell>
          <cell r="C806" t="str">
            <v>UNITED GUARANTY COMMERCIAL INSURANCE CO. OF NORTH CAROLINA</v>
          </cell>
          <cell r="D806" t="str">
            <v>SF2 / DEMESA</v>
          </cell>
          <cell r="E806" t="str">
            <v>SF2 / DEMESA</v>
          </cell>
          <cell r="F806" t="str">
            <v>SF2 / GOTERA-PITROU</v>
          </cell>
          <cell r="G806">
            <v>0</v>
          </cell>
          <cell r="H806">
            <v>0</v>
          </cell>
        </row>
        <row r="807">
          <cell r="A807">
            <v>30830</v>
          </cell>
          <cell r="B807">
            <v>1279</v>
          </cell>
          <cell r="C807" t="str">
            <v>WESTERN DIVERSIFIED CASUALTY INS CO</v>
          </cell>
          <cell r="D807" t="str">
            <v>SF2 / DEMESA</v>
          </cell>
          <cell r="E807" t="str">
            <v>SF2 / DEMESA</v>
          </cell>
          <cell r="F807" t="str">
            <v>SF2 / GOTERA-PITROU</v>
          </cell>
          <cell r="G807">
            <v>0</v>
          </cell>
          <cell r="H807">
            <v>0</v>
          </cell>
        </row>
        <row r="808">
          <cell r="A808">
            <v>24813</v>
          </cell>
          <cell r="B808">
            <v>1281</v>
          </cell>
          <cell r="C808" t="str">
            <v>BALBOA INSURANCE COMPANY</v>
          </cell>
          <cell r="D808" t="str">
            <v>LA2 / BAUTISTA</v>
          </cell>
          <cell r="E808" t="str">
            <v>LA2 / BAUTISTA</v>
          </cell>
          <cell r="F808">
            <v>0</v>
          </cell>
          <cell r="G808">
            <v>0</v>
          </cell>
          <cell r="H808">
            <v>0</v>
          </cell>
        </row>
        <row r="809">
          <cell r="A809">
            <v>24821</v>
          </cell>
          <cell r="B809">
            <v>1281</v>
          </cell>
          <cell r="C809" t="str">
            <v>MERITPLAN INSURANCE COMPANY</v>
          </cell>
          <cell r="D809" t="str">
            <v>LA2 / BAUTISTA</v>
          </cell>
          <cell r="E809" t="str">
            <v>LA2 / BAUTISTA</v>
          </cell>
          <cell r="F809">
            <v>0</v>
          </cell>
          <cell r="G809">
            <v>0</v>
          </cell>
          <cell r="H809">
            <v>0</v>
          </cell>
        </row>
        <row r="810">
          <cell r="A810">
            <v>24848</v>
          </cell>
          <cell r="B810">
            <v>1281</v>
          </cell>
          <cell r="C810" t="str">
            <v>NEWPORT INSURANCE COMPANY</v>
          </cell>
          <cell r="D810" t="str">
            <v>LA2 / BAUTISTA</v>
          </cell>
          <cell r="E810" t="str">
            <v>LA2 / BAUTISTA</v>
          </cell>
          <cell r="F810">
            <v>0</v>
          </cell>
          <cell r="G810" t="str">
            <v>RAO / LI</v>
          </cell>
          <cell r="H810" t="str">
            <v>RAO / LI</v>
          </cell>
        </row>
        <row r="811">
          <cell r="A811">
            <v>12754</v>
          </cell>
          <cell r="B811">
            <v>1282</v>
          </cell>
          <cell r="C811" t="str">
            <v>MEDICUS INSURANCE COMPANY</v>
          </cell>
          <cell r="D811" t="str">
            <v>SF2 / GOTERA-PITROU</v>
          </cell>
          <cell r="E811" t="str">
            <v>SF2 / GOTERA-PITROU</v>
          </cell>
          <cell r="F811" t="str">
            <v>SF2 / GOTERA-PITROU</v>
          </cell>
          <cell r="G811">
            <v>0</v>
          </cell>
          <cell r="H811">
            <v>0</v>
          </cell>
        </row>
        <row r="812">
          <cell r="A812">
            <v>33200</v>
          </cell>
          <cell r="B812">
            <v>1282</v>
          </cell>
          <cell r="C812" t="str">
            <v>NORCAL MUTUAL INSURANCE COMPANY</v>
          </cell>
          <cell r="D812" t="str">
            <v>SF2 / GOTERA-PITROU</v>
          </cell>
          <cell r="E812" t="str">
            <v>SF2 / GOTERA-PITROU</v>
          </cell>
          <cell r="F812" t="str">
            <v>SF2 / GOTERA-PITROU</v>
          </cell>
          <cell r="G812">
            <v>0</v>
          </cell>
          <cell r="H812">
            <v>0</v>
          </cell>
        </row>
        <row r="813">
          <cell r="A813">
            <v>36870</v>
          </cell>
          <cell r="B813">
            <v>1314</v>
          </cell>
          <cell r="C813" t="str">
            <v>CHARTWELL REINSURANCE COMPANY</v>
          </cell>
          <cell r="D813" t="str">
            <v>SF2 / GOTERA-PITROU</v>
          </cell>
          <cell r="E813" t="str">
            <v>SF2 / GOTERA-PITROU</v>
          </cell>
          <cell r="F813" t="str">
            <v>SF2 / GOTERA-PITROU</v>
          </cell>
          <cell r="G813">
            <v>0</v>
          </cell>
          <cell r="H813">
            <v>0</v>
          </cell>
        </row>
        <row r="814">
          <cell r="A814">
            <v>18341</v>
          </cell>
          <cell r="B814">
            <v>1314</v>
          </cell>
          <cell r="C814" t="str">
            <v>INSURANCE CORPORATION OF NEW YORK (THE)</v>
          </cell>
          <cell r="D814" t="str">
            <v>SF2 / GOTERA-PITROU</v>
          </cell>
          <cell r="E814" t="str">
            <v>SF2 / GOTERA-PITROU</v>
          </cell>
          <cell r="F814" t="str">
            <v>SF2 / GOTERA-PITROU</v>
          </cell>
          <cell r="G814">
            <v>0</v>
          </cell>
          <cell r="H814">
            <v>0</v>
          </cell>
        </row>
        <row r="815">
          <cell r="A815">
            <v>34894</v>
          </cell>
          <cell r="B815">
            <v>1314</v>
          </cell>
          <cell r="C815" t="str">
            <v>TRENWICK AMERICA REINSURANCE CORPORATION</v>
          </cell>
          <cell r="D815" t="str">
            <v>SF2 / GOTERA-PITROU</v>
          </cell>
          <cell r="E815" t="str">
            <v>SF2 / GOTERA-PITROU</v>
          </cell>
          <cell r="F815" t="str">
            <v>SF2 / GOTERA-PITROU</v>
          </cell>
          <cell r="G815">
            <v>0</v>
          </cell>
          <cell r="H815">
            <v>0</v>
          </cell>
        </row>
        <row r="816">
          <cell r="A816">
            <v>13722</v>
          </cell>
          <cell r="B816">
            <v>1316</v>
          </cell>
          <cell r="C816" t="str">
            <v>KNIGHTBROOK INSURANCE COMPANY</v>
          </cell>
          <cell r="D816" t="str">
            <v>SF2 / GOTERA-PITROU</v>
          </cell>
          <cell r="E816" t="str">
            <v>SF2 / GOTERA-PITROU</v>
          </cell>
          <cell r="F816" t="str">
            <v>SF2 / GOTERA-PITROU</v>
          </cell>
          <cell r="G816">
            <v>0</v>
          </cell>
          <cell r="H816">
            <v>0</v>
          </cell>
        </row>
        <row r="817">
          <cell r="A817">
            <v>15598</v>
          </cell>
          <cell r="B817">
            <v>1318</v>
          </cell>
          <cell r="C817" t="str">
            <v>INTERINSURANCE EXCHANGE OF THE AUTOMOBILE CLUB</v>
          </cell>
          <cell r="D817" t="str">
            <v>LA1 /  HUH</v>
          </cell>
          <cell r="E817" t="str">
            <v>LA1 / OKPARA</v>
          </cell>
          <cell r="F817" t="str">
            <v>SF2 / GOTERA-PITROU</v>
          </cell>
          <cell r="G817">
            <v>0</v>
          </cell>
          <cell r="H817">
            <v>0</v>
          </cell>
        </row>
        <row r="818">
          <cell r="A818">
            <v>32271</v>
          </cell>
          <cell r="B818">
            <v>1631</v>
          </cell>
          <cell r="C818" t="str">
            <v>DALLAS NATIONAL INSURANCE COMPANY, A TEXAS STOCK INSURANCE COMPANY</v>
          </cell>
          <cell r="D818" t="str">
            <v>LA2 / LEE</v>
          </cell>
          <cell r="E818" t="str">
            <v>LA2 / LEE</v>
          </cell>
          <cell r="F818">
            <v>0</v>
          </cell>
          <cell r="G818">
            <v>0</v>
          </cell>
          <cell r="H818">
            <v>0</v>
          </cell>
        </row>
        <row r="819">
          <cell r="A819">
            <v>10499</v>
          </cell>
          <cell r="B819">
            <v>2538</v>
          </cell>
          <cell r="C819" t="str">
            <v>COREPOINTE INSURANCE COMPANY</v>
          </cell>
          <cell r="D819" t="str">
            <v>LA1 /  HUH</v>
          </cell>
          <cell r="E819" t="str">
            <v>LA1 / OKPARA</v>
          </cell>
          <cell r="F819" t="str">
            <v>SF2 / GOTERA-PITROU</v>
          </cell>
          <cell r="G819">
            <v>0</v>
          </cell>
          <cell r="H819">
            <v>0</v>
          </cell>
        </row>
        <row r="820">
          <cell r="A820">
            <v>12718</v>
          </cell>
          <cell r="B820">
            <v>2538</v>
          </cell>
          <cell r="C820" t="str">
            <v>DEVELOPERS SURETY AND INDEMNITY COMPANY</v>
          </cell>
          <cell r="D820" t="str">
            <v>LA1 /  HUH</v>
          </cell>
          <cell r="E820" t="str">
            <v>LA1 / OKPARA</v>
          </cell>
          <cell r="F820" t="str">
            <v>SF2 / GOTERA-PITROU</v>
          </cell>
          <cell r="G820">
            <v>0</v>
          </cell>
          <cell r="H820">
            <v>0</v>
          </cell>
        </row>
        <row r="821">
          <cell r="A821">
            <v>39527</v>
          </cell>
          <cell r="B821">
            <v>2538</v>
          </cell>
          <cell r="C821" t="str">
            <v>HERITAGE INDEMNITY COMPANY</v>
          </cell>
          <cell r="D821" t="str">
            <v>LA1 /  HUH</v>
          </cell>
          <cell r="E821" t="str">
            <v>LA1 / OKPARA</v>
          </cell>
          <cell r="F821" t="str">
            <v>SF2 / GOTERA-PITROU</v>
          </cell>
          <cell r="G821">
            <v>0</v>
          </cell>
          <cell r="H821">
            <v>0</v>
          </cell>
        </row>
        <row r="822">
          <cell r="A822">
            <v>25550</v>
          </cell>
          <cell r="B822">
            <v>2538</v>
          </cell>
          <cell r="C822" t="str">
            <v>INDEMNITY COMPANY OF CALIFORNIA</v>
          </cell>
          <cell r="D822" t="str">
            <v>LA1 /  HUH</v>
          </cell>
          <cell r="E822" t="str">
            <v>LA1 / OKPARA</v>
          </cell>
          <cell r="F822" t="str">
            <v>SF2 / GOTERA-PITROU</v>
          </cell>
          <cell r="G822">
            <v>0</v>
          </cell>
          <cell r="H822">
            <v>0</v>
          </cell>
        </row>
        <row r="823">
          <cell r="A823">
            <v>24538</v>
          </cell>
          <cell r="B823">
            <v>2538</v>
          </cell>
          <cell r="C823" t="str">
            <v>REPUBLIC UNDERWRITERS INSURANCE COMPANY</v>
          </cell>
          <cell r="D823" t="str">
            <v>LA1 /  HUH</v>
          </cell>
          <cell r="E823" t="str">
            <v>LA1 / OKPARA</v>
          </cell>
          <cell r="F823" t="str">
            <v>SF2 / GOTERA-PITROU</v>
          </cell>
          <cell r="G823">
            <v>0</v>
          </cell>
          <cell r="H823">
            <v>0</v>
          </cell>
        </row>
        <row r="824">
          <cell r="A824">
            <v>19879</v>
          </cell>
          <cell r="B824">
            <v>2538</v>
          </cell>
          <cell r="C824" t="str">
            <v>SECURITY NATIONAL INSURANCE COMPANY</v>
          </cell>
          <cell r="D824" t="str">
            <v>LA1 /  HUH</v>
          </cell>
          <cell r="E824" t="str">
            <v>LA1 / OKPARA</v>
          </cell>
          <cell r="F824" t="str">
            <v>SF2 / GOTERA-PITROU</v>
          </cell>
          <cell r="G824">
            <v>0</v>
          </cell>
          <cell r="H824">
            <v>0</v>
          </cell>
        </row>
        <row r="825">
          <cell r="A825">
            <v>22985</v>
          </cell>
          <cell r="B825">
            <v>2538</v>
          </cell>
          <cell r="C825" t="str">
            <v>SEQUOIA INSURANCE COMPANY</v>
          </cell>
          <cell r="D825" t="str">
            <v>LA1 /  HUH</v>
          </cell>
          <cell r="E825" t="str">
            <v>LA1 / OKPARA</v>
          </cell>
          <cell r="F825" t="str">
            <v>SF2 / GOTERA-PITROU</v>
          </cell>
          <cell r="G825">
            <v>0</v>
          </cell>
          <cell r="H825">
            <v>0</v>
          </cell>
        </row>
        <row r="826">
          <cell r="A826">
            <v>19216</v>
          </cell>
          <cell r="B826">
            <v>2538</v>
          </cell>
          <cell r="C826" t="str">
            <v>SOUTHERN INSURANCE COMPANY</v>
          </cell>
          <cell r="D826" t="str">
            <v>LA1 /  HUH</v>
          </cell>
          <cell r="E826" t="str">
            <v>LA1 / OKPARA</v>
          </cell>
          <cell r="F826" t="str">
            <v>SF2 / GOTERA-PITROU</v>
          </cell>
          <cell r="G826">
            <v>0</v>
          </cell>
          <cell r="H826">
            <v>0</v>
          </cell>
        </row>
        <row r="827">
          <cell r="A827">
            <v>42376</v>
          </cell>
          <cell r="B827">
            <v>2538</v>
          </cell>
          <cell r="C827" t="str">
            <v>TECHNOLOGY INSURANCE COMPANY, INC.</v>
          </cell>
          <cell r="D827" t="str">
            <v>LA1 /  HUH</v>
          </cell>
          <cell r="E827" t="str">
            <v>LA1 / OKPARA</v>
          </cell>
          <cell r="F827" t="str">
            <v>SF2 / GOTERA-PITROU</v>
          </cell>
          <cell r="G827">
            <v>0</v>
          </cell>
          <cell r="H827">
            <v>0</v>
          </cell>
        </row>
        <row r="828">
          <cell r="A828">
            <v>25011</v>
          </cell>
          <cell r="B828">
            <v>2538</v>
          </cell>
          <cell r="C828" t="str">
            <v>WESCO INSURANCE COMPANY</v>
          </cell>
          <cell r="D828" t="str">
            <v>LA1 /  HUH</v>
          </cell>
          <cell r="E828" t="str">
            <v>LA1 / OKPARA</v>
          </cell>
          <cell r="F828" t="str">
            <v>SF2 / GOTERA-PITROU</v>
          </cell>
          <cell r="G828">
            <v>0</v>
          </cell>
          <cell r="H828">
            <v>0</v>
          </cell>
        </row>
        <row r="829">
          <cell r="A829">
            <v>15865</v>
          </cell>
          <cell r="B829">
            <v>2638</v>
          </cell>
          <cell r="C829" t="str">
            <v>NCMIC INSURANCE COMPANY</v>
          </cell>
          <cell r="D829" t="str">
            <v>SF2 / GOTERA-PITROU</v>
          </cell>
          <cell r="E829" t="str">
            <v>SF2 / GOTERA-PITROU</v>
          </cell>
          <cell r="F829" t="str">
            <v>SF2 / GOTERA-PITROU</v>
          </cell>
          <cell r="G829">
            <v>0</v>
          </cell>
          <cell r="H829">
            <v>0</v>
          </cell>
        </row>
        <row r="830">
          <cell r="A830">
            <v>11127</v>
          </cell>
          <cell r="B830">
            <v>2638</v>
          </cell>
          <cell r="C830" t="str">
            <v>PROFESSIONAL SOLUTIONS INSURANCE COMPANY</v>
          </cell>
          <cell r="D830" t="str">
            <v>SF2 / GOTERA-PITROU</v>
          </cell>
          <cell r="E830" t="str">
            <v>SF2 / GOTERA-PITROU</v>
          </cell>
          <cell r="F830" t="str">
            <v>SF2 / GOTERA-PITROU</v>
          </cell>
          <cell r="G830">
            <v>0</v>
          </cell>
          <cell r="H830">
            <v>0</v>
          </cell>
        </row>
        <row r="831">
          <cell r="A831">
            <v>22241</v>
          </cell>
          <cell r="B831">
            <v>2698</v>
          </cell>
          <cell r="C831" t="str">
            <v>MEDMARC CASUALTY INSURANCE COMPANY</v>
          </cell>
          <cell r="D831" t="str">
            <v>SF2 / SALAZAR</v>
          </cell>
          <cell r="E831" t="str">
            <v>SF2 / SALAZAR</v>
          </cell>
          <cell r="F831" t="str">
            <v>SF2 / SALAZAR</v>
          </cell>
          <cell r="G831">
            <v>0</v>
          </cell>
          <cell r="H831">
            <v>0</v>
          </cell>
        </row>
        <row r="832">
          <cell r="A832">
            <v>10222</v>
          </cell>
          <cell r="B832">
            <v>2698</v>
          </cell>
          <cell r="C832" t="str">
            <v>PACO ASSURANCE COMPANY, INC.</v>
          </cell>
          <cell r="D832" t="str">
            <v>SF2 / SALAZAR</v>
          </cell>
          <cell r="E832" t="str">
            <v>SF2 / SALAZAR</v>
          </cell>
          <cell r="F832" t="str">
            <v>SF2 / SALAZAR</v>
          </cell>
          <cell r="G832">
            <v>0</v>
          </cell>
          <cell r="H832">
            <v>0</v>
          </cell>
        </row>
        <row r="833">
          <cell r="A833">
            <v>14460</v>
          </cell>
          <cell r="B833">
            <v>2698</v>
          </cell>
          <cell r="C833" t="str">
            <v>PODIATRY INSURANCE COMPANY OF AMERICA</v>
          </cell>
          <cell r="D833" t="str">
            <v>SF2 / SALAZAR</v>
          </cell>
          <cell r="E833" t="str">
            <v>SF2 / SALAZAR</v>
          </cell>
          <cell r="F833" t="str">
            <v>SF2 / SALAZAR</v>
          </cell>
          <cell r="G833">
            <v>0</v>
          </cell>
          <cell r="H833">
            <v>0</v>
          </cell>
        </row>
        <row r="834">
          <cell r="A834">
            <v>33391</v>
          </cell>
          <cell r="B834">
            <v>2698</v>
          </cell>
          <cell r="C834" t="str">
            <v>PROASSURANCE INDEMNITY COMPANY</v>
          </cell>
          <cell r="D834" t="str">
            <v>SF2 / SALAZAR</v>
          </cell>
          <cell r="E834" t="str">
            <v>SF2 / SALAZAR</v>
          </cell>
          <cell r="F834" t="str">
            <v>SF2 / SALAZAR</v>
          </cell>
          <cell r="G834">
            <v>0</v>
          </cell>
          <cell r="H834">
            <v>0</v>
          </cell>
        </row>
        <row r="835">
          <cell r="A835">
            <v>15768</v>
          </cell>
          <cell r="B835">
            <v>2878</v>
          </cell>
          <cell r="C835" t="str">
            <v>MERCED PROPERTY &amp; CASUALTY INSURANCE COMPANY</v>
          </cell>
          <cell r="D835" t="str">
            <v>SF1 / POON</v>
          </cell>
          <cell r="E835" t="str">
            <v>SF1 / POON</v>
          </cell>
          <cell r="F835">
            <v>0</v>
          </cell>
          <cell r="G835" t="str">
            <v>RAO / SANANDAJIFAR</v>
          </cell>
          <cell r="H835" t="str">
            <v>RAO / SANANDAJIFAR</v>
          </cell>
        </row>
        <row r="836">
          <cell r="A836">
            <v>37850</v>
          </cell>
          <cell r="B836">
            <v>2898</v>
          </cell>
          <cell r="C836" t="str">
            <v>PACIFIC SPECIALTY INSURANCE COMPANY</v>
          </cell>
          <cell r="D836" t="str">
            <v>SF2 / GOTERA-PITROU</v>
          </cell>
          <cell r="E836" t="str">
            <v>SF2 / GOTERA-PITROU</v>
          </cell>
          <cell r="F836" t="str">
            <v>SF2 / GOTERA-PITROU</v>
          </cell>
          <cell r="G836">
            <v>0</v>
          </cell>
          <cell r="H836">
            <v>0</v>
          </cell>
        </row>
        <row r="837">
          <cell r="A837">
            <v>10216</v>
          </cell>
          <cell r="B837">
            <v>3098</v>
          </cell>
          <cell r="C837" t="str">
            <v>AMERICAN CONTRACTORS INDEMNITY CO.</v>
          </cell>
          <cell r="D837" t="str">
            <v>SF2 / GOTERA-PITROU</v>
          </cell>
          <cell r="E837" t="str">
            <v>SF2 / GOTERA-PITROU</v>
          </cell>
          <cell r="F837" t="str">
            <v>SF2 / GOTERA-PITROU</v>
          </cell>
          <cell r="G837">
            <v>0</v>
          </cell>
          <cell r="H837">
            <v>0</v>
          </cell>
        </row>
        <row r="838">
          <cell r="A838">
            <v>10367</v>
          </cell>
          <cell r="B838">
            <v>3098</v>
          </cell>
          <cell r="C838" t="str">
            <v>AVEMCO INSURANCE COMPANY</v>
          </cell>
          <cell r="D838" t="str">
            <v>SF2 / GOTERA-PITROU</v>
          </cell>
          <cell r="E838" t="str">
            <v>SF2 / GOTERA-PITROU</v>
          </cell>
          <cell r="F838" t="str">
            <v>SF2 / GOTERA-PITROU</v>
          </cell>
          <cell r="G838">
            <v>0</v>
          </cell>
          <cell r="H838">
            <v>0</v>
          </cell>
        </row>
        <row r="839">
          <cell r="A839">
            <v>18058</v>
          </cell>
          <cell r="B839">
            <v>3098</v>
          </cell>
          <cell r="C839" t="str">
            <v>PHILADELPHIA INDEMNITY INSURANCE COMPANY</v>
          </cell>
          <cell r="D839" t="str">
            <v>SF2 / GOTERA-PITROU</v>
          </cell>
          <cell r="E839" t="str">
            <v>SF2 / GOTERA-PITROU</v>
          </cell>
          <cell r="F839" t="str">
            <v>SF2 / GOTERA-PITROU</v>
          </cell>
          <cell r="G839">
            <v>0</v>
          </cell>
          <cell r="H839">
            <v>0</v>
          </cell>
        </row>
        <row r="840">
          <cell r="A840">
            <v>34312</v>
          </cell>
          <cell r="B840">
            <v>3098</v>
          </cell>
          <cell r="C840" t="str">
            <v>PRODUCERS AGRICULLINRE INSURANCE COMPANY</v>
          </cell>
          <cell r="D840" t="str">
            <v>SF2 / GOTERA-PITROU</v>
          </cell>
          <cell r="E840" t="str">
            <v>SF2 / GOTERA-PITROU</v>
          </cell>
          <cell r="F840" t="str">
            <v>SF2 / GOTERA-PITROU</v>
          </cell>
          <cell r="G840">
            <v>0</v>
          </cell>
          <cell r="H840">
            <v>0</v>
          </cell>
        </row>
        <row r="841">
          <cell r="A841">
            <v>32301</v>
          </cell>
          <cell r="B841">
            <v>3098</v>
          </cell>
          <cell r="C841" t="str">
            <v>TNUS INSURANCE COMPANY</v>
          </cell>
          <cell r="D841" t="str">
            <v>SF2 / GOTERA-PITROU</v>
          </cell>
          <cell r="E841" t="str">
            <v>SF2 / GOTERA-PITROU</v>
          </cell>
          <cell r="F841" t="str">
            <v>SF2 / GOTERA-PITROU</v>
          </cell>
          <cell r="G841">
            <v>0</v>
          </cell>
          <cell r="H841">
            <v>0</v>
          </cell>
        </row>
        <row r="842">
          <cell r="A842">
            <v>10945</v>
          </cell>
          <cell r="B842">
            <v>3098</v>
          </cell>
          <cell r="C842" t="str">
            <v>TOKIO MARINE AMERICA INSURANCE COMPANY</v>
          </cell>
          <cell r="D842" t="str">
            <v>SF2 / GOTERA-PITROU</v>
          </cell>
          <cell r="E842" t="str">
            <v>SF2 / GOTERA-PITROU</v>
          </cell>
          <cell r="F842" t="str">
            <v>SF2 / GOTERA-PITROU</v>
          </cell>
          <cell r="G842">
            <v>0</v>
          </cell>
          <cell r="H842">
            <v>0</v>
          </cell>
        </row>
        <row r="843">
          <cell r="A843">
            <v>41238</v>
          </cell>
          <cell r="B843">
            <v>3098</v>
          </cell>
          <cell r="C843" t="str">
            <v>TRANS PACIFIC INSURANCE COMPANY</v>
          </cell>
          <cell r="D843" t="str">
            <v>SF2 / GOTERA-PITROU</v>
          </cell>
          <cell r="E843" t="str">
            <v>SF2 / GOTERA-PITROU</v>
          </cell>
          <cell r="F843" t="str">
            <v>SF2 / GOTERA-PITROU</v>
          </cell>
          <cell r="G843">
            <v>0</v>
          </cell>
          <cell r="H843">
            <v>0</v>
          </cell>
        </row>
        <row r="844">
          <cell r="A844">
            <v>29599</v>
          </cell>
          <cell r="B844">
            <v>3098</v>
          </cell>
          <cell r="C844" t="str">
            <v>U.S. SPECIALTY INSURANCE COMPANY</v>
          </cell>
          <cell r="D844" t="str">
            <v>SF2 / GOTERA-PITROU</v>
          </cell>
          <cell r="E844" t="str">
            <v>SF2 / GOTERA-PITROU</v>
          </cell>
          <cell r="F844" t="str">
            <v>SF2 / GOTERA-PITROU</v>
          </cell>
          <cell r="G844">
            <v>0</v>
          </cell>
          <cell r="H844">
            <v>0</v>
          </cell>
        </row>
        <row r="845">
          <cell r="A845">
            <v>28746</v>
          </cell>
          <cell r="B845">
            <v>3179</v>
          </cell>
          <cell r="C845" t="str">
            <v>EQUITY INSURANCE COMPANY</v>
          </cell>
          <cell r="D845" t="str">
            <v>SF2 / DEMESA</v>
          </cell>
          <cell r="E845" t="str">
            <v>SF2 / DEMESA</v>
          </cell>
          <cell r="F845" t="str">
            <v>SF2 / DEMESA</v>
          </cell>
          <cell r="G845">
            <v>0</v>
          </cell>
          <cell r="H845">
            <v>0</v>
          </cell>
        </row>
        <row r="846">
          <cell r="A846">
            <v>12548</v>
          </cell>
          <cell r="B846">
            <v>3219</v>
          </cell>
          <cell r="C846" t="str">
            <v>AMERICAN AGRI-BUSINESS INSURANCE COMPANY</v>
          </cell>
          <cell r="D846" t="str">
            <v>SF2 / SALAZAR</v>
          </cell>
          <cell r="E846" t="str">
            <v>SF2 / SALAZAR</v>
          </cell>
          <cell r="F846" t="str">
            <v>SF2 / SALAZAR</v>
          </cell>
          <cell r="G846">
            <v>0</v>
          </cell>
          <cell r="H846">
            <v>0</v>
          </cell>
        </row>
        <row r="847">
          <cell r="A847">
            <v>11551</v>
          </cell>
          <cell r="B847">
            <v>3219</v>
          </cell>
          <cell r="C847" t="str">
            <v>ENDURANCE ASSURANCE CORPORATION</v>
          </cell>
          <cell r="D847" t="str">
            <v>SF2 / SALAZAR</v>
          </cell>
          <cell r="E847" t="str">
            <v>SF2 / SALAZAR</v>
          </cell>
          <cell r="F847" t="str">
            <v>SF2 / SALAZAR</v>
          </cell>
          <cell r="G847">
            <v>0</v>
          </cell>
          <cell r="H847">
            <v>0</v>
          </cell>
        </row>
        <row r="848">
          <cell r="A848">
            <v>43630</v>
          </cell>
          <cell r="B848">
            <v>3219</v>
          </cell>
          <cell r="C848" t="str">
            <v>ENDURANCE RISK SOLUTIONS ASSURANCE CO.</v>
          </cell>
          <cell r="D848" t="str">
            <v>SF2 / SALAZAR</v>
          </cell>
          <cell r="E848" t="str">
            <v>SF2 / SALAZAR</v>
          </cell>
          <cell r="F848" t="str">
            <v>SF2 / SALAZAR</v>
          </cell>
          <cell r="G848">
            <v>0</v>
          </cell>
          <cell r="H848">
            <v>0</v>
          </cell>
        </row>
        <row r="849">
          <cell r="A849">
            <v>38997</v>
          </cell>
          <cell r="B849">
            <v>3219</v>
          </cell>
          <cell r="C849" t="str">
            <v>SOMPO AMERICA FIRE &amp; MARINE INSURANCE COMPANY</v>
          </cell>
          <cell r="D849" t="str">
            <v>SF2 / SALAZAR</v>
          </cell>
          <cell r="E849" t="str">
            <v>SF2 / SALAZAR</v>
          </cell>
          <cell r="F849" t="str">
            <v>SF2 / SALAZAR</v>
          </cell>
          <cell r="G849">
            <v>0</v>
          </cell>
          <cell r="H849">
            <v>0</v>
          </cell>
        </row>
        <row r="850">
          <cell r="A850">
            <v>11126</v>
          </cell>
          <cell r="B850">
            <v>3219</v>
          </cell>
          <cell r="C850" t="str">
            <v>SOMPO AMERICA INSURANCE COMPANY</v>
          </cell>
          <cell r="D850" t="str">
            <v>SF2 / SALAZAR</v>
          </cell>
          <cell r="E850" t="str">
            <v>SF2 / SALAZAR</v>
          </cell>
          <cell r="F850" t="str">
            <v>SF2 / SALAZAR</v>
          </cell>
          <cell r="G850">
            <v>0</v>
          </cell>
          <cell r="H850">
            <v>0</v>
          </cell>
        </row>
        <row r="851">
          <cell r="A851">
            <v>44768</v>
          </cell>
          <cell r="B851">
            <v>3239</v>
          </cell>
          <cell r="C851" t="str">
            <v>VANTAPRO SPECIALTY INSURANCE COMPANY</v>
          </cell>
          <cell r="D851" t="str">
            <v>LA1 /  HUH</v>
          </cell>
          <cell r="E851" t="str">
            <v>LA1 / OKPARA</v>
          </cell>
          <cell r="F851" t="str">
            <v>SF2 / SALAZAR</v>
          </cell>
          <cell r="G851">
            <v>0</v>
          </cell>
          <cell r="H851">
            <v>0</v>
          </cell>
        </row>
        <row r="852">
          <cell r="A852">
            <v>29033</v>
          </cell>
          <cell r="B852">
            <v>3299</v>
          </cell>
          <cell r="C852" t="str">
            <v>ATAIN INSURANCE COMPANY</v>
          </cell>
          <cell r="D852" t="str">
            <v>LA2 / GUAN</v>
          </cell>
          <cell r="E852" t="str">
            <v>LA2 / GUAN</v>
          </cell>
          <cell r="F852">
            <v>0</v>
          </cell>
          <cell r="G852">
            <v>0</v>
          </cell>
          <cell r="H852">
            <v>0</v>
          </cell>
        </row>
        <row r="853">
          <cell r="A853">
            <v>40282</v>
          </cell>
          <cell r="B853">
            <v>3321</v>
          </cell>
          <cell r="C853" t="str">
            <v>PENN CASUALTY INSURANCE COMPANY (dba Travelers Indemnity Co. of MO)</v>
          </cell>
          <cell r="D853" t="str">
            <v>SF2 / SALAZAR</v>
          </cell>
          <cell r="E853" t="str">
            <v>SF2 / SALAZAR</v>
          </cell>
          <cell r="F853" t="str">
            <v>SF2 / SALAZAR</v>
          </cell>
          <cell r="G853">
            <v>0</v>
          </cell>
          <cell r="H853">
            <v>0</v>
          </cell>
        </row>
        <row r="854">
          <cell r="A854">
            <v>10336</v>
          </cell>
          <cell r="B854">
            <v>3362</v>
          </cell>
          <cell r="C854" t="str">
            <v>FIRST ACCEPTANCE INSURANCE COMPANY</v>
          </cell>
          <cell r="D854" t="str">
            <v>SF1 / LI</v>
          </cell>
          <cell r="E854" t="str">
            <v>SF1 / LI</v>
          </cell>
          <cell r="F854">
            <v>0</v>
          </cell>
          <cell r="G854">
            <v>0</v>
          </cell>
          <cell r="H854">
            <v>0</v>
          </cell>
        </row>
        <row r="855">
          <cell r="A855">
            <v>11512</v>
          </cell>
          <cell r="B855">
            <v>3363</v>
          </cell>
          <cell r="C855" t="str">
            <v>EMPLOYERS COMPENSATION INSURANCE COMPANY</v>
          </cell>
          <cell r="D855" t="str">
            <v>SF1 / LI</v>
          </cell>
          <cell r="E855" t="str">
            <v>SF1 / LI</v>
          </cell>
          <cell r="F855">
            <v>0</v>
          </cell>
          <cell r="G855">
            <v>0</v>
          </cell>
          <cell r="H855">
            <v>0</v>
          </cell>
        </row>
        <row r="856">
          <cell r="A856">
            <v>26549</v>
          </cell>
          <cell r="B856">
            <v>3384</v>
          </cell>
          <cell r="C856" t="str">
            <v>REINSURANCE COMPANY OF AMERICA INCORPORATION</v>
          </cell>
          <cell r="D856" t="str">
            <v>LA1 /  HUH</v>
          </cell>
          <cell r="E856" t="str">
            <v>LA1 / AHN</v>
          </cell>
          <cell r="F856">
            <v>0</v>
          </cell>
          <cell r="G856">
            <v>0</v>
          </cell>
          <cell r="H856">
            <v>0</v>
          </cell>
        </row>
        <row r="857">
          <cell r="A857">
            <v>37273</v>
          </cell>
          <cell r="B857">
            <v>3416</v>
          </cell>
          <cell r="C857" t="str">
            <v>AXIS INSURANCE COMPANY</v>
          </cell>
          <cell r="D857" t="str">
            <v>LA1 /  HUH</v>
          </cell>
          <cell r="E857" t="str">
            <v>LA1 / OKPARA</v>
          </cell>
          <cell r="F857" t="str">
            <v>SF2 / GOTERA-PITROU</v>
          </cell>
          <cell r="G857">
            <v>0</v>
          </cell>
          <cell r="H857">
            <v>0</v>
          </cell>
        </row>
        <row r="858">
          <cell r="A858">
            <v>20370</v>
          </cell>
          <cell r="B858">
            <v>3416</v>
          </cell>
          <cell r="C858" t="str">
            <v>AXIS REINSURANCE COMPANY</v>
          </cell>
          <cell r="D858" t="str">
            <v>LA1 /  HUH</v>
          </cell>
          <cell r="E858" t="str">
            <v>LA1 / OKPARA</v>
          </cell>
          <cell r="F858" t="str">
            <v>SF2 / GOTERA-PITROU</v>
          </cell>
          <cell r="G858">
            <v>0</v>
          </cell>
          <cell r="H858">
            <v>0</v>
          </cell>
        </row>
        <row r="859">
          <cell r="A859">
            <v>34037</v>
          </cell>
          <cell r="B859">
            <v>3478</v>
          </cell>
          <cell r="C859" t="str">
            <v>HALLMARK INSURANCE COMPANY</v>
          </cell>
          <cell r="D859" t="str">
            <v>SF2 / GOTERA-PITROU</v>
          </cell>
          <cell r="E859" t="str">
            <v>SF2 / GOTERA-PITROU</v>
          </cell>
          <cell r="F859" t="str">
            <v>SF2 / GOTERA-PITROU</v>
          </cell>
          <cell r="G859">
            <v>0</v>
          </cell>
          <cell r="H859">
            <v>0</v>
          </cell>
        </row>
        <row r="860">
          <cell r="A860">
            <v>14494</v>
          </cell>
          <cell r="B860">
            <v>3479</v>
          </cell>
          <cell r="C860" t="str">
            <v>MERCHANTS BONDING COMPANY (MUTUAL)</v>
          </cell>
          <cell r="D860" t="str">
            <v>LA2 / LEE</v>
          </cell>
          <cell r="E860" t="str">
            <v>LA2 / LEE</v>
          </cell>
          <cell r="F860">
            <v>0</v>
          </cell>
          <cell r="G860">
            <v>0</v>
          </cell>
          <cell r="H860">
            <v>0</v>
          </cell>
        </row>
        <row r="861">
          <cell r="A861">
            <v>38636</v>
          </cell>
          <cell r="B861">
            <v>3483</v>
          </cell>
          <cell r="C861" t="str">
            <v>PARTNER REINSURANCE COMPANY OF THE U.S.</v>
          </cell>
          <cell r="D861" t="str">
            <v>SF1 / LI</v>
          </cell>
          <cell r="E861" t="str">
            <v>SF1 / LI</v>
          </cell>
          <cell r="F861" t="str">
            <v>SF2 / GOTERA-PITROU</v>
          </cell>
          <cell r="G861">
            <v>0</v>
          </cell>
          <cell r="H861">
            <v>0</v>
          </cell>
        </row>
        <row r="862">
          <cell r="A862">
            <v>11835</v>
          </cell>
          <cell r="B862">
            <v>3483</v>
          </cell>
          <cell r="C862" t="str">
            <v>PARTNERRE AMERICA INSURANCE COMPANY</v>
          </cell>
          <cell r="D862" t="str">
            <v>SF1 / LI</v>
          </cell>
          <cell r="E862" t="str">
            <v>SF1 / LI</v>
          </cell>
          <cell r="F862" t="str">
            <v>SF2 / GOTERA-PITROU</v>
          </cell>
          <cell r="G862">
            <v>0</v>
          </cell>
          <cell r="H862">
            <v>0</v>
          </cell>
        </row>
        <row r="863">
          <cell r="A863">
            <v>10006</v>
          </cell>
          <cell r="B863">
            <v>3483</v>
          </cell>
          <cell r="C863" t="str">
            <v>PARTNERRE INSURANCE COMPANY OF NEW YORK</v>
          </cell>
          <cell r="D863" t="str">
            <v>SF1 / LI</v>
          </cell>
          <cell r="E863" t="str">
            <v>SF1 / LI</v>
          </cell>
          <cell r="F863" t="str">
            <v>SF2 / GOTERA-PITROU</v>
          </cell>
          <cell r="G863">
            <v>0</v>
          </cell>
          <cell r="H863">
            <v>0</v>
          </cell>
        </row>
        <row r="864">
          <cell r="A864">
            <v>41580</v>
          </cell>
          <cell r="B864">
            <v>3485</v>
          </cell>
          <cell r="C864" t="str">
            <v>RED SHIELD INSURANCE COMPANY</v>
          </cell>
          <cell r="D864" t="str">
            <v>LA1 /  HUH</v>
          </cell>
          <cell r="E864" t="str">
            <v>LA1 / AHN</v>
          </cell>
          <cell r="F864">
            <v>0</v>
          </cell>
          <cell r="G864">
            <v>0</v>
          </cell>
          <cell r="H864">
            <v>0</v>
          </cell>
        </row>
        <row r="865">
          <cell r="A865">
            <v>15884</v>
          </cell>
          <cell r="B865">
            <v>3494</v>
          </cell>
          <cell r="C865" t="str">
            <v>FALLS LAKE FIRE AND CASUALTY COMPANY</v>
          </cell>
          <cell r="D865" t="str">
            <v>SF2 / DEMESA</v>
          </cell>
          <cell r="E865" t="str">
            <v>SF2 / DEMESA</v>
          </cell>
          <cell r="F865" t="str">
            <v>SF2 / DEMESA</v>
          </cell>
          <cell r="G865">
            <v>0</v>
          </cell>
          <cell r="H865">
            <v>0</v>
          </cell>
        </row>
        <row r="866">
          <cell r="A866">
            <v>10819</v>
          </cell>
          <cell r="B866">
            <v>3548</v>
          </cell>
          <cell r="C866" t="str">
            <v>AMERICAN EQUITY SPECIALTY INSURANCE COMPANY</v>
          </cell>
          <cell r="D866" t="str">
            <v>SF2 / SALAZAR</v>
          </cell>
          <cell r="E866" t="str">
            <v>SF2 / SALAZAR</v>
          </cell>
          <cell r="F866" t="str">
            <v>SF2 / SALAZAR</v>
          </cell>
          <cell r="G866">
            <v>0</v>
          </cell>
          <cell r="H866">
            <v>0</v>
          </cell>
        </row>
        <row r="867">
          <cell r="A867">
            <v>36463</v>
          </cell>
          <cell r="B867">
            <v>3548</v>
          </cell>
          <cell r="C867" t="str">
            <v>DISCOVER PROPERTY &amp; CASUALTY INSURANCE COMPANY</v>
          </cell>
          <cell r="D867" t="str">
            <v>SF2 / SALAZAR</v>
          </cell>
          <cell r="E867" t="str">
            <v>SF2 / SALAZAR</v>
          </cell>
          <cell r="F867" t="str">
            <v>SF2 / SALAZAR</v>
          </cell>
          <cell r="G867">
            <v>0</v>
          </cell>
          <cell r="H867">
            <v>0</v>
          </cell>
        </row>
        <row r="868">
          <cell r="A868">
            <v>41483</v>
          </cell>
          <cell r="B868">
            <v>3548</v>
          </cell>
          <cell r="C868" t="str">
            <v>FARMINGTON CASUALTY COMPANY</v>
          </cell>
          <cell r="D868" t="str">
            <v>SF2 / SALAZAR</v>
          </cell>
          <cell r="E868" t="str">
            <v>SF2 / SALAZAR</v>
          </cell>
          <cell r="F868" t="str">
            <v>SF2 / SALAZAR</v>
          </cell>
          <cell r="G868">
            <v>0</v>
          </cell>
          <cell r="H868">
            <v>0</v>
          </cell>
        </row>
        <row r="869">
          <cell r="A869">
            <v>35386</v>
          </cell>
          <cell r="B869">
            <v>3548</v>
          </cell>
          <cell r="C869" t="str">
            <v>FIDELITY AND GUARANTY INSURANCE COMPANY</v>
          </cell>
          <cell r="D869" t="str">
            <v>SF2 / SALAZAR</v>
          </cell>
          <cell r="E869" t="str">
            <v>SF2 / SALAZAR</v>
          </cell>
          <cell r="F869" t="str">
            <v>SF2 / SALAZAR</v>
          </cell>
          <cell r="G869">
            <v>0</v>
          </cell>
          <cell r="H869">
            <v>0</v>
          </cell>
        </row>
        <row r="870">
          <cell r="A870">
            <v>24031</v>
          </cell>
          <cell r="B870">
            <v>3548</v>
          </cell>
          <cell r="C870" t="str">
            <v>NORTHLAND CASUALTY COMPANY</v>
          </cell>
          <cell r="D870" t="str">
            <v>SF2 / SALAZAR</v>
          </cell>
          <cell r="E870" t="str">
            <v>SF2 / SALAZAR</v>
          </cell>
          <cell r="F870" t="str">
            <v>SF2 / SALAZAR</v>
          </cell>
          <cell r="G870">
            <v>0</v>
          </cell>
          <cell r="H870">
            <v>0</v>
          </cell>
        </row>
        <row r="871">
          <cell r="A871">
            <v>24015</v>
          </cell>
          <cell r="B871">
            <v>3548</v>
          </cell>
          <cell r="C871" t="str">
            <v>NORTHLAND INSURANCE COMPANY</v>
          </cell>
          <cell r="D871" t="str">
            <v>SF2 / SALAZAR</v>
          </cell>
          <cell r="E871" t="str">
            <v>SF2 / SALAZAR</v>
          </cell>
          <cell r="F871" t="str">
            <v>SF2 / SALAZAR</v>
          </cell>
          <cell r="G871">
            <v>0</v>
          </cell>
          <cell r="H871">
            <v>0</v>
          </cell>
        </row>
        <row r="872">
          <cell r="A872">
            <v>22233</v>
          </cell>
          <cell r="B872">
            <v>3548</v>
          </cell>
          <cell r="C872" t="str">
            <v>SELECT INSURANCE COMPANY</v>
          </cell>
          <cell r="D872" t="str">
            <v>SF2 / SALAZAR</v>
          </cell>
          <cell r="E872" t="str">
            <v>SF2 / SALAZAR</v>
          </cell>
          <cell r="F872" t="str">
            <v>SF2 / SALAZAR</v>
          </cell>
          <cell r="G872">
            <v>0</v>
          </cell>
          <cell r="H872">
            <v>0</v>
          </cell>
        </row>
        <row r="873">
          <cell r="A873">
            <v>24767</v>
          </cell>
          <cell r="B873">
            <v>3548</v>
          </cell>
          <cell r="C873" t="str">
            <v>ST. PAUL FIRE AND MARINE INSURANCE COMPANY</v>
          </cell>
          <cell r="D873" t="str">
            <v>SF2 / SALAZAR</v>
          </cell>
          <cell r="E873" t="str">
            <v>SF2 / SALAZAR</v>
          </cell>
          <cell r="F873" t="str">
            <v>SF2 / SALAZAR</v>
          </cell>
          <cell r="G873">
            <v>0</v>
          </cell>
          <cell r="H873">
            <v>0</v>
          </cell>
        </row>
        <row r="874">
          <cell r="A874">
            <v>24775</v>
          </cell>
          <cell r="B874">
            <v>3548</v>
          </cell>
          <cell r="C874" t="str">
            <v>ST. PAUL GUARDIAN INSURANCE COMPANY</v>
          </cell>
          <cell r="D874" t="str">
            <v>SF2 / SALAZAR</v>
          </cell>
          <cell r="E874" t="str">
            <v>SF2 / SALAZAR</v>
          </cell>
          <cell r="F874" t="str">
            <v>SF2 / SALAZAR</v>
          </cell>
          <cell r="G874">
            <v>0</v>
          </cell>
          <cell r="H874">
            <v>0</v>
          </cell>
        </row>
        <row r="875">
          <cell r="A875">
            <v>24791</v>
          </cell>
          <cell r="B875">
            <v>3548</v>
          </cell>
          <cell r="C875" t="str">
            <v>ST. PAUL MERCURY INSURANCE COMPANY</v>
          </cell>
          <cell r="D875" t="str">
            <v>SF2 / SALAZAR</v>
          </cell>
          <cell r="E875" t="str">
            <v>SF2 / SALAZAR</v>
          </cell>
          <cell r="F875" t="str">
            <v>SF2 / SALAZAR</v>
          </cell>
          <cell r="G875">
            <v>0</v>
          </cell>
          <cell r="H875">
            <v>0</v>
          </cell>
        </row>
        <row r="876">
          <cell r="A876">
            <v>19224</v>
          </cell>
          <cell r="B876">
            <v>3548</v>
          </cell>
          <cell r="C876" t="str">
            <v>ST. PAUL PROTECTIVE INSURANCE COMPANY</v>
          </cell>
          <cell r="D876" t="str">
            <v>SF2 / SALAZAR</v>
          </cell>
          <cell r="E876" t="str">
            <v>SF2 / SALAZAR</v>
          </cell>
          <cell r="F876" t="str">
            <v>SF2 / SALAZAR</v>
          </cell>
          <cell r="G876">
            <v>0</v>
          </cell>
          <cell r="H876">
            <v>0</v>
          </cell>
        </row>
        <row r="877">
          <cell r="A877">
            <v>19070</v>
          </cell>
          <cell r="B877">
            <v>3548</v>
          </cell>
          <cell r="C877" t="str">
            <v>STANDARD FIRE INSURANCE COMPANY</v>
          </cell>
          <cell r="D877" t="str">
            <v>SF2 / SALAZAR</v>
          </cell>
          <cell r="E877" t="str">
            <v>SF2 / SALAZAR</v>
          </cell>
          <cell r="F877" t="str">
            <v>SF2 / SALAZAR</v>
          </cell>
          <cell r="G877">
            <v>0</v>
          </cell>
          <cell r="H877">
            <v>0</v>
          </cell>
        </row>
        <row r="878">
          <cell r="A878">
            <v>19038</v>
          </cell>
          <cell r="B878">
            <v>3548</v>
          </cell>
          <cell r="C878" t="str">
            <v>TRAVELERS CASUALTY AND SURETY COMPANY</v>
          </cell>
          <cell r="D878" t="str">
            <v>SF2 / SALAZAR</v>
          </cell>
          <cell r="E878" t="str">
            <v>SF2 / SALAZAR</v>
          </cell>
          <cell r="F878" t="str">
            <v>SF2 / SALAZAR</v>
          </cell>
          <cell r="G878">
            <v>0</v>
          </cell>
          <cell r="H878">
            <v>0</v>
          </cell>
        </row>
        <row r="879">
          <cell r="A879">
            <v>31194</v>
          </cell>
          <cell r="B879">
            <v>3548</v>
          </cell>
          <cell r="C879" t="str">
            <v>TRAVELERS CASUALTY AND SURETY COMPANY OF AMERICA</v>
          </cell>
          <cell r="D879" t="str">
            <v>SF2 / SALAZAR</v>
          </cell>
          <cell r="E879" t="str">
            <v>SF2 / SALAZAR</v>
          </cell>
          <cell r="F879" t="str">
            <v>SF2 / SALAZAR</v>
          </cell>
          <cell r="G879">
            <v>0</v>
          </cell>
          <cell r="H879">
            <v>0</v>
          </cell>
        </row>
        <row r="880">
          <cell r="A880">
            <v>41769</v>
          </cell>
          <cell r="B880">
            <v>3548</v>
          </cell>
          <cell r="C880" t="str">
            <v>TRAVELERS CASUALTY COMPANY (THE)</v>
          </cell>
          <cell r="D880" t="str">
            <v>SF2 / SALAZAR</v>
          </cell>
          <cell r="E880" t="str">
            <v>SF2 / SALAZAR</v>
          </cell>
          <cell r="F880" t="str">
            <v>SF2 / SALAZAR</v>
          </cell>
          <cell r="G880">
            <v>0</v>
          </cell>
          <cell r="H880">
            <v>0</v>
          </cell>
        </row>
        <row r="881">
          <cell r="A881">
            <v>36170</v>
          </cell>
          <cell r="B881">
            <v>3548</v>
          </cell>
          <cell r="C881" t="str">
            <v>TRAVELERS CASUALTY COMPANY OF CONNECTICUT</v>
          </cell>
          <cell r="D881" t="str">
            <v>SF2 / SALAZAR</v>
          </cell>
          <cell r="E881" t="str">
            <v>SF2 / SALAZAR</v>
          </cell>
          <cell r="F881" t="str">
            <v>SF2 / SALAZAR</v>
          </cell>
          <cell r="G881">
            <v>0</v>
          </cell>
          <cell r="H881">
            <v>0</v>
          </cell>
        </row>
        <row r="882">
          <cell r="A882">
            <v>19046</v>
          </cell>
          <cell r="B882">
            <v>3548</v>
          </cell>
          <cell r="C882" t="str">
            <v>TRAVELERS CASUALTY INSURANCE COMPANY OF AMERICA</v>
          </cell>
          <cell r="D882" t="str">
            <v>SF2 / SALAZAR</v>
          </cell>
          <cell r="E882" t="str">
            <v>SF2 / SALAZAR</v>
          </cell>
          <cell r="F882" t="str">
            <v>SF2 / SALAZAR</v>
          </cell>
          <cell r="G882">
            <v>0</v>
          </cell>
          <cell r="H882">
            <v>0</v>
          </cell>
        </row>
        <row r="883">
          <cell r="A883">
            <v>40282</v>
          </cell>
          <cell r="B883">
            <v>3548</v>
          </cell>
          <cell r="C883" t="str">
            <v>TRAVELERS COMMERCIAL CASUALTY COMPANY</v>
          </cell>
          <cell r="D883" t="str">
            <v>SF2 / SALAZAR</v>
          </cell>
          <cell r="E883" t="str">
            <v>SF2 / SALAZAR</v>
          </cell>
          <cell r="F883" t="str">
            <v>SF2 / SALAZAR</v>
          </cell>
          <cell r="G883">
            <v>0</v>
          </cell>
          <cell r="H883">
            <v>0</v>
          </cell>
        </row>
        <row r="884">
          <cell r="A884">
            <v>36137</v>
          </cell>
          <cell r="B884">
            <v>3548</v>
          </cell>
          <cell r="C884" t="str">
            <v>TRAVELERS COMMERCIAL INSURANCE COMPANY</v>
          </cell>
          <cell r="D884" t="str">
            <v>SF2 / SALAZAR</v>
          </cell>
          <cell r="E884" t="str">
            <v>SF2 / SALAZAR</v>
          </cell>
          <cell r="F884" t="str">
            <v>SF2 / SALAZAR</v>
          </cell>
          <cell r="G884" t="str">
            <v>RAO / KUO</v>
          </cell>
          <cell r="H884" t="str">
            <v>RAO / KUO</v>
          </cell>
        </row>
        <row r="885">
          <cell r="A885">
            <v>41750</v>
          </cell>
          <cell r="B885">
            <v>3548</v>
          </cell>
          <cell r="C885" t="str">
            <v>TRAVELERS CONSTILINTION STATE INSURANCE COMPANY</v>
          </cell>
          <cell r="D885" t="str">
            <v>SF2 / SALAZAR</v>
          </cell>
          <cell r="E885" t="str">
            <v>SF2 / SALAZAR</v>
          </cell>
          <cell r="F885" t="str">
            <v>SF2 / SALAZAR</v>
          </cell>
          <cell r="G885">
            <v>0</v>
          </cell>
          <cell r="H885">
            <v>0</v>
          </cell>
        </row>
        <row r="886">
          <cell r="A886">
            <v>25658</v>
          </cell>
          <cell r="B886">
            <v>3548</v>
          </cell>
          <cell r="C886" t="str">
            <v>TRAVELERS INDEMNITY COMPANY (THE)</v>
          </cell>
          <cell r="D886" t="str">
            <v>SF2 / SALAZAR</v>
          </cell>
          <cell r="E886" t="str">
            <v>SF2 / SALAZAR</v>
          </cell>
          <cell r="F886" t="str">
            <v>SF2 / SALAZAR</v>
          </cell>
          <cell r="G886">
            <v>0</v>
          </cell>
          <cell r="H886">
            <v>0</v>
          </cell>
        </row>
        <row r="887">
          <cell r="A887">
            <v>25682</v>
          </cell>
          <cell r="B887">
            <v>3548</v>
          </cell>
          <cell r="C887" t="str">
            <v>TRAVELERS INDEMNITY COMPANY OF CONNECTICUT</v>
          </cell>
          <cell r="D887" t="str">
            <v>SF2 / SALAZAR</v>
          </cell>
          <cell r="E887" t="str">
            <v>SF2 / SALAZAR</v>
          </cell>
          <cell r="F887" t="str">
            <v>SF2 / SALAZAR</v>
          </cell>
          <cell r="G887">
            <v>0</v>
          </cell>
          <cell r="H887">
            <v>0</v>
          </cell>
        </row>
        <row r="888">
          <cell r="A888">
            <v>25674</v>
          </cell>
          <cell r="B888">
            <v>3548</v>
          </cell>
          <cell r="C888" t="str">
            <v>TRAVELERS PROPERTY CASUALTY COMPANY OF AMERICA</v>
          </cell>
          <cell r="D888" t="str">
            <v>SF2 / SALAZAR</v>
          </cell>
          <cell r="E888" t="str">
            <v>SF2 / SALAZAR</v>
          </cell>
          <cell r="F888" t="str">
            <v>SF2 / SALAZAR</v>
          </cell>
          <cell r="G888">
            <v>0</v>
          </cell>
          <cell r="H888">
            <v>0</v>
          </cell>
        </row>
        <row r="889">
          <cell r="A889">
            <v>36161</v>
          </cell>
          <cell r="B889">
            <v>3548</v>
          </cell>
          <cell r="C889" t="str">
            <v>TRAVELERS PROPERTY CASUALTY INSURANCE COMPANY</v>
          </cell>
          <cell r="D889" t="str">
            <v>SF2 / SALAZAR</v>
          </cell>
          <cell r="E889" t="str">
            <v>SF2 / SALAZAR</v>
          </cell>
          <cell r="F889" t="str">
            <v>SF2 / SALAZAR</v>
          </cell>
          <cell r="G889">
            <v>0</v>
          </cell>
          <cell r="H889" t="str">
            <v>RAO / KUO</v>
          </cell>
        </row>
        <row r="890">
          <cell r="A890">
            <v>25887</v>
          </cell>
          <cell r="B890">
            <v>3548</v>
          </cell>
          <cell r="C890" t="str">
            <v>UNITED STATES FIDELITY AND GUARANTY COMPANY</v>
          </cell>
          <cell r="D890" t="str">
            <v>SF2 / SALAZAR</v>
          </cell>
          <cell r="E890" t="str">
            <v>SF2 / SALAZAR</v>
          </cell>
          <cell r="F890" t="str">
            <v>SF2 / SALAZAR</v>
          </cell>
          <cell r="G890">
            <v>0</v>
          </cell>
          <cell r="H890">
            <v>0</v>
          </cell>
        </row>
        <row r="891">
          <cell r="A891">
            <v>11255</v>
          </cell>
          <cell r="B891">
            <v>3569</v>
          </cell>
          <cell r="C891" t="str">
            <v>CATERPILLAR INSURANCE COMPANY</v>
          </cell>
          <cell r="D891" t="str">
            <v>SF2 / SALAZAR</v>
          </cell>
          <cell r="E891" t="str">
            <v>SF2 / SALAZAR</v>
          </cell>
          <cell r="F891" t="str">
            <v>SF2 / SALAZAR</v>
          </cell>
          <cell r="G891">
            <v>0</v>
          </cell>
          <cell r="H891">
            <v>0</v>
          </cell>
        </row>
        <row r="892">
          <cell r="A892">
            <v>42609</v>
          </cell>
          <cell r="B892">
            <v>3596</v>
          </cell>
          <cell r="C892" t="str">
            <v>AFFIRMATIVE INSURANCE COMPANY</v>
          </cell>
          <cell r="D892" t="str">
            <v>LA2 / BAUTISTA</v>
          </cell>
          <cell r="E892" t="str">
            <v>LA2 / BAUTISTA</v>
          </cell>
          <cell r="F892" t="str">
            <v>SF2 / GOTERA-PITROU</v>
          </cell>
          <cell r="G892">
            <v>0</v>
          </cell>
          <cell r="H892">
            <v>0</v>
          </cell>
        </row>
        <row r="893">
          <cell r="A893">
            <v>39098</v>
          </cell>
          <cell r="B893">
            <v>3678</v>
          </cell>
          <cell r="C893" t="str">
            <v>OMNI INSURANCE COMPANY (Application for Withdrawal as an insurer granted on December 10, 2018, effective January 16, 2019)</v>
          </cell>
          <cell r="D893" t="str">
            <v>SF1 / POON</v>
          </cell>
          <cell r="E893" t="str">
            <v>SF1 / POON</v>
          </cell>
          <cell r="F893" t="str">
            <v>SF2 / GOTERA-PITROU</v>
          </cell>
          <cell r="G893">
            <v>0</v>
          </cell>
          <cell r="H893">
            <v>0</v>
          </cell>
        </row>
        <row r="894">
          <cell r="A894">
            <v>12589</v>
          </cell>
          <cell r="B894">
            <v>3702</v>
          </cell>
          <cell r="C894" t="str">
            <v>LOYA CASUALTY INSURANCE COMPANY</v>
          </cell>
          <cell r="D894" t="str">
            <v>LA2 / BAUTISTA</v>
          </cell>
          <cell r="E894" t="str">
            <v>LA2 / BAUTISTA</v>
          </cell>
          <cell r="F894">
            <v>0</v>
          </cell>
          <cell r="G894">
            <v>0</v>
          </cell>
          <cell r="H894">
            <v>0</v>
          </cell>
        </row>
        <row r="895">
          <cell r="A895">
            <v>43702</v>
          </cell>
          <cell r="B895">
            <v>3703</v>
          </cell>
          <cell r="C895" t="str">
            <v>TOWER NATIONAL INSURANCE COMPANY</v>
          </cell>
          <cell r="D895" t="str">
            <v>LA1 /  HUH</v>
          </cell>
          <cell r="E895" t="str">
            <v>LA1 / OKPARA</v>
          </cell>
          <cell r="F895">
            <v>0</v>
          </cell>
          <cell r="G895">
            <v>0</v>
          </cell>
          <cell r="H895">
            <v>0</v>
          </cell>
        </row>
        <row r="896">
          <cell r="A896">
            <v>10887</v>
          </cell>
          <cell r="B896">
            <v>3829</v>
          </cell>
          <cell r="C896" t="str">
            <v>COASTAL SELECT INSURANCE COMPANY</v>
          </cell>
          <cell r="D896" t="str">
            <v>SF2 / GOTERA-PITROU</v>
          </cell>
          <cell r="E896" t="str">
            <v>SF2 / GOTERA-PITROU</v>
          </cell>
          <cell r="F896" t="str">
            <v>SF2 / GOTERA-PITROU</v>
          </cell>
          <cell r="G896" t="str">
            <v>RAO / UPPAL</v>
          </cell>
          <cell r="H896">
            <v>0</v>
          </cell>
        </row>
        <row r="897">
          <cell r="A897">
            <v>10799</v>
          </cell>
          <cell r="B897">
            <v>3829</v>
          </cell>
          <cell r="C897" t="str">
            <v>GEOVERA INSURANCE COMPANY</v>
          </cell>
          <cell r="D897" t="str">
            <v>SF2 / GOTERA-PITROU</v>
          </cell>
          <cell r="E897" t="str">
            <v>SF2 / GOTERA-PITROU</v>
          </cell>
          <cell r="F897" t="str">
            <v>SF2 / GOTERA-PITROU</v>
          </cell>
          <cell r="G897">
            <v>0</v>
          </cell>
          <cell r="H897">
            <v>0</v>
          </cell>
        </row>
        <row r="898">
          <cell r="A898">
            <v>10182</v>
          </cell>
          <cell r="B898">
            <v>3829</v>
          </cell>
          <cell r="C898" t="str">
            <v>GEOVERA SPECIALTY INSURANCE COMPANY</v>
          </cell>
          <cell r="D898" t="str">
            <v>SF2 / GOTERA-PITROU</v>
          </cell>
          <cell r="E898" t="str">
            <v>SF2 / GOTERA-PITROU</v>
          </cell>
          <cell r="F898" t="str">
            <v>SF2 / GOTERA-PITROU</v>
          </cell>
          <cell r="G898">
            <v>0</v>
          </cell>
          <cell r="H898">
            <v>0</v>
          </cell>
        </row>
        <row r="899">
          <cell r="A899">
            <v>38865</v>
          </cell>
          <cell r="B899">
            <v>3890</v>
          </cell>
          <cell r="C899" t="str">
            <v>CALIFORNIA INSURANCE COMPANY</v>
          </cell>
          <cell r="D899" t="str">
            <v>LA1 /  HUH</v>
          </cell>
          <cell r="E899" t="str">
            <v>LA1 / AHN</v>
          </cell>
          <cell r="F899" t="str">
            <v>SF2 / GOTERA-PITROU</v>
          </cell>
          <cell r="G899">
            <v>0</v>
          </cell>
          <cell r="H899">
            <v>0</v>
          </cell>
        </row>
        <row r="900">
          <cell r="A900">
            <v>38458</v>
          </cell>
          <cell r="B900">
            <v>4011</v>
          </cell>
          <cell r="C900" t="str">
            <v>GENWORTH MORTGAGE INSURANCE CORPORATION</v>
          </cell>
          <cell r="D900" t="str">
            <v>LA1 /  HUH</v>
          </cell>
          <cell r="E900" t="str">
            <v>LA1 / AHN</v>
          </cell>
          <cell r="F900" t="str">
            <v>SF2 / GOTERA-PITROU</v>
          </cell>
          <cell r="G900">
            <v>0</v>
          </cell>
          <cell r="H900">
            <v>0</v>
          </cell>
        </row>
        <row r="901">
          <cell r="A901">
            <v>16675</v>
          </cell>
          <cell r="B901">
            <v>4011</v>
          </cell>
          <cell r="C901" t="str">
            <v>GENWORTH MORTGAGE INSURANCE CORPORATION OF NORTH CAROLINA</v>
          </cell>
          <cell r="D901" t="str">
            <v>LA1 /  HUH</v>
          </cell>
          <cell r="E901" t="str">
            <v>LA1 / AHN</v>
          </cell>
          <cell r="F901" t="str">
            <v>SF2 / GOTERA-PITROU</v>
          </cell>
          <cell r="G901">
            <v>0</v>
          </cell>
          <cell r="H901">
            <v>0</v>
          </cell>
        </row>
        <row r="902">
          <cell r="A902">
            <v>12360</v>
          </cell>
          <cell r="B902">
            <v>4051</v>
          </cell>
          <cell r="C902" t="str">
            <v>OCEAN HARBOR CASUALTY INSURANCE COMPANY</v>
          </cell>
          <cell r="D902" t="str">
            <v>LA1 /  HUH</v>
          </cell>
          <cell r="E902" t="str">
            <v>LA1 / AHN</v>
          </cell>
          <cell r="F902">
            <v>0</v>
          </cell>
          <cell r="G902">
            <v>0</v>
          </cell>
          <cell r="H902">
            <v>0</v>
          </cell>
        </row>
        <row r="903">
          <cell r="A903">
            <v>26379</v>
          </cell>
          <cell r="B903">
            <v>4234</v>
          </cell>
          <cell r="C903" t="str">
            <v>ACCREDITED SURETY AND CASUALTY COMPANY, INC.</v>
          </cell>
          <cell r="D903" t="str">
            <v>SF1 / LI</v>
          </cell>
          <cell r="E903" t="str">
            <v>SF1 / LI</v>
          </cell>
          <cell r="F903" t="str">
            <v>SF2 / GOTERA-PITROU</v>
          </cell>
          <cell r="G903">
            <v>0</v>
          </cell>
          <cell r="H903">
            <v>0</v>
          </cell>
        </row>
        <row r="904">
          <cell r="A904">
            <v>22705</v>
          </cell>
          <cell r="B904">
            <v>4234</v>
          </cell>
          <cell r="C904" t="str">
            <v>R&amp;Q REINSURANCE COMPANY</v>
          </cell>
          <cell r="D904" t="str">
            <v>SF1 / LI</v>
          </cell>
          <cell r="E904" t="str">
            <v>SF1 / LI</v>
          </cell>
          <cell r="F904" t="str">
            <v>SF2 / GOTERA-PITROU</v>
          </cell>
          <cell r="G904">
            <v>0</v>
          </cell>
          <cell r="H904">
            <v>0</v>
          </cell>
        </row>
        <row r="905">
          <cell r="A905">
            <v>33014</v>
          </cell>
          <cell r="B905">
            <v>4234</v>
          </cell>
          <cell r="C905" t="str">
            <v>TRANSPORT INSURANCE COMPANY</v>
          </cell>
          <cell r="D905" t="str">
            <v>SF1 / LI</v>
          </cell>
          <cell r="E905" t="str">
            <v>SF1 / LI</v>
          </cell>
          <cell r="F905" t="str">
            <v>SF2 / GOTERA-PITROU</v>
          </cell>
          <cell r="G905">
            <v>0</v>
          </cell>
          <cell r="H905">
            <v>0</v>
          </cell>
        </row>
        <row r="906">
          <cell r="A906">
            <v>40010</v>
          </cell>
          <cell r="B906">
            <v>4256</v>
          </cell>
          <cell r="C906" t="str">
            <v>ANCHOR GENERAL INSURANCE COMPANY</v>
          </cell>
          <cell r="D906" t="str">
            <v>SF1 / POON</v>
          </cell>
          <cell r="E906" t="str">
            <v>SF1 / POON</v>
          </cell>
          <cell r="F906">
            <v>0</v>
          </cell>
          <cell r="G906">
            <v>0</v>
          </cell>
          <cell r="H906">
            <v>0</v>
          </cell>
        </row>
        <row r="907">
          <cell r="A907">
            <v>29793</v>
          </cell>
          <cell r="B907">
            <v>4256</v>
          </cell>
          <cell r="C907" t="str">
            <v>PACIFIC STAR INSURANCE COMPANY</v>
          </cell>
          <cell r="D907" t="str">
            <v>SF1 / POON</v>
          </cell>
          <cell r="E907" t="str">
            <v>SF1 / POON</v>
          </cell>
          <cell r="F907">
            <v>0</v>
          </cell>
          <cell r="G907">
            <v>0</v>
          </cell>
          <cell r="H907">
            <v>0</v>
          </cell>
        </row>
        <row r="908">
          <cell r="A908">
            <v>12870</v>
          </cell>
          <cell r="B908">
            <v>4277</v>
          </cell>
          <cell r="C908" t="str">
            <v>SENTRUITY CASUALTY COMPANY</v>
          </cell>
          <cell r="D908" t="str">
            <v>LA1 /  HUH</v>
          </cell>
          <cell r="E908" t="str">
            <v>LA1 / AHN</v>
          </cell>
          <cell r="F908">
            <v>0</v>
          </cell>
          <cell r="G908">
            <v>0</v>
          </cell>
          <cell r="H908">
            <v>0</v>
          </cell>
        </row>
        <row r="909">
          <cell r="A909">
            <v>10069</v>
          </cell>
          <cell r="B909">
            <v>4359</v>
          </cell>
          <cell r="C909" t="str">
            <v>HOUSING AUTHORITY PROPERTY INSURANCE, A MUTUAL COMPANY</v>
          </cell>
          <cell r="D909" t="str">
            <v>LA1 /  HUH</v>
          </cell>
          <cell r="E909" t="str">
            <v>LA1 / OKPARA</v>
          </cell>
          <cell r="F909">
            <v>0</v>
          </cell>
          <cell r="G909">
            <v>0</v>
          </cell>
          <cell r="H909">
            <v>0</v>
          </cell>
        </row>
        <row r="910">
          <cell r="A910">
            <v>11206</v>
          </cell>
          <cell r="B910">
            <v>4359</v>
          </cell>
          <cell r="C910" t="str">
            <v>HOUSING ENTERPRISE INSURANCE COMPANY, INC.</v>
          </cell>
          <cell r="D910" t="str">
            <v>LA1 /  HUH</v>
          </cell>
          <cell r="E910" t="str">
            <v>LA1 / OKPARA</v>
          </cell>
          <cell r="F910">
            <v>0</v>
          </cell>
          <cell r="G910">
            <v>0</v>
          </cell>
          <cell r="H910">
            <v>0</v>
          </cell>
        </row>
        <row r="911">
          <cell r="A911">
            <v>18694</v>
          </cell>
          <cell r="B911">
            <v>4381</v>
          </cell>
          <cell r="C911" t="str">
            <v>GREAT MIDWEST INSURANCE COMPANY</v>
          </cell>
          <cell r="D911" t="str">
            <v>SF2 / DEMESA</v>
          </cell>
          <cell r="E911" t="str">
            <v>SF2 / DEMESA</v>
          </cell>
          <cell r="F911" t="str">
            <v>SF2 / DEMESA</v>
          </cell>
          <cell r="G911">
            <v>0</v>
          </cell>
          <cell r="H911">
            <v>0</v>
          </cell>
        </row>
        <row r="912">
          <cell r="A912">
            <v>35408</v>
          </cell>
          <cell r="B912">
            <v>4381</v>
          </cell>
          <cell r="C912" t="str">
            <v>IMPERIUM INSURANCE COMPANY</v>
          </cell>
          <cell r="D912" t="str">
            <v>SF2 / DEMESA</v>
          </cell>
          <cell r="E912" t="str">
            <v>SF2 / DEMESA</v>
          </cell>
          <cell r="F912" t="str">
            <v>SF2 / DEMESA</v>
          </cell>
          <cell r="G912">
            <v>0</v>
          </cell>
          <cell r="H912">
            <v>0</v>
          </cell>
        </row>
        <row r="913">
          <cell r="A913">
            <v>42242</v>
          </cell>
          <cell r="B913">
            <v>4485</v>
          </cell>
          <cell r="C913" t="str">
            <v>MOUNTAINPOINT INSURANCE COMPANY</v>
          </cell>
          <cell r="D913" t="str">
            <v>SF2 / DEMESA</v>
          </cell>
          <cell r="E913" t="str">
            <v>SF2 / DEMESA</v>
          </cell>
          <cell r="F913" t="str">
            <v>SF2 / DEMESA</v>
          </cell>
          <cell r="G913">
            <v>0</v>
          </cell>
          <cell r="H913">
            <v>0</v>
          </cell>
        </row>
        <row r="914">
          <cell r="A914">
            <v>10008</v>
          </cell>
          <cell r="B914">
            <v>4641</v>
          </cell>
          <cell r="C914" t="str">
            <v>WESTERN INSURANCE COMPANY</v>
          </cell>
          <cell r="D914" t="str">
            <v>SF1 / LI</v>
          </cell>
          <cell r="E914" t="str">
            <v>SF1 / LI</v>
          </cell>
          <cell r="F914">
            <v>0</v>
          </cell>
          <cell r="G914">
            <v>0</v>
          </cell>
          <cell r="H914">
            <v>0</v>
          </cell>
        </row>
        <row r="915">
          <cell r="A915">
            <v>12873</v>
          </cell>
          <cell r="B915">
            <v>4664</v>
          </cell>
          <cell r="C915" t="str">
            <v>PRIVILEGE UNDERWRITERS RECIPROCAL EXCHANGE</v>
          </cell>
          <cell r="D915" t="str">
            <v>SF2 / GOTERA-PITROU</v>
          </cell>
          <cell r="E915" t="str">
            <v>SF2 / GOTERA-PITROU</v>
          </cell>
          <cell r="F915" t="str">
            <v>SF2 / GOTERA-PITROU</v>
          </cell>
          <cell r="G915">
            <v>0</v>
          </cell>
          <cell r="H915">
            <v>0</v>
          </cell>
        </row>
        <row r="916">
          <cell r="A916">
            <v>10200</v>
          </cell>
          <cell r="B916">
            <v>4666</v>
          </cell>
          <cell r="C916" t="str">
            <v>HISCOX INSURANCE COMPANY INC.</v>
          </cell>
          <cell r="D916" t="str">
            <v>LA1 /  HUH</v>
          </cell>
          <cell r="E916" t="str">
            <v>LA1 / AHN</v>
          </cell>
          <cell r="F916">
            <v>0</v>
          </cell>
          <cell r="G916">
            <v>0</v>
          </cell>
          <cell r="H916">
            <v>0</v>
          </cell>
        </row>
        <row r="917">
          <cell r="A917">
            <v>38318</v>
          </cell>
          <cell r="B917">
            <v>4670</v>
          </cell>
          <cell r="C917" t="str">
            <v>STARR INDEMNITY &amp; LIABILITY COMPANY</v>
          </cell>
          <cell r="D917" t="str">
            <v>SF1 / LI</v>
          </cell>
          <cell r="E917" t="str">
            <v>SF1 / LI</v>
          </cell>
          <cell r="F917" t="str">
            <v>SF2 / GOTERA-PITROU</v>
          </cell>
          <cell r="G917">
            <v>0</v>
          </cell>
          <cell r="H917">
            <v>0</v>
          </cell>
        </row>
        <row r="918">
          <cell r="A918">
            <v>16109</v>
          </cell>
          <cell r="B918">
            <v>4670</v>
          </cell>
          <cell r="C918" t="str">
            <v>STARR SPECIALTY INSURANCE COMPANY</v>
          </cell>
          <cell r="D918" t="str">
            <v>SF1 / LI</v>
          </cell>
          <cell r="E918" t="str">
            <v>SF1 / LI</v>
          </cell>
          <cell r="F918" t="str">
            <v>SF2 / GOTERA-PITROU</v>
          </cell>
          <cell r="G918">
            <v>0</v>
          </cell>
          <cell r="H918">
            <v>0</v>
          </cell>
        </row>
        <row r="919">
          <cell r="A919">
            <v>35157</v>
          </cell>
          <cell r="B919">
            <v>4691</v>
          </cell>
          <cell r="C919" t="str">
            <v>FAIR AMERICAN INSURANCE AND REINSURANCE COMPANY</v>
          </cell>
          <cell r="D919" t="str">
            <v>LA1 /  HUH</v>
          </cell>
          <cell r="E919" t="str">
            <v>LA1 / OKPARA</v>
          </cell>
          <cell r="F919" t="str">
            <v>SF2 / GOTERA-PITROU</v>
          </cell>
          <cell r="G919">
            <v>0</v>
          </cell>
          <cell r="H919">
            <v>0</v>
          </cell>
        </row>
        <row r="920">
          <cell r="A920">
            <v>34886</v>
          </cell>
          <cell r="B920">
            <v>4715</v>
          </cell>
          <cell r="C920" t="str">
            <v>AIOI NISSAY DOWA INSURANCE COMPANY OF AMERICA (Application for Withdrawal as an insurer granted and effective April 22, 2019)</v>
          </cell>
          <cell r="D920" t="str">
            <v>SF1 / LI</v>
          </cell>
          <cell r="E920" t="str">
            <v>SF1 / LI</v>
          </cell>
          <cell r="F920" t="str">
            <v>SF2 / GOTERA-PITROU</v>
          </cell>
          <cell r="G920">
            <v>0</v>
          </cell>
          <cell r="H920">
            <v>0</v>
          </cell>
        </row>
        <row r="921">
          <cell r="A921">
            <v>37265</v>
          </cell>
          <cell r="B921">
            <v>4715</v>
          </cell>
          <cell r="C921" t="str">
            <v>DTRIC INSURANCE COMPANY, LIMITED</v>
          </cell>
          <cell r="D921" t="str">
            <v>SF1 / LI</v>
          </cell>
          <cell r="E921" t="str">
            <v>SF1 / LI</v>
          </cell>
          <cell r="F921">
            <v>0</v>
          </cell>
          <cell r="G921">
            <v>0</v>
          </cell>
          <cell r="H921">
            <v>0</v>
          </cell>
        </row>
        <row r="922">
          <cell r="A922">
            <v>20362</v>
          </cell>
          <cell r="B922">
            <v>4715</v>
          </cell>
          <cell r="C922" t="str">
            <v>MITSUI SUMITOMO INSURANCE COMPANY OF AMERICA</v>
          </cell>
          <cell r="D922" t="str">
            <v>SF1 / LI</v>
          </cell>
          <cell r="E922" t="str">
            <v>SF1 / LI</v>
          </cell>
          <cell r="F922">
            <v>0</v>
          </cell>
          <cell r="G922">
            <v>0</v>
          </cell>
          <cell r="H922">
            <v>0</v>
          </cell>
        </row>
        <row r="923">
          <cell r="A923">
            <v>22551</v>
          </cell>
          <cell r="B923">
            <v>4715</v>
          </cell>
          <cell r="C923" t="str">
            <v>MITSUI SUMITOMO INSURANCE USA INC.</v>
          </cell>
          <cell r="D923" t="str">
            <v>SF1 / LI</v>
          </cell>
          <cell r="E923" t="str">
            <v>SF1 / LI</v>
          </cell>
          <cell r="F923">
            <v>0</v>
          </cell>
          <cell r="G923">
            <v>0</v>
          </cell>
          <cell r="H923">
            <v>0</v>
          </cell>
        </row>
        <row r="924">
          <cell r="A924">
            <v>10970</v>
          </cell>
          <cell r="B924">
            <v>4718</v>
          </cell>
          <cell r="C924" t="str">
            <v>RESPONSE INDEMNITY COMPANY OF CALIFORNIA</v>
          </cell>
          <cell r="D924" t="str">
            <v>SF1 / CARLSON</v>
          </cell>
          <cell r="E924" t="str">
            <v>SF1 / CARLSON</v>
          </cell>
          <cell r="F924" t="str">
            <v>SF2 / GOTERA-PITROU</v>
          </cell>
          <cell r="G924">
            <v>0</v>
          </cell>
          <cell r="H924">
            <v>0</v>
          </cell>
        </row>
        <row r="925">
          <cell r="A925">
            <v>11932</v>
          </cell>
          <cell r="B925">
            <v>4720</v>
          </cell>
          <cell r="C925" t="str">
            <v>WHITE PINE INSURANCE COMPANY</v>
          </cell>
          <cell r="D925" t="str">
            <v>SF1 / POON</v>
          </cell>
          <cell r="E925" t="str">
            <v>SF1 / POON</v>
          </cell>
          <cell r="F925">
            <v>0</v>
          </cell>
          <cell r="G925">
            <v>0</v>
          </cell>
          <cell r="H925">
            <v>0</v>
          </cell>
        </row>
        <row r="926">
          <cell r="A926">
            <v>20532</v>
          </cell>
          <cell r="B926">
            <v>4725</v>
          </cell>
          <cell r="C926" t="str">
            <v>CLARENDON NATIONAL INSURANCE COMPANY</v>
          </cell>
          <cell r="D926" t="str">
            <v>SF1 / LI</v>
          </cell>
          <cell r="E926" t="str">
            <v>SF1 / LI</v>
          </cell>
          <cell r="F926">
            <v>0</v>
          </cell>
          <cell r="G926">
            <v>0</v>
          </cell>
          <cell r="H926">
            <v>0</v>
          </cell>
        </row>
        <row r="927">
          <cell r="A927">
            <v>24295</v>
          </cell>
          <cell r="B927">
            <v>4725</v>
          </cell>
          <cell r="C927" t="str">
            <v>PROVIDENCE WASHINGTON INSURANCE COMPANY</v>
          </cell>
          <cell r="D927" t="str">
            <v>SF2 / GOTERA-PITROU</v>
          </cell>
          <cell r="E927" t="str">
            <v>SF2 / GOTERA-PITROU</v>
          </cell>
          <cell r="F927" t="str">
            <v>SF2 / GOTERA-PITROU</v>
          </cell>
          <cell r="G927">
            <v>0</v>
          </cell>
          <cell r="H927">
            <v>0</v>
          </cell>
        </row>
        <row r="928">
          <cell r="A928">
            <v>25496</v>
          </cell>
          <cell r="B928">
            <v>4725</v>
          </cell>
          <cell r="C928" t="str">
            <v>STARSTONE NATIONAL INSURANCE COMPANY</v>
          </cell>
          <cell r="D928" t="str">
            <v>SF2 / GOTERA-PITROU</v>
          </cell>
          <cell r="E928" t="str">
            <v>SF2 / GOTERA-PITROU</v>
          </cell>
          <cell r="F928" t="str">
            <v>SF2 / GOTERA-PITROU</v>
          </cell>
          <cell r="G928">
            <v>0</v>
          </cell>
          <cell r="H928">
            <v>0</v>
          </cell>
        </row>
        <row r="929">
          <cell r="A929">
            <v>12157</v>
          </cell>
          <cell r="B929">
            <v>4725</v>
          </cell>
          <cell r="C929" t="str">
            <v>SUSSEX INSURANCE COMPANY (Merged with and into Clarendon National Insurance Company, effective January 2, 2018)</v>
          </cell>
          <cell r="D929" t="str">
            <v>SF2 / GOTERA-PITROU</v>
          </cell>
          <cell r="E929" t="str">
            <v>SF2 / GOTERA-PITROU</v>
          </cell>
          <cell r="F929" t="str">
            <v>SF2 / GOTERA-PITROU</v>
          </cell>
          <cell r="G929">
            <v>0</v>
          </cell>
          <cell r="H929">
            <v>0</v>
          </cell>
        </row>
        <row r="930">
          <cell r="A930">
            <v>26220</v>
          </cell>
          <cell r="B930">
            <v>4725</v>
          </cell>
          <cell r="C930" t="str">
            <v>YOSEMITE INSURANCE COMPANY</v>
          </cell>
          <cell r="D930" t="str">
            <v>SF2 / GOTERA-PITROU</v>
          </cell>
          <cell r="E930" t="str">
            <v>SF2 / GOTERA-PITROU</v>
          </cell>
          <cell r="F930" t="str">
            <v>SF2 / GOTERA-PITROU</v>
          </cell>
          <cell r="G930">
            <v>0</v>
          </cell>
          <cell r="H930">
            <v>0</v>
          </cell>
        </row>
        <row r="931">
          <cell r="A931">
            <v>24899</v>
          </cell>
          <cell r="B931">
            <v>4734</v>
          </cell>
          <cell r="C931" t="str">
            <v>ALEA NORTH AMERICA INSURANCE COMPANY</v>
          </cell>
          <cell r="D931" t="str">
            <v>LA2 / LEE</v>
          </cell>
          <cell r="E931" t="str">
            <v>LA2 / LEE</v>
          </cell>
          <cell r="F931" t="str">
            <v>SF2 / GOTERA-PITROU</v>
          </cell>
          <cell r="G931">
            <v>0</v>
          </cell>
          <cell r="H931">
            <v>0</v>
          </cell>
        </row>
        <row r="932">
          <cell r="A932">
            <v>43460</v>
          </cell>
          <cell r="B932">
            <v>4734</v>
          </cell>
          <cell r="C932" t="str">
            <v>ASPEN AMERICAN INSURANCE COMPANY</v>
          </cell>
          <cell r="D932" t="str">
            <v>LA2 / LEE</v>
          </cell>
          <cell r="E932" t="str">
            <v>LA2 / LEE</v>
          </cell>
          <cell r="F932" t="str">
            <v>SF2 / SALAZAR</v>
          </cell>
          <cell r="G932">
            <v>0</v>
          </cell>
          <cell r="H932">
            <v>0</v>
          </cell>
        </row>
        <row r="933">
          <cell r="A933">
            <v>19269</v>
          </cell>
          <cell r="B933">
            <v>4734</v>
          </cell>
          <cell r="C933" t="str">
            <v>DANIELSON NATIONAL INSURANCE COMPANY</v>
          </cell>
          <cell r="D933" t="str">
            <v>LA2 / LEE</v>
          </cell>
          <cell r="E933" t="str">
            <v>LA2 / LEE</v>
          </cell>
          <cell r="F933" t="str">
            <v>SF2 / GOTERA-PITROU</v>
          </cell>
          <cell r="G933">
            <v>0</v>
          </cell>
          <cell r="H933">
            <v>0</v>
          </cell>
        </row>
        <row r="934">
          <cell r="A934">
            <v>23671</v>
          </cell>
          <cell r="B934">
            <v>4734</v>
          </cell>
          <cell r="C934" t="str">
            <v>NATIONAL AMERICAN INSURANCE COMPANY OF CALIFORNIA</v>
          </cell>
          <cell r="D934" t="str">
            <v>LA2 / LEE</v>
          </cell>
          <cell r="E934" t="str">
            <v>LA2 / LEE</v>
          </cell>
          <cell r="F934" t="str">
            <v>SF2 / GOTERA-PITROU</v>
          </cell>
          <cell r="G934">
            <v>0</v>
          </cell>
          <cell r="H934">
            <v>0</v>
          </cell>
        </row>
        <row r="935">
          <cell r="A935">
            <v>20613</v>
          </cell>
          <cell r="B935">
            <v>4734</v>
          </cell>
          <cell r="C935" t="str">
            <v>SPARTA INSURANCE COMPANY</v>
          </cell>
          <cell r="D935" t="str">
            <v>LA2 / LEE</v>
          </cell>
          <cell r="E935" t="str">
            <v>LA2 / LEE</v>
          </cell>
          <cell r="F935" t="str">
            <v>SF2 / GOTERA-PITROU</v>
          </cell>
          <cell r="G935">
            <v>0</v>
          </cell>
          <cell r="H935">
            <v>0</v>
          </cell>
        </row>
        <row r="936">
          <cell r="A936">
            <v>41211</v>
          </cell>
          <cell r="B936">
            <v>4734</v>
          </cell>
          <cell r="C936" t="str">
            <v>TRITON INSURANCE COMPANY</v>
          </cell>
          <cell r="D936" t="str">
            <v>LA2 / LEE</v>
          </cell>
          <cell r="E936" t="str">
            <v>LA2 / LEE</v>
          </cell>
          <cell r="F936" t="str">
            <v>SF2 / GOTERA-PITROU</v>
          </cell>
          <cell r="G936">
            <v>0</v>
          </cell>
          <cell r="H936">
            <v>0</v>
          </cell>
        </row>
        <row r="937">
          <cell r="A937">
            <v>21075</v>
          </cell>
          <cell r="B937">
            <v>4736</v>
          </cell>
          <cell r="C937" t="str">
            <v>FINANCIAL AMERICAN PROPERTY AND CASUALTY INSURANCE COMPANY</v>
          </cell>
          <cell r="D937" t="str">
            <v>SF1 / LI</v>
          </cell>
          <cell r="E937" t="str">
            <v>SF1 / LI</v>
          </cell>
          <cell r="F937" t="str">
            <v>SF2 / GOTERA-PITROU</v>
          </cell>
          <cell r="G937">
            <v>0</v>
          </cell>
          <cell r="H937">
            <v>0</v>
          </cell>
        </row>
        <row r="938">
          <cell r="A938">
            <v>33855</v>
          </cell>
          <cell r="B938">
            <v>4753</v>
          </cell>
          <cell r="C938" t="str">
            <v>LINCOLN GENERAL INSURANCE COMPANY</v>
          </cell>
          <cell r="D938" t="str">
            <v>SF2 / SALAZAR</v>
          </cell>
          <cell r="E938" t="str">
            <v>SF2 / SALAZAR</v>
          </cell>
          <cell r="F938" t="str">
            <v>SF2 / SALAZAR</v>
          </cell>
          <cell r="G938">
            <v>0</v>
          </cell>
          <cell r="H938">
            <v>0</v>
          </cell>
        </row>
        <row r="939">
          <cell r="A939">
            <v>13695</v>
          </cell>
          <cell r="B939">
            <v>4760</v>
          </cell>
          <cell r="C939" t="str">
            <v>NATIONAL MORTGAGE INSURANCE CORPORATION</v>
          </cell>
          <cell r="D939" t="str">
            <v>SF2 / GOTERA-PITROU</v>
          </cell>
          <cell r="E939" t="str">
            <v>SF2 / GOTERA-PITROU</v>
          </cell>
          <cell r="F939" t="str">
            <v>SF2 / GOTERA-PITROU</v>
          </cell>
          <cell r="G939">
            <v>0</v>
          </cell>
          <cell r="H939">
            <v>0</v>
          </cell>
        </row>
        <row r="940">
          <cell r="A940">
            <v>13758</v>
          </cell>
          <cell r="B940">
            <v>4760</v>
          </cell>
          <cell r="C940" t="str">
            <v>NATIONAL MORTGAGE REINSURANCE INC ONE</v>
          </cell>
          <cell r="D940" t="str">
            <v>SF2 / GOTERA-PITROU</v>
          </cell>
          <cell r="E940" t="str">
            <v>SF2 / GOTERA-PITROU</v>
          </cell>
          <cell r="F940" t="str">
            <v>SF2 / GOTERA-PITROU</v>
          </cell>
          <cell r="G940">
            <v>0</v>
          </cell>
          <cell r="H940">
            <v>0</v>
          </cell>
        </row>
        <row r="941">
          <cell r="A941">
            <v>12944</v>
          </cell>
          <cell r="B941">
            <v>4792</v>
          </cell>
          <cell r="C941" t="str">
            <v>HOMEOWNERS CHOICE PROPERTY &amp; CASUALTY INSURANCE COMPANY, INC.</v>
          </cell>
          <cell r="D941" t="str">
            <v>LA2 / LEE</v>
          </cell>
          <cell r="E941" t="str">
            <v>LA2 / LEE</v>
          </cell>
          <cell r="F941">
            <v>0</v>
          </cell>
          <cell r="G941">
            <v>0</v>
          </cell>
          <cell r="H941">
            <v>0</v>
          </cell>
        </row>
        <row r="942">
          <cell r="A942">
            <v>15563</v>
          </cell>
          <cell r="B942">
            <v>4794</v>
          </cell>
          <cell r="C942" t="str">
            <v>SEABRIGHT INSURANCE COMPANY</v>
          </cell>
          <cell r="D942" t="str">
            <v>SF2 / GOTERA-PITROU</v>
          </cell>
          <cell r="E942" t="str">
            <v>SF2 / GOTERA-PITROU</v>
          </cell>
          <cell r="F942" t="str">
            <v>SF2 / GOTERA-PITROU</v>
          </cell>
          <cell r="G942">
            <v>0</v>
          </cell>
          <cell r="H942">
            <v>0</v>
          </cell>
        </row>
        <row r="943">
          <cell r="A943">
            <v>28339</v>
          </cell>
          <cell r="B943">
            <v>4795</v>
          </cell>
          <cell r="C943" t="str">
            <v>ALANO INSURANCE COMPANY (See Gateway Ins Co)</v>
          </cell>
          <cell r="D943" t="str">
            <v>SF2 / DEMESA</v>
          </cell>
          <cell r="E943" t="str">
            <v>SF2 / DEMESA</v>
          </cell>
          <cell r="F943" t="str">
            <v>SF2 / DEMESA</v>
          </cell>
          <cell r="G943">
            <v>0</v>
          </cell>
          <cell r="H943">
            <v>0</v>
          </cell>
        </row>
        <row r="944">
          <cell r="A944">
            <v>28339</v>
          </cell>
          <cell r="B944">
            <v>4795</v>
          </cell>
          <cell r="C944" t="str">
            <v>GATEWAY INSURANCE COMPANY dba ALANO INSURANCE COMPANY</v>
          </cell>
          <cell r="D944" t="str">
            <v>SF2 / DEMESA</v>
          </cell>
          <cell r="E944" t="str">
            <v>SF2 / DEMESA</v>
          </cell>
          <cell r="F944" t="str">
            <v>SF2 / DEMESA</v>
          </cell>
          <cell r="G944">
            <v>0</v>
          </cell>
          <cell r="H944">
            <v>0</v>
          </cell>
        </row>
        <row r="945">
          <cell r="A945">
            <v>11092</v>
          </cell>
          <cell r="B945">
            <v>4795</v>
          </cell>
          <cell r="C945" t="str">
            <v>GLOBAL LIBERTY INSURANCE COMPANY OF NEW YORK</v>
          </cell>
          <cell r="D945" t="str">
            <v>SF2 / DEMESA</v>
          </cell>
          <cell r="E945" t="str">
            <v>SF2 / DEMESA</v>
          </cell>
          <cell r="F945" t="str">
            <v>SF2 / DEMESA</v>
          </cell>
          <cell r="G945">
            <v>0</v>
          </cell>
          <cell r="H945">
            <v>0</v>
          </cell>
        </row>
        <row r="946">
          <cell r="A946">
            <v>27898</v>
          </cell>
          <cell r="B946">
            <v>4799</v>
          </cell>
          <cell r="C946" t="str">
            <v>AIC INSURANCE COMPANY (see Americas Insurance Company)</v>
          </cell>
          <cell r="D946" t="str">
            <v>SF2 / GOTERA-PITROU</v>
          </cell>
          <cell r="E946" t="str">
            <v>SF2 / GOTERA-PITROU</v>
          </cell>
          <cell r="F946" t="str">
            <v>SF2 / GOTERA-PITROU</v>
          </cell>
          <cell r="G946">
            <v>0</v>
          </cell>
          <cell r="H946">
            <v>0</v>
          </cell>
        </row>
        <row r="947">
          <cell r="A947">
            <v>27898</v>
          </cell>
          <cell r="B947">
            <v>4799</v>
          </cell>
          <cell r="C947" t="str">
            <v>AMERICAS INSURANCE COMPANY (dba AIC Ins Co)</v>
          </cell>
          <cell r="D947" t="str">
            <v>SF2 / GOTERA-PITROU</v>
          </cell>
          <cell r="E947" t="str">
            <v>SF2 / GOTERA-PITROU</v>
          </cell>
          <cell r="F947" t="str">
            <v>SF2 / GOTERA-PITROU</v>
          </cell>
          <cell r="G947">
            <v>0</v>
          </cell>
          <cell r="H947">
            <v>0</v>
          </cell>
        </row>
        <row r="948">
          <cell r="A948">
            <v>22250</v>
          </cell>
          <cell r="B948">
            <v>4826</v>
          </cell>
          <cell r="C948" t="str">
            <v>BLUESHORE INSURANCE COMPANY</v>
          </cell>
          <cell r="D948" t="str">
            <v>LA1 /  HUH</v>
          </cell>
          <cell r="E948" t="str">
            <v>LA1 / OKPARA</v>
          </cell>
          <cell r="F948">
            <v>0</v>
          </cell>
          <cell r="G948">
            <v>0</v>
          </cell>
          <cell r="H948">
            <v>0</v>
          </cell>
        </row>
        <row r="949">
          <cell r="A949">
            <v>21970</v>
          </cell>
          <cell r="B949">
            <v>4829</v>
          </cell>
          <cell r="C949" t="str">
            <v>BEDIVERE INSURANCE COMPANY</v>
          </cell>
          <cell r="D949" t="str">
            <v>SF2 / DEMESA</v>
          </cell>
          <cell r="E949" t="str">
            <v>SF2 / DEMESA</v>
          </cell>
          <cell r="F949" t="str">
            <v>SF2 / DEMESA</v>
          </cell>
          <cell r="G949">
            <v>0</v>
          </cell>
          <cell r="H949">
            <v>0</v>
          </cell>
        </row>
        <row r="950">
          <cell r="A950">
            <v>20648</v>
          </cell>
          <cell r="B950">
            <v>4829</v>
          </cell>
          <cell r="C950" t="str">
            <v>EMPLOYERS' FIRE INSURANCE COMPANY</v>
          </cell>
          <cell r="D950" t="str">
            <v>SF2 / DEMESA</v>
          </cell>
          <cell r="E950" t="str">
            <v>SF2 / DEMESA</v>
          </cell>
          <cell r="F950" t="str">
            <v>SF2 / DEMESA</v>
          </cell>
          <cell r="G950">
            <v>0</v>
          </cell>
          <cell r="H950">
            <v>0</v>
          </cell>
        </row>
        <row r="951">
          <cell r="A951">
            <v>39675</v>
          </cell>
          <cell r="B951">
            <v>4829</v>
          </cell>
          <cell r="C951" t="str">
            <v>EXCALIBUR REINSURANCE CORPORATION</v>
          </cell>
          <cell r="D951" t="str">
            <v>SF2 / DEMESA</v>
          </cell>
          <cell r="E951" t="str">
            <v>SF2 / DEMESA</v>
          </cell>
          <cell r="F951" t="str">
            <v>SF2 / DEMESA</v>
          </cell>
          <cell r="G951">
            <v>0</v>
          </cell>
          <cell r="H951">
            <v>0</v>
          </cell>
        </row>
        <row r="952">
          <cell r="A952">
            <v>20621</v>
          </cell>
          <cell r="B952">
            <v>4829</v>
          </cell>
          <cell r="C952" t="str">
            <v>LAMORAK INSURANCE COMPANY</v>
          </cell>
          <cell r="D952" t="str">
            <v>SF2 / DEMESA</v>
          </cell>
          <cell r="E952" t="str">
            <v>SF2 / DEMESA</v>
          </cell>
          <cell r="F952" t="str">
            <v>SF2 / DEMESA</v>
          </cell>
          <cell r="G952">
            <v>0</v>
          </cell>
          <cell r="H952">
            <v>0</v>
          </cell>
        </row>
        <row r="953">
          <cell r="A953">
            <v>38512</v>
          </cell>
          <cell r="B953">
            <v>4829</v>
          </cell>
          <cell r="C953" t="str">
            <v>RAMPART INSURANCE COMPANY</v>
          </cell>
          <cell r="D953" t="str">
            <v>SF2 / DEMESA</v>
          </cell>
          <cell r="E953" t="str">
            <v>SF2 / DEMESA</v>
          </cell>
          <cell r="F953" t="str">
            <v>SF2 / DEMESA</v>
          </cell>
          <cell r="G953">
            <v>0</v>
          </cell>
          <cell r="H953">
            <v>0</v>
          </cell>
        </row>
        <row r="954">
          <cell r="A954">
            <v>28860</v>
          </cell>
          <cell r="B954">
            <v>4850</v>
          </cell>
          <cell r="C954" t="str">
            <v>CLEAR BLUE INSURANCE COMPANY</v>
          </cell>
          <cell r="D954" t="str">
            <v>LA2 / BAUTISTA</v>
          </cell>
          <cell r="E954" t="str">
            <v>LA2 / BAUTISTA</v>
          </cell>
          <cell r="F954" t="str">
            <v>SF2 / GOTERA-PITROU</v>
          </cell>
          <cell r="G954">
            <v>0</v>
          </cell>
          <cell r="H954">
            <v>0</v>
          </cell>
        </row>
        <row r="955">
          <cell r="A955">
            <v>18767</v>
          </cell>
          <cell r="B955">
            <v>4851</v>
          </cell>
          <cell r="C955" t="str">
            <v>CHURCH MUTUAL INSURANCE COMPANY</v>
          </cell>
          <cell r="D955" t="str">
            <v>LA2 / LEE</v>
          </cell>
          <cell r="E955" t="str">
            <v>LA2 / LEE</v>
          </cell>
          <cell r="F955" t="str">
            <v>SF2 / GOTERA-PITROU</v>
          </cell>
          <cell r="G955">
            <v>0</v>
          </cell>
          <cell r="H955">
            <v>0</v>
          </cell>
        </row>
        <row r="956">
          <cell r="A956">
            <v>31208</v>
          </cell>
          <cell r="B956">
            <v>4863</v>
          </cell>
          <cell r="C956" t="str">
            <v>OAKWOOD INSURANCE COMPANY</v>
          </cell>
          <cell r="D956" t="str">
            <v>SF2 / DEMESA</v>
          </cell>
          <cell r="E956" t="str">
            <v>SF2 / DEMESA</v>
          </cell>
          <cell r="F956" t="str">
            <v>SF2 / DEMESA</v>
          </cell>
          <cell r="G956">
            <v>0</v>
          </cell>
          <cell r="H956">
            <v>0</v>
          </cell>
        </row>
        <row r="957">
          <cell r="A957">
            <v>38776</v>
          </cell>
          <cell r="B957">
            <v>4863</v>
          </cell>
          <cell r="C957" t="str">
            <v>SIRIUS AMERICA INSURANCE COMPANY</v>
          </cell>
          <cell r="D957" t="str">
            <v>SF2 / DEMESA</v>
          </cell>
          <cell r="E957" t="str">
            <v>SF2 / DEMESA</v>
          </cell>
          <cell r="F957" t="str">
            <v>SF2 / DEMESA</v>
          </cell>
          <cell r="G957">
            <v>0</v>
          </cell>
          <cell r="H957">
            <v>0</v>
          </cell>
        </row>
        <row r="958">
          <cell r="A958">
            <v>12750</v>
          </cell>
          <cell r="B958">
            <v>4869</v>
          </cell>
          <cell r="C958" t="str">
            <v>EVERGREEN NATIONAL INDEMNITY COMPANY</v>
          </cell>
          <cell r="D958" t="str">
            <v>LA2 / BAUTISTA</v>
          </cell>
          <cell r="E958" t="str">
            <v>LA2 / BAUTISTA</v>
          </cell>
          <cell r="F958">
            <v>0</v>
          </cell>
          <cell r="G958">
            <v>0</v>
          </cell>
          <cell r="H958">
            <v>0</v>
          </cell>
        </row>
        <row r="959">
          <cell r="A959">
            <v>25180</v>
          </cell>
          <cell r="B959">
            <v>4869</v>
          </cell>
          <cell r="C959" t="str">
            <v>STILLWATER INSURANCE COMPANY</v>
          </cell>
          <cell r="D959" t="str">
            <v>LA2 / BAUTISTA</v>
          </cell>
          <cell r="E959" t="str">
            <v>LA2 / BAUTISTA</v>
          </cell>
          <cell r="F959">
            <v>0</v>
          </cell>
          <cell r="G959">
            <v>0</v>
          </cell>
          <cell r="H959">
            <v>0</v>
          </cell>
        </row>
        <row r="960">
          <cell r="A960">
            <v>16578</v>
          </cell>
          <cell r="B960">
            <v>4869</v>
          </cell>
          <cell r="C960" t="str">
            <v>STILLWATER PROPERTY AND CASUALTY INSURANCE COMPANY</v>
          </cell>
          <cell r="D960" t="str">
            <v>LA2 / BAUTISTA</v>
          </cell>
          <cell r="E960" t="str">
            <v>LA2 / BAUTISTA</v>
          </cell>
          <cell r="F960">
            <v>0</v>
          </cell>
          <cell r="G960">
            <v>0</v>
          </cell>
          <cell r="H960">
            <v>0</v>
          </cell>
        </row>
        <row r="961">
          <cell r="A961">
            <v>25585</v>
          </cell>
          <cell r="B961">
            <v>4871</v>
          </cell>
          <cell r="C961" t="str">
            <v>WATFORD INSURANCE COMPANY</v>
          </cell>
          <cell r="D961" t="str">
            <v>LA1 /  HUH</v>
          </cell>
          <cell r="E961" t="str">
            <v>LA1 / AHN</v>
          </cell>
          <cell r="F961" t="str">
            <v>SF2 / GOTERA-PITROU</v>
          </cell>
          <cell r="G961">
            <v>0</v>
          </cell>
          <cell r="H961">
            <v>0</v>
          </cell>
        </row>
        <row r="962">
          <cell r="A962">
            <v>32832</v>
          </cell>
          <cell r="B962">
            <v>4878</v>
          </cell>
          <cell r="C962" t="str">
            <v>MUTUAL INSURANCE COMPANY OF ARIZONA</v>
          </cell>
          <cell r="D962" t="str">
            <v>SF2 / SALAZAR</v>
          </cell>
          <cell r="E962" t="str">
            <v>SF2 / SALAZAR</v>
          </cell>
          <cell r="F962" t="str">
            <v>SF2 / SALAZAR</v>
          </cell>
          <cell r="G962">
            <v>0</v>
          </cell>
          <cell r="H962">
            <v>0</v>
          </cell>
        </row>
        <row r="963">
          <cell r="A963">
            <v>32832</v>
          </cell>
          <cell r="B963">
            <v>4878</v>
          </cell>
          <cell r="C963" t="str">
            <v>MUTUAL INSURANCE COMPANY OF ARIZONA</v>
          </cell>
          <cell r="D963" t="str">
            <v>SF2 / SALAZAR</v>
          </cell>
          <cell r="E963" t="str">
            <v>SF2 / SALAZAR</v>
          </cell>
          <cell r="F963" t="str">
            <v>SF2 / SALAZAR</v>
          </cell>
          <cell r="G963">
            <v>0</v>
          </cell>
          <cell r="H963">
            <v>0</v>
          </cell>
        </row>
        <row r="964">
          <cell r="A964">
            <v>21989</v>
          </cell>
          <cell r="B964">
            <v>4883</v>
          </cell>
          <cell r="C964" t="str">
            <v>COMPASS INSURANCE COMPANY</v>
          </cell>
          <cell r="D964" t="str">
            <v>LA1 /  HUH</v>
          </cell>
          <cell r="E964" t="str">
            <v>LA1 / OKPARA</v>
          </cell>
          <cell r="F964">
            <v>0</v>
          </cell>
          <cell r="G964">
            <v>0</v>
          </cell>
          <cell r="H964">
            <v>0</v>
          </cell>
        </row>
        <row r="965">
          <cell r="A965">
            <v>23914</v>
          </cell>
          <cell r="B965">
            <v>4883</v>
          </cell>
          <cell r="C965" t="str">
            <v>NORTHWESTERN NATIONAL INS CO MILWAUKEE, WISCONSIN</v>
          </cell>
          <cell r="D965" t="str">
            <v>LA1 /  HUH</v>
          </cell>
          <cell r="E965" t="str">
            <v>LA1 / OKPARA</v>
          </cell>
          <cell r="F965">
            <v>0</v>
          </cell>
          <cell r="G965">
            <v>0</v>
          </cell>
          <cell r="H965">
            <v>0</v>
          </cell>
        </row>
        <row r="966">
          <cell r="A966">
            <v>41394</v>
          </cell>
          <cell r="B966">
            <v>4886</v>
          </cell>
          <cell r="C966" t="str">
            <v>BENCHMARK INSURANCE COMPANY</v>
          </cell>
          <cell r="D966" t="str">
            <v>LA1 /  HUH</v>
          </cell>
          <cell r="E966" t="str">
            <v>LA1 / OKPARA</v>
          </cell>
          <cell r="F966">
            <v>0</v>
          </cell>
          <cell r="G966">
            <v>0</v>
          </cell>
          <cell r="H966">
            <v>0</v>
          </cell>
        </row>
        <row r="967">
          <cell r="A967">
            <v>14354</v>
          </cell>
          <cell r="B967">
            <v>4889</v>
          </cell>
          <cell r="C967" t="str">
            <v>JEWELERS MUTUAL INSURANCE COMPANY</v>
          </cell>
          <cell r="D967" t="str">
            <v>LA2 / BAUTISTA</v>
          </cell>
          <cell r="E967" t="str">
            <v>LA2 / BAUTISTA</v>
          </cell>
          <cell r="F967" t="str">
            <v>SF2 / GOTERA-PITROU</v>
          </cell>
          <cell r="G967">
            <v>0</v>
          </cell>
          <cell r="H967">
            <v>0</v>
          </cell>
        </row>
        <row r="968">
          <cell r="A968">
            <v>27154</v>
          </cell>
          <cell r="B968">
            <v>4904</v>
          </cell>
          <cell r="C968" t="str">
            <v>ATLANTIC SPECIALTY INSURANCE COMPANY</v>
          </cell>
          <cell r="D968" t="str">
            <v>SF2 / DEMESA</v>
          </cell>
          <cell r="E968" t="str">
            <v>SF2 / DEMESA</v>
          </cell>
          <cell r="F968" t="str">
            <v>SF2 / DEMESA</v>
          </cell>
          <cell r="G968">
            <v>0</v>
          </cell>
          <cell r="H968">
            <v>0</v>
          </cell>
        </row>
        <row r="969">
          <cell r="A969">
            <v>15645</v>
          </cell>
          <cell r="B969">
            <v>4904</v>
          </cell>
          <cell r="C969" t="str">
            <v>OBI AMERICA INSURANCE COMPANY</v>
          </cell>
          <cell r="D969" t="str">
            <v>SF2 / DEMESA</v>
          </cell>
          <cell r="E969" t="str">
            <v>SF2 / DEMESA</v>
          </cell>
          <cell r="F969" t="str">
            <v>SF2 / DEMESA</v>
          </cell>
          <cell r="G969">
            <v>0</v>
          </cell>
          <cell r="H969">
            <v>0</v>
          </cell>
        </row>
        <row r="970">
          <cell r="A970">
            <v>14190</v>
          </cell>
          <cell r="B970">
            <v>4904</v>
          </cell>
          <cell r="C970" t="str">
            <v>OBI NATIONAL INSURANCE COMPANY</v>
          </cell>
          <cell r="D970" t="str">
            <v>SF2 / DEMESA</v>
          </cell>
          <cell r="E970" t="str">
            <v>SF2 / DEMESA</v>
          </cell>
          <cell r="F970" t="str">
            <v>SF2 / DEMESA</v>
          </cell>
          <cell r="G970">
            <v>0</v>
          </cell>
          <cell r="H970">
            <v>0</v>
          </cell>
        </row>
        <row r="971">
          <cell r="A971">
            <v>23752</v>
          </cell>
          <cell r="B971">
            <v>4908</v>
          </cell>
          <cell r="C971" t="str">
            <v>GREYHAWK INSURANCE COMPANY</v>
          </cell>
          <cell r="D971" t="str">
            <v>LA2 / LEE</v>
          </cell>
          <cell r="E971" t="str">
            <v>LA2 / LEE</v>
          </cell>
          <cell r="F971" t="str">
            <v>SF2 / GOTERA-PITROU</v>
          </cell>
          <cell r="G971">
            <v>0</v>
          </cell>
          <cell r="H971">
            <v>0</v>
          </cell>
        </row>
        <row r="972">
          <cell r="A972">
            <v>42234</v>
          </cell>
          <cell r="B972">
            <v>4910</v>
          </cell>
          <cell r="C972" t="str">
            <v>MINNESOTA LAWYERS MUTUAL INS. CO.</v>
          </cell>
          <cell r="D972" t="str">
            <v>LA1 /  HUH</v>
          </cell>
          <cell r="E972" t="str">
            <v>LA1 / OKPARA</v>
          </cell>
          <cell r="F972">
            <v>0</v>
          </cell>
          <cell r="G972">
            <v>0</v>
          </cell>
          <cell r="H972">
            <v>0</v>
          </cell>
        </row>
        <row r="973">
          <cell r="A973">
            <v>26905</v>
          </cell>
          <cell r="B973">
            <v>4928</v>
          </cell>
          <cell r="C973" t="str">
            <v>CENTURY-NATIONAL INSURANCE COMPANY</v>
          </cell>
          <cell r="D973" t="str">
            <v>LA1 /  HUH</v>
          </cell>
          <cell r="E973" t="str">
            <v>LA1 / OKPARA</v>
          </cell>
          <cell r="F973" t="str">
            <v>SF2 / GOTERA-PITROU</v>
          </cell>
          <cell r="G973">
            <v>0</v>
          </cell>
          <cell r="H973">
            <v>0</v>
          </cell>
        </row>
        <row r="974">
          <cell r="A974">
            <v>42781</v>
          </cell>
          <cell r="B974">
            <v>4928</v>
          </cell>
          <cell r="C974" t="str">
            <v>DIRECT GENERAL INSURANCE COMPANY</v>
          </cell>
          <cell r="D974" t="str">
            <v>LA1 /  HUH</v>
          </cell>
          <cell r="E974" t="str">
            <v>LA1 / OKPARA</v>
          </cell>
          <cell r="F974" t="str">
            <v>SF2 / GOTERA-PITROU</v>
          </cell>
          <cell r="G974">
            <v>0</v>
          </cell>
          <cell r="H974">
            <v>0</v>
          </cell>
        </row>
        <row r="975">
          <cell r="A975">
            <v>29742</v>
          </cell>
          <cell r="B975">
            <v>4928</v>
          </cell>
          <cell r="C975" t="str">
            <v>INTEGON NATIONAL INSURANCE COMPANY</v>
          </cell>
          <cell r="D975" t="str">
            <v>LA1 /  HUH</v>
          </cell>
          <cell r="E975" t="str">
            <v>LA1 / OKPARA</v>
          </cell>
          <cell r="F975" t="str">
            <v>SF2 / GOTERA-PITROU</v>
          </cell>
          <cell r="G975">
            <v>0</v>
          </cell>
          <cell r="H975">
            <v>0</v>
          </cell>
        </row>
        <row r="976">
          <cell r="A976">
            <v>31488</v>
          </cell>
          <cell r="B976">
            <v>4928</v>
          </cell>
          <cell r="C976" t="str">
            <v>INTEGON PREFERRED INSURANCE COMPANY</v>
          </cell>
          <cell r="D976" t="str">
            <v>LA1 /  HUH</v>
          </cell>
          <cell r="E976" t="str">
            <v>LA1 / OKPARA</v>
          </cell>
          <cell r="F976" t="str">
            <v>SF2 / GOTERA-PITROU</v>
          </cell>
          <cell r="G976">
            <v>0</v>
          </cell>
          <cell r="H976">
            <v>0</v>
          </cell>
        </row>
        <row r="977">
          <cell r="A977">
            <v>38660</v>
          </cell>
          <cell r="B977">
            <v>4928</v>
          </cell>
          <cell r="C977" t="str">
            <v>MIC GENERAL INSURANCE CORPORATION</v>
          </cell>
          <cell r="D977" t="str">
            <v>LA1 /  HUH</v>
          </cell>
          <cell r="E977" t="str">
            <v>LA1 / OKPARA</v>
          </cell>
          <cell r="F977" t="str">
            <v>SF2 / GOTERA-PITROU</v>
          </cell>
          <cell r="G977">
            <v>0</v>
          </cell>
          <cell r="H977">
            <v>0</v>
          </cell>
        </row>
        <row r="978">
          <cell r="A978">
            <v>42447</v>
          </cell>
          <cell r="B978">
            <v>4928</v>
          </cell>
          <cell r="C978" t="str">
            <v>NATIONAL GENERAL ASSURANCE COMPANY</v>
          </cell>
          <cell r="D978" t="str">
            <v>LA1 /  HUH</v>
          </cell>
          <cell r="E978" t="str">
            <v>LA1 / OKPARA</v>
          </cell>
          <cell r="F978" t="str">
            <v>SF2 / GOTERA-PITROU</v>
          </cell>
          <cell r="G978">
            <v>0</v>
          </cell>
          <cell r="H978">
            <v>0</v>
          </cell>
        </row>
        <row r="979">
          <cell r="A979">
            <v>23728</v>
          </cell>
          <cell r="B979">
            <v>4928</v>
          </cell>
          <cell r="C979" t="str">
            <v>NATIONAL GENERAL INSURANCE COMPANY</v>
          </cell>
          <cell r="D979" t="str">
            <v>LA1 /  HUH</v>
          </cell>
          <cell r="E979" t="str">
            <v>LA1 / OKPARA</v>
          </cell>
          <cell r="F979" t="str">
            <v>SF2 / GOTERA-PITROU</v>
          </cell>
          <cell r="G979" t="str">
            <v>RAO / NGUYEN</v>
          </cell>
          <cell r="H979" t="str">
            <v>RAO / NGUYEN</v>
          </cell>
        </row>
        <row r="980">
          <cell r="A980">
            <v>11044</v>
          </cell>
          <cell r="B980">
            <v>4928</v>
          </cell>
          <cell r="C980" t="str">
            <v>NATIONAL GENERAL INSURANCE ONLINE, INC.</v>
          </cell>
          <cell r="D980" t="str">
            <v>LA1 /  HUH</v>
          </cell>
          <cell r="E980" t="str">
            <v>LA1 / OKPARA</v>
          </cell>
          <cell r="F980" t="str">
            <v>SF2 / GOTERA-PITROU</v>
          </cell>
          <cell r="G980">
            <v>0</v>
          </cell>
          <cell r="H980">
            <v>0</v>
          </cell>
        </row>
        <row r="981">
          <cell r="A981">
            <v>12832</v>
          </cell>
          <cell r="B981">
            <v>4928</v>
          </cell>
          <cell r="C981" t="str">
            <v>NATIONAL GENERAL PREMIER INSURANCE COMPANY</v>
          </cell>
          <cell r="D981" t="str">
            <v>LA1 /  HUH</v>
          </cell>
          <cell r="E981" t="str">
            <v>LA1 / OKPARA</v>
          </cell>
          <cell r="F981" t="str">
            <v>SF2 / GOTERA-PITROU</v>
          </cell>
          <cell r="G981">
            <v>0</v>
          </cell>
          <cell r="H981">
            <v>0</v>
          </cell>
        </row>
        <row r="982">
          <cell r="A982">
            <v>23663</v>
          </cell>
          <cell r="B982">
            <v>4935</v>
          </cell>
          <cell r="C982" t="str">
            <v>NATIONAL AMERICAN INSURANCE COMPANY</v>
          </cell>
          <cell r="D982" t="str">
            <v>LA2 / GUAN</v>
          </cell>
          <cell r="E982" t="str">
            <v>LA2 / GUAN</v>
          </cell>
          <cell r="F982">
            <v>0</v>
          </cell>
          <cell r="G982">
            <v>0</v>
          </cell>
          <cell r="H982">
            <v>0</v>
          </cell>
        </row>
        <row r="983">
          <cell r="A983">
            <v>33650</v>
          </cell>
          <cell r="B983">
            <v>4937</v>
          </cell>
          <cell r="C983" t="str">
            <v>MENDOTA INSURANCE COMPANY</v>
          </cell>
          <cell r="D983" t="str">
            <v>SF2 / DEMESA</v>
          </cell>
          <cell r="E983" t="str">
            <v>SF2 / DEMESA</v>
          </cell>
          <cell r="F983" t="str">
            <v>SF2 / DEMESA</v>
          </cell>
          <cell r="G983">
            <v>0</v>
          </cell>
          <cell r="H983">
            <v>0</v>
          </cell>
        </row>
        <row r="984">
          <cell r="A984">
            <v>16217</v>
          </cell>
          <cell r="B984">
            <v>4928</v>
          </cell>
          <cell r="C984" t="str">
            <v>NATIONAL FARMERS UNION PROPERTY AND CASUALTY COMPANY</v>
          </cell>
          <cell r="D984" t="str">
            <v>LA3 / LIN</v>
          </cell>
          <cell r="E984">
            <v>0</v>
          </cell>
          <cell r="F984">
            <v>0</v>
          </cell>
          <cell r="G984">
            <v>0</v>
          </cell>
          <cell r="H984">
            <v>0</v>
          </cell>
        </row>
        <row r="985">
          <cell r="A985">
            <v>42447</v>
          </cell>
          <cell r="B985">
            <v>4928</v>
          </cell>
          <cell r="C985" t="str">
            <v>NATIONAL GENERAL ASSURANCE COMPANY</v>
          </cell>
          <cell r="D985" t="str">
            <v>LA3 / LIN</v>
          </cell>
          <cell r="E985" t="str">
            <v>LA3 / TAKESHITA</v>
          </cell>
          <cell r="F985" t="str">
            <v>SF1 &amp; SF2 / TACKETT</v>
          </cell>
          <cell r="G985">
            <v>0</v>
          </cell>
          <cell r="H985">
            <v>0</v>
          </cell>
        </row>
        <row r="986">
          <cell r="A986">
            <v>23728</v>
          </cell>
          <cell r="B986">
            <v>4928</v>
          </cell>
          <cell r="C986" t="str">
            <v>NATIONAL GENERAL INSURANCE COMPANY</v>
          </cell>
          <cell r="D986" t="str">
            <v>LA3 / LIN</v>
          </cell>
          <cell r="E986" t="str">
            <v>LA3 / TAKESHITA</v>
          </cell>
          <cell r="F986" t="str">
            <v>SF1 &amp; SF2 / TACKETT</v>
          </cell>
          <cell r="G986">
            <v>0</v>
          </cell>
          <cell r="H986">
            <v>0</v>
          </cell>
        </row>
        <row r="987">
          <cell r="A987">
            <v>11044</v>
          </cell>
          <cell r="B987">
            <v>4928</v>
          </cell>
          <cell r="C987" t="str">
            <v>NATIONAL GENERAL INSURANCE ONLINE, INC.</v>
          </cell>
          <cell r="D987" t="str">
            <v>LA3 / LIN</v>
          </cell>
          <cell r="E987" t="str">
            <v>LA3 / TAKESHITA</v>
          </cell>
          <cell r="F987" t="str">
            <v>SF1 &amp; SF2 / TACKETT</v>
          </cell>
          <cell r="G987">
            <v>0</v>
          </cell>
          <cell r="H987">
            <v>0</v>
          </cell>
        </row>
        <row r="988">
          <cell r="A988">
            <v>12832</v>
          </cell>
          <cell r="B988">
            <v>4928</v>
          </cell>
          <cell r="C988" t="str">
            <v>NATIONAL GENERAL PREMIER INSURANCE COMPANY</v>
          </cell>
          <cell r="D988" t="str">
            <v>LA3 / LIN</v>
          </cell>
          <cell r="E988" t="str">
            <v>LA3 / TAKESHITA</v>
          </cell>
          <cell r="F988" t="str">
            <v>SF1 &amp; SF2 / TACKETT</v>
          </cell>
          <cell r="G988">
            <v>0</v>
          </cell>
          <cell r="H988">
            <v>0</v>
          </cell>
        </row>
        <row r="989">
          <cell r="A989">
            <v>23663</v>
          </cell>
          <cell r="B989">
            <v>4935</v>
          </cell>
          <cell r="C989" t="str">
            <v>NATIONAL AMERICAN INSURANCE COMPANY</v>
          </cell>
          <cell r="D989" t="str">
            <v>LA2 / GUAN</v>
          </cell>
          <cell r="E989" t="str">
            <v>LA2 / GUAN</v>
          </cell>
          <cell r="F989">
            <v>0</v>
          </cell>
          <cell r="G989">
            <v>0</v>
          </cell>
          <cell r="H989">
            <v>0</v>
          </cell>
        </row>
        <row r="990">
          <cell r="A990">
            <v>33650</v>
          </cell>
          <cell r="B990">
            <v>4937</v>
          </cell>
          <cell r="C990" t="str">
            <v>MENDOTA INSURANCE COMPANY</v>
          </cell>
          <cell r="D990" t="str">
            <v>SF2 / DEMESA</v>
          </cell>
          <cell r="E990" t="str">
            <v>SF2 / DEMESA</v>
          </cell>
          <cell r="F990" t="str">
            <v>SF2 / DEMESA</v>
          </cell>
          <cell r="G990">
            <v>0</v>
          </cell>
          <cell r="H990">
            <v>0</v>
          </cell>
        </row>
        <row r="991">
          <cell r="A991">
            <v>28258</v>
          </cell>
          <cell r="B991">
            <v>4962</v>
          </cell>
          <cell r="C991" t="str">
            <v>CONTINENTAL INDEMNITY COMPANY</v>
          </cell>
          <cell r="D991" t="str">
            <v>SF1 / HILL</v>
          </cell>
          <cell r="E991" t="str">
            <v>SF1 / HILL</v>
          </cell>
          <cell r="F991" t="str">
            <v>SF2 / SALAZAR</v>
          </cell>
          <cell r="G991">
            <v>0</v>
          </cell>
          <cell r="H991">
            <v>0</v>
          </cell>
        </row>
        <row r="992">
          <cell r="A992">
            <v>35246</v>
          </cell>
          <cell r="B992">
            <v>4962</v>
          </cell>
          <cell r="C992" t="str">
            <v>ILLINOIS INSURANCE COMPANY</v>
          </cell>
          <cell r="D992" t="str">
            <v>SF1 / HILL</v>
          </cell>
          <cell r="E992" t="str">
            <v>SF1 / HILL</v>
          </cell>
          <cell r="F992" t="str">
            <v>SF2 / SALAZAR</v>
          </cell>
          <cell r="G992">
            <v>0</v>
          </cell>
          <cell r="H992">
            <v>0</v>
          </cell>
        </row>
        <row r="993">
          <cell r="A993">
            <v>21962</v>
          </cell>
          <cell r="B993">
            <v>4962</v>
          </cell>
          <cell r="C993" t="str">
            <v>PENNSYLVANIA INSURANCE COMPANY</v>
          </cell>
          <cell r="D993" t="str">
            <v>SF1 / HILL</v>
          </cell>
          <cell r="E993" t="str">
            <v>SF1 / HILL</v>
          </cell>
          <cell r="F993" t="str">
            <v>SF2 / SALAZAR</v>
          </cell>
          <cell r="G993">
            <v>0</v>
          </cell>
          <cell r="H993">
            <v>0</v>
          </cell>
        </row>
        <row r="994">
          <cell r="A994">
            <v>11863</v>
          </cell>
          <cell r="B994">
            <v>4966</v>
          </cell>
          <cell r="C994" t="str">
            <v>POSITIVE PHYSICIANS INSURANCE COMPANY</v>
          </cell>
          <cell r="D994" t="str">
            <v>LA3 / SAPIN</v>
          </cell>
          <cell r="E994" t="str">
            <v>LA3 / SAPIN</v>
          </cell>
          <cell r="F994">
            <v>0</v>
          </cell>
          <cell r="G994">
            <v>0</v>
          </cell>
          <cell r="H994">
            <v>0</v>
          </cell>
        </row>
        <row r="995">
          <cell r="A995">
            <v>21075</v>
          </cell>
          <cell r="B995">
            <v>4967</v>
          </cell>
          <cell r="C995" t="str">
            <v>FINANCIAL AMERICAN PROPERTY AND CASUALTY INSURANCE COMPANY (Name changed to Transverse Insurance Company,
effective November 21, 2019)</v>
          </cell>
          <cell r="D995" t="str">
            <v>SF1 / LI</v>
          </cell>
          <cell r="E995" t="str">
            <v>SF1 / LI</v>
          </cell>
          <cell r="F995" t="str">
            <v>SF2 / GOTERA-PITROU</v>
          </cell>
          <cell r="G995">
            <v>0</v>
          </cell>
          <cell r="H995">
            <v>0</v>
          </cell>
        </row>
        <row r="996">
          <cell r="A996">
            <v>21075</v>
          </cell>
          <cell r="B996">
            <v>4967</v>
          </cell>
          <cell r="C996" t="str">
            <v>TRANSVERSE INSURANCE COMPANY</v>
          </cell>
          <cell r="D996" t="str">
            <v>SF1 / LI</v>
          </cell>
          <cell r="E996" t="str">
            <v>SF1 / LI</v>
          </cell>
          <cell r="F996" t="str">
            <v>SF2 / GOTERA-PITROU</v>
          </cell>
          <cell r="G996">
            <v>0</v>
          </cell>
          <cell r="H996">
            <v>0</v>
          </cell>
        </row>
        <row r="997">
          <cell r="A997">
            <v>25798</v>
          </cell>
          <cell r="B997">
            <v>4968</v>
          </cell>
          <cell r="C997" t="str">
            <v>SUTTON NATIONAL INSURANCE COMPANY</v>
          </cell>
          <cell r="D997" t="str">
            <v>LA2 / BAUTISTA</v>
          </cell>
          <cell r="E997" t="str">
            <v>LA2 / BAUTISTA</v>
          </cell>
          <cell r="F997" t="str">
            <v>SF2 / GOTERA-PITROU</v>
          </cell>
          <cell r="G997">
            <v>0</v>
          </cell>
          <cell r="H997">
            <v>0</v>
          </cell>
        </row>
        <row r="998">
          <cell r="A998">
            <v>22225</v>
          </cell>
          <cell r="B998">
            <v>4969</v>
          </cell>
          <cell r="C998" t="str">
            <v>TRISURA INSURANCE COMPANY</v>
          </cell>
          <cell r="D998" t="str">
            <v>LA2 / BAUTISTA</v>
          </cell>
          <cell r="E998" t="str">
            <v>LA2 / BAUTISTA</v>
          </cell>
          <cell r="F998" t="str">
            <v>SF2 / GOTERA-PITROU</v>
          </cell>
          <cell r="G998">
            <v>0</v>
          </cell>
          <cell r="H998">
            <v>0</v>
          </cell>
        </row>
        <row r="999">
          <cell r="A999">
            <v>22225</v>
          </cell>
          <cell r="B999">
            <v>4969</v>
          </cell>
          <cell r="C999" t="str">
            <v>21ST CENTURY PREFERRED INSURANCE COMPANY (Name changed to Trisura Insurance Company, redomesticated to Oklahoma, effective July 28, 2020)</v>
          </cell>
          <cell r="D999" t="str">
            <v>LA2 / BAUTISTA</v>
          </cell>
          <cell r="E999" t="str">
            <v>LA2 / BAUTISTA</v>
          </cell>
          <cell r="F999" t="str">
            <v>SF2 / GOTERA-PITROU</v>
          </cell>
          <cell r="G999">
            <v>0</v>
          </cell>
          <cell r="H999">
            <v>0</v>
          </cell>
        </row>
        <row r="1000">
          <cell r="A1000">
            <v>15059</v>
          </cell>
          <cell r="B1000">
            <v>4981</v>
          </cell>
          <cell r="C1000" t="str">
            <v>PUBLIC SERVICE INSURANCE COMPANY (dba PSM Insurance Company)</v>
          </cell>
          <cell r="D1000" t="str">
            <v>SF1 / LI</v>
          </cell>
          <cell r="E1000" t="str">
            <v>SF1 / LI</v>
          </cell>
          <cell r="F1000" t="str">
            <v>SF2 / GOTERA-PITROU</v>
          </cell>
          <cell r="G1000">
            <v>0</v>
          </cell>
          <cell r="H1000">
            <v>0</v>
          </cell>
        </row>
        <row r="1001">
          <cell r="A1001">
            <v>10997</v>
          </cell>
          <cell r="B1001">
            <v>4981</v>
          </cell>
          <cell r="C1001" t="str">
            <v>WESTERN SELECT INSURANCE COMPANY</v>
          </cell>
          <cell r="D1001" t="str">
            <v>SF1 / LI</v>
          </cell>
          <cell r="E1001" t="str">
            <v>SF1 / LI</v>
          </cell>
          <cell r="F1001" t="str">
            <v>SF2 / GOTERA-PITROU</v>
          </cell>
          <cell r="G1001">
            <v>0</v>
          </cell>
          <cell r="H1001">
            <v>0</v>
          </cell>
        </row>
        <row r="1002">
          <cell r="A1002">
            <v>25798</v>
          </cell>
          <cell r="B1002">
            <v>4968</v>
          </cell>
          <cell r="C1002" t="str">
            <v>SUTTON NATIONAL INSURANCE COMPANY</v>
          </cell>
          <cell r="D1002" t="str">
            <v>LA2 / BAUTISTA</v>
          </cell>
          <cell r="E1002" t="str">
            <v>LA2 / BAUTISTA</v>
          </cell>
          <cell r="F1002" t="str">
            <v>SF2 / GOTERA-PITROU</v>
          </cell>
          <cell r="G1002">
            <v>0</v>
          </cell>
          <cell r="H1002">
            <v>0</v>
          </cell>
        </row>
        <row r="1003">
          <cell r="A1003">
            <v>22225</v>
          </cell>
          <cell r="B1003">
            <v>4969</v>
          </cell>
          <cell r="C1003" t="str">
            <v>TRISURA INSURANCE COMPANY</v>
          </cell>
          <cell r="D1003" t="str">
            <v>LA2 / BAUTISTA</v>
          </cell>
          <cell r="E1003" t="str">
            <v>LA2 / BAUTISTA</v>
          </cell>
          <cell r="F1003" t="str">
            <v>SF2 / GOTERA-PITROU</v>
          </cell>
          <cell r="G1003">
            <v>0</v>
          </cell>
          <cell r="H1003">
            <v>0</v>
          </cell>
        </row>
        <row r="1004">
          <cell r="A1004">
            <v>22225</v>
          </cell>
          <cell r="B1004">
            <v>4969</v>
          </cell>
          <cell r="C1004" t="str">
            <v>21ST CENTURY PREFERRED INSURANCE COMPANY (Name changed to Trisura Insurance Company, redomesticated to Oklahoma, effective July 28, 2020)</v>
          </cell>
          <cell r="D1004" t="str">
            <v>LA2 / BAUTISTA</v>
          </cell>
          <cell r="E1004" t="str">
            <v>LA2 / BAUTISTA</v>
          </cell>
          <cell r="F1004" t="str">
            <v>SF2 / GOTERA-PITROU</v>
          </cell>
          <cell r="G1004">
            <v>0</v>
          </cell>
          <cell r="H1004">
            <v>0</v>
          </cell>
        </row>
        <row r="1005">
          <cell r="A1005">
            <v>15059</v>
          </cell>
          <cell r="B1005">
            <v>4981</v>
          </cell>
          <cell r="C1005" t="str">
            <v>PUBLIC SERVICE INSURANCE COMPANY (dba PSM Insurance Company)</v>
          </cell>
          <cell r="D1005" t="str">
            <v>SF1 / LI</v>
          </cell>
          <cell r="E1005" t="str">
            <v>SF1 / LI</v>
          </cell>
          <cell r="F1005" t="str">
            <v>SF2 / GOTERA-PITROU</v>
          </cell>
          <cell r="G1005">
            <v>0</v>
          </cell>
          <cell r="H1005">
            <v>0</v>
          </cell>
        </row>
        <row r="1006">
          <cell r="A1006">
            <v>10997</v>
          </cell>
          <cell r="B1006">
            <v>4981</v>
          </cell>
          <cell r="C1006" t="str">
            <v>WESTERN SELECT INSURANCE COMPANY</v>
          </cell>
          <cell r="D1006" t="str">
            <v>SF1 / LI</v>
          </cell>
          <cell r="E1006" t="str">
            <v>SF1 / LI</v>
          </cell>
          <cell r="F1006" t="str">
            <v>SF2 / GOTERA-PITROU</v>
          </cell>
          <cell r="G1006">
            <v>0</v>
          </cell>
          <cell r="H1006">
            <v>0</v>
          </cell>
        </row>
        <row r="1007">
          <cell r="A1007">
            <v>16659</v>
          </cell>
          <cell r="B1007">
            <v>4988</v>
          </cell>
          <cell r="C1007" t="str">
            <v>UNITED GUARANTY COMMERCIAL INSURANCE CO. OF NORTH CAROLINA</v>
          </cell>
          <cell r="D1007" t="str">
            <v>SF2 / GOTERA-PITROU</v>
          </cell>
          <cell r="E1007" t="str">
            <v>SF2 / GOTERA-PITROU</v>
          </cell>
          <cell r="F1007" t="str">
            <v>SF2 / GOTERA-PITROU</v>
          </cell>
          <cell r="G1007">
            <v>0</v>
          </cell>
          <cell r="H1007">
            <v>0</v>
          </cell>
        </row>
        <row r="1008">
          <cell r="A1008">
            <v>40525</v>
          </cell>
          <cell r="B1008">
            <v>4988</v>
          </cell>
          <cell r="C1008" t="str">
            <v>UNITED GUARANTY CREDIT INSURANCE COMPANY</v>
          </cell>
          <cell r="D1008" t="str">
            <v>SF2 / GOTERA-PITROU</v>
          </cell>
          <cell r="E1008" t="str">
            <v>SF2 / GOTERA-PITROU</v>
          </cell>
          <cell r="F1008" t="str">
            <v>SF2 / GOTERA-PITROU</v>
          </cell>
          <cell r="G1008">
            <v>0</v>
          </cell>
          <cell r="H1008">
            <v>0</v>
          </cell>
        </row>
        <row r="1009">
          <cell r="A1009">
            <v>0</v>
          </cell>
          <cell r="B1009">
            <v>0</v>
          </cell>
          <cell r="C1009">
            <v>0</v>
          </cell>
          <cell r="D1009">
            <v>0</v>
          </cell>
          <cell r="E1009">
            <v>0</v>
          </cell>
          <cell r="F1009">
            <v>0</v>
          </cell>
          <cell r="G1009">
            <v>0</v>
          </cell>
          <cell r="H1009">
            <v>0</v>
          </cell>
        </row>
        <row r="1010">
          <cell r="A1010">
            <v>0</v>
          </cell>
          <cell r="B1010">
            <v>0</v>
          </cell>
          <cell r="C1010">
            <v>0</v>
          </cell>
          <cell r="D1010">
            <v>0</v>
          </cell>
          <cell r="E1010">
            <v>0</v>
          </cell>
          <cell r="F1010">
            <v>0</v>
          </cell>
          <cell r="G1010">
            <v>0</v>
          </cell>
          <cell r="H1010">
            <v>0</v>
          </cell>
        </row>
        <row r="1011">
          <cell r="A1011">
            <v>0</v>
          </cell>
          <cell r="B1011">
            <v>0</v>
          </cell>
          <cell r="C1011">
            <v>0</v>
          </cell>
          <cell r="D1011">
            <v>0</v>
          </cell>
          <cell r="E1011">
            <v>0</v>
          </cell>
          <cell r="F1011">
            <v>0</v>
          </cell>
          <cell r="G1011">
            <v>0</v>
          </cell>
          <cell r="H1011">
            <v>0</v>
          </cell>
        </row>
        <row r="1012">
          <cell r="A1012">
            <v>0</v>
          </cell>
          <cell r="B1012">
            <v>0</v>
          </cell>
          <cell r="C1012">
            <v>0</v>
          </cell>
          <cell r="D1012">
            <v>0</v>
          </cell>
          <cell r="E1012">
            <v>0</v>
          </cell>
          <cell r="F1012">
            <v>0</v>
          </cell>
          <cell r="G1012">
            <v>0</v>
          </cell>
          <cell r="H1012">
            <v>0</v>
          </cell>
        </row>
        <row r="1013">
          <cell r="A1013">
            <v>0</v>
          </cell>
          <cell r="B1013">
            <v>0</v>
          </cell>
          <cell r="C1013">
            <v>0</v>
          </cell>
          <cell r="D1013">
            <v>0</v>
          </cell>
          <cell r="E1013">
            <v>0</v>
          </cell>
          <cell r="F1013">
            <v>0</v>
          </cell>
          <cell r="G1013">
            <v>0</v>
          </cell>
          <cell r="H1013">
            <v>0</v>
          </cell>
        </row>
        <row r="1014">
          <cell r="A1014">
            <v>0</v>
          </cell>
          <cell r="B1014">
            <v>0</v>
          </cell>
          <cell r="C1014">
            <v>0</v>
          </cell>
          <cell r="D1014">
            <v>0</v>
          </cell>
          <cell r="E1014">
            <v>0</v>
          </cell>
          <cell r="F1014">
            <v>0</v>
          </cell>
          <cell r="G1014">
            <v>0</v>
          </cell>
          <cell r="H1014">
            <v>0</v>
          </cell>
        </row>
        <row r="1015">
          <cell r="A1015">
            <v>0</v>
          </cell>
          <cell r="B1015">
            <v>0</v>
          </cell>
          <cell r="C1015">
            <v>0</v>
          </cell>
          <cell r="D1015">
            <v>0</v>
          </cell>
          <cell r="E1015">
            <v>0</v>
          </cell>
          <cell r="F1015">
            <v>0</v>
          </cell>
          <cell r="G1015">
            <v>0</v>
          </cell>
          <cell r="H1015">
            <v>0</v>
          </cell>
        </row>
        <row r="1016">
          <cell r="A1016">
            <v>28339</v>
          </cell>
          <cell r="B1016">
            <v>5006</v>
          </cell>
          <cell r="C1016" t="str">
            <v>GATEWAY INSURANCE COMPANY dba ALANO INSURANCE COMPANY</v>
          </cell>
          <cell r="D1016" t="str">
            <v>SF2 / DEMESA</v>
          </cell>
          <cell r="E1016" t="str">
            <v>SF2 / DEMESA</v>
          </cell>
          <cell r="F1016" t="str">
            <v>SF2 / DEMESA</v>
          </cell>
          <cell r="G1016">
            <v>0</v>
          </cell>
          <cell r="H1016">
            <v>0</v>
          </cell>
        </row>
        <row r="1017">
          <cell r="A1017">
            <v>12190</v>
          </cell>
          <cell r="B1017">
            <v>5008</v>
          </cell>
          <cell r="C1017" t="str">
            <v>AMERICAN PET INSURANCE COMPANY</v>
          </cell>
          <cell r="D1017" t="str">
            <v>SF2 / DEMESA</v>
          </cell>
          <cell r="E1017" t="str">
            <v>SF2 / DEMESA</v>
          </cell>
        </row>
        <row r="1018">
          <cell r="A1018">
            <v>24376</v>
          </cell>
          <cell r="B1018">
            <v>5010</v>
          </cell>
          <cell r="C1018" t="str">
            <v>SPINNAKER INSURANCE COMPANY</v>
          </cell>
          <cell r="D1018" t="str">
            <v>SF2 / DEMESA</v>
          </cell>
          <cell r="E1018" t="str">
            <v>SF2 / DEMESA</v>
          </cell>
        </row>
      </sheetData>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4.xml"/><Relationship Id="rId16" Type="http://schemas.openxmlformats.org/officeDocument/2006/relationships/ctrlProp" Target="../ctrlProps/ctrlProp37.xml"/><Relationship Id="rId1" Type="http://schemas.openxmlformats.org/officeDocument/2006/relationships/printerSettings" Target="../printerSettings/printerSettings6.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39" Type="http://schemas.openxmlformats.org/officeDocument/2006/relationships/ctrlProp" Target="../ctrlProps/ctrlProp78.xml"/><Relationship Id="rId3" Type="http://schemas.openxmlformats.org/officeDocument/2006/relationships/vmlDrawing" Target="../drawings/vmlDrawing6.vml"/><Relationship Id="rId21" Type="http://schemas.openxmlformats.org/officeDocument/2006/relationships/ctrlProp" Target="../ctrlProps/ctrlProp60.xml"/><Relationship Id="rId34" Type="http://schemas.openxmlformats.org/officeDocument/2006/relationships/ctrlProp" Target="../ctrlProps/ctrlProp73.xml"/><Relationship Id="rId42" Type="http://schemas.openxmlformats.org/officeDocument/2006/relationships/ctrlProp" Target="../ctrlProps/ctrlProp81.xml"/><Relationship Id="rId47" Type="http://schemas.openxmlformats.org/officeDocument/2006/relationships/ctrlProp" Target="../ctrlProps/ctrlProp86.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38" Type="http://schemas.openxmlformats.org/officeDocument/2006/relationships/ctrlProp" Target="../ctrlProps/ctrlProp77.xml"/><Relationship Id="rId46" Type="http://schemas.openxmlformats.org/officeDocument/2006/relationships/ctrlProp" Target="../ctrlProps/ctrlProp85.xml"/><Relationship Id="rId2" Type="http://schemas.openxmlformats.org/officeDocument/2006/relationships/drawing" Target="../drawings/drawing6.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41" Type="http://schemas.openxmlformats.org/officeDocument/2006/relationships/ctrlProp" Target="../ctrlProps/ctrlProp80.xml"/><Relationship Id="rId1" Type="http://schemas.openxmlformats.org/officeDocument/2006/relationships/printerSettings" Target="../printerSettings/printerSettings1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trlProp" Target="../ctrlProps/ctrlProp76.xml"/><Relationship Id="rId40" Type="http://schemas.openxmlformats.org/officeDocument/2006/relationships/ctrlProp" Target="../ctrlProps/ctrlProp79.xml"/><Relationship Id="rId45" Type="http://schemas.openxmlformats.org/officeDocument/2006/relationships/ctrlProp" Target="../ctrlProps/ctrlProp84.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4" Type="http://schemas.openxmlformats.org/officeDocument/2006/relationships/ctrlProp" Target="../ctrlProps/ctrlProp83.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43" Type="http://schemas.openxmlformats.org/officeDocument/2006/relationships/ctrlProp" Target="../ctrlProps/ctrlProp8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90.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8.vml"/><Relationship Id="rId7" Type="http://schemas.openxmlformats.org/officeDocument/2006/relationships/ctrlProp" Target="../ctrlProps/ctrlProp94.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trlProp" Target="../ctrlProps/ctrlProp97.xml"/><Relationship Id="rId4" Type="http://schemas.openxmlformats.org/officeDocument/2006/relationships/ctrlProp" Target="../ctrlProps/ctrlProp91.xml"/><Relationship Id="rId9" Type="http://schemas.openxmlformats.org/officeDocument/2006/relationships/ctrlProp" Target="../ctrlProps/ctrlProp9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3" Type="http://schemas.openxmlformats.org/officeDocument/2006/relationships/vmlDrawing" Target="../drawings/vmlDrawing9.vml"/><Relationship Id="rId7" Type="http://schemas.openxmlformats.org/officeDocument/2006/relationships/ctrlProp" Target="../ctrlProps/ctrlProp101.xml"/><Relationship Id="rId12" Type="http://schemas.openxmlformats.org/officeDocument/2006/relationships/ctrlProp" Target="../ctrlProps/ctrlProp106.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00.xml"/><Relationship Id="rId11" Type="http://schemas.openxmlformats.org/officeDocument/2006/relationships/ctrlProp" Target="../ctrlProps/ctrlProp105.xml"/><Relationship Id="rId5" Type="http://schemas.openxmlformats.org/officeDocument/2006/relationships/ctrlProp" Target="../ctrlProps/ctrlProp99.xml"/><Relationship Id="rId10" Type="http://schemas.openxmlformats.org/officeDocument/2006/relationships/ctrlProp" Target="../ctrlProps/ctrlProp104.xml"/><Relationship Id="rId4" Type="http://schemas.openxmlformats.org/officeDocument/2006/relationships/ctrlProp" Target="../ctrlProps/ctrlProp98.xml"/><Relationship Id="rId9" Type="http://schemas.openxmlformats.org/officeDocument/2006/relationships/ctrlProp" Target="../ctrlProps/ctrlProp10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26" Type="http://schemas.openxmlformats.org/officeDocument/2006/relationships/ctrlProp" Target="../ctrlProps/ctrlProp130.xml"/><Relationship Id="rId3" Type="http://schemas.openxmlformats.org/officeDocument/2006/relationships/vmlDrawing" Target="../drawings/vmlDrawing10.vml"/><Relationship Id="rId21" Type="http://schemas.openxmlformats.org/officeDocument/2006/relationships/ctrlProp" Target="../ctrlProps/ctrlProp125.xml"/><Relationship Id="rId34" Type="http://schemas.openxmlformats.org/officeDocument/2006/relationships/ctrlProp" Target="../ctrlProps/ctrlProp138.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5" Type="http://schemas.openxmlformats.org/officeDocument/2006/relationships/ctrlProp" Target="../ctrlProps/ctrlProp129.xml"/><Relationship Id="rId33" Type="http://schemas.openxmlformats.org/officeDocument/2006/relationships/ctrlProp" Target="../ctrlProps/ctrlProp137.xml"/><Relationship Id="rId2" Type="http://schemas.openxmlformats.org/officeDocument/2006/relationships/drawing" Target="../drawings/drawing10.xml"/><Relationship Id="rId16" Type="http://schemas.openxmlformats.org/officeDocument/2006/relationships/ctrlProp" Target="../ctrlProps/ctrlProp120.xml"/><Relationship Id="rId20" Type="http://schemas.openxmlformats.org/officeDocument/2006/relationships/ctrlProp" Target="../ctrlProps/ctrlProp124.xml"/><Relationship Id="rId29" Type="http://schemas.openxmlformats.org/officeDocument/2006/relationships/ctrlProp" Target="../ctrlProps/ctrlProp133.xml"/><Relationship Id="rId1" Type="http://schemas.openxmlformats.org/officeDocument/2006/relationships/printerSettings" Target="../printerSettings/printerSettings15.bin"/><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32" Type="http://schemas.openxmlformats.org/officeDocument/2006/relationships/ctrlProp" Target="../ctrlProps/ctrlProp136.xml"/><Relationship Id="rId5" Type="http://schemas.openxmlformats.org/officeDocument/2006/relationships/ctrlProp" Target="../ctrlProps/ctrlProp109.xml"/><Relationship Id="rId15" Type="http://schemas.openxmlformats.org/officeDocument/2006/relationships/ctrlProp" Target="../ctrlProps/ctrlProp119.xml"/><Relationship Id="rId23" Type="http://schemas.openxmlformats.org/officeDocument/2006/relationships/ctrlProp" Target="../ctrlProps/ctrlProp127.xml"/><Relationship Id="rId28" Type="http://schemas.openxmlformats.org/officeDocument/2006/relationships/ctrlProp" Target="../ctrlProps/ctrlProp132.xml"/><Relationship Id="rId10" Type="http://schemas.openxmlformats.org/officeDocument/2006/relationships/ctrlProp" Target="../ctrlProps/ctrlProp114.xml"/><Relationship Id="rId19" Type="http://schemas.openxmlformats.org/officeDocument/2006/relationships/ctrlProp" Target="../ctrlProps/ctrlProp123.xml"/><Relationship Id="rId31" Type="http://schemas.openxmlformats.org/officeDocument/2006/relationships/ctrlProp" Target="../ctrlProps/ctrlProp135.xml"/><Relationship Id="rId4" Type="http://schemas.openxmlformats.org/officeDocument/2006/relationships/ctrlProp" Target="../ctrlProps/ctrlProp108.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 Id="rId27" Type="http://schemas.openxmlformats.org/officeDocument/2006/relationships/ctrlProp" Target="../ctrlProps/ctrlProp131.xml"/><Relationship Id="rId30" Type="http://schemas.openxmlformats.org/officeDocument/2006/relationships/ctrlProp" Target="../ctrlProps/ctrlProp134.xml"/><Relationship Id="rId35" Type="http://schemas.openxmlformats.org/officeDocument/2006/relationships/ctrlProp" Target="../ctrlProps/ctrlProp139.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44.xml"/><Relationship Id="rId13" Type="http://schemas.openxmlformats.org/officeDocument/2006/relationships/ctrlProp" Target="../ctrlProps/ctrlProp149.xml"/><Relationship Id="rId18" Type="http://schemas.openxmlformats.org/officeDocument/2006/relationships/ctrlProp" Target="../ctrlProps/ctrlProp154.xml"/><Relationship Id="rId26" Type="http://schemas.openxmlformats.org/officeDocument/2006/relationships/ctrlProp" Target="../ctrlProps/ctrlProp162.xml"/><Relationship Id="rId3" Type="http://schemas.openxmlformats.org/officeDocument/2006/relationships/vmlDrawing" Target="../drawings/vmlDrawing11.vml"/><Relationship Id="rId21" Type="http://schemas.openxmlformats.org/officeDocument/2006/relationships/ctrlProp" Target="../ctrlProps/ctrlProp157.xml"/><Relationship Id="rId34" Type="http://schemas.openxmlformats.org/officeDocument/2006/relationships/ctrlProp" Target="../ctrlProps/ctrlProp170.xml"/><Relationship Id="rId7" Type="http://schemas.openxmlformats.org/officeDocument/2006/relationships/ctrlProp" Target="../ctrlProps/ctrlProp143.xml"/><Relationship Id="rId12" Type="http://schemas.openxmlformats.org/officeDocument/2006/relationships/ctrlProp" Target="../ctrlProps/ctrlProp148.xml"/><Relationship Id="rId17" Type="http://schemas.openxmlformats.org/officeDocument/2006/relationships/ctrlProp" Target="../ctrlProps/ctrlProp153.xml"/><Relationship Id="rId25" Type="http://schemas.openxmlformats.org/officeDocument/2006/relationships/ctrlProp" Target="../ctrlProps/ctrlProp161.xml"/><Relationship Id="rId33" Type="http://schemas.openxmlformats.org/officeDocument/2006/relationships/ctrlProp" Target="../ctrlProps/ctrlProp169.xml"/><Relationship Id="rId2" Type="http://schemas.openxmlformats.org/officeDocument/2006/relationships/drawing" Target="../drawings/drawing11.xml"/><Relationship Id="rId16" Type="http://schemas.openxmlformats.org/officeDocument/2006/relationships/ctrlProp" Target="../ctrlProps/ctrlProp152.xml"/><Relationship Id="rId20" Type="http://schemas.openxmlformats.org/officeDocument/2006/relationships/ctrlProp" Target="../ctrlProps/ctrlProp156.xml"/><Relationship Id="rId29" Type="http://schemas.openxmlformats.org/officeDocument/2006/relationships/ctrlProp" Target="../ctrlProps/ctrlProp165.xml"/><Relationship Id="rId1" Type="http://schemas.openxmlformats.org/officeDocument/2006/relationships/printerSettings" Target="../printerSettings/printerSettings16.bin"/><Relationship Id="rId6" Type="http://schemas.openxmlformats.org/officeDocument/2006/relationships/ctrlProp" Target="../ctrlProps/ctrlProp142.xml"/><Relationship Id="rId11" Type="http://schemas.openxmlformats.org/officeDocument/2006/relationships/ctrlProp" Target="../ctrlProps/ctrlProp147.xml"/><Relationship Id="rId24" Type="http://schemas.openxmlformats.org/officeDocument/2006/relationships/ctrlProp" Target="../ctrlProps/ctrlProp160.xml"/><Relationship Id="rId32" Type="http://schemas.openxmlformats.org/officeDocument/2006/relationships/ctrlProp" Target="../ctrlProps/ctrlProp168.xml"/><Relationship Id="rId5" Type="http://schemas.openxmlformats.org/officeDocument/2006/relationships/ctrlProp" Target="../ctrlProps/ctrlProp141.xml"/><Relationship Id="rId15" Type="http://schemas.openxmlformats.org/officeDocument/2006/relationships/ctrlProp" Target="../ctrlProps/ctrlProp151.xml"/><Relationship Id="rId23" Type="http://schemas.openxmlformats.org/officeDocument/2006/relationships/ctrlProp" Target="../ctrlProps/ctrlProp159.xml"/><Relationship Id="rId28" Type="http://schemas.openxmlformats.org/officeDocument/2006/relationships/ctrlProp" Target="../ctrlProps/ctrlProp164.xml"/><Relationship Id="rId10" Type="http://schemas.openxmlformats.org/officeDocument/2006/relationships/ctrlProp" Target="../ctrlProps/ctrlProp146.xml"/><Relationship Id="rId19" Type="http://schemas.openxmlformats.org/officeDocument/2006/relationships/ctrlProp" Target="../ctrlProps/ctrlProp155.xml"/><Relationship Id="rId31" Type="http://schemas.openxmlformats.org/officeDocument/2006/relationships/ctrlProp" Target="../ctrlProps/ctrlProp167.xml"/><Relationship Id="rId4" Type="http://schemas.openxmlformats.org/officeDocument/2006/relationships/ctrlProp" Target="../ctrlProps/ctrlProp140.xml"/><Relationship Id="rId9" Type="http://schemas.openxmlformats.org/officeDocument/2006/relationships/ctrlProp" Target="../ctrlProps/ctrlProp145.xml"/><Relationship Id="rId14" Type="http://schemas.openxmlformats.org/officeDocument/2006/relationships/ctrlProp" Target="../ctrlProps/ctrlProp150.xml"/><Relationship Id="rId22" Type="http://schemas.openxmlformats.org/officeDocument/2006/relationships/ctrlProp" Target="../ctrlProps/ctrlProp158.xml"/><Relationship Id="rId27" Type="http://schemas.openxmlformats.org/officeDocument/2006/relationships/ctrlProp" Target="../ctrlProps/ctrlProp163.xml"/><Relationship Id="rId30" Type="http://schemas.openxmlformats.org/officeDocument/2006/relationships/ctrlProp" Target="../ctrlProps/ctrlProp166.xml"/><Relationship Id="rId35" Type="http://schemas.openxmlformats.org/officeDocument/2006/relationships/ctrlProp" Target="../ctrlProps/ctrlProp17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6.xml"/><Relationship Id="rId13" Type="http://schemas.openxmlformats.org/officeDocument/2006/relationships/ctrlProp" Target="../ctrlProps/ctrlProp181.xml"/><Relationship Id="rId18" Type="http://schemas.openxmlformats.org/officeDocument/2006/relationships/ctrlProp" Target="../ctrlProps/ctrlProp186.xml"/><Relationship Id="rId26" Type="http://schemas.openxmlformats.org/officeDocument/2006/relationships/ctrlProp" Target="../ctrlProps/ctrlProp194.xml"/><Relationship Id="rId3" Type="http://schemas.openxmlformats.org/officeDocument/2006/relationships/vmlDrawing" Target="../drawings/vmlDrawing12.vml"/><Relationship Id="rId21" Type="http://schemas.openxmlformats.org/officeDocument/2006/relationships/ctrlProp" Target="../ctrlProps/ctrlProp189.xml"/><Relationship Id="rId34" Type="http://schemas.openxmlformats.org/officeDocument/2006/relationships/ctrlProp" Target="../ctrlProps/ctrlProp202.xml"/><Relationship Id="rId7" Type="http://schemas.openxmlformats.org/officeDocument/2006/relationships/ctrlProp" Target="../ctrlProps/ctrlProp175.xml"/><Relationship Id="rId12" Type="http://schemas.openxmlformats.org/officeDocument/2006/relationships/ctrlProp" Target="../ctrlProps/ctrlProp180.xml"/><Relationship Id="rId17" Type="http://schemas.openxmlformats.org/officeDocument/2006/relationships/ctrlProp" Target="../ctrlProps/ctrlProp185.xml"/><Relationship Id="rId25" Type="http://schemas.openxmlformats.org/officeDocument/2006/relationships/ctrlProp" Target="../ctrlProps/ctrlProp193.xml"/><Relationship Id="rId33" Type="http://schemas.openxmlformats.org/officeDocument/2006/relationships/ctrlProp" Target="../ctrlProps/ctrlProp201.xml"/><Relationship Id="rId2" Type="http://schemas.openxmlformats.org/officeDocument/2006/relationships/drawing" Target="../drawings/drawing12.xml"/><Relationship Id="rId16" Type="http://schemas.openxmlformats.org/officeDocument/2006/relationships/ctrlProp" Target="../ctrlProps/ctrlProp184.xml"/><Relationship Id="rId20" Type="http://schemas.openxmlformats.org/officeDocument/2006/relationships/ctrlProp" Target="../ctrlProps/ctrlProp188.xml"/><Relationship Id="rId29" Type="http://schemas.openxmlformats.org/officeDocument/2006/relationships/ctrlProp" Target="../ctrlProps/ctrlProp197.xml"/><Relationship Id="rId1" Type="http://schemas.openxmlformats.org/officeDocument/2006/relationships/printerSettings" Target="../printerSettings/printerSettings17.bin"/><Relationship Id="rId6" Type="http://schemas.openxmlformats.org/officeDocument/2006/relationships/ctrlProp" Target="../ctrlProps/ctrlProp174.xml"/><Relationship Id="rId11" Type="http://schemas.openxmlformats.org/officeDocument/2006/relationships/ctrlProp" Target="../ctrlProps/ctrlProp179.xml"/><Relationship Id="rId24" Type="http://schemas.openxmlformats.org/officeDocument/2006/relationships/ctrlProp" Target="../ctrlProps/ctrlProp192.xml"/><Relationship Id="rId32" Type="http://schemas.openxmlformats.org/officeDocument/2006/relationships/ctrlProp" Target="../ctrlProps/ctrlProp200.xml"/><Relationship Id="rId5" Type="http://schemas.openxmlformats.org/officeDocument/2006/relationships/ctrlProp" Target="../ctrlProps/ctrlProp173.xml"/><Relationship Id="rId15" Type="http://schemas.openxmlformats.org/officeDocument/2006/relationships/ctrlProp" Target="../ctrlProps/ctrlProp183.xml"/><Relationship Id="rId23" Type="http://schemas.openxmlformats.org/officeDocument/2006/relationships/ctrlProp" Target="../ctrlProps/ctrlProp191.xml"/><Relationship Id="rId28" Type="http://schemas.openxmlformats.org/officeDocument/2006/relationships/ctrlProp" Target="../ctrlProps/ctrlProp196.xml"/><Relationship Id="rId10" Type="http://schemas.openxmlformats.org/officeDocument/2006/relationships/ctrlProp" Target="../ctrlProps/ctrlProp178.xml"/><Relationship Id="rId19" Type="http://schemas.openxmlformats.org/officeDocument/2006/relationships/ctrlProp" Target="../ctrlProps/ctrlProp187.xml"/><Relationship Id="rId31" Type="http://schemas.openxmlformats.org/officeDocument/2006/relationships/ctrlProp" Target="../ctrlProps/ctrlProp199.xml"/><Relationship Id="rId4" Type="http://schemas.openxmlformats.org/officeDocument/2006/relationships/ctrlProp" Target="../ctrlProps/ctrlProp172.xml"/><Relationship Id="rId9" Type="http://schemas.openxmlformats.org/officeDocument/2006/relationships/ctrlProp" Target="../ctrlProps/ctrlProp177.xml"/><Relationship Id="rId14" Type="http://schemas.openxmlformats.org/officeDocument/2006/relationships/ctrlProp" Target="../ctrlProps/ctrlProp182.xml"/><Relationship Id="rId22" Type="http://schemas.openxmlformats.org/officeDocument/2006/relationships/ctrlProp" Target="../ctrlProps/ctrlProp190.xml"/><Relationship Id="rId27" Type="http://schemas.openxmlformats.org/officeDocument/2006/relationships/ctrlProp" Target="../ctrlProps/ctrlProp195.xml"/><Relationship Id="rId30" Type="http://schemas.openxmlformats.org/officeDocument/2006/relationships/ctrlProp" Target="../ctrlProps/ctrlProp198.xml"/><Relationship Id="rId35" Type="http://schemas.openxmlformats.org/officeDocument/2006/relationships/ctrlProp" Target="../ctrlProps/ctrlProp20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8.xml"/><Relationship Id="rId13" Type="http://schemas.openxmlformats.org/officeDocument/2006/relationships/ctrlProp" Target="../ctrlProps/ctrlProp213.xml"/><Relationship Id="rId18" Type="http://schemas.openxmlformats.org/officeDocument/2006/relationships/ctrlProp" Target="../ctrlProps/ctrlProp218.xml"/><Relationship Id="rId26" Type="http://schemas.openxmlformats.org/officeDocument/2006/relationships/ctrlProp" Target="../ctrlProps/ctrlProp226.xml"/><Relationship Id="rId3" Type="http://schemas.openxmlformats.org/officeDocument/2006/relationships/vmlDrawing" Target="../drawings/vmlDrawing13.vml"/><Relationship Id="rId21" Type="http://schemas.openxmlformats.org/officeDocument/2006/relationships/ctrlProp" Target="../ctrlProps/ctrlProp221.xml"/><Relationship Id="rId34" Type="http://schemas.openxmlformats.org/officeDocument/2006/relationships/ctrlProp" Target="../ctrlProps/ctrlProp234.xml"/><Relationship Id="rId7" Type="http://schemas.openxmlformats.org/officeDocument/2006/relationships/ctrlProp" Target="../ctrlProps/ctrlProp207.xml"/><Relationship Id="rId12" Type="http://schemas.openxmlformats.org/officeDocument/2006/relationships/ctrlProp" Target="../ctrlProps/ctrlProp212.xml"/><Relationship Id="rId17" Type="http://schemas.openxmlformats.org/officeDocument/2006/relationships/ctrlProp" Target="../ctrlProps/ctrlProp217.xml"/><Relationship Id="rId25" Type="http://schemas.openxmlformats.org/officeDocument/2006/relationships/ctrlProp" Target="../ctrlProps/ctrlProp225.xml"/><Relationship Id="rId33" Type="http://schemas.openxmlformats.org/officeDocument/2006/relationships/ctrlProp" Target="../ctrlProps/ctrlProp233.xml"/><Relationship Id="rId2" Type="http://schemas.openxmlformats.org/officeDocument/2006/relationships/drawing" Target="../drawings/drawing13.xml"/><Relationship Id="rId16" Type="http://schemas.openxmlformats.org/officeDocument/2006/relationships/ctrlProp" Target="../ctrlProps/ctrlProp216.xml"/><Relationship Id="rId20" Type="http://schemas.openxmlformats.org/officeDocument/2006/relationships/ctrlProp" Target="../ctrlProps/ctrlProp220.xml"/><Relationship Id="rId29" Type="http://schemas.openxmlformats.org/officeDocument/2006/relationships/ctrlProp" Target="../ctrlProps/ctrlProp229.xml"/><Relationship Id="rId1" Type="http://schemas.openxmlformats.org/officeDocument/2006/relationships/printerSettings" Target="../printerSettings/printerSettings18.bin"/><Relationship Id="rId6" Type="http://schemas.openxmlformats.org/officeDocument/2006/relationships/ctrlProp" Target="../ctrlProps/ctrlProp206.xml"/><Relationship Id="rId11" Type="http://schemas.openxmlformats.org/officeDocument/2006/relationships/ctrlProp" Target="../ctrlProps/ctrlProp211.xml"/><Relationship Id="rId24" Type="http://schemas.openxmlformats.org/officeDocument/2006/relationships/ctrlProp" Target="../ctrlProps/ctrlProp224.xml"/><Relationship Id="rId32" Type="http://schemas.openxmlformats.org/officeDocument/2006/relationships/ctrlProp" Target="../ctrlProps/ctrlProp232.xml"/><Relationship Id="rId5" Type="http://schemas.openxmlformats.org/officeDocument/2006/relationships/ctrlProp" Target="../ctrlProps/ctrlProp205.xml"/><Relationship Id="rId15" Type="http://schemas.openxmlformats.org/officeDocument/2006/relationships/ctrlProp" Target="../ctrlProps/ctrlProp215.xml"/><Relationship Id="rId23" Type="http://schemas.openxmlformats.org/officeDocument/2006/relationships/ctrlProp" Target="../ctrlProps/ctrlProp223.xml"/><Relationship Id="rId28" Type="http://schemas.openxmlformats.org/officeDocument/2006/relationships/ctrlProp" Target="../ctrlProps/ctrlProp228.xml"/><Relationship Id="rId10" Type="http://schemas.openxmlformats.org/officeDocument/2006/relationships/ctrlProp" Target="../ctrlProps/ctrlProp210.xml"/><Relationship Id="rId19" Type="http://schemas.openxmlformats.org/officeDocument/2006/relationships/ctrlProp" Target="../ctrlProps/ctrlProp219.xml"/><Relationship Id="rId31" Type="http://schemas.openxmlformats.org/officeDocument/2006/relationships/ctrlProp" Target="../ctrlProps/ctrlProp231.xml"/><Relationship Id="rId4" Type="http://schemas.openxmlformats.org/officeDocument/2006/relationships/ctrlProp" Target="../ctrlProps/ctrlProp204.xml"/><Relationship Id="rId9" Type="http://schemas.openxmlformats.org/officeDocument/2006/relationships/ctrlProp" Target="../ctrlProps/ctrlProp209.xml"/><Relationship Id="rId14" Type="http://schemas.openxmlformats.org/officeDocument/2006/relationships/ctrlProp" Target="../ctrlProps/ctrlProp214.xml"/><Relationship Id="rId22" Type="http://schemas.openxmlformats.org/officeDocument/2006/relationships/ctrlProp" Target="../ctrlProps/ctrlProp222.xml"/><Relationship Id="rId27" Type="http://schemas.openxmlformats.org/officeDocument/2006/relationships/ctrlProp" Target="../ctrlProps/ctrlProp227.xml"/><Relationship Id="rId30" Type="http://schemas.openxmlformats.org/officeDocument/2006/relationships/ctrlProp" Target="../ctrlProps/ctrlProp230.xml"/><Relationship Id="rId35" Type="http://schemas.openxmlformats.org/officeDocument/2006/relationships/ctrlProp" Target="../ctrlProps/ctrlProp235.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40.xml"/><Relationship Id="rId13" Type="http://schemas.openxmlformats.org/officeDocument/2006/relationships/ctrlProp" Target="../ctrlProps/ctrlProp245.xml"/><Relationship Id="rId18" Type="http://schemas.openxmlformats.org/officeDocument/2006/relationships/ctrlProp" Target="../ctrlProps/ctrlProp250.xml"/><Relationship Id="rId26" Type="http://schemas.openxmlformats.org/officeDocument/2006/relationships/ctrlProp" Target="../ctrlProps/ctrlProp258.xml"/><Relationship Id="rId3" Type="http://schemas.openxmlformats.org/officeDocument/2006/relationships/vmlDrawing" Target="../drawings/vmlDrawing14.vml"/><Relationship Id="rId21" Type="http://schemas.openxmlformats.org/officeDocument/2006/relationships/ctrlProp" Target="../ctrlProps/ctrlProp253.xml"/><Relationship Id="rId34" Type="http://schemas.openxmlformats.org/officeDocument/2006/relationships/ctrlProp" Target="../ctrlProps/ctrlProp266.xml"/><Relationship Id="rId7" Type="http://schemas.openxmlformats.org/officeDocument/2006/relationships/ctrlProp" Target="../ctrlProps/ctrlProp239.xml"/><Relationship Id="rId12" Type="http://schemas.openxmlformats.org/officeDocument/2006/relationships/ctrlProp" Target="../ctrlProps/ctrlProp244.xml"/><Relationship Id="rId17" Type="http://schemas.openxmlformats.org/officeDocument/2006/relationships/ctrlProp" Target="../ctrlProps/ctrlProp249.xml"/><Relationship Id="rId25" Type="http://schemas.openxmlformats.org/officeDocument/2006/relationships/ctrlProp" Target="../ctrlProps/ctrlProp257.xml"/><Relationship Id="rId33" Type="http://schemas.openxmlformats.org/officeDocument/2006/relationships/ctrlProp" Target="../ctrlProps/ctrlProp265.xml"/><Relationship Id="rId2" Type="http://schemas.openxmlformats.org/officeDocument/2006/relationships/drawing" Target="../drawings/drawing14.xml"/><Relationship Id="rId16" Type="http://schemas.openxmlformats.org/officeDocument/2006/relationships/ctrlProp" Target="../ctrlProps/ctrlProp248.xml"/><Relationship Id="rId20" Type="http://schemas.openxmlformats.org/officeDocument/2006/relationships/ctrlProp" Target="../ctrlProps/ctrlProp252.xml"/><Relationship Id="rId29" Type="http://schemas.openxmlformats.org/officeDocument/2006/relationships/ctrlProp" Target="../ctrlProps/ctrlProp261.xml"/><Relationship Id="rId1" Type="http://schemas.openxmlformats.org/officeDocument/2006/relationships/printerSettings" Target="../printerSettings/printerSettings19.bin"/><Relationship Id="rId6" Type="http://schemas.openxmlformats.org/officeDocument/2006/relationships/ctrlProp" Target="../ctrlProps/ctrlProp238.xml"/><Relationship Id="rId11" Type="http://schemas.openxmlformats.org/officeDocument/2006/relationships/ctrlProp" Target="../ctrlProps/ctrlProp243.xml"/><Relationship Id="rId24" Type="http://schemas.openxmlformats.org/officeDocument/2006/relationships/ctrlProp" Target="../ctrlProps/ctrlProp256.xml"/><Relationship Id="rId32" Type="http://schemas.openxmlformats.org/officeDocument/2006/relationships/ctrlProp" Target="../ctrlProps/ctrlProp264.xml"/><Relationship Id="rId5" Type="http://schemas.openxmlformats.org/officeDocument/2006/relationships/ctrlProp" Target="../ctrlProps/ctrlProp237.xml"/><Relationship Id="rId15" Type="http://schemas.openxmlformats.org/officeDocument/2006/relationships/ctrlProp" Target="../ctrlProps/ctrlProp247.xml"/><Relationship Id="rId23" Type="http://schemas.openxmlformats.org/officeDocument/2006/relationships/ctrlProp" Target="../ctrlProps/ctrlProp255.xml"/><Relationship Id="rId28" Type="http://schemas.openxmlformats.org/officeDocument/2006/relationships/ctrlProp" Target="../ctrlProps/ctrlProp260.xml"/><Relationship Id="rId10" Type="http://schemas.openxmlformats.org/officeDocument/2006/relationships/ctrlProp" Target="../ctrlProps/ctrlProp242.xml"/><Relationship Id="rId19" Type="http://schemas.openxmlformats.org/officeDocument/2006/relationships/ctrlProp" Target="../ctrlProps/ctrlProp251.xml"/><Relationship Id="rId31" Type="http://schemas.openxmlformats.org/officeDocument/2006/relationships/ctrlProp" Target="../ctrlProps/ctrlProp263.xml"/><Relationship Id="rId4" Type="http://schemas.openxmlformats.org/officeDocument/2006/relationships/ctrlProp" Target="../ctrlProps/ctrlProp236.xml"/><Relationship Id="rId9" Type="http://schemas.openxmlformats.org/officeDocument/2006/relationships/ctrlProp" Target="../ctrlProps/ctrlProp241.xml"/><Relationship Id="rId14" Type="http://schemas.openxmlformats.org/officeDocument/2006/relationships/ctrlProp" Target="../ctrlProps/ctrlProp246.xml"/><Relationship Id="rId22" Type="http://schemas.openxmlformats.org/officeDocument/2006/relationships/ctrlProp" Target="../ctrlProps/ctrlProp254.xml"/><Relationship Id="rId27" Type="http://schemas.openxmlformats.org/officeDocument/2006/relationships/ctrlProp" Target="../ctrlProps/ctrlProp259.xml"/><Relationship Id="rId30" Type="http://schemas.openxmlformats.org/officeDocument/2006/relationships/ctrlProp" Target="../ctrlProps/ctrlProp262.xml"/><Relationship Id="rId35" Type="http://schemas.openxmlformats.org/officeDocument/2006/relationships/ctrlProp" Target="../ctrlProps/ctrlProp26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72.xml"/><Relationship Id="rId13" Type="http://schemas.openxmlformats.org/officeDocument/2006/relationships/ctrlProp" Target="../ctrlProps/ctrlProp277.xml"/><Relationship Id="rId18" Type="http://schemas.openxmlformats.org/officeDocument/2006/relationships/ctrlProp" Target="../ctrlProps/ctrlProp282.xml"/><Relationship Id="rId26" Type="http://schemas.openxmlformats.org/officeDocument/2006/relationships/ctrlProp" Target="../ctrlProps/ctrlProp290.xml"/><Relationship Id="rId3" Type="http://schemas.openxmlformats.org/officeDocument/2006/relationships/vmlDrawing" Target="../drawings/vmlDrawing15.vml"/><Relationship Id="rId21" Type="http://schemas.openxmlformats.org/officeDocument/2006/relationships/ctrlProp" Target="../ctrlProps/ctrlProp285.xml"/><Relationship Id="rId34" Type="http://schemas.openxmlformats.org/officeDocument/2006/relationships/ctrlProp" Target="../ctrlProps/ctrlProp298.xml"/><Relationship Id="rId7" Type="http://schemas.openxmlformats.org/officeDocument/2006/relationships/ctrlProp" Target="../ctrlProps/ctrlProp271.xml"/><Relationship Id="rId12" Type="http://schemas.openxmlformats.org/officeDocument/2006/relationships/ctrlProp" Target="../ctrlProps/ctrlProp276.xml"/><Relationship Id="rId17" Type="http://schemas.openxmlformats.org/officeDocument/2006/relationships/ctrlProp" Target="../ctrlProps/ctrlProp281.xml"/><Relationship Id="rId25" Type="http://schemas.openxmlformats.org/officeDocument/2006/relationships/ctrlProp" Target="../ctrlProps/ctrlProp289.xml"/><Relationship Id="rId33" Type="http://schemas.openxmlformats.org/officeDocument/2006/relationships/ctrlProp" Target="../ctrlProps/ctrlProp297.xml"/><Relationship Id="rId2" Type="http://schemas.openxmlformats.org/officeDocument/2006/relationships/drawing" Target="../drawings/drawing15.xml"/><Relationship Id="rId16" Type="http://schemas.openxmlformats.org/officeDocument/2006/relationships/ctrlProp" Target="../ctrlProps/ctrlProp280.xml"/><Relationship Id="rId20" Type="http://schemas.openxmlformats.org/officeDocument/2006/relationships/ctrlProp" Target="../ctrlProps/ctrlProp284.xml"/><Relationship Id="rId29" Type="http://schemas.openxmlformats.org/officeDocument/2006/relationships/ctrlProp" Target="../ctrlProps/ctrlProp293.xml"/><Relationship Id="rId1" Type="http://schemas.openxmlformats.org/officeDocument/2006/relationships/printerSettings" Target="../printerSettings/printerSettings20.bin"/><Relationship Id="rId6" Type="http://schemas.openxmlformats.org/officeDocument/2006/relationships/ctrlProp" Target="../ctrlProps/ctrlProp270.xml"/><Relationship Id="rId11" Type="http://schemas.openxmlformats.org/officeDocument/2006/relationships/ctrlProp" Target="../ctrlProps/ctrlProp275.xml"/><Relationship Id="rId24" Type="http://schemas.openxmlformats.org/officeDocument/2006/relationships/ctrlProp" Target="../ctrlProps/ctrlProp288.xml"/><Relationship Id="rId32" Type="http://schemas.openxmlformats.org/officeDocument/2006/relationships/ctrlProp" Target="../ctrlProps/ctrlProp296.xml"/><Relationship Id="rId5" Type="http://schemas.openxmlformats.org/officeDocument/2006/relationships/ctrlProp" Target="../ctrlProps/ctrlProp269.xml"/><Relationship Id="rId15" Type="http://schemas.openxmlformats.org/officeDocument/2006/relationships/ctrlProp" Target="../ctrlProps/ctrlProp279.xml"/><Relationship Id="rId23" Type="http://schemas.openxmlformats.org/officeDocument/2006/relationships/ctrlProp" Target="../ctrlProps/ctrlProp287.xml"/><Relationship Id="rId28" Type="http://schemas.openxmlformats.org/officeDocument/2006/relationships/ctrlProp" Target="../ctrlProps/ctrlProp292.xml"/><Relationship Id="rId10" Type="http://schemas.openxmlformats.org/officeDocument/2006/relationships/ctrlProp" Target="../ctrlProps/ctrlProp274.xml"/><Relationship Id="rId19" Type="http://schemas.openxmlformats.org/officeDocument/2006/relationships/ctrlProp" Target="../ctrlProps/ctrlProp283.xml"/><Relationship Id="rId31" Type="http://schemas.openxmlformats.org/officeDocument/2006/relationships/ctrlProp" Target="../ctrlProps/ctrlProp295.xml"/><Relationship Id="rId4" Type="http://schemas.openxmlformats.org/officeDocument/2006/relationships/ctrlProp" Target="../ctrlProps/ctrlProp268.xml"/><Relationship Id="rId9" Type="http://schemas.openxmlformats.org/officeDocument/2006/relationships/ctrlProp" Target="../ctrlProps/ctrlProp273.xml"/><Relationship Id="rId14" Type="http://schemas.openxmlformats.org/officeDocument/2006/relationships/ctrlProp" Target="../ctrlProps/ctrlProp278.xml"/><Relationship Id="rId22" Type="http://schemas.openxmlformats.org/officeDocument/2006/relationships/ctrlProp" Target="../ctrlProps/ctrlProp286.xml"/><Relationship Id="rId27" Type="http://schemas.openxmlformats.org/officeDocument/2006/relationships/ctrlProp" Target="../ctrlProps/ctrlProp291.xml"/><Relationship Id="rId30" Type="http://schemas.openxmlformats.org/officeDocument/2006/relationships/ctrlProp" Target="../ctrlProps/ctrlProp294.xml"/><Relationship Id="rId35" Type="http://schemas.openxmlformats.org/officeDocument/2006/relationships/ctrlProp" Target="../ctrlProps/ctrlProp299.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18" Type="http://schemas.openxmlformats.org/officeDocument/2006/relationships/ctrlProp" Target="../ctrlProps/ctrlProp314.xml"/><Relationship Id="rId26" Type="http://schemas.openxmlformats.org/officeDocument/2006/relationships/ctrlProp" Target="../ctrlProps/ctrlProp322.xml"/><Relationship Id="rId3" Type="http://schemas.openxmlformats.org/officeDocument/2006/relationships/vmlDrawing" Target="../drawings/vmlDrawing16.vml"/><Relationship Id="rId21" Type="http://schemas.openxmlformats.org/officeDocument/2006/relationships/ctrlProp" Target="../ctrlProps/ctrlProp317.xml"/><Relationship Id="rId34" Type="http://schemas.openxmlformats.org/officeDocument/2006/relationships/ctrlProp" Target="../ctrlProps/ctrlProp330.xml"/><Relationship Id="rId7" Type="http://schemas.openxmlformats.org/officeDocument/2006/relationships/ctrlProp" Target="../ctrlProps/ctrlProp303.xml"/><Relationship Id="rId12" Type="http://schemas.openxmlformats.org/officeDocument/2006/relationships/ctrlProp" Target="../ctrlProps/ctrlProp308.xml"/><Relationship Id="rId17" Type="http://schemas.openxmlformats.org/officeDocument/2006/relationships/ctrlProp" Target="../ctrlProps/ctrlProp313.xml"/><Relationship Id="rId25" Type="http://schemas.openxmlformats.org/officeDocument/2006/relationships/ctrlProp" Target="../ctrlProps/ctrlProp321.xml"/><Relationship Id="rId33" Type="http://schemas.openxmlformats.org/officeDocument/2006/relationships/ctrlProp" Target="../ctrlProps/ctrlProp329.xml"/><Relationship Id="rId2" Type="http://schemas.openxmlformats.org/officeDocument/2006/relationships/drawing" Target="../drawings/drawing16.xml"/><Relationship Id="rId16" Type="http://schemas.openxmlformats.org/officeDocument/2006/relationships/ctrlProp" Target="../ctrlProps/ctrlProp312.xml"/><Relationship Id="rId20" Type="http://schemas.openxmlformats.org/officeDocument/2006/relationships/ctrlProp" Target="../ctrlProps/ctrlProp316.xml"/><Relationship Id="rId29" Type="http://schemas.openxmlformats.org/officeDocument/2006/relationships/ctrlProp" Target="../ctrlProps/ctrlProp325.xml"/><Relationship Id="rId1" Type="http://schemas.openxmlformats.org/officeDocument/2006/relationships/printerSettings" Target="../printerSettings/printerSettings21.bin"/><Relationship Id="rId6" Type="http://schemas.openxmlformats.org/officeDocument/2006/relationships/ctrlProp" Target="../ctrlProps/ctrlProp302.xml"/><Relationship Id="rId11" Type="http://schemas.openxmlformats.org/officeDocument/2006/relationships/ctrlProp" Target="../ctrlProps/ctrlProp307.xml"/><Relationship Id="rId24" Type="http://schemas.openxmlformats.org/officeDocument/2006/relationships/ctrlProp" Target="../ctrlProps/ctrlProp320.xml"/><Relationship Id="rId32" Type="http://schemas.openxmlformats.org/officeDocument/2006/relationships/ctrlProp" Target="../ctrlProps/ctrlProp328.xml"/><Relationship Id="rId5" Type="http://schemas.openxmlformats.org/officeDocument/2006/relationships/ctrlProp" Target="../ctrlProps/ctrlProp301.xml"/><Relationship Id="rId15" Type="http://schemas.openxmlformats.org/officeDocument/2006/relationships/ctrlProp" Target="../ctrlProps/ctrlProp311.xml"/><Relationship Id="rId23" Type="http://schemas.openxmlformats.org/officeDocument/2006/relationships/ctrlProp" Target="../ctrlProps/ctrlProp319.xml"/><Relationship Id="rId28" Type="http://schemas.openxmlformats.org/officeDocument/2006/relationships/ctrlProp" Target="../ctrlProps/ctrlProp324.xml"/><Relationship Id="rId10" Type="http://schemas.openxmlformats.org/officeDocument/2006/relationships/ctrlProp" Target="../ctrlProps/ctrlProp306.xml"/><Relationship Id="rId19" Type="http://schemas.openxmlformats.org/officeDocument/2006/relationships/ctrlProp" Target="../ctrlProps/ctrlProp315.xml"/><Relationship Id="rId31" Type="http://schemas.openxmlformats.org/officeDocument/2006/relationships/ctrlProp" Target="../ctrlProps/ctrlProp327.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 Id="rId22" Type="http://schemas.openxmlformats.org/officeDocument/2006/relationships/ctrlProp" Target="../ctrlProps/ctrlProp318.xml"/><Relationship Id="rId27" Type="http://schemas.openxmlformats.org/officeDocument/2006/relationships/ctrlProp" Target="../ctrlProps/ctrlProp323.xml"/><Relationship Id="rId30" Type="http://schemas.openxmlformats.org/officeDocument/2006/relationships/ctrlProp" Target="../ctrlProps/ctrlProp326.xml"/><Relationship Id="rId35" Type="http://schemas.openxmlformats.org/officeDocument/2006/relationships/ctrlProp" Target="../ctrlProps/ctrlProp33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ctrlProp" Target="../ctrlProps/ctrlProp346.xml"/><Relationship Id="rId26" Type="http://schemas.openxmlformats.org/officeDocument/2006/relationships/ctrlProp" Target="../ctrlProps/ctrlProp354.xml"/><Relationship Id="rId3" Type="http://schemas.openxmlformats.org/officeDocument/2006/relationships/vmlDrawing" Target="../drawings/vmlDrawing17.vml"/><Relationship Id="rId21" Type="http://schemas.openxmlformats.org/officeDocument/2006/relationships/ctrlProp" Target="../ctrlProps/ctrlProp349.xml"/><Relationship Id="rId34" Type="http://schemas.openxmlformats.org/officeDocument/2006/relationships/ctrlProp" Target="../ctrlProps/ctrlProp362.x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5" Type="http://schemas.openxmlformats.org/officeDocument/2006/relationships/ctrlProp" Target="../ctrlProps/ctrlProp353.xml"/><Relationship Id="rId33" Type="http://schemas.openxmlformats.org/officeDocument/2006/relationships/ctrlProp" Target="../ctrlProps/ctrlProp361.xml"/><Relationship Id="rId2" Type="http://schemas.openxmlformats.org/officeDocument/2006/relationships/drawing" Target="../drawings/drawing17.xml"/><Relationship Id="rId16" Type="http://schemas.openxmlformats.org/officeDocument/2006/relationships/ctrlProp" Target="../ctrlProps/ctrlProp344.xml"/><Relationship Id="rId20" Type="http://schemas.openxmlformats.org/officeDocument/2006/relationships/ctrlProp" Target="../ctrlProps/ctrlProp348.xml"/><Relationship Id="rId29" Type="http://schemas.openxmlformats.org/officeDocument/2006/relationships/ctrlProp" Target="../ctrlProps/ctrlProp357.xml"/><Relationship Id="rId1" Type="http://schemas.openxmlformats.org/officeDocument/2006/relationships/printerSettings" Target="../printerSettings/printerSettings22.bin"/><Relationship Id="rId6" Type="http://schemas.openxmlformats.org/officeDocument/2006/relationships/ctrlProp" Target="../ctrlProps/ctrlProp334.xml"/><Relationship Id="rId11" Type="http://schemas.openxmlformats.org/officeDocument/2006/relationships/ctrlProp" Target="../ctrlProps/ctrlProp339.xml"/><Relationship Id="rId24" Type="http://schemas.openxmlformats.org/officeDocument/2006/relationships/ctrlProp" Target="../ctrlProps/ctrlProp352.xml"/><Relationship Id="rId32" Type="http://schemas.openxmlformats.org/officeDocument/2006/relationships/ctrlProp" Target="../ctrlProps/ctrlProp360.xml"/><Relationship Id="rId5" Type="http://schemas.openxmlformats.org/officeDocument/2006/relationships/ctrlProp" Target="../ctrlProps/ctrlProp333.xml"/><Relationship Id="rId15" Type="http://schemas.openxmlformats.org/officeDocument/2006/relationships/ctrlProp" Target="../ctrlProps/ctrlProp343.xml"/><Relationship Id="rId23" Type="http://schemas.openxmlformats.org/officeDocument/2006/relationships/ctrlProp" Target="../ctrlProps/ctrlProp351.xml"/><Relationship Id="rId28" Type="http://schemas.openxmlformats.org/officeDocument/2006/relationships/ctrlProp" Target="../ctrlProps/ctrlProp356.xml"/><Relationship Id="rId10" Type="http://schemas.openxmlformats.org/officeDocument/2006/relationships/ctrlProp" Target="../ctrlProps/ctrlProp338.xml"/><Relationship Id="rId19" Type="http://schemas.openxmlformats.org/officeDocument/2006/relationships/ctrlProp" Target="../ctrlProps/ctrlProp347.xml"/><Relationship Id="rId31" Type="http://schemas.openxmlformats.org/officeDocument/2006/relationships/ctrlProp" Target="../ctrlProps/ctrlProp359.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 Id="rId22" Type="http://schemas.openxmlformats.org/officeDocument/2006/relationships/ctrlProp" Target="../ctrlProps/ctrlProp350.xml"/><Relationship Id="rId27" Type="http://schemas.openxmlformats.org/officeDocument/2006/relationships/ctrlProp" Target="../ctrlProps/ctrlProp355.xml"/><Relationship Id="rId30" Type="http://schemas.openxmlformats.org/officeDocument/2006/relationships/ctrlProp" Target="../ctrlProps/ctrlProp358.xml"/><Relationship Id="rId35" Type="http://schemas.openxmlformats.org/officeDocument/2006/relationships/ctrlProp" Target="../ctrlProps/ctrlProp363.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68.xml"/><Relationship Id="rId13" Type="http://schemas.openxmlformats.org/officeDocument/2006/relationships/ctrlProp" Target="../ctrlProps/ctrlProp373.xml"/><Relationship Id="rId18" Type="http://schemas.openxmlformats.org/officeDocument/2006/relationships/ctrlProp" Target="../ctrlProps/ctrlProp378.xml"/><Relationship Id="rId26" Type="http://schemas.openxmlformats.org/officeDocument/2006/relationships/ctrlProp" Target="../ctrlProps/ctrlProp386.xml"/><Relationship Id="rId3" Type="http://schemas.openxmlformats.org/officeDocument/2006/relationships/vmlDrawing" Target="../drawings/vmlDrawing18.vml"/><Relationship Id="rId21" Type="http://schemas.openxmlformats.org/officeDocument/2006/relationships/ctrlProp" Target="../ctrlProps/ctrlProp381.xml"/><Relationship Id="rId34" Type="http://schemas.openxmlformats.org/officeDocument/2006/relationships/ctrlProp" Target="../ctrlProps/ctrlProp394.xml"/><Relationship Id="rId7" Type="http://schemas.openxmlformats.org/officeDocument/2006/relationships/ctrlProp" Target="../ctrlProps/ctrlProp367.xml"/><Relationship Id="rId12" Type="http://schemas.openxmlformats.org/officeDocument/2006/relationships/ctrlProp" Target="../ctrlProps/ctrlProp372.xml"/><Relationship Id="rId17" Type="http://schemas.openxmlformats.org/officeDocument/2006/relationships/ctrlProp" Target="../ctrlProps/ctrlProp377.xml"/><Relationship Id="rId25" Type="http://schemas.openxmlformats.org/officeDocument/2006/relationships/ctrlProp" Target="../ctrlProps/ctrlProp385.xml"/><Relationship Id="rId33" Type="http://schemas.openxmlformats.org/officeDocument/2006/relationships/ctrlProp" Target="../ctrlProps/ctrlProp393.xml"/><Relationship Id="rId2" Type="http://schemas.openxmlformats.org/officeDocument/2006/relationships/drawing" Target="../drawings/drawing18.xml"/><Relationship Id="rId16" Type="http://schemas.openxmlformats.org/officeDocument/2006/relationships/ctrlProp" Target="../ctrlProps/ctrlProp376.xml"/><Relationship Id="rId20" Type="http://schemas.openxmlformats.org/officeDocument/2006/relationships/ctrlProp" Target="../ctrlProps/ctrlProp380.xml"/><Relationship Id="rId29" Type="http://schemas.openxmlformats.org/officeDocument/2006/relationships/ctrlProp" Target="../ctrlProps/ctrlProp389.xml"/><Relationship Id="rId1" Type="http://schemas.openxmlformats.org/officeDocument/2006/relationships/printerSettings" Target="../printerSettings/printerSettings23.bin"/><Relationship Id="rId6" Type="http://schemas.openxmlformats.org/officeDocument/2006/relationships/ctrlProp" Target="../ctrlProps/ctrlProp366.xml"/><Relationship Id="rId11" Type="http://schemas.openxmlformats.org/officeDocument/2006/relationships/ctrlProp" Target="../ctrlProps/ctrlProp371.xml"/><Relationship Id="rId24" Type="http://schemas.openxmlformats.org/officeDocument/2006/relationships/ctrlProp" Target="../ctrlProps/ctrlProp384.xml"/><Relationship Id="rId32" Type="http://schemas.openxmlformats.org/officeDocument/2006/relationships/ctrlProp" Target="../ctrlProps/ctrlProp392.xml"/><Relationship Id="rId5" Type="http://schemas.openxmlformats.org/officeDocument/2006/relationships/ctrlProp" Target="../ctrlProps/ctrlProp365.xml"/><Relationship Id="rId15" Type="http://schemas.openxmlformats.org/officeDocument/2006/relationships/ctrlProp" Target="../ctrlProps/ctrlProp375.xml"/><Relationship Id="rId23" Type="http://schemas.openxmlformats.org/officeDocument/2006/relationships/ctrlProp" Target="../ctrlProps/ctrlProp383.xml"/><Relationship Id="rId28" Type="http://schemas.openxmlformats.org/officeDocument/2006/relationships/ctrlProp" Target="../ctrlProps/ctrlProp388.xml"/><Relationship Id="rId10" Type="http://schemas.openxmlformats.org/officeDocument/2006/relationships/ctrlProp" Target="../ctrlProps/ctrlProp370.xml"/><Relationship Id="rId19" Type="http://schemas.openxmlformats.org/officeDocument/2006/relationships/ctrlProp" Target="../ctrlProps/ctrlProp379.xml"/><Relationship Id="rId31" Type="http://schemas.openxmlformats.org/officeDocument/2006/relationships/ctrlProp" Target="../ctrlProps/ctrlProp391.xml"/><Relationship Id="rId4" Type="http://schemas.openxmlformats.org/officeDocument/2006/relationships/ctrlProp" Target="../ctrlProps/ctrlProp364.xml"/><Relationship Id="rId9" Type="http://schemas.openxmlformats.org/officeDocument/2006/relationships/ctrlProp" Target="../ctrlProps/ctrlProp369.xml"/><Relationship Id="rId14" Type="http://schemas.openxmlformats.org/officeDocument/2006/relationships/ctrlProp" Target="../ctrlProps/ctrlProp374.xml"/><Relationship Id="rId22" Type="http://schemas.openxmlformats.org/officeDocument/2006/relationships/ctrlProp" Target="../ctrlProps/ctrlProp382.xml"/><Relationship Id="rId27" Type="http://schemas.openxmlformats.org/officeDocument/2006/relationships/ctrlProp" Target="../ctrlProps/ctrlProp387.xml"/><Relationship Id="rId30" Type="http://schemas.openxmlformats.org/officeDocument/2006/relationships/ctrlProp" Target="../ctrlProps/ctrlProp390.xml"/><Relationship Id="rId35" Type="http://schemas.openxmlformats.org/officeDocument/2006/relationships/ctrlProp" Target="../ctrlProps/ctrlProp395.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400.xml"/><Relationship Id="rId13" Type="http://schemas.openxmlformats.org/officeDocument/2006/relationships/ctrlProp" Target="../ctrlProps/ctrlProp405.xml"/><Relationship Id="rId18" Type="http://schemas.openxmlformats.org/officeDocument/2006/relationships/ctrlProp" Target="../ctrlProps/ctrlProp410.xml"/><Relationship Id="rId26" Type="http://schemas.openxmlformats.org/officeDocument/2006/relationships/ctrlProp" Target="../ctrlProps/ctrlProp418.xml"/><Relationship Id="rId3" Type="http://schemas.openxmlformats.org/officeDocument/2006/relationships/vmlDrawing" Target="../drawings/vmlDrawing19.vml"/><Relationship Id="rId21" Type="http://schemas.openxmlformats.org/officeDocument/2006/relationships/ctrlProp" Target="../ctrlProps/ctrlProp413.xml"/><Relationship Id="rId34" Type="http://schemas.openxmlformats.org/officeDocument/2006/relationships/ctrlProp" Target="../ctrlProps/ctrlProp426.xml"/><Relationship Id="rId7" Type="http://schemas.openxmlformats.org/officeDocument/2006/relationships/ctrlProp" Target="../ctrlProps/ctrlProp399.xml"/><Relationship Id="rId12" Type="http://schemas.openxmlformats.org/officeDocument/2006/relationships/ctrlProp" Target="../ctrlProps/ctrlProp404.xml"/><Relationship Id="rId17" Type="http://schemas.openxmlformats.org/officeDocument/2006/relationships/ctrlProp" Target="../ctrlProps/ctrlProp409.xml"/><Relationship Id="rId25" Type="http://schemas.openxmlformats.org/officeDocument/2006/relationships/ctrlProp" Target="../ctrlProps/ctrlProp417.xml"/><Relationship Id="rId33" Type="http://schemas.openxmlformats.org/officeDocument/2006/relationships/ctrlProp" Target="../ctrlProps/ctrlProp425.xml"/><Relationship Id="rId2" Type="http://schemas.openxmlformats.org/officeDocument/2006/relationships/drawing" Target="../drawings/drawing19.xml"/><Relationship Id="rId16" Type="http://schemas.openxmlformats.org/officeDocument/2006/relationships/ctrlProp" Target="../ctrlProps/ctrlProp408.xml"/><Relationship Id="rId20" Type="http://schemas.openxmlformats.org/officeDocument/2006/relationships/ctrlProp" Target="../ctrlProps/ctrlProp412.xml"/><Relationship Id="rId29" Type="http://schemas.openxmlformats.org/officeDocument/2006/relationships/ctrlProp" Target="../ctrlProps/ctrlProp421.xml"/><Relationship Id="rId1" Type="http://schemas.openxmlformats.org/officeDocument/2006/relationships/printerSettings" Target="../printerSettings/printerSettings24.bin"/><Relationship Id="rId6" Type="http://schemas.openxmlformats.org/officeDocument/2006/relationships/ctrlProp" Target="../ctrlProps/ctrlProp398.xml"/><Relationship Id="rId11" Type="http://schemas.openxmlformats.org/officeDocument/2006/relationships/ctrlProp" Target="../ctrlProps/ctrlProp403.xml"/><Relationship Id="rId24" Type="http://schemas.openxmlformats.org/officeDocument/2006/relationships/ctrlProp" Target="../ctrlProps/ctrlProp416.xml"/><Relationship Id="rId32" Type="http://schemas.openxmlformats.org/officeDocument/2006/relationships/ctrlProp" Target="../ctrlProps/ctrlProp424.xml"/><Relationship Id="rId5" Type="http://schemas.openxmlformats.org/officeDocument/2006/relationships/ctrlProp" Target="../ctrlProps/ctrlProp397.xml"/><Relationship Id="rId15" Type="http://schemas.openxmlformats.org/officeDocument/2006/relationships/ctrlProp" Target="../ctrlProps/ctrlProp407.xml"/><Relationship Id="rId23" Type="http://schemas.openxmlformats.org/officeDocument/2006/relationships/ctrlProp" Target="../ctrlProps/ctrlProp415.xml"/><Relationship Id="rId28" Type="http://schemas.openxmlformats.org/officeDocument/2006/relationships/ctrlProp" Target="../ctrlProps/ctrlProp420.xml"/><Relationship Id="rId10" Type="http://schemas.openxmlformats.org/officeDocument/2006/relationships/ctrlProp" Target="../ctrlProps/ctrlProp402.xml"/><Relationship Id="rId19" Type="http://schemas.openxmlformats.org/officeDocument/2006/relationships/ctrlProp" Target="../ctrlProps/ctrlProp411.xml"/><Relationship Id="rId31" Type="http://schemas.openxmlformats.org/officeDocument/2006/relationships/ctrlProp" Target="../ctrlProps/ctrlProp423.xml"/><Relationship Id="rId4" Type="http://schemas.openxmlformats.org/officeDocument/2006/relationships/ctrlProp" Target="../ctrlProps/ctrlProp396.xml"/><Relationship Id="rId9" Type="http://schemas.openxmlformats.org/officeDocument/2006/relationships/ctrlProp" Target="../ctrlProps/ctrlProp401.xml"/><Relationship Id="rId14" Type="http://schemas.openxmlformats.org/officeDocument/2006/relationships/ctrlProp" Target="../ctrlProps/ctrlProp406.xml"/><Relationship Id="rId22" Type="http://schemas.openxmlformats.org/officeDocument/2006/relationships/ctrlProp" Target="../ctrlProps/ctrlProp414.xml"/><Relationship Id="rId27" Type="http://schemas.openxmlformats.org/officeDocument/2006/relationships/ctrlProp" Target="../ctrlProps/ctrlProp419.xml"/><Relationship Id="rId30" Type="http://schemas.openxmlformats.org/officeDocument/2006/relationships/ctrlProp" Target="../ctrlProps/ctrlProp422.xml"/><Relationship Id="rId35" Type="http://schemas.openxmlformats.org/officeDocument/2006/relationships/ctrlProp" Target="../ctrlProps/ctrlProp4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F34"/>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5" x14ac:dyDescent="0.25">
      <c r="A1" s="192" t="s">
        <v>113</v>
      </c>
      <c r="B1" s="71"/>
    </row>
    <row r="2" spans="1:5" x14ac:dyDescent="0.25">
      <c r="A2" s="71"/>
      <c r="B2" s="71"/>
    </row>
    <row r="3" spans="1:5" x14ac:dyDescent="0.25">
      <c r="A3" s="71" t="s">
        <v>248</v>
      </c>
      <c r="B3" s="71"/>
    </row>
    <row r="4" spans="1:5" x14ac:dyDescent="0.25">
      <c r="A4" s="193"/>
      <c r="B4" s="71"/>
    </row>
    <row r="5" spans="1:5" x14ac:dyDescent="0.25">
      <c r="A5" s="193" t="s">
        <v>283</v>
      </c>
      <c r="B5" s="71" t="s">
        <v>544</v>
      </c>
    </row>
    <row r="6" spans="1:5" x14ac:dyDescent="0.25">
      <c r="A6" s="193"/>
      <c r="B6" s="71"/>
    </row>
    <row r="7" spans="1:5" x14ac:dyDescent="0.25">
      <c r="A7" s="71" t="s">
        <v>249</v>
      </c>
      <c r="B7" s="71"/>
    </row>
    <row r="8" spans="1:5" x14ac:dyDescent="0.25">
      <c r="A8" s="193"/>
      <c r="B8" s="71"/>
    </row>
    <row r="9" spans="1:5" x14ac:dyDescent="0.25">
      <c r="A9" s="193"/>
      <c r="B9" s="71"/>
    </row>
    <row r="10" spans="1:5" x14ac:dyDescent="0.25">
      <c r="A10" s="71" t="s">
        <v>72</v>
      </c>
      <c r="B10" s="194" t="s">
        <v>514</v>
      </c>
    </row>
    <row r="11" spans="1:5" x14ac:dyDescent="0.25">
      <c r="A11" s="71" t="s">
        <v>244</v>
      </c>
      <c r="B11" s="195"/>
    </row>
    <row r="12" spans="1:5" x14ac:dyDescent="0.25">
      <c r="A12" s="71"/>
      <c r="B12" s="195"/>
    </row>
    <row r="13" spans="1:5" x14ac:dyDescent="0.25">
      <c r="A13" s="71" t="s">
        <v>187</v>
      </c>
      <c r="B13" s="195"/>
    </row>
    <row r="14" spans="1:5" x14ac:dyDescent="0.25">
      <c r="A14" s="71"/>
      <c r="B14" s="195"/>
    </row>
    <row r="15" spans="1:5" x14ac:dyDescent="0.25">
      <c r="A15" s="71" t="s">
        <v>255</v>
      </c>
      <c r="B15" s="195"/>
      <c r="E15" t="s">
        <v>312</v>
      </c>
    </row>
    <row r="16" spans="1:5" x14ac:dyDescent="0.25">
      <c r="A16" s="71" t="s">
        <v>256</v>
      </c>
      <c r="B16" s="195"/>
    </row>
    <row r="17" spans="1:6" x14ac:dyDescent="0.25">
      <c r="A17" s="71"/>
      <c r="B17" s="195"/>
    </row>
    <row r="18" spans="1:6" x14ac:dyDescent="0.25">
      <c r="A18" s="71"/>
      <c r="B18" s="195"/>
    </row>
    <row r="19" spans="1:6" x14ac:dyDescent="0.25">
      <c r="A19" s="196" t="s">
        <v>257</v>
      </c>
      <c r="B19" s="195"/>
    </row>
    <row r="20" spans="1:6" x14ac:dyDescent="0.25">
      <c r="A20" s="71" t="s">
        <v>64</v>
      </c>
      <c r="B20" s="176" t="str">
        <f>B10&amp;" Edition"</f>
        <v>1/11/2022 Edition</v>
      </c>
    </row>
    <row r="21" spans="1:6" x14ac:dyDescent="0.25">
      <c r="A21" s="71" t="s">
        <v>62</v>
      </c>
      <c r="B21" s="177" t="str">
        <f>IF(ISBLANK('1.General'!$B$45),"",'1.General'!$B$45)</f>
        <v>State Farm General Insurance Company</v>
      </c>
    </row>
    <row r="22" spans="1:6" x14ac:dyDescent="0.25">
      <c r="A22" s="71" t="s">
        <v>63</v>
      </c>
      <c r="B22" s="177" t="str">
        <f>INDEX(List_GeneralLine,References!$F$5,1)</f>
        <v>Homeowners</v>
      </c>
    </row>
    <row r="23" spans="1:6" x14ac:dyDescent="0.25">
      <c r="A23" s="71" t="s">
        <v>115</v>
      </c>
      <c r="B23" s="177" t="str">
        <f>IF(ISBLANK('1.General'!$H$14),"",'1.General'!$H$14)</f>
        <v/>
      </c>
    </row>
    <row r="24" spans="1:6" x14ac:dyDescent="0.25">
      <c r="A24" s="71" t="s">
        <v>225</v>
      </c>
      <c r="B24" s="179" t="str">
        <f>IF(ISBLANK('1.General'!$B$7),"",'1.General'!$B$7)</f>
        <v>Nicole Pettis</v>
      </c>
    </row>
    <row r="25" spans="1:6" x14ac:dyDescent="0.25">
      <c r="A25" s="71" t="s">
        <v>226</v>
      </c>
      <c r="B25" s="178">
        <f>IF(ISBLANK('1.General'!$E$7),"",'1.General'!$E$7)</f>
        <v>44587</v>
      </c>
      <c r="F25" t="s">
        <v>312</v>
      </c>
    </row>
    <row r="26" spans="1:6" x14ac:dyDescent="0.25">
      <c r="A26" s="71" t="s">
        <v>223</v>
      </c>
      <c r="B26" s="178" t="str">
        <f>IF(ISBLANK('4.Proposed Impact'!$D$9),"",'4.Proposed Impact'!$D$9)</f>
        <v/>
      </c>
    </row>
    <row r="27" spans="1:6" x14ac:dyDescent="0.25">
      <c r="A27" s="71" t="s">
        <v>281</v>
      </c>
      <c r="B27" s="179" t="b">
        <v>0</v>
      </c>
    </row>
    <row r="28" spans="1:6" x14ac:dyDescent="0.25">
      <c r="A28" s="71" t="s">
        <v>369</v>
      </c>
      <c r="B28" s="354" t="b">
        <f>IF('3.Filing Type and Checklist'!E7="Y",TRUE,FALSE)</f>
        <v>0</v>
      </c>
    </row>
    <row r="29" spans="1:6" x14ac:dyDescent="0.25">
      <c r="A29" s="71" t="s">
        <v>370</v>
      </c>
      <c r="B29" s="354" t="b">
        <f>IF('3.Filing Type and Checklist'!E8="Y",TRUE,FALSE)</f>
        <v>1</v>
      </c>
    </row>
    <row r="30" spans="1:6" x14ac:dyDescent="0.25">
      <c r="A30" s="71" t="s">
        <v>371</v>
      </c>
      <c r="B30" s="354" t="b">
        <f>IF('3.Filing Type and Checklist'!E10="Y",TRUE,FALSE)</f>
        <v>0</v>
      </c>
    </row>
    <row r="31" spans="1:6" x14ac:dyDescent="0.25">
      <c r="A31" s="71" t="s">
        <v>372</v>
      </c>
      <c r="B31" s="354" t="b">
        <f>IF('3.Filing Type and Checklist'!E6="Y",TRUE,FALSE)</f>
        <v>0</v>
      </c>
    </row>
    <row r="32" spans="1:6" x14ac:dyDescent="0.25">
      <c r="A32" s="71" t="s">
        <v>373</v>
      </c>
      <c r="B32" s="71"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3" spans="1:2" x14ac:dyDescent="0.25">
      <c r="A33" s="71" t="s">
        <v>381</v>
      </c>
      <c r="B33" s="71"/>
    </row>
    <row r="34" spans="1:2" x14ac:dyDescent="0.25">
      <c r="A34" s="71" t="s">
        <v>439</v>
      </c>
      <c r="B34" s="448" t="b">
        <v>0</v>
      </c>
    </row>
  </sheetData>
  <sheetProtection formatColumns="0" formatRows="0" sort="0"/>
  <pageMargins left="0.7" right="0.7" top="0.75" bottom="0.75" header="0.3" footer="0.3"/>
  <pageSetup scale="83" orientation="portrait" r:id="rId1"/>
  <headerFooter>
    <oddFooter>&amp;L1/11/2022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pageSetUpPr fitToPage="1"/>
  </sheetPr>
  <dimension ref="A1:AV78"/>
  <sheetViews>
    <sheetView zoomScale="80" zoomScaleNormal="80" workbookViewId="0"/>
  </sheetViews>
  <sheetFormatPr defaultRowHeight="15" x14ac:dyDescent="0.25"/>
  <cols>
    <col min="1" max="1" width="29" style="49" customWidth="1"/>
    <col min="2" max="2" width="15.85546875" style="49" bestFit="1" customWidth="1"/>
    <col min="3" max="3" width="5.7109375" style="49" customWidth="1"/>
    <col min="4" max="4" width="11.5703125" style="49" bestFit="1" customWidth="1"/>
    <col min="5" max="5" width="5.7109375" style="49" customWidth="1"/>
    <col min="6" max="6" width="32.28515625" style="49" bestFit="1" customWidth="1"/>
    <col min="7" max="7" width="5.7109375" style="49" customWidth="1"/>
    <col min="8" max="8" width="18.7109375" style="49" customWidth="1"/>
    <col min="9" max="9" width="117.85546875" style="49" customWidth="1"/>
    <col min="10" max="10" width="5.7109375" style="49" customWidth="1"/>
    <col min="11" max="11" width="9.140625" style="49"/>
    <col min="12" max="12" width="80" style="49" bestFit="1" customWidth="1"/>
    <col min="13" max="13" width="11.42578125" style="49" bestFit="1" customWidth="1"/>
    <col min="14" max="14" width="6.5703125" style="49" bestFit="1" customWidth="1"/>
    <col min="15" max="15" width="4.5703125" style="49" bestFit="1" customWidth="1"/>
    <col min="16" max="16" width="6" style="49" bestFit="1" customWidth="1"/>
    <col min="17" max="17" width="3.7109375" style="49" bestFit="1" customWidth="1"/>
    <col min="18" max="18" width="3.7109375" style="49" customWidth="1"/>
    <col min="19" max="19" width="4.42578125" style="49" customWidth="1"/>
    <col min="20" max="20" width="5.5703125" style="49" bestFit="1" customWidth="1"/>
    <col min="21" max="21" width="3.7109375" style="49" customWidth="1"/>
    <col min="22" max="22" width="5.85546875" style="49" customWidth="1"/>
    <col min="23" max="23" width="9.140625" style="49"/>
    <col min="24" max="24" width="9.140625" style="49" customWidth="1"/>
    <col min="25" max="16384" width="9.140625" style="49"/>
  </cols>
  <sheetData>
    <row r="1" spans="1:25" ht="15.75" thickBot="1" x14ac:dyDescent="0.3">
      <c r="A1" s="192" t="s">
        <v>113</v>
      </c>
      <c r="H1" s="317"/>
    </row>
    <row r="2" spans="1:25" x14ac:dyDescent="0.25">
      <c r="B2" s="133" t="s">
        <v>105</v>
      </c>
      <c r="C2" s="134"/>
      <c r="D2" s="135" t="s">
        <v>106</v>
      </c>
      <c r="E2" s="134"/>
      <c r="F2" s="133" t="s">
        <v>183</v>
      </c>
      <c r="G2" s="134"/>
      <c r="H2" s="136" t="s">
        <v>107</v>
      </c>
      <c r="I2" s="137" t="s">
        <v>277</v>
      </c>
      <c r="L2" s="136" t="s">
        <v>399</v>
      </c>
      <c r="M2" s="404"/>
      <c r="N2" s="383"/>
      <c r="O2" s="383"/>
      <c r="P2" s="383"/>
      <c r="Q2" s="383"/>
      <c r="R2" s="383"/>
      <c r="S2" s="405"/>
      <c r="T2" s="406"/>
      <c r="U2" s="407" t="s">
        <v>424</v>
      </c>
      <c r="V2" s="408"/>
      <c r="Y2" s="133" t="s">
        <v>476</v>
      </c>
    </row>
    <row r="3" spans="1:25" x14ac:dyDescent="0.25">
      <c r="B3" s="138" t="s">
        <v>108</v>
      </c>
      <c r="C3" s="134"/>
      <c r="D3" s="146" t="s">
        <v>185</v>
      </c>
      <c r="F3" s="140"/>
      <c r="H3" s="141"/>
      <c r="I3" s="142"/>
      <c r="L3" s="409"/>
      <c r="M3" s="139"/>
      <c r="N3" s="410"/>
      <c r="O3" s="410"/>
      <c r="P3" s="410"/>
      <c r="Q3" s="410"/>
      <c r="R3" s="410"/>
      <c r="S3" s="411"/>
      <c r="T3" s="142"/>
      <c r="U3" s="412" t="s">
        <v>425</v>
      </c>
      <c r="V3" s="413"/>
      <c r="Y3" s="138" t="s">
        <v>477</v>
      </c>
    </row>
    <row r="4" spans="1:25" ht="100.5" x14ac:dyDescent="0.25">
      <c r="B4" s="138" t="s">
        <v>184</v>
      </c>
      <c r="C4" s="165"/>
      <c r="D4" s="139"/>
      <c r="F4" s="140"/>
      <c r="H4" s="141"/>
      <c r="I4" s="142"/>
      <c r="L4" s="141" t="s">
        <v>426</v>
      </c>
      <c r="M4" s="139"/>
      <c r="N4" s="414" t="s">
        <v>427</v>
      </c>
      <c r="O4" s="414" t="s">
        <v>428</v>
      </c>
      <c r="P4" s="414" t="s">
        <v>429</v>
      </c>
      <c r="Q4" s="414" t="s">
        <v>430</v>
      </c>
      <c r="R4" s="414" t="s">
        <v>410</v>
      </c>
      <c r="S4" s="411"/>
      <c r="T4" s="142"/>
      <c r="U4" s="415" t="s">
        <v>431</v>
      </c>
      <c r="V4" s="416" t="s">
        <v>432</v>
      </c>
      <c r="Y4" s="455">
        <v>11</v>
      </c>
    </row>
    <row r="5" spans="1:25" ht="45" customHeight="1" x14ac:dyDescent="0.25">
      <c r="A5" s="201" t="s">
        <v>258</v>
      </c>
      <c r="B5" s="202"/>
      <c r="C5" s="163"/>
      <c r="D5" s="203">
        <v>2</v>
      </c>
      <c r="E5" s="204"/>
      <c r="F5" s="205">
        <v>14</v>
      </c>
      <c r="G5" s="204"/>
      <c r="H5" s="206"/>
      <c r="I5" s="207"/>
      <c r="J5" s="204"/>
      <c r="L5" s="141" t="s">
        <v>433</v>
      </c>
      <c r="M5" s="139"/>
      <c r="N5" s="417">
        <f>IF('3.Filing Type and Checklist'!A17="",1,0)</f>
        <v>1</v>
      </c>
      <c r="O5" s="417">
        <f>IF(OR('3.Filing Type and Checklist'!$E$7="Y",'3.Filing Type and Checklist'!$E$9="Y",'3.Filing Type and Checklist'!$E$11="Y"),1,0)</f>
        <v>0</v>
      </c>
      <c r="P5" s="417">
        <f>IF('3.Filing Type and Checklist'!$E$10="Y",1,0)</f>
        <v>0</v>
      </c>
      <c r="Q5" s="417">
        <f>IF('3.Filing Type and Checklist'!$E$8="Y",1,0)</f>
        <v>1</v>
      </c>
      <c r="R5" s="417">
        <f>IF('3.Filing Type and Checklist'!$E$6="Y",1,0)</f>
        <v>0</v>
      </c>
      <c r="S5" s="411"/>
      <c r="T5" s="142"/>
      <c r="U5" s="415"/>
      <c r="V5" s="416" t="str">
        <f>LEFT(V8&amp;V9&amp;V10&amp;V11&amp;V12&amp;V13&amp;V14&amp;V15&amp;V16&amp;V17&amp;V18&amp;V19&amp;V20&amp;V22&amp;V23&amp;V24&amp;V25&amp;V26&amp;V27&amp;V28&amp;V29&amp;V30&amp;V31&amp;V32&amp;V33&amp;V34&amp;V35&amp;V36&amp;V37&amp;V38&amp;V39&amp;V40&amp;V41&amp;V42&amp;V43&amp;V44&amp;V45&amp;V46&amp;V47&amp;V48&amp;V49&amp;V50&amp;V51&amp;V52&amp;V53,LEN(V8&amp;V9&amp;V10&amp;V11&amp;V12&amp;V13&amp;V14&amp;V15&amp;V16&amp;V17&amp;V18&amp;V19&amp;V20&amp;V22&amp;V23&amp;V24&amp;V25&amp;V26&amp;V27&amp;V28&amp;V29&amp;V30&amp;V31&amp;V32&amp;V33&amp;V34&amp;V35&amp;V36&amp;V37&amp;V38&amp;V39&amp;V40&amp;V41&amp;V42&amp;V43&amp;V44&amp;V45&amp;V46&amp;V47&amp;V48&amp;V49&amp;V50&amp;V51&amp;V52&amp;V53)-1)</f>
        <v>A20,A22,A23,A24,A25,A26,A27,A29,A34,A35,A36,A37,A38,A39,A40,A41,A42,A43,A44,A45,A46,A47,A48,A49,A52,A53,A55,A56,A59,A60,A61,A62,A63,A64</v>
      </c>
      <c r="Y5" s="456">
        <f>Y4-1</f>
        <v>10</v>
      </c>
    </row>
    <row r="6" spans="1:25" ht="30" x14ac:dyDescent="0.25">
      <c r="B6" s="143" t="s">
        <v>5</v>
      </c>
      <c r="C6" s="52"/>
      <c r="D6" s="139" t="s">
        <v>28</v>
      </c>
      <c r="F6" s="140"/>
      <c r="H6" s="128" t="s">
        <v>84</v>
      </c>
      <c r="I6" s="129" t="s">
        <v>228</v>
      </c>
      <c r="L6" s="384" t="s">
        <v>398</v>
      </c>
      <c r="M6" s="418"/>
      <c r="N6" s="419"/>
      <c r="O6" s="420"/>
      <c r="P6" s="420"/>
      <c r="Q6" s="420"/>
      <c r="R6" s="421"/>
      <c r="S6" s="411"/>
      <c r="T6" s="422"/>
      <c r="U6" s="423"/>
      <c r="V6" s="416"/>
      <c r="Y6" s="426">
        <v>0</v>
      </c>
    </row>
    <row r="7" spans="1:25" ht="30" x14ac:dyDescent="0.25">
      <c r="B7" s="143" t="s">
        <v>6</v>
      </c>
      <c r="C7" s="52"/>
      <c r="D7" s="139" t="s">
        <v>29</v>
      </c>
      <c r="F7" s="140" t="s">
        <v>34</v>
      </c>
      <c r="H7" s="128" t="s">
        <v>85</v>
      </c>
      <c r="I7" s="129" t="s">
        <v>229</v>
      </c>
      <c r="L7" s="386" t="s">
        <v>293</v>
      </c>
      <c r="M7" s="418" t="s">
        <v>434</v>
      </c>
      <c r="N7" s="387"/>
      <c r="O7" s="387"/>
      <c r="P7" s="387"/>
      <c r="Q7" s="387"/>
      <c r="R7" s="387"/>
      <c r="S7" s="424" t="s">
        <v>386</v>
      </c>
      <c r="T7" s="425" t="s">
        <v>387</v>
      </c>
      <c r="U7" s="391"/>
      <c r="V7" s="416"/>
      <c r="Y7" s="426">
        <v>1</v>
      </c>
    </row>
    <row r="8" spans="1:25" ht="30.75" thickBot="1" x14ac:dyDescent="0.3">
      <c r="B8" s="144" t="s">
        <v>53</v>
      </c>
      <c r="C8" s="52"/>
      <c r="D8" s="401"/>
      <c r="F8" s="140" t="s">
        <v>35</v>
      </c>
      <c r="H8" s="128" t="s">
        <v>86</v>
      </c>
      <c r="I8" s="129" t="s">
        <v>230</v>
      </c>
      <c r="L8" s="385" t="s">
        <v>380</v>
      </c>
      <c r="M8" s="426">
        <v>19</v>
      </c>
      <c r="N8" s="427">
        <v>1</v>
      </c>
      <c r="O8" s="427"/>
      <c r="P8" s="427"/>
      <c r="Q8" s="427"/>
      <c r="R8" s="427" t="s">
        <v>435</v>
      </c>
      <c r="S8" s="428">
        <v>1</v>
      </c>
      <c r="T8" s="429">
        <v>1</v>
      </c>
      <c r="U8" s="392">
        <f>SUMPRODUCT(N$5:R$5,N8:R8)</f>
        <v>1</v>
      </c>
      <c r="V8" s="430" t="str">
        <f t="shared" ref="V8:V53" si="0">IF(U8=0,"A"&amp;$M8&amp;",","")</f>
        <v/>
      </c>
      <c r="Y8" s="426">
        <v>2</v>
      </c>
    </row>
    <row r="9" spans="1:25" ht="30" x14ac:dyDescent="0.25">
      <c r="F9" s="140" t="s">
        <v>36</v>
      </c>
      <c r="H9" s="128" t="s">
        <v>87</v>
      </c>
      <c r="I9" s="129" t="s">
        <v>231</v>
      </c>
      <c r="L9" s="431" t="s">
        <v>291</v>
      </c>
      <c r="M9" s="426">
        <v>20</v>
      </c>
      <c r="N9" s="432" t="s">
        <v>435</v>
      </c>
      <c r="O9" s="432"/>
      <c r="P9" s="432"/>
      <c r="Q9" s="432"/>
      <c r="R9" s="432" t="s">
        <v>435</v>
      </c>
      <c r="S9" s="428">
        <v>1</v>
      </c>
      <c r="T9" s="429">
        <v>1</v>
      </c>
      <c r="U9" s="433">
        <f>IF('1.General'!$K$24=1,1,0)</f>
        <v>0</v>
      </c>
      <c r="V9" s="430" t="str">
        <f t="shared" si="0"/>
        <v>A20,</v>
      </c>
      <c r="Y9" s="426">
        <v>3</v>
      </c>
    </row>
    <row r="10" spans="1:25" ht="30" x14ac:dyDescent="0.25">
      <c r="F10" s="140" t="s">
        <v>37</v>
      </c>
      <c r="H10" s="128" t="s">
        <v>88</v>
      </c>
      <c r="I10" s="129" t="s">
        <v>232</v>
      </c>
      <c r="L10" s="385" t="s">
        <v>395</v>
      </c>
      <c r="M10" s="426">
        <v>21</v>
      </c>
      <c r="N10" s="427">
        <v>1</v>
      </c>
      <c r="O10" s="427"/>
      <c r="P10" s="427"/>
      <c r="Q10" s="427"/>
      <c r="R10" s="427" t="s">
        <v>435</v>
      </c>
      <c r="S10" s="428">
        <v>1</v>
      </c>
      <c r="T10" s="429">
        <v>1</v>
      </c>
      <c r="U10" s="392">
        <f t="shared" ref="U10:U17" si="1">SUMPRODUCT(N$5:R$5,N10:R10)</f>
        <v>1</v>
      </c>
      <c r="V10" s="430" t="str">
        <f t="shared" si="0"/>
        <v/>
      </c>
      <c r="Y10" s="426">
        <v>4</v>
      </c>
    </row>
    <row r="11" spans="1:25" ht="29.25" customHeight="1" x14ac:dyDescent="0.25">
      <c r="F11" s="140" t="s">
        <v>38</v>
      </c>
      <c r="H11" s="128" t="s">
        <v>91</v>
      </c>
      <c r="I11" s="129" t="s">
        <v>233</v>
      </c>
      <c r="L11" s="385" t="s">
        <v>292</v>
      </c>
      <c r="M11" s="426">
        <v>22</v>
      </c>
      <c r="N11" s="427" t="s">
        <v>435</v>
      </c>
      <c r="O11" s="427">
        <v>1</v>
      </c>
      <c r="P11" s="427"/>
      <c r="Q11" s="427"/>
      <c r="R11" s="427">
        <v>1</v>
      </c>
      <c r="S11" s="428">
        <v>1</v>
      </c>
      <c r="T11" s="429">
        <v>1</v>
      </c>
      <c r="U11" s="392">
        <f t="shared" si="1"/>
        <v>0</v>
      </c>
      <c r="V11" s="430" t="str">
        <f t="shared" si="0"/>
        <v>A22,</v>
      </c>
      <c r="Y11" s="426">
        <v>5</v>
      </c>
    </row>
    <row r="12" spans="1:25" ht="30" x14ac:dyDescent="0.25">
      <c r="F12" s="140" t="s">
        <v>39</v>
      </c>
      <c r="H12" s="128" t="s">
        <v>89</v>
      </c>
      <c r="I12" s="129" t="s">
        <v>234</v>
      </c>
      <c r="L12" s="385" t="s">
        <v>300</v>
      </c>
      <c r="M12" s="426">
        <v>23</v>
      </c>
      <c r="N12" s="427" t="s">
        <v>435</v>
      </c>
      <c r="O12" s="427">
        <v>1</v>
      </c>
      <c r="P12" s="427"/>
      <c r="Q12" s="427"/>
      <c r="R12" s="427"/>
      <c r="S12" s="428">
        <v>1</v>
      </c>
      <c r="T12" s="429">
        <v>1</v>
      </c>
      <c r="U12" s="392">
        <f t="shared" si="1"/>
        <v>0</v>
      </c>
      <c r="V12" s="430" t="str">
        <f t="shared" si="0"/>
        <v>A23,</v>
      </c>
      <c r="Y12" s="426">
        <v>6</v>
      </c>
    </row>
    <row r="13" spans="1:25" ht="30" x14ac:dyDescent="0.25">
      <c r="F13" s="140" t="s">
        <v>40</v>
      </c>
      <c r="H13" s="128" t="s">
        <v>90</v>
      </c>
      <c r="I13" s="129" t="s">
        <v>235</v>
      </c>
      <c r="L13" s="385" t="s">
        <v>360</v>
      </c>
      <c r="M13" s="426">
        <v>24</v>
      </c>
      <c r="N13" s="427" t="s">
        <v>435</v>
      </c>
      <c r="O13" s="427">
        <v>1</v>
      </c>
      <c r="P13" s="427"/>
      <c r="Q13" s="427"/>
      <c r="R13" s="427" t="s">
        <v>435</v>
      </c>
      <c r="S13" s="428">
        <v>1</v>
      </c>
      <c r="T13" s="429">
        <v>1</v>
      </c>
      <c r="U13" s="392">
        <f t="shared" si="1"/>
        <v>0</v>
      </c>
      <c r="V13" s="430" t="str">
        <f t="shared" si="0"/>
        <v>A24,</v>
      </c>
      <c r="Y13" s="426">
        <v>7</v>
      </c>
    </row>
    <row r="14" spans="1:25" ht="30" x14ac:dyDescent="0.25">
      <c r="F14" s="140" t="s">
        <v>41</v>
      </c>
      <c r="H14" s="128" t="s">
        <v>112</v>
      </c>
      <c r="I14" s="129" t="s">
        <v>236</v>
      </c>
      <c r="L14" s="385" t="s">
        <v>301</v>
      </c>
      <c r="M14" s="426">
        <v>25</v>
      </c>
      <c r="N14" s="427" t="s">
        <v>435</v>
      </c>
      <c r="O14" s="427">
        <v>1</v>
      </c>
      <c r="P14" s="427"/>
      <c r="Q14" s="427"/>
      <c r="R14" s="427" t="s">
        <v>435</v>
      </c>
      <c r="S14" s="428">
        <v>1</v>
      </c>
      <c r="T14" s="429">
        <v>1</v>
      </c>
      <c r="U14" s="392">
        <f t="shared" si="1"/>
        <v>0</v>
      </c>
      <c r="V14" s="430" t="str">
        <f t="shared" si="0"/>
        <v>A25,</v>
      </c>
      <c r="Y14" s="426">
        <v>8</v>
      </c>
    </row>
    <row r="15" spans="1:25" ht="30" x14ac:dyDescent="0.25">
      <c r="F15" s="140" t="s">
        <v>42</v>
      </c>
      <c r="H15" s="128" t="s">
        <v>92</v>
      </c>
      <c r="I15" s="129" t="s">
        <v>237</v>
      </c>
      <c r="L15" s="385" t="s">
        <v>302</v>
      </c>
      <c r="M15" s="426">
        <v>26</v>
      </c>
      <c r="N15" s="427" t="s">
        <v>435</v>
      </c>
      <c r="O15" s="427">
        <v>1</v>
      </c>
      <c r="P15" s="427"/>
      <c r="Q15" s="427"/>
      <c r="R15" s="427">
        <v>1</v>
      </c>
      <c r="S15" s="428">
        <v>1</v>
      </c>
      <c r="T15" s="429">
        <v>1</v>
      </c>
      <c r="U15" s="392">
        <f t="shared" si="1"/>
        <v>0</v>
      </c>
      <c r="V15" s="430" t="str">
        <f t="shared" si="0"/>
        <v>A26,</v>
      </c>
      <c r="Y15" s="426">
        <v>9</v>
      </c>
    </row>
    <row r="16" spans="1:25" ht="30.75" thickBot="1" x14ac:dyDescent="0.3">
      <c r="F16" s="140" t="s">
        <v>43</v>
      </c>
      <c r="H16" s="128" t="s">
        <v>93</v>
      </c>
      <c r="I16" s="129" t="s">
        <v>238</v>
      </c>
      <c r="L16" s="385" t="s">
        <v>303</v>
      </c>
      <c r="M16" s="426">
        <v>27</v>
      </c>
      <c r="N16" s="427" t="s">
        <v>435</v>
      </c>
      <c r="O16" s="427"/>
      <c r="P16" s="427">
        <v>1</v>
      </c>
      <c r="Q16" s="427"/>
      <c r="R16" s="427">
        <v>1</v>
      </c>
      <c r="S16" s="428">
        <v>1</v>
      </c>
      <c r="T16" s="429">
        <v>1</v>
      </c>
      <c r="U16" s="392">
        <f t="shared" si="1"/>
        <v>0</v>
      </c>
      <c r="V16" s="430" t="str">
        <f t="shared" si="0"/>
        <v>A27,</v>
      </c>
      <c r="Y16" s="435">
        <v>10</v>
      </c>
    </row>
    <row r="17" spans="6:22" ht="30" x14ac:dyDescent="0.25">
      <c r="F17" s="140" t="s">
        <v>346</v>
      </c>
      <c r="H17" s="128" t="s">
        <v>94</v>
      </c>
      <c r="I17" s="129" t="s">
        <v>239</v>
      </c>
      <c r="L17" s="385" t="s">
        <v>328</v>
      </c>
      <c r="M17" s="426">
        <v>28</v>
      </c>
      <c r="N17" s="427" t="s">
        <v>435</v>
      </c>
      <c r="O17" s="427"/>
      <c r="P17" s="427"/>
      <c r="Q17" s="427">
        <v>1</v>
      </c>
      <c r="R17" s="427" t="s">
        <v>435</v>
      </c>
      <c r="S17" s="428">
        <v>1</v>
      </c>
      <c r="T17" s="429">
        <v>1</v>
      </c>
      <c r="U17" s="392">
        <f t="shared" si="1"/>
        <v>1</v>
      </c>
      <c r="V17" s="430" t="str">
        <f t="shared" si="0"/>
        <v/>
      </c>
    </row>
    <row r="18" spans="6:22" ht="30" x14ac:dyDescent="0.25">
      <c r="F18" s="140" t="s">
        <v>44</v>
      </c>
      <c r="H18" s="128" t="s">
        <v>95</v>
      </c>
      <c r="I18" s="129" t="s">
        <v>240</v>
      </c>
      <c r="L18" s="431" t="s">
        <v>78</v>
      </c>
      <c r="M18" s="426">
        <v>29</v>
      </c>
      <c r="N18" s="427" t="s">
        <v>435</v>
      </c>
      <c r="O18" s="427"/>
      <c r="P18" s="427"/>
      <c r="Q18" s="427"/>
      <c r="R18" s="427" t="s">
        <v>435</v>
      </c>
      <c r="S18" s="428">
        <v>1</v>
      </c>
      <c r="T18" s="429">
        <v>1</v>
      </c>
      <c r="U18" s="433">
        <f>IF('1.General'!$K$14=1,1,0)</f>
        <v>0</v>
      </c>
      <c r="V18" s="430" t="str">
        <f t="shared" si="0"/>
        <v>A29,</v>
      </c>
    </row>
    <row r="19" spans="6:22" ht="30" x14ac:dyDescent="0.25">
      <c r="F19" s="140" t="s">
        <v>45</v>
      </c>
      <c r="H19" s="128" t="s">
        <v>96</v>
      </c>
      <c r="I19" s="130" t="s">
        <v>241</v>
      </c>
      <c r="L19" s="431" t="s">
        <v>478</v>
      </c>
      <c r="M19" s="426">
        <v>30</v>
      </c>
      <c r="N19" s="427"/>
      <c r="O19" s="427"/>
      <c r="P19" s="427"/>
      <c r="Q19" s="427"/>
      <c r="R19" s="427"/>
      <c r="S19" s="428">
        <v>1</v>
      </c>
      <c r="T19" s="429">
        <v>1</v>
      </c>
      <c r="U19" s="433">
        <f>IF(Y5&gt;0,1,0)</f>
        <v>1</v>
      </c>
      <c r="V19" s="430" t="str">
        <f t="shared" si="0"/>
        <v/>
      </c>
    </row>
    <row r="20" spans="6:22" ht="30" x14ac:dyDescent="0.25">
      <c r="F20" s="140" t="s">
        <v>46</v>
      </c>
      <c r="H20" s="128" t="s">
        <v>97</v>
      </c>
      <c r="I20" s="129" t="s">
        <v>242</v>
      </c>
      <c r="L20" s="431" t="s">
        <v>479</v>
      </c>
      <c r="M20" s="426">
        <v>31</v>
      </c>
      <c r="N20" s="427">
        <v>1</v>
      </c>
      <c r="O20" s="427"/>
      <c r="P20" s="427"/>
      <c r="Q20" s="427"/>
      <c r="R20" s="427"/>
      <c r="S20" s="428">
        <v>1</v>
      </c>
      <c r="T20" s="429"/>
      <c r="U20" s="392">
        <f>SUMPRODUCT(N$5:R$5,N20:R20)</f>
        <v>1</v>
      </c>
      <c r="V20" s="430" t="str">
        <f t="shared" si="0"/>
        <v/>
      </c>
    </row>
    <row r="21" spans="6:22" ht="30" x14ac:dyDescent="0.25">
      <c r="F21" s="140" t="s">
        <v>47</v>
      </c>
      <c r="H21" s="128" t="s">
        <v>98</v>
      </c>
      <c r="I21" s="129" t="s">
        <v>351</v>
      </c>
      <c r="L21" s="206" t="s">
        <v>294</v>
      </c>
      <c r="M21" s="426">
        <v>32</v>
      </c>
      <c r="N21" s="387" t="s">
        <v>435</v>
      </c>
      <c r="O21" s="387"/>
      <c r="P21" s="387"/>
      <c r="Q21" s="387"/>
      <c r="R21" s="387" t="s">
        <v>435</v>
      </c>
      <c r="S21" s="428"/>
      <c r="T21" s="429"/>
      <c r="U21" s="391"/>
      <c r="V21" s="430" t="str">
        <f t="shared" si="0"/>
        <v>A32,</v>
      </c>
    </row>
    <row r="22" spans="6:22" ht="30" x14ac:dyDescent="0.25">
      <c r="F22" s="140" t="s">
        <v>48</v>
      </c>
      <c r="H22" s="128" t="s">
        <v>99</v>
      </c>
      <c r="I22" s="129" t="s">
        <v>352</v>
      </c>
      <c r="L22" s="385" t="s">
        <v>286</v>
      </c>
      <c r="M22" s="426">
        <v>33</v>
      </c>
      <c r="N22" s="427" t="s">
        <v>435</v>
      </c>
      <c r="O22" s="427">
        <v>1</v>
      </c>
      <c r="P22" s="427">
        <v>1</v>
      </c>
      <c r="Q22" s="427">
        <v>1</v>
      </c>
      <c r="R22" s="427" t="s">
        <v>435</v>
      </c>
      <c r="S22" s="428">
        <v>1</v>
      </c>
      <c r="T22" s="429"/>
      <c r="U22" s="392">
        <f t="shared" ref="U22:U33" si="2">SUMPRODUCT(N$5:R$5,N22:R22)</f>
        <v>1</v>
      </c>
      <c r="V22" s="430" t="str">
        <f t="shared" si="0"/>
        <v/>
      </c>
    </row>
    <row r="23" spans="6:22" ht="30" x14ac:dyDescent="0.25">
      <c r="F23" s="140" t="s">
        <v>49</v>
      </c>
      <c r="H23" s="128" t="s">
        <v>100</v>
      </c>
      <c r="I23" s="129" t="s">
        <v>353</v>
      </c>
      <c r="L23" s="385" t="s">
        <v>287</v>
      </c>
      <c r="M23" s="426">
        <v>34</v>
      </c>
      <c r="N23" s="427" t="s">
        <v>435</v>
      </c>
      <c r="O23" s="427">
        <v>1</v>
      </c>
      <c r="P23" s="427"/>
      <c r="Q23" s="427"/>
      <c r="R23" s="427" t="s">
        <v>435</v>
      </c>
      <c r="S23" s="428">
        <v>1</v>
      </c>
      <c r="T23" s="429">
        <v>1</v>
      </c>
      <c r="U23" s="392">
        <f t="shared" si="2"/>
        <v>0</v>
      </c>
      <c r="V23" s="430" t="str">
        <f t="shared" si="0"/>
        <v>A34,</v>
      </c>
    </row>
    <row r="24" spans="6:22" ht="45" x14ac:dyDescent="0.25">
      <c r="F24" s="140" t="s">
        <v>50</v>
      </c>
      <c r="H24" s="128" t="s">
        <v>101</v>
      </c>
      <c r="I24" s="129" t="s">
        <v>354</v>
      </c>
      <c r="L24" s="385" t="s">
        <v>288</v>
      </c>
      <c r="M24" s="426">
        <v>35</v>
      </c>
      <c r="N24" s="427" t="s">
        <v>435</v>
      </c>
      <c r="O24" s="427">
        <v>1</v>
      </c>
      <c r="P24" s="427"/>
      <c r="Q24" s="427"/>
      <c r="R24" s="427" t="s">
        <v>435</v>
      </c>
      <c r="S24" s="428">
        <v>1</v>
      </c>
      <c r="T24" s="429">
        <v>1</v>
      </c>
      <c r="U24" s="392">
        <f t="shared" si="2"/>
        <v>0</v>
      </c>
      <c r="V24" s="430" t="str">
        <f t="shared" si="0"/>
        <v>A35,</v>
      </c>
    </row>
    <row r="25" spans="6:22" ht="30" x14ac:dyDescent="0.25">
      <c r="F25" s="140" t="s">
        <v>51</v>
      </c>
      <c r="H25" s="128" t="s">
        <v>102</v>
      </c>
      <c r="I25" s="129" t="s">
        <v>355</v>
      </c>
      <c r="L25" s="385" t="s">
        <v>289</v>
      </c>
      <c r="M25" s="426">
        <v>36</v>
      </c>
      <c r="N25" s="427" t="s">
        <v>435</v>
      </c>
      <c r="O25" s="427">
        <v>1</v>
      </c>
      <c r="P25" s="427"/>
      <c r="Q25" s="427"/>
      <c r="R25" s="427" t="s">
        <v>435</v>
      </c>
      <c r="S25" s="428">
        <v>1</v>
      </c>
      <c r="T25" s="429">
        <v>1</v>
      </c>
      <c r="U25" s="392">
        <f t="shared" si="2"/>
        <v>0</v>
      </c>
      <c r="V25" s="430" t="str">
        <f t="shared" si="0"/>
        <v>A36,</v>
      </c>
    </row>
    <row r="26" spans="6:22" ht="30" x14ac:dyDescent="0.25">
      <c r="F26" s="140" t="s">
        <v>480</v>
      </c>
      <c r="H26" s="128" t="s">
        <v>103</v>
      </c>
      <c r="I26" s="129" t="s">
        <v>356</v>
      </c>
      <c r="L26" s="385" t="s">
        <v>388</v>
      </c>
      <c r="M26" s="426">
        <v>37</v>
      </c>
      <c r="N26" s="427" t="s">
        <v>435</v>
      </c>
      <c r="O26" s="427">
        <v>1</v>
      </c>
      <c r="P26" s="427"/>
      <c r="Q26" s="427"/>
      <c r="R26" s="427" t="s">
        <v>435</v>
      </c>
      <c r="S26" s="428">
        <v>1</v>
      </c>
      <c r="T26" s="429">
        <v>1</v>
      </c>
      <c r="U26" s="392">
        <f t="shared" si="2"/>
        <v>0</v>
      </c>
      <c r="V26" s="430" t="str">
        <f t="shared" si="0"/>
        <v>A37,</v>
      </c>
    </row>
    <row r="27" spans="6:22" ht="30.75" customHeight="1" thickBot="1" x14ac:dyDescent="0.3">
      <c r="F27" s="145" t="s">
        <v>52</v>
      </c>
      <c r="H27" s="128" t="s">
        <v>104</v>
      </c>
      <c r="I27" s="129" t="s">
        <v>243</v>
      </c>
      <c r="L27" s="385" t="s">
        <v>290</v>
      </c>
      <c r="M27" s="426">
        <v>38</v>
      </c>
      <c r="N27" s="427" t="s">
        <v>435</v>
      </c>
      <c r="O27" s="427">
        <v>1</v>
      </c>
      <c r="P27" s="427"/>
      <c r="Q27" s="427"/>
      <c r="R27" s="427" t="s">
        <v>435</v>
      </c>
      <c r="S27" s="428">
        <v>1</v>
      </c>
      <c r="T27" s="429">
        <v>1</v>
      </c>
      <c r="U27" s="392">
        <f t="shared" si="2"/>
        <v>0</v>
      </c>
      <c r="V27" s="430" t="str">
        <f t="shared" si="0"/>
        <v>A38,</v>
      </c>
    </row>
    <row r="28" spans="6:22" ht="30.75" customHeight="1" thickBot="1" x14ac:dyDescent="0.3">
      <c r="H28" s="131" t="s">
        <v>53</v>
      </c>
      <c r="I28" s="132" t="str">
        <f>""</f>
        <v/>
      </c>
      <c r="L28" s="385" t="s">
        <v>389</v>
      </c>
      <c r="M28" s="426">
        <v>39</v>
      </c>
      <c r="N28" s="427" t="s">
        <v>435</v>
      </c>
      <c r="O28" s="427">
        <v>1</v>
      </c>
      <c r="P28" s="427"/>
      <c r="Q28" s="427"/>
      <c r="R28" s="427" t="s">
        <v>435</v>
      </c>
      <c r="S28" s="428">
        <v>1</v>
      </c>
      <c r="T28" s="429">
        <v>1</v>
      </c>
      <c r="U28" s="392">
        <f t="shared" si="2"/>
        <v>0</v>
      </c>
      <c r="V28" s="430" t="str">
        <f t="shared" si="0"/>
        <v>A39,</v>
      </c>
    </row>
    <row r="29" spans="6:22" ht="30.75" customHeight="1" x14ac:dyDescent="0.25">
      <c r="I29" s="65"/>
      <c r="L29" s="385" t="s">
        <v>390</v>
      </c>
      <c r="M29" s="426">
        <v>40</v>
      </c>
      <c r="N29" s="427" t="s">
        <v>435</v>
      </c>
      <c r="O29" s="427">
        <v>1</v>
      </c>
      <c r="P29" s="427"/>
      <c r="Q29" s="427"/>
      <c r="R29" s="427" t="s">
        <v>435</v>
      </c>
      <c r="S29" s="428">
        <v>1</v>
      </c>
      <c r="T29" s="429">
        <v>1</v>
      </c>
      <c r="U29" s="392">
        <f t="shared" si="2"/>
        <v>0</v>
      </c>
      <c r="V29" s="430" t="str">
        <f t="shared" si="0"/>
        <v>A40,</v>
      </c>
    </row>
    <row r="30" spans="6:22" ht="30.75" customHeight="1" x14ac:dyDescent="0.25">
      <c r="I30" s="65"/>
      <c r="L30" s="385" t="s">
        <v>296</v>
      </c>
      <c r="M30" s="426">
        <v>41</v>
      </c>
      <c r="N30" s="427" t="s">
        <v>435</v>
      </c>
      <c r="O30" s="427">
        <v>1</v>
      </c>
      <c r="P30" s="427"/>
      <c r="Q30" s="427"/>
      <c r="R30" s="427" t="s">
        <v>435</v>
      </c>
      <c r="S30" s="428">
        <v>1</v>
      </c>
      <c r="T30" s="429">
        <v>1</v>
      </c>
      <c r="U30" s="392">
        <f t="shared" si="2"/>
        <v>0</v>
      </c>
      <c r="V30" s="430" t="str">
        <f t="shared" si="0"/>
        <v>A41,</v>
      </c>
    </row>
    <row r="31" spans="6:22" ht="30.75" customHeight="1" x14ac:dyDescent="0.25">
      <c r="I31" s="65"/>
      <c r="L31" s="385" t="s">
        <v>297</v>
      </c>
      <c r="M31" s="426">
        <v>42</v>
      </c>
      <c r="N31" s="427" t="s">
        <v>435</v>
      </c>
      <c r="O31" s="427">
        <v>1</v>
      </c>
      <c r="P31" s="427"/>
      <c r="Q31" s="427"/>
      <c r="R31" s="427" t="s">
        <v>435</v>
      </c>
      <c r="S31" s="428">
        <v>1</v>
      </c>
      <c r="T31" s="429">
        <v>1</v>
      </c>
      <c r="U31" s="392">
        <f t="shared" si="2"/>
        <v>0</v>
      </c>
      <c r="V31" s="430" t="str">
        <f t="shared" si="0"/>
        <v>A42,</v>
      </c>
    </row>
    <row r="32" spans="6:22" ht="30.75" customHeight="1" x14ac:dyDescent="0.25">
      <c r="I32" s="65"/>
      <c r="L32" s="385" t="s">
        <v>298</v>
      </c>
      <c r="M32" s="426">
        <v>43</v>
      </c>
      <c r="N32" s="427" t="s">
        <v>435</v>
      </c>
      <c r="O32" s="427">
        <v>1</v>
      </c>
      <c r="P32" s="427"/>
      <c r="Q32" s="427"/>
      <c r="R32" s="427" t="s">
        <v>435</v>
      </c>
      <c r="S32" s="428">
        <v>1</v>
      </c>
      <c r="T32" s="429">
        <v>1</v>
      </c>
      <c r="U32" s="392">
        <f t="shared" si="2"/>
        <v>0</v>
      </c>
      <c r="V32" s="430" t="str">
        <f t="shared" si="0"/>
        <v>A43,</v>
      </c>
    </row>
    <row r="33" spans="9:48" ht="30.75" customHeight="1" x14ac:dyDescent="0.25">
      <c r="I33" s="65"/>
      <c r="L33" s="385" t="s">
        <v>299</v>
      </c>
      <c r="M33" s="426">
        <v>44</v>
      </c>
      <c r="N33" s="427" t="s">
        <v>435</v>
      </c>
      <c r="O33" s="427">
        <v>1</v>
      </c>
      <c r="P33" s="427"/>
      <c r="Q33" s="427"/>
      <c r="R33" s="427">
        <v>1</v>
      </c>
      <c r="S33" s="428">
        <v>1</v>
      </c>
      <c r="T33" s="429">
        <v>1</v>
      </c>
      <c r="U33" s="392">
        <f t="shared" si="2"/>
        <v>0</v>
      </c>
      <c r="V33" s="430" t="str">
        <f t="shared" si="0"/>
        <v>A44,</v>
      </c>
    </row>
    <row r="34" spans="9:48" ht="30.75" customHeight="1" x14ac:dyDescent="0.25">
      <c r="I34" s="65"/>
      <c r="L34" s="434" t="s">
        <v>331</v>
      </c>
      <c r="M34" s="426">
        <v>45</v>
      </c>
      <c r="N34" s="427" t="s">
        <v>435</v>
      </c>
      <c r="O34" s="427"/>
      <c r="P34" s="427"/>
      <c r="Q34" s="427"/>
      <c r="R34" s="427" t="s">
        <v>435</v>
      </c>
      <c r="S34" s="428">
        <v>1</v>
      </c>
      <c r="T34" s="429"/>
      <c r="U34" s="433">
        <f>IF('1.General'!$K$14=1,1,0)</f>
        <v>0</v>
      </c>
      <c r="V34" s="430" t="str">
        <f t="shared" si="0"/>
        <v>A45,</v>
      </c>
    </row>
    <row r="35" spans="9:48" ht="30.75" customHeight="1" x14ac:dyDescent="0.25">
      <c r="I35" s="65"/>
      <c r="L35" s="385" t="s">
        <v>323</v>
      </c>
      <c r="M35" s="426">
        <v>46</v>
      </c>
      <c r="N35" s="427" t="s">
        <v>435</v>
      </c>
      <c r="O35" s="427">
        <v>1</v>
      </c>
      <c r="P35" s="427"/>
      <c r="Q35" s="427"/>
      <c r="R35" s="427" t="s">
        <v>435</v>
      </c>
      <c r="S35" s="428">
        <v>1</v>
      </c>
      <c r="T35" s="429">
        <v>1</v>
      </c>
      <c r="U35" s="392">
        <f>SUMPRODUCT(N$5:R$5,N35:R35)</f>
        <v>0</v>
      </c>
      <c r="V35" s="430" t="str">
        <f t="shared" si="0"/>
        <v>A46,</v>
      </c>
    </row>
    <row r="36" spans="9:48" ht="30.75" customHeight="1" x14ac:dyDescent="0.25">
      <c r="I36" s="65"/>
      <c r="L36" s="385" t="s">
        <v>324</v>
      </c>
      <c r="M36" s="426">
        <v>47</v>
      </c>
      <c r="N36" s="427" t="s">
        <v>435</v>
      </c>
      <c r="O36" s="427">
        <v>1</v>
      </c>
      <c r="P36" s="427"/>
      <c r="Q36" s="427"/>
      <c r="R36" s="427" t="s">
        <v>435</v>
      </c>
      <c r="S36" s="428">
        <v>1</v>
      </c>
      <c r="T36" s="429">
        <v>1</v>
      </c>
      <c r="U36" s="392">
        <f>SUMPRODUCT(N$5:R$5,N36:R36)</f>
        <v>0</v>
      </c>
      <c r="V36" s="430" t="str">
        <f t="shared" si="0"/>
        <v>A47,</v>
      </c>
    </row>
    <row r="37" spans="9:48" ht="30.75" customHeight="1" x14ac:dyDescent="0.25">
      <c r="I37" s="65"/>
      <c r="L37" s="385" t="s">
        <v>325</v>
      </c>
      <c r="M37" s="426">
        <v>48</v>
      </c>
      <c r="N37" s="427" t="s">
        <v>435</v>
      </c>
      <c r="O37" s="427"/>
      <c r="P37" s="427"/>
      <c r="Q37" s="427"/>
      <c r="R37" s="427">
        <v>1</v>
      </c>
      <c r="S37" s="428">
        <v>1</v>
      </c>
      <c r="T37" s="429"/>
      <c r="U37" s="392">
        <f>SUMPRODUCT(N$5:R$5,N37:R37)</f>
        <v>0</v>
      </c>
      <c r="V37" s="430" t="str">
        <f t="shared" si="0"/>
        <v>A48,</v>
      </c>
    </row>
    <row r="38" spans="9:48" ht="30.75" customHeight="1" x14ac:dyDescent="0.25">
      <c r="I38" s="65"/>
      <c r="L38" s="431" t="s">
        <v>326</v>
      </c>
      <c r="M38" s="426">
        <v>49</v>
      </c>
      <c r="N38" s="432" t="s">
        <v>435</v>
      </c>
      <c r="O38" s="432"/>
      <c r="P38" s="432"/>
      <c r="Q38" s="432"/>
      <c r="R38" s="432" t="s">
        <v>435</v>
      </c>
      <c r="S38" s="428">
        <v>1</v>
      </c>
      <c r="T38" s="429"/>
      <c r="U38" s="433">
        <f>IF(AND($D$5=2,$F$5=4,'1.General'!$K$39=2),1,0)</f>
        <v>0</v>
      </c>
      <c r="V38" s="430" t="str">
        <f t="shared" si="0"/>
        <v>A49,</v>
      </c>
    </row>
    <row r="39" spans="9:48" ht="30.75" customHeight="1" x14ac:dyDescent="0.25">
      <c r="I39" s="65"/>
      <c r="L39" s="385" t="s">
        <v>436</v>
      </c>
      <c r="M39" s="426">
        <v>50</v>
      </c>
      <c r="N39" s="427" t="s">
        <v>435</v>
      </c>
      <c r="O39" s="427">
        <v>1</v>
      </c>
      <c r="P39" s="427"/>
      <c r="Q39" s="427">
        <v>1</v>
      </c>
      <c r="R39" s="427" t="s">
        <v>435</v>
      </c>
      <c r="S39" s="428">
        <v>1</v>
      </c>
      <c r="T39" s="429"/>
      <c r="U39" s="392">
        <f>SUMPRODUCT(N$5:R$5,N39:R39)</f>
        <v>1</v>
      </c>
      <c r="V39" s="430" t="str">
        <f t="shared" si="0"/>
        <v/>
      </c>
      <c r="W39"/>
      <c r="X39"/>
      <c r="Y39"/>
      <c r="Z39"/>
      <c r="AA39"/>
      <c r="AB39"/>
      <c r="AC39"/>
      <c r="AD39"/>
      <c r="AE39"/>
      <c r="AF39"/>
      <c r="AG39"/>
      <c r="AH39"/>
      <c r="AI39"/>
      <c r="AJ39"/>
      <c r="AK39"/>
      <c r="AL39"/>
      <c r="AM39"/>
      <c r="AN39"/>
      <c r="AO39"/>
      <c r="AP39"/>
      <c r="AQ39"/>
      <c r="AR39"/>
      <c r="AS39"/>
      <c r="AT39"/>
      <c r="AU39"/>
      <c r="AV39"/>
    </row>
    <row r="40" spans="9:48" ht="30" customHeight="1" x14ac:dyDescent="0.25">
      <c r="I40" s="65"/>
      <c r="L40" s="385" t="s">
        <v>327</v>
      </c>
      <c r="M40" s="426">
        <v>51</v>
      </c>
      <c r="N40" s="427">
        <v>1</v>
      </c>
      <c r="O40" s="427"/>
      <c r="P40" s="427"/>
      <c r="Q40" s="427"/>
      <c r="R40" s="427" t="s">
        <v>435</v>
      </c>
      <c r="S40" s="428">
        <v>1</v>
      </c>
      <c r="T40" s="429">
        <v>1</v>
      </c>
      <c r="U40" s="392">
        <f>SUMPRODUCT(N$5:R$5,N40:R40)</f>
        <v>1</v>
      </c>
      <c r="V40" s="430" t="str">
        <f t="shared" si="0"/>
        <v/>
      </c>
    </row>
    <row r="41" spans="9:48" ht="30" customHeight="1" x14ac:dyDescent="0.25">
      <c r="I41" s="65"/>
      <c r="L41" s="385" t="s">
        <v>336</v>
      </c>
      <c r="M41" s="426">
        <v>52</v>
      </c>
      <c r="N41" s="427"/>
      <c r="O41" s="427">
        <v>1</v>
      </c>
      <c r="P41" s="427"/>
      <c r="Q41" s="427"/>
      <c r="R41" s="427" t="s">
        <v>435</v>
      </c>
      <c r="S41" s="428">
        <v>1</v>
      </c>
      <c r="T41" s="429">
        <v>1</v>
      </c>
      <c r="U41" s="392">
        <f>SUMPRODUCT(N$5:R$5,N41:R41)</f>
        <v>0</v>
      </c>
      <c r="V41" s="430" t="str">
        <f t="shared" si="0"/>
        <v>A52,</v>
      </c>
    </row>
    <row r="42" spans="9:48" ht="30" customHeight="1" x14ac:dyDescent="0.25">
      <c r="I42" s="65"/>
      <c r="L42" s="431" t="s">
        <v>335</v>
      </c>
      <c r="M42" s="426">
        <v>53</v>
      </c>
      <c r="N42" s="432" t="s">
        <v>435</v>
      </c>
      <c r="O42" s="432"/>
      <c r="P42" s="432"/>
      <c r="Q42" s="432"/>
      <c r="R42" s="432" t="s">
        <v>435</v>
      </c>
      <c r="S42" s="428">
        <v>1</v>
      </c>
      <c r="T42" s="429">
        <v>1</v>
      </c>
      <c r="U42" s="433">
        <f>IF('1.General'!$K$26=1,1,0)</f>
        <v>0</v>
      </c>
      <c r="V42" s="430" t="str">
        <f t="shared" si="0"/>
        <v>A53,</v>
      </c>
    </row>
    <row r="43" spans="9:48" ht="30" customHeight="1" x14ac:dyDescent="0.25">
      <c r="I43" s="65"/>
      <c r="L43" s="206" t="s">
        <v>79</v>
      </c>
      <c r="M43" s="426">
        <v>54</v>
      </c>
      <c r="N43" s="427">
        <v>1</v>
      </c>
      <c r="O43" s="427"/>
      <c r="P43" s="427"/>
      <c r="Q43" s="427"/>
      <c r="R43" s="427" t="s">
        <v>435</v>
      </c>
      <c r="S43" s="428">
        <v>1</v>
      </c>
      <c r="T43" s="429"/>
      <c r="U43" s="392">
        <f t="shared" ref="U43:U52" si="3">SUMPRODUCT(N$5:R$5,N43:R43)</f>
        <v>1</v>
      </c>
      <c r="V43" s="430" t="str">
        <f t="shared" si="0"/>
        <v/>
      </c>
    </row>
    <row r="44" spans="9:48" ht="30" customHeight="1" x14ac:dyDescent="0.25">
      <c r="I44" s="65"/>
      <c r="L44" s="206" t="s">
        <v>391</v>
      </c>
      <c r="M44" s="426">
        <v>55</v>
      </c>
      <c r="N44" s="427" t="s">
        <v>435</v>
      </c>
      <c r="O44" s="427">
        <v>1</v>
      </c>
      <c r="P44" s="427"/>
      <c r="Q44" s="427"/>
      <c r="R44" s="427">
        <v>1</v>
      </c>
      <c r="S44" s="428">
        <v>1</v>
      </c>
      <c r="T44" s="429">
        <v>1</v>
      </c>
      <c r="U44" s="392">
        <f t="shared" si="3"/>
        <v>0</v>
      </c>
      <c r="V44" s="430" t="str">
        <f t="shared" si="0"/>
        <v>A55,</v>
      </c>
    </row>
    <row r="45" spans="9:48" ht="30" customHeight="1" x14ac:dyDescent="0.25">
      <c r="I45" s="65"/>
      <c r="L45" s="206" t="s">
        <v>392</v>
      </c>
      <c r="M45" s="426">
        <v>56</v>
      </c>
      <c r="N45" s="427" t="s">
        <v>435</v>
      </c>
      <c r="O45" s="427">
        <v>1</v>
      </c>
      <c r="P45" s="427"/>
      <c r="Q45" s="427"/>
      <c r="R45" s="427" t="s">
        <v>435</v>
      </c>
      <c r="S45" s="428">
        <v>1</v>
      </c>
      <c r="T45" s="429">
        <v>1</v>
      </c>
      <c r="U45" s="392">
        <f t="shared" si="3"/>
        <v>0</v>
      </c>
      <c r="V45" s="430" t="str">
        <f t="shared" si="0"/>
        <v>A56,</v>
      </c>
    </row>
    <row r="46" spans="9:48" ht="30" customHeight="1" x14ac:dyDescent="0.25">
      <c r="I46" s="65"/>
      <c r="L46" s="206" t="s">
        <v>394</v>
      </c>
      <c r="M46" s="426">
        <v>57</v>
      </c>
      <c r="N46" s="427" t="s">
        <v>435</v>
      </c>
      <c r="O46" s="427">
        <v>1</v>
      </c>
      <c r="P46" s="427"/>
      <c r="Q46" s="427">
        <v>1</v>
      </c>
      <c r="R46" s="427">
        <v>1</v>
      </c>
      <c r="S46" s="428">
        <v>1</v>
      </c>
      <c r="T46" s="429"/>
      <c r="U46" s="392">
        <f t="shared" si="3"/>
        <v>1</v>
      </c>
      <c r="V46" s="430" t="str">
        <f t="shared" si="0"/>
        <v/>
      </c>
    </row>
    <row r="47" spans="9:48" ht="30" customHeight="1" x14ac:dyDescent="0.25">
      <c r="I47" s="65"/>
      <c r="L47" s="206" t="s">
        <v>393</v>
      </c>
      <c r="M47" s="426">
        <v>58</v>
      </c>
      <c r="N47" s="427" t="s">
        <v>435</v>
      </c>
      <c r="O47" s="427">
        <v>1</v>
      </c>
      <c r="P47" s="427"/>
      <c r="Q47" s="427">
        <v>1</v>
      </c>
      <c r="R47" s="427">
        <v>1</v>
      </c>
      <c r="S47" s="428">
        <v>1</v>
      </c>
      <c r="T47" s="429"/>
      <c r="U47" s="392">
        <f t="shared" si="3"/>
        <v>1</v>
      </c>
      <c r="V47" s="430" t="str">
        <f t="shared" si="0"/>
        <v/>
      </c>
    </row>
    <row r="48" spans="9:48" ht="30" customHeight="1" x14ac:dyDescent="0.25">
      <c r="I48" s="65"/>
      <c r="L48" s="206" t="s">
        <v>304</v>
      </c>
      <c r="M48" s="426">
        <v>59</v>
      </c>
      <c r="N48" s="427" t="s">
        <v>435</v>
      </c>
      <c r="O48" s="427"/>
      <c r="P48" s="427">
        <v>1</v>
      </c>
      <c r="Q48" s="427"/>
      <c r="R48" s="427">
        <v>1</v>
      </c>
      <c r="S48" s="428">
        <v>1</v>
      </c>
      <c r="T48" s="429"/>
      <c r="U48" s="392">
        <f t="shared" si="3"/>
        <v>0</v>
      </c>
      <c r="V48" s="430" t="str">
        <f t="shared" si="0"/>
        <v>A59,</v>
      </c>
    </row>
    <row r="49" spans="9:22" ht="30" customHeight="1" x14ac:dyDescent="0.25">
      <c r="I49" s="65"/>
      <c r="L49" s="206" t="s">
        <v>332</v>
      </c>
      <c r="M49" s="426">
        <v>60</v>
      </c>
      <c r="N49" s="427" t="s">
        <v>435</v>
      </c>
      <c r="O49" s="427">
        <v>1</v>
      </c>
      <c r="P49" s="427"/>
      <c r="Q49" s="427"/>
      <c r="R49" s="427">
        <v>1</v>
      </c>
      <c r="S49" s="428">
        <v>1</v>
      </c>
      <c r="T49" s="429"/>
      <c r="U49" s="392">
        <f t="shared" si="3"/>
        <v>0</v>
      </c>
      <c r="V49" s="430" t="str">
        <f t="shared" si="0"/>
        <v>A60,</v>
      </c>
    </row>
    <row r="50" spans="9:22" ht="30" customHeight="1" x14ac:dyDescent="0.25">
      <c r="I50" s="65"/>
      <c r="L50" s="388" t="s">
        <v>396</v>
      </c>
      <c r="M50" s="426">
        <v>61</v>
      </c>
      <c r="N50" s="427"/>
      <c r="O50" s="427">
        <v>1</v>
      </c>
      <c r="P50" s="427">
        <v>1</v>
      </c>
      <c r="Q50" s="427"/>
      <c r="R50" s="427">
        <v>1</v>
      </c>
      <c r="S50" s="428"/>
      <c r="T50" s="429"/>
      <c r="U50" s="392">
        <f t="shared" si="3"/>
        <v>0</v>
      </c>
      <c r="V50" s="430" t="str">
        <f t="shared" si="0"/>
        <v>A61,</v>
      </c>
    </row>
    <row r="51" spans="9:22" ht="30" customHeight="1" x14ac:dyDescent="0.25">
      <c r="I51" s="65"/>
      <c r="L51" s="388" t="s">
        <v>397</v>
      </c>
      <c r="M51" s="426">
        <v>62</v>
      </c>
      <c r="N51" s="427" t="s">
        <v>435</v>
      </c>
      <c r="O51" s="427"/>
      <c r="P51" s="427">
        <v>1</v>
      </c>
      <c r="Q51" s="427"/>
      <c r="R51" s="427">
        <v>1</v>
      </c>
      <c r="S51" s="428"/>
      <c r="T51" s="429"/>
      <c r="U51" s="392">
        <f t="shared" si="3"/>
        <v>0</v>
      </c>
      <c r="V51" s="430" t="str">
        <f t="shared" si="0"/>
        <v>A62,</v>
      </c>
    </row>
    <row r="52" spans="9:22" ht="30" customHeight="1" x14ac:dyDescent="0.25">
      <c r="L52" s="388" t="s">
        <v>403</v>
      </c>
      <c r="M52" s="426">
        <v>63</v>
      </c>
      <c r="N52" s="427" t="s">
        <v>435</v>
      </c>
      <c r="O52" s="427"/>
      <c r="P52" s="427"/>
      <c r="Q52" s="427"/>
      <c r="R52" s="427">
        <v>1</v>
      </c>
      <c r="S52" s="428"/>
      <c r="T52" s="429"/>
      <c r="U52" s="392">
        <f t="shared" si="3"/>
        <v>0</v>
      </c>
      <c r="V52" s="430" t="str">
        <f t="shared" si="0"/>
        <v>A63,</v>
      </c>
    </row>
    <row r="53" spans="9:22" ht="30" customHeight="1" thickBot="1" x14ac:dyDescent="0.3">
      <c r="L53" s="390" t="s">
        <v>385</v>
      </c>
      <c r="M53" s="435">
        <v>64</v>
      </c>
      <c r="N53" s="436" t="s">
        <v>435</v>
      </c>
      <c r="O53" s="436"/>
      <c r="P53" s="436"/>
      <c r="Q53" s="436"/>
      <c r="R53" s="436" t="s">
        <v>435</v>
      </c>
      <c r="S53" s="437"/>
      <c r="T53" s="438"/>
      <c r="U53" s="439">
        <f>IF(AND($D$5=2,$F$5=4),1,0)</f>
        <v>0</v>
      </c>
      <c r="V53" s="440" t="str">
        <f t="shared" si="0"/>
        <v>A64,</v>
      </c>
    </row>
    <row r="54" spans="9:22" ht="30" customHeight="1" x14ac:dyDescent="0.25"/>
    <row r="55" spans="9:22" ht="30" customHeight="1" x14ac:dyDescent="0.25"/>
    <row r="56" spans="9:22" ht="30" customHeight="1" x14ac:dyDescent="0.25"/>
    <row r="57" spans="9:22" ht="30" customHeight="1" x14ac:dyDescent="0.25"/>
    <row r="58" spans="9:22" ht="30" customHeight="1" x14ac:dyDescent="0.25"/>
    <row r="59" spans="9:22" ht="30" customHeight="1" x14ac:dyDescent="0.25"/>
    <row r="60" spans="9:22" ht="30" customHeight="1" x14ac:dyDescent="0.25"/>
    <row r="61" spans="9:22" ht="30" customHeight="1" x14ac:dyDescent="0.25"/>
    <row r="62" spans="9:22" ht="30" customHeight="1" x14ac:dyDescent="0.25"/>
    <row r="63" spans="9:22" ht="30" customHeight="1" x14ac:dyDescent="0.25"/>
    <row r="64" spans="9:22"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4CoXKdAVfsQrErv0yS4OecJL7Jgdr3o1DkD4jrRnY2RXYkMoHkB9heYkeGL0Fja8c7/uVdY1KCy7QmSdXGKdKw==" saltValue="U8n0sbG7DctJrDcx7yNEhw==" spinCount="100000" sheet="1" objects="1" scenarios="1" formatColumns="0" formatRows="0" sort="0"/>
  <printOptions horizontalCentered="1"/>
  <pageMargins left="0.2" right="0.45" top="0.5" bottom="0.5" header="0.3" footer="0.3"/>
  <pageSetup scale="30" orientation="landscape" r:id="rId1"/>
  <headerFooter>
    <oddFooter>&amp;L1/11/2022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0" tint="-0.14999847407452621"/>
  </sheetPr>
  <dimension ref="A1:B9"/>
  <sheetViews>
    <sheetView showGridLines="0" view="pageBreakPreview" zoomScaleNormal="100" zoomScaleSheetLayoutView="100" workbookViewId="0">
      <selection activeCell="B3" sqref="B3"/>
    </sheetView>
  </sheetViews>
  <sheetFormatPr defaultRowHeight="15" x14ac:dyDescent="0.25"/>
  <cols>
    <col min="1" max="1" width="2.28515625" customWidth="1"/>
    <col min="2" max="2" width="100.7109375" customWidth="1"/>
    <col min="13" max="13" width="40.7109375" customWidth="1"/>
  </cols>
  <sheetData>
    <row r="1" spans="1:2" ht="52.5" x14ac:dyDescent="0.25">
      <c r="A1" s="318"/>
      <c r="B1" s="319" t="s">
        <v>309</v>
      </c>
    </row>
    <row r="2" spans="1:2" ht="26.25" customHeight="1" x14ac:dyDescent="0.25">
      <c r="A2" s="318"/>
      <c r="B2" s="320"/>
    </row>
    <row r="3" spans="1:2" ht="47.25" x14ac:dyDescent="0.25">
      <c r="A3" s="188"/>
      <c r="B3" s="189" t="s">
        <v>313</v>
      </c>
    </row>
    <row r="4" spans="1:2" ht="27" thickBot="1" x14ac:dyDescent="0.3">
      <c r="A4" s="187"/>
      <c r="B4" s="190" t="s">
        <v>60</v>
      </c>
    </row>
    <row r="5" spans="1:2" ht="15" customHeight="1" x14ac:dyDescent="0.25">
      <c r="A5" s="188"/>
      <c r="B5" s="191"/>
    </row>
    <row r="6" spans="1:2" ht="75" customHeight="1" x14ac:dyDescent="0.25">
      <c r="A6" s="163" t="s">
        <v>306</v>
      </c>
      <c r="B6" s="175" t="s">
        <v>310</v>
      </c>
    </row>
    <row r="7" spans="1:2" ht="75" customHeight="1" x14ac:dyDescent="0.25">
      <c r="A7" s="163" t="s">
        <v>307</v>
      </c>
      <c r="B7" s="175" t="s">
        <v>411</v>
      </c>
    </row>
    <row r="8" spans="1:2" ht="92.25" customHeight="1" x14ac:dyDescent="0.25">
      <c r="A8" s="163" t="s">
        <v>308</v>
      </c>
      <c r="B8" s="316" t="s">
        <v>350</v>
      </c>
    </row>
    <row r="9" spans="1:2" ht="68.25" customHeight="1" x14ac:dyDescent="0.25">
      <c r="A9" s="163" t="s">
        <v>311</v>
      </c>
      <c r="B9" s="175" t="s">
        <v>314</v>
      </c>
    </row>
  </sheetData>
  <sheetProtection algorithmName="SHA-512" hashValue="YqJobEyfOBCLEe+/fy40dlsKACgMpqSC1lQCIJWL1PAXVvPrGlFokRWURkShzKKjeWazUbNFQh0zFN+HU8NVTA==" saltValue="jKTWowKAbr8UdWWSNk+pFQ==" spinCount="100000" sheet="1" objects="1" scenarios="1" formatColumns="0" formatRows="0" sort="0"/>
  <hyperlinks>
    <hyperlink ref="B4" r:id="rId1"/>
  </hyperlinks>
  <pageMargins left="0.7" right="0.7" top="0.75" bottom="0.75" header="0.3" footer="0.3"/>
  <pageSetup scale="87" orientation="portrait" r:id="rId2"/>
  <headerFooter>
    <oddFooter>&amp;CPrior Approval Rate Application&amp;L1/11/2022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00FF"/>
  </sheetPr>
  <dimension ref="A1:R85"/>
  <sheetViews>
    <sheetView showGridLines="0" tabSelected="1" view="pageBreakPreview" zoomScaleNormal="100" zoomScaleSheetLayoutView="100" workbookViewId="0">
      <selection activeCell="A41" sqref="A41"/>
    </sheetView>
  </sheetViews>
  <sheetFormatPr defaultRowHeight="15" x14ac:dyDescent="0.25"/>
  <cols>
    <col min="1" max="1" width="19.85546875" style="8" customWidth="1"/>
    <col min="2" max="2" width="23.85546875" style="8" customWidth="1"/>
    <col min="3" max="3" width="9.140625" style="8"/>
    <col min="4" max="4" width="9.140625" style="8" customWidth="1"/>
    <col min="5" max="5" width="9.7109375" style="8" customWidth="1"/>
    <col min="6" max="6" width="6" style="8" customWidth="1"/>
    <col min="7" max="7" width="19.140625" style="8" customWidth="1"/>
    <col min="8" max="8" width="10.7109375" style="8" customWidth="1"/>
    <col min="9" max="9" width="9.140625" style="8"/>
    <col min="10" max="10" width="2.7109375" style="8" customWidth="1"/>
    <col min="11" max="11" width="0.7109375" style="8" customWidth="1"/>
    <col min="12" max="12" width="76.42578125" style="343" customWidth="1"/>
    <col min="13" max="14" width="0.7109375" style="8" customWidth="1"/>
    <col min="15" max="15" width="9.140625" style="8"/>
    <col min="16" max="16" width="17.7109375" style="8" bestFit="1" customWidth="1"/>
    <col min="17" max="16384" width="9.140625" style="8"/>
  </cols>
  <sheetData>
    <row r="1" spans="1:18" ht="15.75" thickBot="1" x14ac:dyDescent="0.3">
      <c r="A1" s="21" t="s">
        <v>68</v>
      </c>
      <c r="D1" s="21" t="s">
        <v>70</v>
      </c>
      <c r="I1" s="36" t="str">
        <f>Co_Name</f>
        <v>State Farm General Insurance Company</v>
      </c>
      <c r="L1" s="336" t="s">
        <v>305</v>
      </c>
    </row>
    <row r="2" spans="1:18" x14ac:dyDescent="0.25">
      <c r="A2" s="21" t="s">
        <v>69</v>
      </c>
      <c r="D2" s="21" t="s">
        <v>71</v>
      </c>
      <c r="I2" s="36" t="str">
        <f>General_Line</f>
        <v>Homeowners</v>
      </c>
      <c r="L2" s="337" t="s">
        <v>109</v>
      </c>
    </row>
    <row r="3" spans="1:18" ht="18" customHeight="1" x14ac:dyDescent="0.25">
      <c r="A3" s="21"/>
      <c r="B3" s="168"/>
      <c r="J3" s="36"/>
      <c r="K3" s="36"/>
      <c r="L3" s="338"/>
    </row>
    <row r="4" spans="1:18" ht="23.25" x14ac:dyDescent="0.25">
      <c r="A4" s="5" t="s">
        <v>316</v>
      </c>
      <c r="B4" s="6"/>
      <c r="C4" s="6"/>
      <c r="D4" s="6"/>
      <c r="E4" s="6"/>
      <c r="F4" s="6"/>
      <c r="G4" s="6"/>
      <c r="H4" s="6"/>
      <c r="I4" s="6"/>
      <c r="J4" s="6"/>
      <c r="K4" s="6"/>
      <c r="L4" s="338"/>
      <c r="M4" s="7"/>
      <c r="R4" s="9"/>
    </row>
    <row r="5" spans="1:18" ht="23.25" customHeight="1" x14ac:dyDescent="0.25">
      <c r="A5" s="5" t="s">
        <v>315</v>
      </c>
      <c r="B5" s="6"/>
      <c r="C5" s="6"/>
      <c r="D5" s="6"/>
      <c r="E5" s="6"/>
      <c r="F5" s="6"/>
      <c r="G5" s="6"/>
      <c r="H5" s="6"/>
      <c r="I5" s="6"/>
      <c r="J5" s="6"/>
      <c r="K5" s="6"/>
      <c r="L5" s="339"/>
      <c r="M5" s="7"/>
      <c r="R5" s="9"/>
    </row>
    <row r="6" spans="1:18" ht="18" customHeight="1" x14ac:dyDescent="0.25">
      <c r="A6" s="5"/>
      <c r="B6" s="6"/>
      <c r="C6" s="6"/>
      <c r="D6" s="6"/>
      <c r="E6" s="6"/>
      <c r="F6" s="6"/>
      <c r="G6" s="6"/>
      <c r="H6" s="6"/>
      <c r="I6" s="6"/>
      <c r="J6" s="6"/>
      <c r="K6" s="6"/>
      <c r="L6" s="339"/>
      <c r="M6" s="7"/>
      <c r="R6" s="9"/>
    </row>
    <row r="7" spans="1:18" ht="18" customHeight="1" x14ac:dyDescent="0.25">
      <c r="A7" s="10" t="s">
        <v>2</v>
      </c>
      <c r="B7" s="361" t="s">
        <v>515</v>
      </c>
      <c r="C7" s="7"/>
      <c r="D7" s="7" t="s">
        <v>1</v>
      </c>
      <c r="E7" s="362">
        <v>44587</v>
      </c>
      <c r="F7" s="11"/>
      <c r="G7" s="7"/>
      <c r="H7" s="7"/>
      <c r="I7" s="7"/>
      <c r="J7" s="7"/>
      <c r="K7" s="7"/>
      <c r="L7" s="340"/>
      <c r="M7" s="7"/>
      <c r="R7" s="9"/>
    </row>
    <row r="8" spans="1:18" ht="9.9499999999999993" customHeight="1" x14ac:dyDescent="0.25">
      <c r="A8" s="7"/>
      <c r="B8" s="7"/>
      <c r="C8" s="7"/>
      <c r="D8" s="7"/>
      <c r="E8" s="7"/>
      <c r="F8" s="7"/>
      <c r="G8" s="7"/>
      <c r="H8" s="7"/>
      <c r="I8" s="7"/>
      <c r="J8" s="7"/>
      <c r="K8" s="7"/>
      <c r="L8" s="340"/>
      <c r="M8" s="7"/>
    </row>
    <row r="9" spans="1:18" ht="18" customHeight="1" x14ac:dyDescent="0.25">
      <c r="A9" s="10" t="s">
        <v>3</v>
      </c>
      <c r="B9" s="361" t="s">
        <v>516</v>
      </c>
      <c r="C9" s="7"/>
      <c r="D9" s="7"/>
      <c r="E9" s="7"/>
      <c r="F9" s="7"/>
      <c r="G9" s="7"/>
      <c r="H9" s="7"/>
      <c r="I9" s="7"/>
      <c r="J9" s="7"/>
      <c r="K9" s="7"/>
      <c r="L9" s="340"/>
      <c r="M9" s="7"/>
    </row>
    <row r="10" spans="1:18" ht="18" customHeight="1" thickBot="1" x14ac:dyDescent="0.3">
      <c r="A10" s="7"/>
      <c r="B10" s="67" t="s">
        <v>83</v>
      </c>
      <c r="C10" s="7"/>
      <c r="D10" s="7"/>
      <c r="E10" s="7"/>
      <c r="F10" s="7"/>
      <c r="J10" s="247"/>
      <c r="K10" s="17"/>
      <c r="L10" s="333"/>
      <c r="M10" s="7"/>
    </row>
    <row r="11" spans="1:18" ht="5.0999999999999996" customHeight="1" x14ac:dyDescent="0.25">
      <c r="A11" s="7"/>
      <c r="B11" s="7"/>
      <c r="C11" s="7"/>
      <c r="D11" s="7"/>
      <c r="E11" s="7"/>
      <c r="F11" s="7"/>
      <c r="G11" s="40"/>
      <c r="H11" s="41"/>
      <c r="I11" s="41"/>
      <c r="J11" s="245"/>
      <c r="K11" s="248"/>
      <c r="L11" s="333"/>
      <c r="M11" s="7"/>
    </row>
    <row r="12" spans="1:18" ht="18" customHeight="1" x14ac:dyDescent="0.25">
      <c r="A12" s="12" t="s">
        <v>10</v>
      </c>
      <c r="B12" s="7"/>
      <c r="C12" s="7"/>
      <c r="D12" s="13"/>
      <c r="E12" s="7"/>
      <c r="F12" s="7"/>
      <c r="G12" s="42" t="s">
        <v>11</v>
      </c>
      <c r="H12" s="43"/>
      <c r="I12" s="242"/>
      <c r="J12" s="252"/>
      <c r="K12" s="253"/>
      <c r="L12" s="333"/>
      <c r="M12" s="7"/>
    </row>
    <row r="13" spans="1:18" ht="5.0999999999999996" customHeight="1" x14ac:dyDescent="0.25">
      <c r="A13" s="12"/>
      <c r="B13" s="7"/>
      <c r="C13" s="7"/>
      <c r="D13" s="13"/>
      <c r="E13" s="7"/>
      <c r="F13" s="7"/>
      <c r="G13" s="42"/>
      <c r="H13" s="43"/>
      <c r="I13" s="43"/>
      <c r="J13" s="242"/>
      <c r="K13" s="249"/>
      <c r="L13" s="333"/>
      <c r="M13" s="7"/>
    </row>
    <row r="14" spans="1:18" ht="18" customHeight="1" x14ac:dyDescent="0.25">
      <c r="A14" s="7" t="s">
        <v>4</v>
      </c>
      <c r="B14" s="7"/>
      <c r="C14" s="7"/>
      <c r="D14" s="13"/>
      <c r="E14" s="323" t="str">
        <f>IF(INDEX(List_YNIndicator,$K$14,1)="N","(Page 11 hidden)","")</f>
        <v>(Page 11 hidden)</v>
      </c>
      <c r="F14" s="7"/>
      <c r="G14" s="44" t="s">
        <v>114</v>
      </c>
      <c r="H14" s="565"/>
      <c r="I14" s="566"/>
      <c r="J14" s="243"/>
      <c r="K14" s="254">
        <v>2</v>
      </c>
      <c r="L14" s="333"/>
      <c r="M14" s="7"/>
    </row>
    <row r="15" spans="1:18" ht="5.0999999999999996" customHeight="1" x14ac:dyDescent="0.25">
      <c r="A15" s="7"/>
      <c r="B15" s="7"/>
      <c r="C15" s="7"/>
      <c r="D15" s="13"/>
      <c r="E15" s="7"/>
      <c r="F15" s="7"/>
      <c r="G15" s="45"/>
      <c r="H15" s="48"/>
      <c r="I15" s="48"/>
      <c r="J15" s="242"/>
      <c r="K15" s="249"/>
      <c r="L15" s="333"/>
      <c r="M15" s="7"/>
    </row>
    <row r="16" spans="1:18" ht="18" customHeight="1" x14ac:dyDescent="0.25">
      <c r="A16" s="7" t="s">
        <v>7</v>
      </c>
      <c r="B16" s="7"/>
      <c r="C16" s="7"/>
      <c r="D16" s="13"/>
      <c r="E16" s="7"/>
      <c r="F16" s="7"/>
      <c r="G16" s="44" t="s">
        <v>17</v>
      </c>
      <c r="H16" s="565"/>
      <c r="I16" s="566"/>
      <c r="J16" s="242"/>
      <c r="K16" s="249"/>
      <c r="L16" s="333"/>
      <c r="M16" s="7"/>
    </row>
    <row r="17" spans="1:14" ht="5.0999999999999996" customHeight="1" x14ac:dyDescent="0.25">
      <c r="A17" s="7"/>
      <c r="B17" s="7"/>
      <c r="C17" s="7"/>
      <c r="D17" s="13"/>
      <c r="E17" s="7"/>
      <c r="F17" s="7"/>
      <c r="G17" s="45"/>
      <c r="H17" s="66"/>
      <c r="I17" s="66"/>
      <c r="J17" s="242"/>
      <c r="K17" s="249"/>
      <c r="L17" s="333"/>
      <c r="M17" s="7"/>
    </row>
    <row r="18" spans="1:14" ht="18" customHeight="1" x14ac:dyDescent="0.25">
      <c r="A18" s="24" t="s">
        <v>8</v>
      </c>
      <c r="B18" s="7"/>
      <c r="C18" s="7"/>
      <c r="D18" s="13"/>
      <c r="E18" s="7"/>
      <c r="F18" s="7"/>
      <c r="G18" s="44" t="s">
        <v>18</v>
      </c>
      <c r="H18" s="567"/>
      <c r="I18" s="568"/>
      <c r="J18" s="243"/>
      <c r="K18" s="248"/>
      <c r="L18" s="333"/>
      <c r="M18" s="7"/>
    </row>
    <row r="19" spans="1:14" ht="5.0999999999999996" customHeight="1" x14ac:dyDescent="0.25">
      <c r="A19" s="15"/>
      <c r="B19" s="7"/>
      <c r="C19" s="7"/>
      <c r="D19" s="13"/>
      <c r="E19" s="7"/>
      <c r="F19" s="7"/>
      <c r="G19" s="44"/>
      <c r="H19" s="327"/>
      <c r="I19" s="48"/>
      <c r="J19" s="243"/>
      <c r="K19" s="248"/>
      <c r="L19" s="333"/>
      <c r="M19" s="7"/>
    </row>
    <row r="20" spans="1:14" ht="18" customHeight="1" x14ac:dyDescent="0.25">
      <c r="A20" s="34" t="s">
        <v>67</v>
      </c>
      <c r="B20" s="7"/>
      <c r="C20" s="7"/>
      <c r="D20" s="13"/>
      <c r="E20" s="7"/>
      <c r="F20" s="7"/>
      <c r="G20" s="44" t="s">
        <v>12</v>
      </c>
      <c r="H20" s="567"/>
      <c r="I20" s="568"/>
      <c r="J20" s="243"/>
      <c r="K20" s="254">
        <v>3</v>
      </c>
      <c r="L20" s="246" t="str">
        <f>IF(AND(INDEX(List_YNIndicator,$K$14,1)="Y",INDEX(List_YNnaIndicator,$K$20,1)="n/a"),"← ERROR! Select 'Y' or 'N' from the pull-down menu in cell D20.","")</f>
        <v/>
      </c>
      <c r="M20" s="7"/>
    </row>
    <row r="21" spans="1:14" ht="5.0999999999999996" customHeight="1" x14ac:dyDescent="0.25">
      <c r="A21" s="7"/>
      <c r="B21" s="7"/>
      <c r="C21" s="7"/>
      <c r="D21" s="7"/>
      <c r="E21" s="7"/>
      <c r="F21" s="7"/>
      <c r="G21" s="44"/>
      <c r="H21" s="48"/>
      <c r="I21" s="48"/>
      <c r="J21" s="243"/>
      <c r="K21" s="248"/>
      <c r="L21" s="333"/>
      <c r="M21" s="7"/>
    </row>
    <row r="22" spans="1:14" ht="18" customHeight="1" x14ac:dyDescent="0.25">
      <c r="A22" s="24" t="s">
        <v>119</v>
      </c>
      <c r="B22" s="7"/>
      <c r="C22" s="571"/>
      <c r="D22" s="572"/>
      <c r="E22" s="7"/>
      <c r="F22" s="7"/>
      <c r="G22" s="44" t="s">
        <v>19</v>
      </c>
      <c r="H22" s="569"/>
      <c r="I22" s="570"/>
      <c r="J22" s="243"/>
      <c r="K22" s="248"/>
      <c r="L22" s="333"/>
      <c r="M22" s="7"/>
    </row>
    <row r="23" spans="1:14" ht="5.0999999999999996" customHeight="1" x14ac:dyDescent="0.25">
      <c r="A23" s="7"/>
      <c r="B23" s="7"/>
      <c r="C23" s="7"/>
      <c r="D23" s="7"/>
      <c r="E23" s="7"/>
      <c r="F23" s="7"/>
      <c r="G23" s="44"/>
      <c r="H23" s="48"/>
      <c r="I23" s="48"/>
      <c r="J23" s="243"/>
      <c r="K23" s="248"/>
      <c r="L23" s="333"/>
      <c r="M23" s="7"/>
    </row>
    <row r="24" spans="1:14" ht="18" customHeight="1" x14ac:dyDescent="0.25">
      <c r="A24" s="7" t="s">
        <v>382</v>
      </c>
      <c r="B24" s="7"/>
      <c r="C24" s="7"/>
      <c r="D24" s="7"/>
      <c r="E24" s="323" t="str">
        <f>IF(INDEX(List_YNIndicator,$K$24,1)="N","(Page 2 hidden)","")</f>
        <v>(Page 2 hidden)</v>
      </c>
      <c r="F24" s="7"/>
      <c r="G24" s="44" t="s">
        <v>13</v>
      </c>
      <c r="H24" s="567" t="str">
        <f>IF(ISBLANK(H22)," ",H22+60)</f>
        <v xml:space="preserve"> </v>
      </c>
      <c r="I24" s="573"/>
      <c r="J24" s="243"/>
      <c r="K24" s="254">
        <v>2</v>
      </c>
      <c r="L24" s="333"/>
      <c r="M24" s="7"/>
    </row>
    <row r="25" spans="1:14" ht="5.0999999999999996" customHeight="1" x14ac:dyDescent="0.25">
      <c r="A25" s="16"/>
      <c r="B25" s="7"/>
      <c r="C25" s="7"/>
      <c r="D25" s="7"/>
      <c r="E25" s="7"/>
      <c r="F25" s="7"/>
      <c r="G25" s="44"/>
      <c r="H25" s="48"/>
      <c r="I25" s="48"/>
      <c r="J25" s="243"/>
      <c r="K25" s="248"/>
      <c r="L25" s="333"/>
      <c r="M25" s="7"/>
    </row>
    <row r="26" spans="1:14" ht="18" customHeight="1" x14ac:dyDescent="0.25">
      <c r="A26" s="7" t="s">
        <v>412</v>
      </c>
      <c r="B26" s="7"/>
      <c r="C26" s="7"/>
      <c r="D26" s="7"/>
      <c r="E26" s="7"/>
      <c r="F26" s="7"/>
      <c r="G26" s="44" t="s">
        <v>14</v>
      </c>
      <c r="H26" s="565"/>
      <c r="I26" s="566"/>
      <c r="J26" s="243"/>
      <c r="K26" s="254">
        <v>2</v>
      </c>
      <c r="L26" s="333"/>
      <c r="M26" s="7"/>
    </row>
    <row r="27" spans="1:14" ht="5.0999999999999996" customHeight="1" x14ac:dyDescent="0.25">
      <c r="A27" s="7"/>
      <c r="B27" s="7"/>
      <c r="C27" s="7"/>
      <c r="D27" s="7"/>
      <c r="E27" s="7"/>
      <c r="F27" s="7"/>
      <c r="G27" s="44"/>
      <c r="H27" s="328"/>
      <c r="I27" s="328"/>
      <c r="J27" s="243"/>
      <c r="K27" s="248"/>
      <c r="L27" s="333"/>
      <c r="M27" s="7"/>
    </row>
    <row r="28" spans="1:14" ht="15" customHeight="1" x14ac:dyDescent="0.25">
      <c r="A28" s="7" t="s">
        <v>27</v>
      </c>
      <c r="B28" s="7"/>
      <c r="C28" s="7"/>
      <c r="D28" s="7"/>
      <c r="E28" s="7"/>
      <c r="F28" s="7"/>
      <c r="G28" s="44" t="s">
        <v>66</v>
      </c>
      <c r="H28" s="574"/>
      <c r="I28" s="575"/>
      <c r="J28" s="243"/>
      <c r="K28" s="248"/>
      <c r="L28" s="333" t="str">
        <f>IF(References!D5=3,"← ERROR! Select a Line Type from the pull-down menu.",
IF(AND(References!$D$5=1,References!$F$5=4),"← WARNING! Commercial Auto Liability and Physical Damage must be combined",
IF(AND(References!$D$5=2,References!$F$5=4,K39=1),"WARNING! Indicate whether CIC §1861.16(c) applies in cell D39.","")))</f>
        <v/>
      </c>
      <c r="M28" s="7"/>
    </row>
    <row r="29" spans="1:14" ht="5.0999999999999996" customHeight="1" x14ac:dyDescent="0.25">
      <c r="A29" s="7"/>
      <c r="B29" s="7"/>
      <c r="C29" s="7"/>
      <c r="D29" s="7"/>
      <c r="E29" s="7"/>
      <c r="F29" s="7"/>
      <c r="G29" s="44"/>
      <c r="H29" s="66"/>
      <c r="I29" s="66"/>
      <c r="J29" s="243"/>
      <c r="K29" s="248"/>
      <c r="L29" s="333"/>
      <c r="M29" s="7"/>
    </row>
    <row r="30" spans="1:14" ht="18" customHeight="1" x14ac:dyDescent="0.25">
      <c r="A30" s="7" t="s">
        <v>33</v>
      </c>
      <c r="B30" s="7"/>
      <c r="C30" s="7"/>
      <c r="D30" s="7"/>
      <c r="E30" s="7"/>
      <c r="F30" s="7"/>
      <c r="G30" s="44" t="s">
        <v>21</v>
      </c>
      <c r="H30" s="48"/>
      <c r="I30" s="48"/>
      <c r="J30" s="243"/>
      <c r="K30" s="248"/>
      <c r="L30" s="402" t="str">
        <f>IF(INDEX(List_GeneralLine,References!$F$5,1)="","← ERROR! Select a General Line from the pull-down menu.",
IF(AND(References!$D$5=1,References!$F$5=4),"in one application, with separate Rate Calculation pages in the Prior Approval Rate",""))</f>
        <v/>
      </c>
      <c r="M30" s="356" t="b">
        <f>IF(K24=1,TRUE,FALSE)</f>
        <v>0</v>
      </c>
      <c r="N30" s="355" t="b">
        <f>IF(K24=2,TRUE,FALSE)</f>
        <v>1</v>
      </c>
    </row>
    <row r="31" spans="1:14" ht="5.0999999999999996" customHeight="1" x14ac:dyDescent="0.25">
      <c r="A31" s="7"/>
      <c r="B31" s="7"/>
      <c r="C31" s="7"/>
      <c r="D31" s="7"/>
      <c r="E31" s="7"/>
      <c r="F31" s="7"/>
      <c r="G31" s="44"/>
      <c r="H31" s="66"/>
      <c r="I31" s="66"/>
      <c r="J31" s="243"/>
      <c r="K31" s="248"/>
      <c r="L31" s="333"/>
      <c r="M31" s="356"/>
      <c r="N31" s="355"/>
    </row>
    <row r="32" spans="1:14" ht="18" customHeight="1" x14ac:dyDescent="0.25">
      <c r="A32" s="7" t="s">
        <v>30</v>
      </c>
      <c r="B32" s="555" t="s">
        <v>517</v>
      </c>
      <c r="C32" s="556"/>
      <c r="D32" s="556"/>
      <c r="E32" s="557"/>
      <c r="F32" s="7"/>
      <c r="G32" s="44" t="s">
        <v>20</v>
      </c>
      <c r="H32" s="565"/>
      <c r="I32" s="566"/>
      <c r="J32" s="243"/>
      <c r="K32" s="248"/>
      <c r="L32" s="333" t="str">
        <f>IF(AND(References!$D$5=1,References!$F$5=4),"Template for liability and physical damage coverages.","")</f>
        <v/>
      </c>
      <c r="M32" s="356"/>
      <c r="N32" s="355"/>
    </row>
    <row r="33" spans="1:14" ht="5.0999999999999996" customHeight="1" x14ac:dyDescent="0.25">
      <c r="A33" s="7"/>
      <c r="B33" s="7"/>
      <c r="C33" s="7"/>
      <c r="D33" s="7"/>
      <c r="E33" s="7"/>
      <c r="F33" s="7"/>
      <c r="G33" s="44"/>
      <c r="H33" s="66"/>
      <c r="I33" s="66"/>
      <c r="J33" s="243"/>
      <c r="K33" s="248"/>
      <c r="L33" s="333"/>
      <c r="M33" s="356"/>
      <c r="N33" s="355"/>
    </row>
    <row r="34" spans="1:14" ht="18" customHeight="1" x14ac:dyDescent="0.25">
      <c r="A34" s="7" t="s">
        <v>31</v>
      </c>
      <c r="B34" s="555" t="s">
        <v>45</v>
      </c>
      <c r="C34" s="556"/>
      <c r="D34" s="556"/>
      <c r="E34" s="557"/>
      <c r="F34" s="7"/>
      <c r="G34" s="44" t="s">
        <v>32</v>
      </c>
      <c r="H34" s="48"/>
      <c r="I34" s="48"/>
      <c r="J34" s="244"/>
      <c r="K34" s="250"/>
      <c r="L34" s="333"/>
      <c r="M34" s="356" t="b">
        <f>IF(FilingType_Rate=TRUE,TRUE,FALSE)</f>
        <v>0</v>
      </c>
      <c r="N34" s="355" t="b">
        <f>IF(FilingType_Rule=TRUE,TRUE,FALSE)</f>
        <v>1</v>
      </c>
    </row>
    <row r="35" spans="1:14" ht="5.0999999999999996" customHeight="1" x14ac:dyDescent="0.25">
      <c r="A35" s="7"/>
      <c r="B35" s="23"/>
      <c r="C35" s="23"/>
      <c r="D35" s="23"/>
      <c r="E35" s="23"/>
      <c r="F35" s="7"/>
      <c r="G35" s="44"/>
      <c r="H35" s="48"/>
      <c r="I35" s="48"/>
      <c r="J35" s="243"/>
      <c r="K35" s="248"/>
      <c r="L35" s="333"/>
      <c r="M35" s="356"/>
      <c r="N35" s="355"/>
    </row>
    <row r="36" spans="1:14" ht="18" customHeight="1" x14ac:dyDescent="0.25">
      <c r="A36" s="7" t="s">
        <v>267</v>
      </c>
      <c r="F36" s="7"/>
      <c r="G36" s="46"/>
      <c r="H36" s="48"/>
      <c r="I36" s="48"/>
      <c r="J36" s="243"/>
      <c r="K36" s="248"/>
      <c r="L36" s="344"/>
      <c r="M36" s="356" t="b">
        <f>IF(FilingType_Form=TRUE,TRUE,FALSE)</f>
        <v>0</v>
      </c>
      <c r="N36" s="355" t="b">
        <f>IF(K14=1,TRUE,FALSE)</f>
        <v>0</v>
      </c>
    </row>
    <row r="37" spans="1:14" ht="18" customHeight="1" x14ac:dyDescent="0.25">
      <c r="A37" s="24" t="s">
        <v>9</v>
      </c>
      <c r="B37" s="7"/>
      <c r="C37" s="571" t="s">
        <v>518</v>
      </c>
      <c r="D37" s="572"/>
      <c r="E37" s="7"/>
      <c r="F37" s="7"/>
      <c r="G37" s="44"/>
      <c r="H37" s="48"/>
      <c r="I37" s="48"/>
      <c r="J37" s="243"/>
      <c r="K37" s="248"/>
      <c r="L37" s="344" t="str">
        <f>IF(AND(LEN(TRIM(C37))=0,FilingType_NewProgram=FALSE),"← WARNING! If this filing is not a new program, provide the most recent applicable","")</f>
        <v/>
      </c>
      <c r="M37" s="356" t="b">
        <f>IF(FilingType_NewProgram=TRUE,TRUE,FALSE)</f>
        <v>0</v>
      </c>
      <c r="N37" s="355"/>
    </row>
    <row r="38" spans="1:14" ht="4.5" customHeight="1" x14ac:dyDescent="0.25">
      <c r="A38" s="7"/>
      <c r="B38" s="7"/>
      <c r="C38" s="7"/>
      <c r="D38" s="7"/>
      <c r="E38" s="7"/>
      <c r="F38" s="7"/>
      <c r="G38" s="44"/>
      <c r="H38" s="48"/>
      <c r="I38" s="48"/>
      <c r="J38" s="243"/>
      <c r="K38" s="248"/>
      <c r="L38" s="344"/>
      <c r="M38" s="7"/>
    </row>
    <row r="39" spans="1:14" ht="18" customHeight="1" x14ac:dyDescent="0.25">
      <c r="A39" s="7" t="str">
        <f>IF(AND(References!D5=2,References!F5=4),"Does CIC §1861.16(c) apply (Super Group)?","")</f>
        <v/>
      </c>
      <c r="B39" s="7"/>
      <c r="C39" s="7"/>
      <c r="D39" s="15"/>
      <c r="E39" s="7"/>
      <c r="F39" s="7"/>
      <c r="G39" s="44" t="s">
        <v>22</v>
      </c>
      <c r="H39" s="563" t="str">
        <f>IF(OR(FilingType_Rate=TRUE,'3.Filing Type and Checklist'!$E$9="Y",'3.Filing Type and Checklist'!$E$11="Y"),IF(ISNUMBER('4.Proposed Impact'!$D$22),'4.Proposed Impact'!$D$22,"Error"),
IF(FilingType_NewProgram=TRUE,"0.0%",
IF(OR(AND(FilingType_Rule=TRUE,'3.Filing Type and Checklist'!$E$9="N"),AND(FilingType_Form=TRUE,'3.Filing Type and Checklist'!$E$11="N")),"*","")))</f>
        <v>*</v>
      </c>
      <c r="I39" s="563"/>
      <c r="J39" s="243"/>
      <c r="K39" s="254">
        <v>1</v>
      </c>
      <c r="L39" s="344" t="str">
        <f>IF(AND(LEN(TRIM(C37))=0,FilingType_NewProgram=FALSE),"CDI File # in this line, subline, and/or program. If there is not an applicable CDI file #,","")</f>
        <v/>
      </c>
      <c r="M39" s="7"/>
    </row>
    <row r="40" spans="1:14" ht="5.0999999999999996" customHeight="1" x14ac:dyDescent="0.25">
      <c r="A40" s="7"/>
      <c r="B40" s="7"/>
      <c r="C40" s="7"/>
      <c r="D40" s="7"/>
      <c r="E40" s="7"/>
      <c r="F40" s="7"/>
      <c r="G40" s="46"/>
      <c r="H40" s="47"/>
      <c r="I40" s="47"/>
      <c r="J40" s="244"/>
      <c r="K40" s="250"/>
      <c r="L40" s="344"/>
      <c r="M40" s="7"/>
    </row>
    <row r="41" spans="1:14" ht="18" customHeight="1" x14ac:dyDescent="0.25">
      <c r="A41" s="7" t="s">
        <v>487</v>
      </c>
      <c r="B41" s="7"/>
      <c r="C41" s="7"/>
      <c r="D41" s="7"/>
      <c r="E41" s="7"/>
      <c r="F41" s="399"/>
      <c r="G41" s="398"/>
      <c r="H41" s="561"/>
      <c r="I41" s="562"/>
      <c r="J41" s="243"/>
      <c r="K41" s="454">
        <v>2</v>
      </c>
      <c r="L41" s="344" t="str">
        <f>IF(AND(LEN(TRIM(C37))=0,FilingType_NewProgram=FALSE),"explain why in your filing memorandum. If this filing is a new program, indicate this","")</f>
        <v/>
      </c>
      <c r="M41" s="7"/>
    </row>
    <row r="42" spans="1:14" ht="5.0999999999999996" customHeight="1" thickBot="1" x14ac:dyDescent="0.3">
      <c r="A42" s="7"/>
      <c r="B42" s="7"/>
      <c r="C42" s="7"/>
      <c r="D42" s="7"/>
      <c r="E42" s="7"/>
      <c r="F42" s="399"/>
      <c r="G42" s="395"/>
      <c r="H42" s="396"/>
      <c r="I42" s="396"/>
      <c r="J42" s="397"/>
      <c r="K42" s="251"/>
      <c r="L42" s="344"/>
      <c r="M42" s="7"/>
    </row>
    <row r="43" spans="1:14" ht="18" customHeight="1" x14ac:dyDescent="0.25">
      <c r="A43" s="12" t="s">
        <v>15</v>
      </c>
      <c r="B43" s="7"/>
      <c r="C43" s="7"/>
      <c r="D43" s="7"/>
      <c r="E43" s="7"/>
      <c r="F43" s="7"/>
      <c r="G43" s="394"/>
      <c r="H43" s="394"/>
      <c r="I43" s="394"/>
      <c r="J43" s="394"/>
      <c r="K43" s="394"/>
      <c r="L43" s="333" t="str">
        <f>IF(AND(LEN(TRIM(C37))=0,FilingType_NewProgram=FALSE),"in '3.Filing Type and Checklist'.","")</f>
        <v/>
      </c>
      <c r="M43" s="7"/>
    </row>
    <row r="44" spans="1:14" ht="5.0999999999999996" customHeight="1" x14ac:dyDescent="0.25">
      <c r="A44" s="7"/>
      <c r="B44" s="7"/>
      <c r="C44" s="7"/>
      <c r="D44" s="7"/>
      <c r="E44" s="7"/>
      <c r="F44" s="7"/>
      <c r="G44" s="17"/>
      <c r="H44" s="17"/>
      <c r="I44" s="17"/>
      <c r="J44" s="17"/>
      <c r="K44" s="251"/>
      <c r="L44" s="333"/>
      <c r="M44" s="7"/>
    </row>
    <row r="45" spans="1:14" ht="18" customHeight="1" x14ac:dyDescent="0.25">
      <c r="A45" s="7" t="s">
        <v>0</v>
      </c>
      <c r="B45" s="555" t="s">
        <v>519</v>
      </c>
      <c r="C45" s="556"/>
      <c r="D45" s="556"/>
      <c r="E45" s="557"/>
      <c r="F45" s="7"/>
      <c r="G45" s="17"/>
      <c r="H45" s="17"/>
      <c r="I45" s="17"/>
      <c r="J45" s="17"/>
      <c r="K45" s="17"/>
      <c r="L45" s="400"/>
      <c r="M45" s="7"/>
    </row>
    <row r="46" spans="1:14" ht="18" customHeight="1" x14ac:dyDescent="0.25">
      <c r="A46" s="7" t="s">
        <v>23</v>
      </c>
      <c r="B46" s="555" t="s">
        <v>520</v>
      </c>
      <c r="C46" s="556"/>
      <c r="D46" s="556"/>
      <c r="E46" s="557"/>
      <c r="F46" s="7"/>
      <c r="G46" s="17"/>
      <c r="H46" s="17"/>
      <c r="I46" s="17"/>
      <c r="J46" s="17"/>
      <c r="K46" s="17"/>
      <c r="L46" s="340"/>
      <c r="M46" s="7"/>
    </row>
    <row r="47" spans="1:14" ht="5.0999999999999996" customHeight="1" x14ac:dyDescent="0.25">
      <c r="A47" s="7"/>
      <c r="B47" s="7"/>
      <c r="C47" s="7"/>
      <c r="D47" s="7"/>
      <c r="E47" s="7"/>
      <c r="F47" s="7"/>
      <c r="G47" s="17"/>
      <c r="H47" s="17"/>
      <c r="I47" s="17"/>
      <c r="J47" s="17"/>
      <c r="K47" s="17"/>
      <c r="L47" s="340"/>
      <c r="M47" s="7"/>
    </row>
    <row r="48" spans="1:14" ht="18" customHeight="1" x14ac:dyDescent="0.25">
      <c r="A48" s="7" t="s">
        <v>24</v>
      </c>
      <c r="B48" s="345">
        <v>25151</v>
      </c>
      <c r="C48" s="7"/>
      <c r="D48" s="7"/>
      <c r="E48" s="7"/>
      <c r="F48" s="7"/>
      <c r="G48" s="17"/>
      <c r="H48" s="17"/>
      <c r="I48" s="17"/>
      <c r="J48" s="17"/>
      <c r="K48" s="17"/>
      <c r="L48" s="340"/>
      <c r="M48" s="7"/>
    </row>
    <row r="49" spans="1:13" ht="18" customHeight="1" x14ac:dyDescent="0.25">
      <c r="A49" s="7" t="s">
        <v>25</v>
      </c>
      <c r="B49" s="363">
        <v>176</v>
      </c>
      <c r="C49" s="7"/>
      <c r="D49" s="7"/>
      <c r="E49" s="7"/>
      <c r="F49" s="7"/>
      <c r="G49" s="14"/>
      <c r="H49" s="14"/>
      <c r="I49" s="14"/>
      <c r="J49" s="14"/>
      <c r="K49" s="14"/>
      <c r="L49" s="340"/>
      <c r="M49" s="7"/>
    </row>
    <row r="50" spans="1:13" ht="5.0999999999999996" customHeight="1" x14ac:dyDescent="0.25">
      <c r="A50" s="7"/>
      <c r="B50" s="14"/>
      <c r="C50" s="7"/>
      <c r="D50" s="7"/>
      <c r="E50" s="7"/>
      <c r="F50" s="7"/>
      <c r="G50" s="14"/>
      <c r="H50" s="14"/>
      <c r="I50" s="14"/>
      <c r="J50" s="14"/>
      <c r="K50" s="14"/>
      <c r="L50" s="340"/>
      <c r="M50" s="7"/>
    </row>
    <row r="51" spans="1:13" ht="18" customHeight="1" x14ac:dyDescent="0.25">
      <c r="A51" s="7" t="s">
        <v>26</v>
      </c>
      <c r="B51" s="7"/>
      <c r="C51" s="558" t="s">
        <v>521</v>
      </c>
      <c r="D51" s="559"/>
      <c r="E51" s="560"/>
      <c r="F51" s="7"/>
      <c r="G51" s="7"/>
      <c r="H51" s="7"/>
      <c r="I51" s="7"/>
      <c r="J51" s="7"/>
      <c r="K51" s="7"/>
      <c r="L51" s="340"/>
      <c r="M51" s="7"/>
    </row>
    <row r="52" spans="1:13" ht="9.9499999999999993" customHeight="1" x14ac:dyDescent="0.25">
      <c r="A52" s="7"/>
      <c r="B52" s="7"/>
      <c r="C52" s="7"/>
      <c r="D52" s="7"/>
      <c r="E52" s="7"/>
      <c r="F52" s="7"/>
      <c r="G52" s="7"/>
      <c r="H52" s="7"/>
      <c r="I52" s="7"/>
      <c r="J52" s="7"/>
      <c r="K52" s="7"/>
      <c r="L52" s="340"/>
      <c r="M52" s="7"/>
    </row>
    <row r="53" spans="1:13" ht="18" customHeight="1" x14ac:dyDescent="0.25">
      <c r="A53" s="7" t="s">
        <v>54</v>
      </c>
      <c r="B53" s="555" t="s">
        <v>522</v>
      </c>
      <c r="C53" s="556"/>
      <c r="D53" s="556"/>
      <c r="E53" s="556"/>
      <c r="F53" s="556"/>
      <c r="G53" s="556"/>
      <c r="H53" s="556"/>
      <c r="I53" s="556"/>
      <c r="J53" s="557"/>
      <c r="K53" s="230"/>
      <c r="L53" s="340"/>
      <c r="M53" s="7"/>
    </row>
    <row r="54" spans="1:13" ht="9.9499999999999993" customHeight="1" x14ac:dyDescent="0.25">
      <c r="A54" s="7"/>
      <c r="B54" s="18"/>
      <c r="C54" s="18"/>
      <c r="D54" s="18"/>
      <c r="E54" s="18"/>
      <c r="F54" s="18"/>
      <c r="G54" s="18"/>
      <c r="H54" s="18"/>
      <c r="I54" s="18"/>
      <c r="J54" s="18"/>
      <c r="K54" s="18"/>
      <c r="L54" s="340"/>
      <c r="M54" s="7"/>
    </row>
    <row r="55" spans="1:13" ht="18" customHeight="1" x14ac:dyDescent="0.25">
      <c r="A55" s="7" t="s">
        <v>55</v>
      </c>
      <c r="B55" s="555" t="s">
        <v>523</v>
      </c>
      <c r="C55" s="556"/>
      <c r="D55" s="556"/>
      <c r="E55" s="556"/>
      <c r="F55" s="556"/>
      <c r="G55" s="556"/>
      <c r="H55" s="556"/>
      <c r="I55" s="556"/>
      <c r="J55" s="557"/>
      <c r="K55" s="230"/>
      <c r="L55" s="340"/>
      <c r="M55" s="7"/>
    </row>
    <row r="56" spans="1:13" ht="9.9499999999999993" customHeight="1" x14ac:dyDescent="0.25">
      <c r="A56" s="7"/>
      <c r="B56" s="7"/>
      <c r="C56" s="7"/>
      <c r="D56" s="7"/>
      <c r="E56" s="7"/>
      <c r="F56" s="7"/>
      <c r="G56" s="7"/>
      <c r="H56" s="7"/>
      <c r="I56" s="7"/>
      <c r="J56" s="7"/>
      <c r="K56" s="7"/>
      <c r="L56" s="340"/>
      <c r="M56" s="7"/>
    </row>
    <row r="57" spans="1:13" ht="18" customHeight="1" x14ac:dyDescent="0.25">
      <c r="A57" s="7" t="s">
        <v>56</v>
      </c>
      <c r="B57" s="555" t="s">
        <v>53</v>
      </c>
      <c r="C57" s="556"/>
      <c r="D57" s="556"/>
      <c r="E57" s="557"/>
      <c r="F57" s="7" t="s">
        <v>57</v>
      </c>
      <c r="G57" s="555" t="s">
        <v>524</v>
      </c>
      <c r="H57" s="556"/>
      <c r="I57" s="556"/>
      <c r="J57" s="557"/>
      <c r="K57" s="230"/>
      <c r="L57" s="340"/>
      <c r="M57" s="7"/>
    </row>
    <row r="58" spans="1:13" ht="9.9499999999999993" customHeight="1" x14ac:dyDescent="0.25">
      <c r="A58" s="7"/>
      <c r="B58" s="7"/>
      <c r="C58" s="7"/>
      <c r="D58" s="7"/>
      <c r="E58" s="7"/>
      <c r="F58" s="7"/>
      <c r="G58" s="7"/>
      <c r="H58" s="7"/>
      <c r="I58" s="7"/>
      <c r="J58" s="7"/>
      <c r="K58" s="7"/>
      <c r="L58" s="340"/>
      <c r="M58" s="7"/>
    </row>
    <row r="59" spans="1:13" ht="18" customHeight="1" x14ac:dyDescent="0.25">
      <c r="A59" s="7" t="s">
        <v>58</v>
      </c>
      <c r="B59" s="555" t="s">
        <v>525</v>
      </c>
      <c r="C59" s="556"/>
      <c r="D59" s="556"/>
      <c r="E59" s="556"/>
      <c r="F59" s="556"/>
      <c r="G59" s="556"/>
      <c r="H59" s="556"/>
      <c r="I59" s="556"/>
      <c r="J59" s="557"/>
      <c r="K59" s="230"/>
      <c r="L59" s="340"/>
      <c r="M59" s="7"/>
    </row>
    <row r="60" spans="1:13" ht="9.9499999999999993" customHeight="1" x14ac:dyDescent="0.25">
      <c r="A60" s="7"/>
      <c r="B60" s="7"/>
      <c r="C60" s="7"/>
      <c r="D60" s="7"/>
      <c r="E60" s="7"/>
      <c r="F60" s="7"/>
      <c r="G60" s="7"/>
      <c r="H60" s="7"/>
      <c r="I60" s="7"/>
      <c r="J60" s="7"/>
      <c r="K60" s="7"/>
      <c r="L60" s="340"/>
      <c r="M60" s="7"/>
    </row>
    <row r="61" spans="1:13" ht="18" customHeight="1" x14ac:dyDescent="0.25">
      <c r="A61" s="7" t="s">
        <v>59</v>
      </c>
      <c r="B61" s="555" t="s">
        <v>526</v>
      </c>
      <c r="C61" s="556"/>
      <c r="D61" s="556"/>
      <c r="E61" s="556"/>
      <c r="F61" s="556"/>
      <c r="G61" s="556"/>
      <c r="H61" s="556"/>
      <c r="I61" s="556"/>
      <c r="J61" s="557"/>
      <c r="K61" s="230"/>
      <c r="L61" s="340"/>
      <c r="M61" s="7"/>
    </row>
    <row r="62" spans="1:13" ht="9.9499999999999993" customHeight="1" x14ac:dyDescent="0.25">
      <c r="A62" s="7"/>
      <c r="B62" s="7"/>
      <c r="C62" s="7"/>
      <c r="D62" s="7"/>
      <c r="E62" s="7"/>
      <c r="F62" s="7"/>
      <c r="G62" s="7"/>
      <c r="H62" s="7"/>
      <c r="I62" s="7"/>
      <c r="J62" s="7"/>
      <c r="K62" s="7"/>
      <c r="L62" s="340"/>
      <c r="M62" s="7"/>
    </row>
    <row r="63" spans="1:13" ht="9.9499999999999993" customHeight="1" x14ac:dyDescent="0.25">
      <c r="A63" s="7"/>
      <c r="B63" s="7"/>
      <c r="C63" s="7"/>
      <c r="D63" s="7"/>
      <c r="E63" s="7"/>
      <c r="F63" s="7"/>
      <c r="G63" s="7"/>
      <c r="H63" s="7"/>
      <c r="I63" s="7"/>
      <c r="J63" s="7"/>
      <c r="K63" s="7"/>
      <c r="L63" s="340"/>
      <c r="M63" s="7"/>
    </row>
    <row r="64" spans="1:13" ht="9.9499999999999993" customHeight="1" x14ac:dyDescent="0.25">
      <c r="A64" s="325"/>
      <c r="B64" s="6"/>
      <c r="C64" s="6"/>
      <c r="D64" s="6"/>
      <c r="E64" s="6"/>
      <c r="F64" s="6"/>
      <c r="G64" s="6"/>
      <c r="H64" s="6"/>
      <c r="I64" s="6"/>
      <c r="J64" s="6"/>
      <c r="K64" s="6"/>
      <c r="L64" s="340"/>
      <c r="M64" s="7"/>
    </row>
    <row r="65" spans="1:16" ht="9.9499999999999993" customHeight="1" x14ac:dyDescent="0.25">
      <c r="A65" s="325"/>
      <c r="B65" s="7"/>
      <c r="C65" s="7"/>
      <c r="D65" s="7"/>
      <c r="E65" s="7"/>
      <c r="F65" s="7"/>
      <c r="G65" s="7"/>
      <c r="H65" s="7"/>
      <c r="I65" s="7"/>
      <c r="J65" s="7"/>
      <c r="K65" s="7"/>
      <c r="L65" s="340"/>
      <c r="M65" s="7"/>
    </row>
    <row r="66" spans="1:16" ht="9.9499999999999993" customHeight="1" x14ac:dyDescent="0.25">
      <c r="A66" s="325"/>
      <c r="B66" s="7"/>
      <c r="C66" s="7"/>
      <c r="D66" s="7"/>
      <c r="E66" s="7"/>
      <c r="F66" s="7"/>
      <c r="G66" s="7"/>
      <c r="H66" s="7"/>
      <c r="I66" s="7"/>
      <c r="J66" s="7"/>
      <c r="K66" s="7"/>
      <c r="L66" s="340"/>
      <c r="M66" s="7"/>
    </row>
    <row r="67" spans="1:16" ht="9.9499999999999993" customHeight="1" x14ac:dyDescent="0.25">
      <c r="A67" s="554"/>
      <c r="B67" s="554"/>
      <c r="C67" s="14"/>
      <c r="D67" s="564"/>
      <c r="E67" s="564"/>
      <c r="F67" s="564"/>
      <c r="G67" s="17"/>
      <c r="H67" s="553"/>
      <c r="I67" s="553"/>
      <c r="J67" s="553"/>
      <c r="K67" s="231"/>
      <c r="L67" s="340"/>
      <c r="M67" s="7"/>
    </row>
    <row r="68" spans="1:16" ht="9.9499999999999993" customHeight="1" x14ac:dyDescent="0.25">
      <c r="A68" s="19"/>
      <c r="B68" s="19"/>
      <c r="C68" s="10"/>
      <c r="D68" s="19"/>
      <c r="E68" s="20"/>
      <c r="F68" s="20"/>
      <c r="G68" s="21"/>
      <c r="H68" s="19"/>
      <c r="I68" s="19"/>
      <c r="J68" s="19"/>
      <c r="K68" s="19"/>
      <c r="L68" s="340"/>
      <c r="M68" s="7"/>
    </row>
    <row r="69" spans="1:16" ht="9.9499999999999993" customHeight="1" x14ac:dyDescent="0.25">
      <c r="A69" s="7"/>
      <c r="B69" s="7"/>
      <c r="C69" s="7"/>
      <c r="D69" s="7"/>
      <c r="E69" s="7"/>
      <c r="F69" s="7"/>
      <c r="G69" s="7"/>
      <c r="H69" s="7"/>
      <c r="I69" s="7"/>
      <c r="J69" s="7"/>
      <c r="K69" s="7"/>
      <c r="L69" s="340"/>
      <c r="M69" s="7"/>
    </row>
    <row r="70" spans="1:16" ht="18.75" x14ac:dyDescent="0.3">
      <c r="A70" s="32" t="s">
        <v>61</v>
      </c>
      <c r="B70" s="22"/>
      <c r="C70" s="22"/>
      <c r="D70" s="22"/>
      <c r="E70" s="22"/>
      <c r="F70" s="22"/>
      <c r="G70" s="22"/>
      <c r="H70" s="22"/>
      <c r="I70" s="22"/>
      <c r="J70" s="22"/>
      <c r="K70" s="22"/>
      <c r="L70" s="341"/>
    </row>
    <row r="71" spans="1:16" ht="19.5" thickBot="1" x14ac:dyDescent="0.35">
      <c r="A71" s="33" t="s">
        <v>60</v>
      </c>
      <c r="B71" s="22"/>
      <c r="C71" s="22"/>
      <c r="D71" s="22"/>
      <c r="E71" s="22"/>
      <c r="F71" s="22"/>
      <c r="G71" s="22"/>
      <c r="H71" s="22"/>
      <c r="I71" s="22"/>
      <c r="J71" s="22"/>
      <c r="K71" s="22"/>
      <c r="L71" s="342"/>
    </row>
    <row r="72" spans="1:16" ht="4.5" hidden="1" customHeight="1" thickBot="1" x14ac:dyDescent="0.3">
      <c r="L72" s="342"/>
    </row>
    <row r="74" spans="1:16" x14ac:dyDescent="0.25">
      <c r="P74" s="30"/>
    </row>
    <row r="75" spans="1:16" x14ac:dyDescent="0.25">
      <c r="P75" s="35"/>
    </row>
    <row r="76" spans="1:16" x14ac:dyDescent="0.25">
      <c r="P76" s="30"/>
    </row>
    <row r="77" spans="1:16" x14ac:dyDescent="0.25">
      <c r="P77" s="30"/>
    </row>
    <row r="78" spans="1:16" x14ac:dyDescent="0.25">
      <c r="P78" s="30"/>
    </row>
    <row r="79" spans="1:16" x14ac:dyDescent="0.25">
      <c r="P79" s="30"/>
    </row>
    <row r="80" spans="1:16" x14ac:dyDescent="0.25">
      <c r="P80" s="30"/>
    </row>
    <row r="81" spans="16:16" x14ac:dyDescent="0.25">
      <c r="P81" s="30"/>
    </row>
    <row r="82" spans="16:16" x14ac:dyDescent="0.25">
      <c r="P82" s="29"/>
    </row>
    <row r="83" spans="16:16" x14ac:dyDescent="0.25">
      <c r="P83" s="30"/>
    </row>
    <row r="84" spans="16:16" x14ac:dyDescent="0.25">
      <c r="P84"/>
    </row>
    <row r="85" spans="16:16" x14ac:dyDescent="0.25">
      <c r="P85" s="31"/>
    </row>
  </sheetData>
  <sheetProtection algorithmName="SHA-512" hashValue="txbU30BCleTe0Q9jd1Cyx0j9LV6dY4WArPVsn+WW3EGkbl7tCamKBsVUxYoul07tLasIzoAF4IdeQuFdrlZkDg==" saltValue="vtzyK7oRqMPcTqT9f7RNCA==" spinCount="100000" sheet="1" objects="1" scenarios="1" formatColumns="0" formatRows="0" sort="0"/>
  <mergeCells count="27">
    <mergeCell ref="C22:D22"/>
    <mergeCell ref="C37:D37"/>
    <mergeCell ref="H24:I24"/>
    <mergeCell ref="H26:I26"/>
    <mergeCell ref="H28:I28"/>
    <mergeCell ref="H32:I32"/>
    <mergeCell ref="H14:I14"/>
    <mergeCell ref="H16:I16"/>
    <mergeCell ref="H18:I18"/>
    <mergeCell ref="H20:I20"/>
    <mergeCell ref="H22:I22"/>
    <mergeCell ref="H67:J67"/>
    <mergeCell ref="A67:B67"/>
    <mergeCell ref="B32:E32"/>
    <mergeCell ref="B34:E34"/>
    <mergeCell ref="B45:E45"/>
    <mergeCell ref="B46:E46"/>
    <mergeCell ref="C51:E51"/>
    <mergeCell ref="B57:E57"/>
    <mergeCell ref="G57:J57"/>
    <mergeCell ref="H41:I41"/>
    <mergeCell ref="H39:I39"/>
    <mergeCell ref="D67:F67"/>
    <mergeCell ref="B53:J53"/>
    <mergeCell ref="B55:J55"/>
    <mergeCell ref="B59:J59"/>
    <mergeCell ref="B61:J61"/>
  </mergeCells>
  <dataValidations count="2">
    <dataValidation type="whole" allowBlank="1" showErrorMessage="1" errorTitle="Invalid NAIC Company Code" error="The NAIC company code must be a 5-digit number." sqref="B48">
      <formula1>10000</formula1>
      <formula2>99999</formula2>
    </dataValidation>
    <dataValidation type="whole" allowBlank="1" showErrorMessage="1" errorTitle="Invalid NAIC Group Code" error="The NAIC group code cannot be a number with more than 4 digits." sqref="B49">
      <formula1>0</formula1>
      <formula2>9999</formula2>
    </dataValidation>
  </dataValidations>
  <hyperlinks>
    <hyperlink ref="A71" r:id="rId1"/>
  </hyperlinks>
  <printOptions horizontalCentered="1"/>
  <pageMargins left="0.45" right="0.45" top="0.5" bottom="0.5" header="0.3" footer="0.05"/>
  <pageSetup scale="77" orientation="portrait" r:id="rId2"/>
  <headerFooter>
    <oddFooter xml:space="preserve">&amp;L1/11/2022 Edition
&amp;CPrior Approval Rate Application
Portions of the material contained in this document are protected by copyright owned by the State Farm Mutual Automobile Insurance Company, 2022&amp;RPage 1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38</xdr:row>
                    <xdr:rowOff>0</xdr:rowOff>
                  </from>
                  <to>
                    <xdr:col>3</xdr:col>
                    <xdr:colOff>438150</xdr:colOff>
                    <xdr:row>38</xdr:row>
                    <xdr:rowOff>200025</xdr:rowOff>
                  </to>
                </anchor>
              </controlPr>
            </control>
          </mc:Choice>
        </mc:AlternateContent>
        <mc:AlternateContent xmlns:mc="http://schemas.openxmlformats.org/markup-compatibility/2006">
          <mc:Choice Requires="x14">
            <control shapeId="1141" r:id="rId21" name="SuperGroup">
              <controlPr defaultSize="0" autoLine="0" autoPict="0" macro="[0]!SuperGroup_Change">
                <anchor moveWithCells="1">
                  <from>
                    <xdr:col>3</xdr:col>
                    <xdr:colOff>9525</xdr:colOff>
                    <xdr:row>38</xdr:row>
                    <xdr:rowOff>0</xdr:rowOff>
                  </from>
                  <to>
                    <xdr:col>3</xdr:col>
                    <xdr:colOff>419100</xdr:colOff>
                    <xdr:row>38</xdr:row>
                    <xdr:rowOff>209550</xdr:rowOff>
                  </to>
                </anchor>
              </controlPr>
            </control>
          </mc:Choice>
        </mc:AlternateContent>
        <mc:AlternateContent xmlns:mc="http://schemas.openxmlformats.org/markup-compatibility/2006">
          <mc:Choice Requires="x14">
            <control shapeId="1145" r:id="rId22" name="Drop Down 121">
              <controlPr defaultSize="0" autoLine="0" autoPict="0" macro="[0]!ModelVisible">
                <anchor moveWithCells="1">
                  <from>
                    <xdr:col>4</xdr:col>
                    <xdr:colOff>276225</xdr:colOff>
                    <xdr:row>40</xdr:row>
                    <xdr:rowOff>47625</xdr:rowOff>
                  </from>
                  <to>
                    <xdr:col>5</xdr:col>
                    <xdr:colOff>47625</xdr:colOff>
                    <xdr:row>41</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21" t="s">
        <v>68</v>
      </c>
      <c r="C1" s="37" t="s">
        <v>70</v>
      </c>
      <c r="D1" s="8"/>
      <c r="E1" s="21"/>
      <c r="F1" s="36" t="str">
        <f>Co_Name</f>
        <v>State Farm General Insurance Company</v>
      </c>
      <c r="G1" s="8"/>
      <c r="H1" s="8"/>
    </row>
    <row r="2" spans="1:9" x14ac:dyDescent="0.25">
      <c r="A2" s="21" t="s">
        <v>69</v>
      </c>
      <c r="C2" s="37" t="s">
        <v>71</v>
      </c>
      <c r="D2" s="8"/>
      <c r="E2" s="21"/>
      <c r="F2" s="36" t="str">
        <f>General_Line</f>
        <v>Homeowners</v>
      </c>
      <c r="G2" s="8"/>
      <c r="H2" s="8"/>
    </row>
    <row r="3" spans="1:9" ht="11.25" customHeight="1" x14ac:dyDescent="0.25">
      <c r="B3" s="167"/>
      <c r="G3" s="8"/>
    </row>
    <row r="4" spans="1:9" ht="23.25" x14ac:dyDescent="0.25">
      <c r="A4" s="5" t="s">
        <v>330</v>
      </c>
      <c r="B4" s="3"/>
      <c r="C4" s="3"/>
      <c r="D4" s="3"/>
      <c r="E4" s="3"/>
      <c r="F4" s="3"/>
      <c r="G4" s="8"/>
      <c r="H4" s="3"/>
      <c r="I4" s="3"/>
    </row>
    <row r="5" spans="1:9" ht="5.25" customHeight="1" x14ac:dyDescent="0.25">
      <c r="A5" s="2"/>
      <c r="B5" s="7"/>
      <c r="C5" s="7"/>
      <c r="D5" s="7"/>
      <c r="E5" s="7"/>
      <c r="F5" s="330"/>
      <c r="G5" s="8"/>
    </row>
    <row r="6" spans="1:9" ht="9.75" customHeight="1" x14ac:dyDescent="0.25">
      <c r="A6" s="2"/>
      <c r="B6" s="7"/>
      <c r="C6" s="7"/>
      <c r="D6" s="7"/>
      <c r="E6" s="7"/>
      <c r="F6" s="330">
        <v>2</v>
      </c>
      <c r="G6" s="8"/>
    </row>
    <row r="7" spans="1:9" ht="18" customHeight="1" x14ac:dyDescent="0.25">
      <c r="A7" t="s">
        <v>383</v>
      </c>
      <c r="B7" s="7"/>
      <c r="C7" s="7"/>
      <c r="D7" s="7"/>
      <c r="E7" s="7"/>
      <c r="F7" s="330"/>
      <c r="G7" s="8"/>
    </row>
    <row r="8" spans="1:9" ht="18" customHeight="1" x14ac:dyDescent="0.25">
      <c r="A8" s="2" t="s">
        <v>384</v>
      </c>
      <c r="B8" s="7"/>
      <c r="C8" s="7"/>
      <c r="D8" s="7"/>
      <c r="E8" s="7"/>
      <c r="F8" s="330"/>
      <c r="G8" s="8"/>
    </row>
    <row r="9" spans="1:9" ht="11.25" customHeight="1" x14ac:dyDescent="0.25">
      <c r="A9" s="2"/>
      <c r="B9" s="7"/>
      <c r="C9" s="7"/>
      <c r="D9" s="7"/>
      <c r="E9" s="7"/>
      <c r="F9" s="330"/>
      <c r="G9" s="8"/>
    </row>
    <row r="10" spans="1:9" ht="21" customHeight="1" x14ac:dyDescent="0.25">
      <c r="A10" s="26" t="s">
        <v>401</v>
      </c>
      <c r="G10" s="8"/>
    </row>
    <row r="11" spans="1:9" ht="9.9499999999999993" customHeight="1" x14ac:dyDescent="0.25">
      <c r="A11" s="28"/>
      <c r="B11" s="28"/>
      <c r="C11" s="28"/>
      <c r="D11" s="28"/>
      <c r="E11" s="28"/>
      <c r="F11" s="28"/>
      <c r="G11" s="8"/>
    </row>
    <row r="12" spans="1:9" ht="15" customHeight="1" x14ac:dyDescent="0.25">
      <c r="G12" s="8"/>
    </row>
    <row r="13" spans="1:9" ht="18" customHeight="1" x14ac:dyDescent="0.25">
      <c r="A13" s="1" t="s">
        <v>0</v>
      </c>
      <c r="B13" s="357" t="str">
        <f>IF(ISBLANK('1.General'!B45:E45),"",'1.General'!B45:E45)</f>
        <v>State Farm General Insurance Company</v>
      </c>
      <c r="C13" s="38"/>
      <c r="E13" s="57" t="s">
        <v>16</v>
      </c>
      <c r="F13" s="266"/>
      <c r="G13" s="8"/>
    </row>
    <row r="14" spans="1:9" ht="18" customHeight="1" x14ac:dyDescent="0.25">
      <c r="E14" s="57"/>
      <c r="F14" s="57" t="s">
        <v>65</v>
      </c>
      <c r="G14" s="8"/>
    </row>
    <row r="15" spans="1:9" ht="18" customHeight="1" x14ac:dyDescent="0.25">
      <c r="A15" s="25" t="s">
        <v>24</v>
      </c>
      <c r="B15" s="358">
        <f>IF(ISBLANK('1.General'!B48),"",'1.General'!B48)</f>
        <v>25151</v>
      </c>
      <c r="C15" s="39"/>
      <c r="G15" s="8"/>
    </row>
    <row r="16" spans="1:9" ht="18" customHeight="1" x14ac:dyDescent="0.25">
      <c r="A16" s="353" t="str">
        <f>IF(B13="","","Proposed Rate Impact:")</f>
        <v>Proposed Rate Impact:</v>
      </c>
      <c r="B16" s="360"/>
      <c r="C16" s="364" t="str">
        <f>IF(B13="","","1")</f>
        <v>1</v>
      </c>
      <c r="G16" s="8"/>
    </row>
    <row r="17" spans="1:7" ht="9.9499999999999993" customHeight="1" x14ac:dyDescent="0.25">
      <c r="A17" s="28"/>
      <c r="B17" s="28"/>
      <c r="C17" s="28"/>
      <c r="D17" s="28"/>
      <c r="E17" s="28"/>
      <c r="F17" s="28"/>
      <c r="G17" s="8"/>
    </row>
    <row r="18" spans="1:7" x14ac:dyDescent="0.25">
      <c r="G18" s="8"/>
    </row>
    <row r="19" spans="1:7" x14ac:dyDescent="0.25">
      <c r="A19" s="1" t="s">
        <v>0</v>
      </c>
      <c r="B19" s="267"/>
      <c r="C19" s="38"/>
      <c r="E19" s="57" t="s">
        <v>16</v>
      </c>
      <c r="F19" s="266"/>
      <c r="G19" s="8"/>
    </row>
    <row r="20" spans="1:7" x14ac:dyDescent="0.25">
      <c r="E20" s="57"/>
      <c r="F20" s="57" t="s">
        <v>65</v>
      </c>
      <c r="G20" s="8"/>
    </row>
    <row r="21" spans="1:7" x14ac:dyDescent="0.25">
      <c r="A21" s="25" t="s">
        <v>24</v>
      </c>
      <c r="B21" s="267"/>
      <c r="C21" s="39"/>
      <c r="G21" s="8"/>
    </row>
    <row r="22" spans="1:7" ht="17.25" x14ac:dyDescent="0.25">
      <c r="A22" t="str">
        <f>IF(B19="","","Proposed Rate Impact:")</f>
        <v/>
      </c>
      <c r="B22" s="359"/>
      <c r="C22" s="365" t="str">
        <f>IF(B19="","","1")</f>
        <v/>
      </c>
      <c r="G22" s="8"/>
    </row>
    <row r="23" spans="1:7" ht="9.9499999999999993" customHeight="1" x14ac:dyDescent="0.25">
      <c r="A23" s="28"/>
      <c r="B23" s="28"/>
      <c r="C23" s="28"/>
      <c r="D23" s="28"/>
      <c r="E23" s="28"/>
      <c r="F23" s="28"/>
      <c r="G23" s="8"/>
    </row>
    <row r="24" spans="1:7" x14ac:dyDescent="0.25">
      <c r="G24" s="8"/>
    </row>
    <row r="25" spans="1:7" x14ac:dyDescent="0.25">
      <c r="A25" s="1" t="s">
        <v>0</v>
      </c>
      <c r="B25" s="267"/>
      <c r="C25" s="38"/>
      <c r="E25" s="57" t="s">
        <v>16</v>
      </c>
      <c r="F25" s="266"/>
      <c r="G25" s="8"/>
    </row>
    <row r="26" spans="1:7" x14ac:dyDescent="0.25">
      <c r="E26" s="57"/>
      <c r="F26" s="57" t="s">
        <v>65</v>
      </c>
      <c r="G26" s="8"/>
    </row>
    <row r="27" spans="1:7" x14ac:dyDescent="0.25">
      <c r="A27" s="25" t="s">
        <v>24</v>
      </c>
      <c r="B27" s="267"/>
      <c r="C27" s="39"/>
      <c r="G27" s="8"/>
    </row>
    <row r="28" spans="1:7" ht="17.25" x14ac:dyDescent="0.25">
      <c r="A28" t="str">
        <f>IF(B25="","","Proposed Rate Impact:")</f>
        <v/>
      </c>
      <c r="B28" s="359"/>
      <c r="C28" s="366" t="str">
        <f>IF(B25="","","1")</f>
        <v/>
      </c>
      <c r="G28" s="8"/>
    </row>
    <row r="29" spans="1:7" ht="9.9499999999999993" customHeight="1" x14ac:dyDescent="0.25">
      <c r="A29" s="28"/>
      <c r="B29" s="28"/>
      <c r="C29" s="28"/>
      <c r="D29" s="28"/>
      <c r="E29" s="28"/>
      <c r="F29" s="28"/>
      <c r="G29" s="8"/>
    </row>
    <row r="30" spans="1:7" x14ac:dyDescent="0.25">
      <c r="G30" s="8"/>
    </row>
    <row r="31" spans="1:7" x14ac:dyDescent="0.25">
      <c r="A31" s="1" t="s">
        <v>0</v>
      </c>
      <c r="B31" s="267"/>
      <c r="C31" s="38"/>
      <c r="E31" s="57" t="s">
        <v>16</v>
      </c>
      <c r="F31" s="266"/>
      <c r="G31" s="8"/>
    </row>
    <row r="32" spans="1:7" x14ac:dyDescent="0.25">
      <c r="E32" s="57"/>
      <c r="F32" s="57" t="s">
        <v>65</v>
      </c>
      <c r="G32" s="8"/>
    </row>
    <row r="33" spans="1:7" x14ac:dyDescent="0.25">
      <c r="A33" s="25" t="s">
        <v>24</v>
      </c>
      <c r="B33" s="267"/>
      <c r="C33" s="39"/>
      <c r="G33" s="8"/>
    </row>
    <row r="34" spans="1:7" ht="17.25" x14ac:dyDescent="0.25">
      <c r="A34" t="str">
        <f>IF(B31="","","Proposed Rate Impact:")</f>
        <v/>
      </c>
      <c r="B34" s="359"/>
      <c r="C34" s="366" t="str">
        <f>IF(B31="","","1")</f>
        <v/>
      </c>
      <c r="G34" s="8"/>
    </row>
    <row r="35" spans="1:7" ht="9.9499999999999993" customHeight="1" x14ac:dyDescent="0.25">
      <c r="A35" s="28"/>
      <c r="B35" s="28"/>
      <c r="C35" s="28"/>
      <c r="D35" s="28"/>
      <c r="E35" s="28"/>
      <c r="F35" s="28"/>
      <c r="G35" s="8"/>
    </row>
    <row r="36" spans="1:7" x14ac:dyDescent="0.25">
      <c r="G36" s="8"/>
    </row>
    <row r="37" spans="1:7" x14ac:dyDescent="0.25">
      <c r="A37" s="1" t="s">
        <v>0</v>
      </c>
      <c r="B37" s="267"/>
      <c r="C37" s="38"/>
      <c r="E37" s="57" t="s">
        <v>16</v>
      </c>
      <c r="F37" s="266"/>
      <c r="G37" s="8"/>
    </row>
    <row r="38" spans="1:7" x14ac:dyDescent="0.25">
      <c r="E38" s="57"/>
      <c r="F38" s="57" t="s">
        <v>65</v>
      </c>
      <c r="G38" s="8"/>
    </row>
    <row r="39" spans="1:7" x14ac:dyDescent="0.25">
      <c r="A39" s="25" t="s">
        <v>24</v>
      </c>
      <c r="B39" s="267"/>
      <c r="C39" s="39"/>
      <c r="G39" s="8"/>
    </row>
    <row r="40" spans="1:7" ht="17.25" x14ac:dyDescent="0.25">
      <c r="A40" t="str">
        <f>IF(B37="","","Proposed Rate Impact:")</f>
        <v/>
      </c>
      <c r="B40" s="359"/>
      <c r="C40" s="366" t="str">
        <f>IF(B37="","","1")</f>
        <v/>
      </c>
      <c r="G40" s="8"/>
    </row>
    <row r="41" spans="1:7" ht="9.9499999999999993" customHeight="1" x14ac:dyDescent="0.25">
      <c r="A41" s="28"/>
      <c r="B41" s="28"/>
      <c r="C41" s="28"/>
      <c r="D41" s="28"/>
      <c r="E41" s="28"/>
      <c r="F41" s="28"/>
      <c r="G41" s="8"/>
    </row>
    <row r="42" spans="1:7" ht="15" customHeight="1" x14ac:dyDescent="0.25">
      <c r="G42" s="8"/>
    </row>
    <row r="43" spans="1:7" ht="18" customHeight="1" x14ac:dyDescent="0.25">
      <c r="A43" s="1" t="s">
        <v>0</v>
      </c>
      <c r="B43" s="267"/>
      <c r="C43" s="38"/>
      <c r="E43" s="57" t="s">
        <v>16</v>
      </c>
      <c r="F43" s="266"/>
      <c r="G43" s="8"/>
    </row>
    <row r="44" spans="1:7" ht="18" customHeight="1" x14ac:dyDescent="0.25">
      <c r="E44" s="57"/>
      <c r="F44" s="57" t="s">
        <v>65</v>
      </c>
      <c r="G44" s="8"/>
    </row>
    <row r="45" spans="1:7" ht="18" customHeight="1" x14ac:dyDescent="0.25">
      <c r="A45" s="25" t="s">
        <v>24</v>
      </c>
      <c r="B45" s="267"/>
      <c r="C45" s="39"/>
      <c r="G45" s="8"/>
    </row>
    <row r="46" spans="1:7" ht="18" customHeight="1" x14ac:dyDescent="0.25">
      <c r="A46" t="str">
        <f>IF(B43="","","Proposed Rate Impact:")</f>
        <v/>
      </c>
      <c r="B46" s="359"/>
      <c r="C46" s="366" t="str">
        <f>IF(B43="","","1")</f>
        <v/>
      </c>
      <c r="G46" s="8"/>
    </row>
    <row r="47" spans="1:7" ht="9.9499999999999993" customHeight="1" x14ac:dyDescent="0.25">
      <c r="A47" s="28"/>
      <c r="B47" s="28"/>
      <c r="C47" s="28"/>
      <c r="D47" s="28"/>
      <c r="E47" s="28"/>
      <c r="F47" s="28"/>
      <c r="G47" s="8"/>
    </row>
    <row r="48" spans="1:7" x14ac:dyDescent="0.25">
      <c r="G48" s="8"/>
    </row>
    <row r="49" spans="1:7" x14ac:dyDescent="0.25">
      <c r="A49" s="1" t="s">
        <v>0</v>
      </c>
      <c r="B49" s="267"/>
      <c r="C49" s="38"/>
      <c r="E49" s="57" t="s">
        <v>16</v>
      </c>
      <c r="F49" s="266"/>
      <c r="G49" s="8"/>
    </row>
    <row r="50" spans="1:7" x14ac:dyDescent="0.25">
      <c r="E50" s="57"/>
      <c r="F50" s="57" t="s">
        <v>65</v>
      </c>
      <c r="G50" s="8"/>
    </row>
    <row r="51" spans="1:7" x14ac:dyDescent="0.25">
      <c r="A51" s="25" t="s">
        <v>24</v>
      </c>
      <c r="B51" s="267"/>
      <c r="C51" s="39"/>
      <c r="G51" s="8"/>
    </row>
    <row r="52" spans="1:7" ht="17.25" x14ac:dyDescent="0.25">
      <c r="A52" t="str">
        <f>IF(B49="","","Proposed Rate Impact:")</f>
        <v/>
      </c>
      <c r="B52" s="359"/>
      <c r="C52" s="366" t="str">
        <f>IF(B49="","","1")</f>
        <v/>
      </c>
      <c r="G52" s="8"/>
    </row>
    <row r="53" spans="1:7" ht="9.9499999999999993" customHeight="1" x14ac:dyDescent="0.25">
      <c r="A53" s="28"/>
      <c r="B53" s="28"/>
      <c r="C53" s="28"/>
      <c r="D53" s="28"/>
      <c r="E53" s="28"/>
      <c r="F53" s="28"/>
      <c r="G53" s="8"/>
    </row>
    <row r="54" spans="1:7" x14ac:dyDescent="0.25">
      <c r="G54" s="8"/>
    </row>
    <row r="55" spans="1:7" x14ac:dyDescent="0.25">
      <c r="A55" s="1" t="s">
        <v>0</v>
      </c>
      <c r="B55" s="267"/>
      <c r="C55" s="38"/>
      <c r="E55" s="57" t="s">
        <v>16</v>
      </c>
      <c r="F55" s="266"/>
      <c r="G55" s="8"/>
    </row>
    <row r="56" spans="1:7" x14ac:dyDescent="0.25">
      <c r="E56" s="57"/>
      <c r="F56" s="57" t="s">
        <v>65</v>
      </c>
      <c r="G56" s="8"/>
    </row>
    <row r="57" spans="1:7" x14ac:dyDescent="0.25">
      <c r="A57" s="25" t="s">
        <v>24</v>
      </c>
      <c r="B57" s="267"/>
      <c r="C57" s="39"/>
      <c r="G57" s="8"/>
    </row>
    <row r="58" spans="1:7" ht="17.25" x14ac:dyDescent="0.25">
      <c r="A58" t="str">
        <f>IF(B55="","","Proposed Rate Impact:")</f>
        <v/>
      </c>
      <c r="B58" s="359"/>
      <c r="C58" s="366" t="str">
        <f>IF(B55="","","1")</f>
        <v/>
      </c>
      <c r="G58" s="8"/>
    </row>
    <row r="59" spans="1:7" ht="9.9499999999999993" customHeight="1" x14ac:dyDescent="0.25">
      <c r="A59" s="28"/>
      <c r="B59" s="28"/>
      <c r="C59" s="28"/>
      <c r="D59" s="28"/>
      <c r="E59" s="28"/>
      <c r="F59" s="28"/>
      <c r="G59" s="8"/>
    </row>
    <row r="60" spans="1:7" x14ac:dyDescent="0.25">
      <c r="G60" s="8"/>
    </row>
    <row r="61" spans="1:7" x14ac:dyDescent="0.25">
      <c r="A61" s="1" t="s">
        <v>0</v>
      </c>
      <c r="B61" s="267"/>
      <c r="C61" s="38"/>
      <c r="E61" s="57" t="s">
        <v>16</v>
      </c>
      <c r="F61" s="266"/>
      <c r="G61" s="8"/>
    </row>
    <row r="62" spans="1:7" x14ac:dyDescent="0.25">
      <c r="E62" s="57"/>
      <c r="F62" s="57" t="s">
        <v>65</v>
      </c>
      <c r="G62" s="8"/>
    </row>
    <row r="63" spans="1:7" ht="15" customHeight="1" x14ac:dyDescent="0.25">
      <c r="A63" s="25" t="s">
        <v>24</v>
      </c>
      <c r="B63" s="267"/>
      <c r="C63" s="39"/>
      <c r="G63" s="8"/>
    </row>
    <row r="64" spans="1:7" ht="17.25" x14ac:dyDescent="0.25">
      <c r="A64" t="str">
        <f>IF(B61="","","Proposed Rate Impact:")</f>
        <v/>
      </c>
      <c r="B64" s="359"/>
      <c r="C64" s="366" t="str">
        <f>IF(B61="","","1")</f>
        <v/>
      </c>
      <c r="G64" s="8"/>
    </row>
    <row r="65" spans="1:7" ht="9.9499999999999993" customHeight="1" x14ac:dyDescent="0.25">
      <c r="A65" s="28"/>
      <c r="B65" s="28"/>
      <c r="C65" s="28"/>
      <c r="D65" s="28"/>
      <c r="E65" s="28"/>
      <c r="F65" s="28"/>
      <c r="G65" s="8"/>
    </row>
    <row r="66" spans="1:7" x14ac:dyDescent="0.25">
      <c r="G66" s="8"/>
    </row>
    <row r="67" spans="1:7" x14ac:dyDescent="0.25">
      <c r="A67" s="1" t="s">
        <v>0</v>
      </c>
      <c r="B67" s="267"/>
      <c r="C67" s="38"/>
      <c r="E67" s="57" t="s">
        <v>16</v>
      </c>
      <c r="F67" s="266"/>
      <c r="G67" s="8"/>
    </row>
    <row r="68" spans="1:7" x14ac:dyDescent="0.25">
      <c r="E68" s="57"/>
      <c r="F68" s="57" t="s">
        <v>65</v>
      </c>
      <c r="G68" s="8"/>
    </row>
    <row r="69" spans="1:7" x14ac:dyDescent="0.25">
      <c r="A69" s="25" t="s">
        <v>24</v>
      </c>
      <c r="B69" s="267"/>
      <c r="C69" s="39"/>
      <c r="G69" s="8"/>
    </row>
    <row r="70" spans="1:7" ht="17.25" x14ac:dyDescent="0.25">
      <c r="A70" t="str">
        <f>IF(B67="","","Proposed Rate Impact:")</f>
        <v/>
      </c>
      <c r="B70" s="359"/>
      <c r="C70" s="366" t="str">
        <f>IF(B67="","","1")</f>
        <v/>
      </c>
      <c r="G70" s="8"/>
    </row>
    <row r="71" spans="1:7" ht="9.9499999999999993" customHeight="1" x14ac:dyDescent="0.25">
      <c r="A71" s="28"/>
      <c r="B71" s="28"/>
      <c r="C71" s="28"/>
      <c r="D71" s="28"/>
      <c r="E71" s="28"/>
      <c r="F71" s="28"/>
      <c r="G71" s="8"/>
    </row>
    <row r="72" spans="1:7" ht="15" hidden="1" customHeight="1" x14ac:dyDescent="0.25">
      <c r="G72" s="8"/>
    </row>
    <row r="73" spans="1:7" ht="15" hidden="1" customHeight="1" x14ac:dyDescent="0.25">
      <c r="A73" s="1" t="s">
        <v>0</v>
      </c>
      <c r="B73" s="267"/>
      <c r="C73" s="38"/>
      <c r="E73" s="57" t="s">
        <v>16</v>
      </c>
      <c r="F73" s="266"/>
      <c r="G73" s="8"/>
    </row>
    <row r="74" spans="1:7" ht="15" hidden="1" customHeight="1" x14ac:dyDescent="0.25">
      <c r="E74" s="57"/>
      <c r="F74" s="57" t="s">
        <v>65</v>
      </c>
      <c r="G74" s="8"/>
    </row>
    <row r="75" spans="1:7" ht="15" hidden="1" customHeight="1" x14ac:dyDescent="0.25">
      <c r="A75" s="25" t="s">
        <v>24</v>
      </c>
      <c r="B75" s="267"/>
      <c r="C75" s="39"/>
      <c r="G75" s="8"/>
    </row>
    <row r="76" spans="1:7" ht="18" hidden="1" customHeight="1" x14ac:dyDescent="0.25">
      <c r="A76" t="str">
        <f>IF(B73="","","Proposed Rate Impact:")</f>
        <v/>
      </c>
      <c r="B76" s="359"/>
      <c r="C76" s="366" t="str">
        <f>IF(B73="","","1")</f>
        <v/>
      </c>
      <c r="G76" s="8"/>
    </row>
    <row r="77" spans="1:7" ht="9.75" hidden="1" customHeight="1" x14ac:dyDescent="0.25">
      <c r="A77" s="28"/>
      <c r="B77" s="28"/>
      <c r="C77" s="28"/>
      <c r="D77" s="28"/>
      <c r="E77" s="28"/>
      <c r="F77" s="28"/>
      <c r="G77" s="8"/>
    </row>
    <row r="78" spans="1:7" ht="15" hidden="1" customHeight="1" x14ac:dyDescent="0.25">
      <c r="G78" s="8"/>
    </row>
    <row r="79" spans="1:7" ht="15" hidden="1" customHeight="1" x14ac:dyDescent="0.25">
      <c r="A79" s="1" t="s">
        <v>0</v>
      </c>
      <c r="B79" s="267"/>
      <c r="C79" s="38"/>
      <c r="E79" s="57" t="s">
        <v>16</v>
      </c>
      <c r="F79" s="266"/>
      <c r="G79" s="8"/>
    </row>
    <row r="80" spans="1:7" ht="15" hidden="1" customHeight="1" x14ac:dyDescent="0.25">
      <c r="E80" s="57"/>
      <c r="F80" s="57" t="s">
        <v>65</v>
      </c>
      <c r="G80" s="8"/>
    </row>
    <row r="81" spans="1:7" ht="15" hidden="1" customHeight="1" x14ac:dyDescent="0.25">
      <c r="A81" s="25" t="s">
        <v>24</v>
      </c>
      <c r="B81" s="267"/>
      <c r="C81" s="39"/>
      <c r="G81" s="8"/>
    </row>
    <row r="82" spans="1:7" ht="17.25" hidden="1" x14ac:dyDescent="0.25">
      <c r="A82" t="str">
        <f>IF(B79="","","Proposed Rate Impact:")</f>
        <v/>
      </c>
      <c r="B82" s="359"/>
      <c r="C82" s="366" t="str">
        <f>IF(B79="","","1")</f>
        <v/>
      </c>
      <c r="G82" s="8"/>
    </row>
    <row r="83" spans="1:7" ht="9.75" hidden="1" customHeight="1" x14ac:dyDescent="0.25">
      <c r="A83" s="28"/>
      <c r="B83" s="28"/>
      <c r="C83" s="28"/>
      <c r="D83" s="28"/>
      <c r="E83" s="28"/>
      <c r="F83" s="28"/>
      <c r="G83" s="8"/>
    </row>
    <row r="84" spans="1:7" ht="15" hidden="1" customHeight="1" x14ac:dyDescent="0.25">
      <c r="G84" s="8"/>
    </row>
    <row r="85" spans="1:7" ht="15" hidden="1" customHeight="1" x14ac:dyDescent="0.25">
      <c r="A85" s="1" t="s">
        <v>0</v>
      </c>
      <c r="B85" s="267"/>
      <c r="C85" s="38"/>
      <c r="E85" s="57" t="s">
        <v>16</v>
      </c>
      <c r="F85" s="266"/>
      <c r="G85" s="8"/>
    </row>
    <row r="86" spans="1:7" ht="15" hidden="1" customHeight="1" x14ac:dyDescent="0.25">
      <c r="E86" s="57"/>
      <c r="F86" s="57" t="s">
        <v>65</v>
      </c>
      <c r="G86" s="8"/>
    </row>
    <row r="87" spans="1:7" ht="15" hidden="1" customHeight="1" x14ac:dyDescent="0.25">
      <c r="A87" s="25" t="s">
        <v>24</v>
      </c>
      <c r="B87" s="267"/>
      <c r="C87" s="39"/>
      <c r="G87" s="8"/>
    </row>
    <row r="88" spans="1:7" ht="17.25" hidden="1" x14ac:dyDescent="0.25">
      <c r="A88" t="str">
        <f>IF(B85="","","Proposed Rate Impact:")</f>
        <v/>
      </c>
      <c r="B88" s="359"/>
      <c r="C88" s="366" t="str">
        <f>IF(B85="","","1")</f>
        <v/>
      </c>
      <c r="G88" s="8"/>
    </row>
    <row r="89" spans="1:7" ht="9.75" hidden="1" customHeight="1" x14ac:dyDescent="0.25">
      <c r="A89" s="28"/>
      <c r="B89" s="28"/>
      <c r="C89" s="28"/>
      <c r="D89" s="28"/>
      <c r="E89" s="28"/>
      <c r="F89" s="28"/>
      <c r="G89" s="8"/>
    </row>
    <row r="90" spans="1:7" ht="15" hidden="1" customHeight="1" x14ac:dyDescent="0.25">
      <c r="G90" s="8"/>
    </row>
    <row r="91" spans="1:7" ht="15" hidden="1" customHeight="1" x14ac:dyDescent="0.25">
      <c r="A91" s="1" t="s">
        <v>0</v>
      </c>
      <c r="B91" s="267"/>
      <c r="C91" s="38"/>
      <c r="E91" s="57" t="s">
        <v>16</v>
      </c>
      <c r="F91" s="266"/>
      <c r="G91" s="8"/>
    </row>
    <row r="92" spans="1:7" ht="15" hidden="1" customHeight="1" x14ac:dyDescent="0.25">
      <c r="E92" s="57"/>
      <c r="F92" s="57" t="s">
        <v>65</v>
      </c>
      <c r="G92" s="8"/>
    </row>
    <row r="93" spans="1:7" ht="15" hidden="1" customHeight="1" x14ac:dyDescent="0.25">
      <c r="A93" s="25" t="s">
        <v>24</v>
      </c>
      <c r="B93" s="267"/>
      <c r="C93" s="39"/>
      <c r="G93" s="8"/>
    </row>
    <row r="94" spans="1:7" ht="17.25" hidden="1" x14ac:dyDescent="0.25">
      <c r="A94" t="str">
        <f>IF(B91="","","Proposed Rate Impact:")</f>
        <v/>
      </c>
      <c r="B94" s="359"/>
      <c r="C94" s="366" t="str">
        <f>IF(B91="","","1")</f>
        <v/>
      </c>
      <c r="G94" s="8"/>
    </row>
    <row r="95" spans="1:7" ht="9.75" hidden="1" customHeight="1" x14ac:dyDescent="0.25">
      <c r="A95" s="28"/>
      <c r="B95" s="28"/>
      <c r="C95" s="28"/>
      <c r="D95" s="28"/>
      <c r="E95" s="28"/>
      <c r="F95" s="28"/>
      <c r="G95" s="8"/>
    </row>
    <row r="96" spans="1:7" ht="15" hidden="1" customHeight="1" x14ac:dyDescent="0.25">
      <c r="G96" s="8"/>
    </row>
    <row r="97" spans="1:7" ht="15" hidden="1" customHeight="1" x14ac:dyDescent="0.25">
      <c r="A97" s="1" t="s">
        <v>0</v>
      </c>
      <c r="B97" s="267"/>
      <c r="C97" s="38"/>
      <c r="E97" s="57" t="s">
        <v>16</v>
      </c>
      <c r="F97" s="266"/>
      <c r="G97" s="8"/>
    </row>
    <row r="98" spans="1:7" ht="15" hidden="1" customHeight="1" x14ac:dyDescent="0.25">
      <c r="E98" s="57"/>
      <c r="F98" s="57" t="s">
        <v>65</v>
      </c>
      <c r="G98" s="8"/>
    </row>
    <row r="99" spans="1:7" ht="15" hidden="1" customHeight="1" x14ac:dyDescent="0.25">
      <c r="A99" s="25" t="s">
        <v>24</v>
      </c>
      <c r="B99" s="267"/>
      <c r="C99" s="39"/>
      <c r="G99" s="8"/>
    </row>
    <row r="100" spans="1:7" ht="17.25" hidden="1" x14ac:dyDescent="0.25">
      <c r="A100" t="str">
        <f>IF(B97="","","Proposed Rate Impact:")</f>
        <v/>
      </c>
      <c r="B100" s="359"/>
      <c r="C100" s="366" t="str">
        <f>IF(B97="","","1")</f>
        <v/>
      </c>
      <c r="G100" s="8"/>
    </row>
    <row r="101" spans="1:7" ht="9.75" hidden="1" customHeight="1" x14ac:dyDescent="0.25">
      <c r="A101" s="367"/>
      <c r="B101" s="28"/>
      <c r="C101" s="28"/>
      <c r="D101" s="28"/>
      <c r="E101" s="28"/>
      <c r="F101" s="28"/>
      <c r="G101" s="8"/>
    </row>
    <row r="102" spans="1:7" ht="17.25" x14ac:dyDescent="0.25">
      <c r="A102" s="324" t="s">
        <v>374</v>
      </c>
    </row>
    <row r="103" spans="1:7" x14ac:dyDescent="0.25">
      <c r="A103" s="324" t="s">
        <v>377</v>
      </c>
    </row>
    <row r="105" spans="1:7" hidden="1" x14ac:dyDescent="0.25"/>
  </sheetData>
  <sheetProtection algorithmName="SHA-512" hashValue="QXdgAWpe2WeMwGzmuwSVzZeEp3KKOZ/mY+hTAEH5QOqgEh9E9TeFBTQEVSCnZP+X1Dn2KvxRsjice/razBpzvg==" saltValue="XSTQiPv1gxyGK+AKePRB1A==" spinCount="100000" sheet="1" objects="1" scenarios="1" formatColumns="0" formatRows="0" sort="0"/>
  <conditionalFormatting sqref="B16">
    <cfRule type="expression" dxfId="25" priority="15">
      <formula>NOT(ISBLANK(B13))</formula>
    </cfRule>
  </conditionalFormatting>
  <conditionalFormatting sqref="B22">
    <cfRule type="expression" dxfId="24" priority="14">
      <formula>NOT(ISBLANK(B19))</formula>
    </cfRule>
  </conditionalFormatting>
  <conditionalFormatting sqref="B28">
    <cfRule type="expression" dxfId="23" priority="13">
      <formula>NOT(ISBLANK(B25))</formula>
    </cfRule>
  </conditionalFormatting>
  <conditionalFormatting sqref="B34">
    <cfRule type="expression" dxfId="22" priority="12">
      <formula>NOT(ISBLANK(B31))</formula>
    </cfRule>
  </conditionalFormatting>
  <conditionalFormatting sqref="B40">
    <cfRule type="expression" dxfId="21" priority="11">
      <formula>NOT(ISBLANK(B37))</formula>
    </cfRule>
  </conditionalFormatting>
  <conditionalFormatting sqref="B46">
    <cfRule type="expression" dxfId="20" priority="10">
      <formula>NOT(ISBLANK(B43))</formula>
    </cfRule>
  </conditionalFormatting>
  <conditionalFormatting sqref="B52">
    <cfRule type="expression" dxfId="19" priority="9">
      <formula>NOT(ISBLANK(B49))</formula>
    </cfRule>
  </conditionalFormatting>
  <conditionalFormatting sqref="B58">
    <cfRule type="expression" dxfId="18" priority="8">
      <formula>NOT(ISBLANK(B55))</formula>
    </cfRule>
  </conditionalFormatting>
  <conditionalFormatting sqref="B64">
    <cfRule type="expression" dxfId="17" priority="7">
      <formula>NOT(ISBLANK(B61))</formula>
    </cfRule>
  </conditionalFormatting>
  <conditionalFormatting sqref="B70">
    <cfRule type="expression" dxfId="16" priority="6">
      <formula>NOT(ISBLANK(B67))</formula>
    </cfRule>
  </conditionalFormatting>
  <conditionalFormatting sqref="B76">
    <cfRule type="expression" dxfId="15" priority="5">
      <formula>NOT(ISBLANK(B73))</formula>
    </cfRule>
  </conditionalFormatting>
  <conditionalFormatting sqref="B82">
    <cfRule type="expression" dxfId="14" priority="4">
      <formula>NOT(ISBLANK(B79))</formula>
    </cfRule>
  </conditionalFormatting>
  <conditionalFormatting sqref="B88">
    <cfRule type="expression" dxfId="13" priority="3">
      <formula>NOT(ISBLANK(B85))</formula>
    </cfRule>
  </conditionalFormatting>
  <conditionalFormatting sqref="B94">
    <cfRule type="expression" dxfId="12" priority="2">
      <formula>NOT(ISBLANK(B91))</formula>
    </cfRule>
  </conditionalFormatting>
  <conditionalFormatting sqref="B100">
    <cfRule type="expression" dxfId="11" priority="1">
      <formula>NOT(ISBLANK(B97))</formula>
    </cfRule>
  </conditionalFormatting>
  <printOptions horizontalCentered="1"/>
  <pageMargins left="0.45" right="0.45" top="0.5" bottom="0.5" header="0.3" footer="0.3"/>
  <pageSetup scale="60" orientation="portrait" r:id="rId1"/>
  <headerFooter>
    <oddFooter>&amp;CPrior Approval Rate Application&amp;RPage 2&amp;L1/11/2022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00FF"/>
    <pageSetUpPr fitToPage="1"/>
  </sheetPr>
  <dimension ref="A1:H140"/>
  <sheetViews>
    <sheetView showGridLines="0" view="pageBreakPreview" topLeftCell="A4" zoomScaleNormal="100" zoomScaleSheetLayoutView="100" workbookViewId="0">
      <selection activeCell="C30" sqref="C30"/>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3.7109375" style="343" customWidth="1"/>
  </cols>
  <sheetData>
    <row r="1" spans="1:8" ht="15.75" thickBot="1" x14ac:dyDescent="0.3">
      <c r="A1" s="21" t="s">
        <v>68</v>
      </c>
      <c r="B1" s="21"/>
      <c r="C1" s="8"/>
      <c r="D1" s="37" t="s">
        <v>70</v>
      </c>
      <c r="E1" s="37"/>
      <c r="F1" s="8"/>
      <c r="G1" s="36" t="str">
        <f>Co_Name</f>
        <v>State Farm General Insurance Company</v>
      </c>
      <c r="H1" s="336" t="s">
        <v>438</v>
      </c>
    </row>
    <row r="2" spans="1:8" x14ac:dyDescent="0.25">
      <c r="A2" s="21" t="s">
        <v>69</v>
      </c>
      <c r="B2" s="21"/>
      <c r="C2" s="8"/>
      <c r="D2" s="37" t="s">
        <v>71</v>
      </c>
      <c r="E2" s="37"/>
      <c r="F2" s="8"/>
      <c r="G2" s="36" t="str">
        <f>General_Line</f>
        <v>Homeowners</v>
      </c>
      <c r="H2" s="441"/>
    </row>
    <row r="3" spans="1:8" ht="18" customHeight="1" x14ac:dyDescent="0.25">
      <c r="A3" s="8"/>
      <c r="B3" s="8"/>
      <c r="C3" s="168"/>
      <c r="D3" s="8"/>
      <c r="E3" s="8"/>
      <c r="F3" s="8"/>
      <c r="G3" s="8"/>
      <c r="H3" s="442"/>
    </row>
    <row r="4" spans="1:8" ht="23.25" x14ac:dyDescent="0.25">
      <c r="A4" s="5" t="s">
        <v>284</v>
      </c>
      <c r="B4" s="5"/>
      <c r="C4" s="181"/>
      <c r="D4" s="181"/>
      <c r="E4" s="181"/>
      <c r="F4" s="181"/>
      <c r="G4" s="181"/>
      <c r="H4" s="442" t="str">
        <f>IF(COUNTIF(E6:E11,"")&gt;=1,"",IF(COUNTIF(E6:E11,"Y")=0,"ERROR! You must select yes to at least one filing type.",""))</f>
        <v/>
      </c>
    </row>
    <row r="5" spans="1:8" ht="22.5" customHeight="1" x14ac:dyDescent="0.25">
      <c r="A5" s="389" t="s">
        <v>402</v>
      </c>
      <c r="B5" s="5"/>
      <c r="C5" s="181"/>
      <c r="D5" s="181"/>
      <c r="E5" s="181"/>
      <c r="F5" s="181"/>
      <c r="G5" s="181"/>
      <c r="H5" s="443"/>
    </row>
    <row r="6" spans="1:8" ht="21" customHeight="1" x14ac:dyDescent="0.25">
      <c r="A6" s="372" t="s">
        <v>404</v>
      </c>
      <c r="B6" s="372"/>
      <c r="C6" s="372"/>
      <c r="E6" s="200" t="s">
        <v>6</v>
      </c>
      <c r="G6" s="371"/>
      <c r="H6" s="443" t="str">
        <f>IF(E6="","← ERROR! Please select a response.",IF(E6="Y",IF(OR(E7="Y",E8="Y",E9="Y",E10="Y",E11="Y"),"← ERROR! A New Program Filing cannot be combined with a Rate, Rule or Form filing.",""),""))</f>
        <v/>
      </c>
    </row>
    <row r="7" spans="1:8" ht="21" customHeight="1" x14ac:dyDescent="0.25">
      <c r="A7" s="372" t="s">
        <v>405</v>
      </c>
      <c r="B7" s="372"/>
      <c r="C7" s="372"/>
      <c r="E7" s="200" t="s">
        <v>6</v>
      </c>
      <c r="G7" s="371"/>
      <c r="H7" s="444" t="str">
        <f>IF(E7="","← ERROR! Please select a response.","")</f>
        <v/>
      </c>
    </row>
    <row r="8" spans="1:8" ht="21" customHeight="1" x14ac:dyDescent="0.25">
      <c r="A8" s="372" t="s">
        <v>421</v>
      </c>
      <c r="B8" s="372"/>
      <c r="C8" s="372"/>
      <c r="E8" s="200" t="s">
        <v>5</v>
      </c>
      <c r="G8" s="371"/>
      <c r="H8" s="444" t="str">
        <f>IF(E8="","← ERROR! Please select a response.","")</f>
        <v/>
      </c>
    </row>
    <row r="9" spans="1:8" ht="21" customHeight="1" x14ac:dyDescent="0.25">
      <c r="A9" s="372" t="s">
        <v>406</v>
      </c>
      <c r="B9" s="372"/>
      <c r="C9" s="372"/>
      <c r="E9" s="200" t="s">
        <v>6</v>
      </c>
      <c r="G9" s="371"/>
      <c r="H9" s="444" t="str">
        <f>IF(E9="","← ERROR! Please select a response.",IF(E9="Y",IF(E8="Y","","← ERROR! The response to question 3 indicates that this is not a Rule filing."),""))</f>
        <v/>
      </c>
    </row>
    <row r="10" spans="1:8" ht="21" customHeight="1" x14ac:dyDescent="0.25">
      <c r="A10" s="372" t="s">
        <v>422</v>
      </c>
      <c r="B10" s="372"/>
      <c r="C10" s="372"/>
      <c r="E10" s="200" t="s">
        <v>6</v>
      </c>
      <c r="G10" s="371"/>
      <c r="H10" s="444" t="str">
        <f>IF(E10="","← ERROR! Please select a response.","")</f>
        <v/>
      </c>
    </row>
    <row r="11" spans="1:8" ht="21" customHeight="1" x14ac:dyDescent="0.25">
      <c r="A11" s="372" t="s">
        <v>407</v>
      </c>
      <c r="B11" s="372"/>
      <c r="C11" s="372"/>
      <c r="E11" s="200" t="s">
        <v>6</v>
      </c>
      <c r="G11" s="371"/>
      <c r="H11" s="444" t="str">
        <f>IF(E11="","← ERROR! Please select a response.",IF(E11="Y",IF(E10="Y","","← ERROR! The response to question 4 indicates that this is not a Form filing."),""))</f>
        <v/>
      </c>
    </row>
    <row r="12" spans="1:8" ht="21" customHeight="1" x14ac:dyDescent="0.25">
      <c r="A12" s="376" t="s">
        <v>437</v>
      </c>
      <c r="B12" s="372"/>
      <c r="C12" s="372"/>
      <c r="E12" s="447" t="str">
        <f>IF('1.General'!$K$14=1,"Y","N")</f>
        <v>N</v>
      </c>
      <c r="G12" s="371"/>
      <c r="H12" s="445" t="str">
        <f>IF(E12="Y",IF(OR(E6="Y",E7="Y",E9="Y",E11="Y"),"","← ERROR! You cannot file for a variance unless this is a New Program filing or a filing with rate impact."),"")</f>
        <v/>
      </c>
    </row>
    <row r="13" spans="1:8" ht="21" customHeight="1" x14ac:dyDescent="0.25">
      <c r="A13" s="182" t="s">
        <v>408</v>
      </c>
      <c r="B13" s="373"/>
      <c r="C13" s="369"/>
      <c r="D13" s="370"/>
      <c r="E13" s="370"/>
      <c r="F13" s="370"/>
      <c r="G13" s="371"/>
      <c r="H13" s="445"/>
    </row>
    <row r="14" spans="1:8" ht="21" customHeight="1" thickBot="1" x14ac:dyDescent="0.3">
      <c r="A14" s="381" t="s">
        <v>409</v>
      </c>
      <c r="B14" s="374"/>
      <c r="C14" s="369"/>
      <c r="D14" s="370"/>
      <c r="E14" s="370"/>
      <c r="F14" s="370"/>
      <c r="G14" s="371"/>
      <c r="H14" s="446"/>
    </row>
    <row r="15" spans="1:8" ht="23.25" x14ac:dyDescent="0.25">
      <c r="A15" s="5" t="s">
        <v>77</v>
      </c>
      <c r="B15" s="5"/>
      <c r="C15" s="181"/>
      <c r="D15" s="181"/>
      <c r="E15" s="181"/>
      <c r="F15" s="181"/>
      <c r="G15" s="181"/>
    </row>
    <row r="16" spans="1:8" x14ac:dyDescent="0.25">
      <c r="A16" s="375" t="s">
        <v>414</v>
      </c>
      <c r="B16" s="375"/>
      <c r="C16" s="369"/>
      <c r="D16" s="370"/>
      <c r="E16" s="370"/>
      <c r="F16" s="370"/>
      <c r="G16" s="371"/>
    </row>
    <row r="17" spans="1:7" x14ac:dyDescent="0.25">
      <c r="A17" s="393" t="str">
        <f>IF(COUNTIF(H2:H14,"")=13,"","WARNING: This is not a valid filing type. Refer to the Prior Approval Rate Filing Instructions.")</f>
        <v/>
      </c>
      <c r="B17" s="375"/>
      <c r="C17" s="369"/>
      <c r="D17" s="370"/>
      <c r="E17" s="370"/>
      <c r="F17" s="370"/>
      <c r="G17" s="371"/>
    </row>
    <row r="18" spans="1:7" x14ac:dyDescent="0.25">
      <c r="A18" s="164" t="s">
        <v>386</v>
      </c>
      <c r="B18" s="164" t="s">
        <v>387</v>
      </c>
      <c r="C18" s="164" t="s">
        <v>293</v>
      </c>
      <c r="D18" s="164"/>
      <c r="E18" s="370"/>
      <c r="F18" s="370"/>
      <c r="G18" s="371"/>
    </row>
    <row r="19" spans="1:7" ht="21" customHeight="1" x14ac:dyDescent="0.25">
      <c r="A19" s="382"/>
      <c r="B19" s="382"/>
      <c r="C19" s="372" t="s">
        <v>380</v>
      </c>
      <c r="D19" s="372"/>
      <c r="E19" s="372"/>
      <c r="F19" s="51"/>
      <c r="G19" s="51"/>
    </row>
    <row r="20" spans="1:7" ht="21" hidden="1" customHeight="1" x14ac:dyDescent="0.25">
      <c r="A20" s="382"/>
      <c r="B20" s="382"/>
      <c r="C20" s="372" t="s">
        <v>291</v>
      </c>
      <c r="D20" s="372"/>
      <c r="E20" s="372"/>
      <c r="F20" s="51"/>
      <c r="G20" s="51"/>
    </row>
    <row r="21" spans="1:7" ht="21" customHeight="1" x14ac:dyDescent="0.25">
      <c r="A21" s="382"/>
      <c r="B21" s="382"/>
      <c r="C21" s="372" t="s">
        <v>400</v>
      </c>
      <c r="D21" s="372"/>
      <c r="E21" s="372"/>
      <c r="F21" s="51"/>
      <c r="G21" s="51"/>
    </row>
    <row r="22" spans="1:7" ht="21" hidden="1" customHeight="1" x14ac:dyDescent="0.25">
      <c r="A22" s="382"/>
      <c r="B22" s="382"/>
      <c r="C22" s="372" t="s">
        <v>292</v>
      </c>
      <c r="D22" s="372"/>
      <c r="E22" s="372"/>
      <c r="F22" s="51"/>
      <c r="G22" s="51"/>
    </row>
    <row r="23" spans="1:7" ht="21" hidden="1" customHeight="1" x14ac:dyDescent="0.25">
      <c r="A23" s="382"/>
      <c r="B23" s="382"/>
      <c r="C23" s="372" t="s">
        <v>300</v>
      </c>
      <c r="D23" s="372"/>
      <c r="E23" s="372"/>
      <c r="F23" s="51"/>
      <c r="G23" s="51"/>
    </row>
    <row r="24" spans="1:7" ht="21" hidden="1" customHeight="1" x14ac:dyDescent="0.25">
      <c r="A24" s="382"/>
      <c r="B24" s="382"/>
      <c r="C24" s="372" t="s">
        <v>360</v>
      </c>
      <c r="D24" s="372"/>
      <c r="E24" s="372"/>
      <c r="F24" s="51"/>
      <c r="G24" s="51"/>
    </row>
    <row r="25" spans="1:7" ht="21" hidden="1" customHeight="1" x14ac:dyDescent="0.25">
      <c r="A25" s="382"/>
      <c r="B25" s="382"/>
      <c r="C25" s="372" t="s">
        <v>301</v>
      </c>
      <c r="D25" s="372"/>
      <c r="E25" s="372"/>
      <c r="F25" s="51"/>
      <c r="G25" s="51"/>
    </row>
    <row r="26" spans="1:7" ht="21" hidden="1" customHeight="1" x14ac:dyDescent="0.25">
      <c r="A26" s="382"/>
      <c r="B26" s="382"/>
      <c r="C26" s="372" t="s">
        <v>302</v>
      </c>
      <c r="D26" s="372"/>
      <c r="E26" s="372"/>
      <c r="F26" s="51"/>
      <c r="G26" s="51"/>
    </row>
    <row r="27" spans="1:7" ht="21" hidden="1" customHeight="1" x14ac:dyDescent="0.25">
      <c r="A27" s="382"/>
      <c r="B27" s="382"/>
      <c r="C27" s="372" t="s">
        <v>303</v>
      </c>
      <c r="D27" s="372"/>
      <c r="E27" s="372"/>
      <c r="F27" s="51"/>
      <c r="G27" s="51"/>
    </row>
    <row r="28" spans="1:7" ht="21" customHeight="1" x14ac:dyDescent="0.25">
      <c r="A28" s="382"/>
      <c r="B28" s="382"/>
      <c r="C28" s="372" t="s">
        <v>416</v>
      </c>
      <c r="D28" s="372"/>
      <c r="E28" s="372"/>
      <c r="F28" s="51"/>
      <c r="G28" s="51"/>
    </row>
    <row r="29" spans="1:7" ht="21" hidden="1" customHeight="1" x14ac:dyDescent="0.25">
      <c r="A29" s="382"/>
      <c r="B29" s="382"/>
      <c r="C29" s="372" t="s">
        <v>78</v>
      </c>
      <c r="D29" s="372"/>
      <c r="E29" s="372"/>
      <c r="F29" s="51"/>
      <c r="G29" s="51"/>
    </row>
    <row r="30" spans="1:7" ht="21" customHeight="1" x14ac:dyDescent="0.25">
      <c r="A30" s="382"/>
      <c r="B30" s="382"/>
      <c r="C30" s="372" t="s">
        <v>478</v>
      </c>
      <c r="D30" s="372"/>
      <c r="E30" s="372"/>
      <c r="F30" s="51"/>
      <c r="G30" s="51"/>
    </row>
    <row r="31" spans="1:7" ht="21" customHeight="1" x14ac:dyDescent="0.25">
      <c r="A31" s="382"/>
      <c r="B31" s="382"/>
      <c r="C31" s="372" t="s">
        <v>479</v>
      </c>
      <c r="D31" s="372"/>
      <c r="E31" s="372"/>
      <c r="F31" s="51"/>
      <c r="G31" s="51"/>
    </row>
    <row r="32" spans="1:7" ht="21" customHeight="1" x14ac:dyDescent="0.25">
      <c r="A32" s="382"/>
      <c r="B32" s="382"/>
      <c r="C32" s="376" t="s">
        <v>294</v>
      </c>
      <c r="D32" s="376"/>
      <c r="E32" s="376"/>
      <c r="F32" s="376"/>
      <c r="G32" s="376"/>
    </row>
    <row r="33" spans="1:7" ht="21" customHeight="1" x14ac:dyDescent="0.25">
      <c r="A33" s="382"/>
      <c r="B33" s="382"/>
      <c r="C33" s="372" t="s">
        <v>286</v>
      </c>
      <c r="D33" s="372"/>
      <c r="E33" s="372"/>
      <c r="F33" s="51"/>
      <c r="G33" s="51"/>
    </row>
    <row r="34" spans="1:7" ht="21" hidden="1" customHeight="1" x14ac:dyDescent="0.25">
      <c r="A34" s="382"/>
      <c r="B34" s="382"/>
      <c r="C34" s="372" t="s">
        <v>287</v>
      </c>
      <c r="D34" s="372"/>
      <c r="E34" s="372"/>
      <c r="F34" s="51"/>
      <c r="G34" s="51"/>
    </row>
    <row r="35" spans="1:7" ht="21" hidden="1" customHeight="1" x14ac:dyDescent="0.25">
      <c r="A35" s="382"/>
      <c r="B35" s="382"/>
      <c r="C35" s="372" t="s">
        <v>288</v>
      </c>
      <c r="D35" s="372"/>
      <c r="E35" s="372"/>
      <c r="F35" s="51"/>
      <c r="G35" s="51"/>
    </row>
    <row r="36" spans="1:7" ht="21" hidden="1" customHeight="1" x14ac:dyDescent="0.25">
      <c r="A36" s="382"/>
      <c r="B36" s="382"/>
      <c r="C36" s="372" t="s">
        <v>289</v>
      </c>
      <c r="D36" s="372"/>
      <c r="E36" s="372"/>
      <c r="F36" s="51"/>
      <c r="G36" s="51"/>
    </row>
    <row r="37" spans="1:7" ht="21" hidden="1" customHeight="1" x14ac:dyDescent="0.25">
      <c r="A37" s="382"/>
      <c r="B37" s="382"/>
      <c r="C37" s="372" t="s">
        <v>388</v>
      </c>
      <c r="D37" s="372"/>
      <c r="E37" s="372"/>
      <c r="F37" s="51"/>
      <c r="G37" s="51"/>
    </row>
    <row r="38" spans="1:7" ht="21" hidden="1" customHeight="1" x14ac:dyDescent="0.25">
      <c r="A38" s="382"/>
      <c r="B38" s="382"/>
      <c r="C38" s="372" t="s">
        <v>290</v>
      </c>
      <c r="D38" s="372"/>
      <c r="E38" s="372"/>
      <c r="F38" s="51"/>
      <c r="G38" s="51"/>
    </row>
    <row r="39" spans="1:7" ht="21" hidden="1" customHeight="1" x14ac:dyDescent="0.25">
      <c r="A39" s="382"/>
      <c r="B39" s="382"/>
      <c r="C39" s="372" t="s">
        <v>389</v>
      </c>
      <c r="D39" s="372"/>
      <c r="E39" s="372"/>
      <c r="F39" s="51"/>
      <c r="G39" s="51"/>
    </row>
    <row r="40" spans="1:7" ht="21" hidden="1" customHeight="1" x14ac:dyDescent="0.25">
      <c r="A40" s="382"/>
      <c r="B40" s="382"/>
      <c r="C40" s="372" t="s">
        <v>390</v>
      </c>
      <c r="D40" s="372"/>
      <c r="E40" s="372"/>
      <c r="F40" s="51"/>
      <c r="G40" s="51"/>
    </row>
    <row r="41" spans="1:7" ht="21" hidden="1" customHeight="1" x14ac:dyDescent="0.25">
      <c r="A41" s="382"/>
      <c r="B41" s="382"/>
      <c r="C41" s="372" t="s">
        <v>296</v>
      </c>
      <c r="D41" s="372"/>
      <c r="E41" s="372"/>
      <c r="F41" s="51"/>
      <c r="G41" s="51"/>
    </row>
    <row r="42" spans="1:7" ht="21" hidden="1" customHeight="1" x14ac:dyDescent="0.25">
      <c r="A42" s="382"/>
      <c r="B42" s="382"/>
      <c r="C42" s="372" t="s">
        <v>297</v>
      </c>
      <c r="D42" s="372"/>
      <c r="E42" s="372"/>
      <c r="F42" s="51"/>
      <c r="G42" s="51"/>
    </row>
    <row r="43" spans="1:7" ht="21" hidden="1" customHeight="1" x14ac:dyDescent="0.25">
      <c r="A43" s="382"/>
      <c r="B43" s="382"/>
      <c r="C43" s="372" t="s">
        <v>298</v>
      </c>
      <c r="D43" s="372"/>
      <c r="E43" s="372"/>
      <c r="F43" s="51"/>
      <c r="G43" s="51"/>
    </row>
    <row r="44" spans="1:7" ht="21" hidden="1" customHeight="1" x14ac:dyDescent="0.25">
      <c r="A44" s="382"/>
      <c r="B44" s="382"/>
      <c r="C44" s="372" t="s">
        <v>413</v>
      </c>
      <c r="D44" s="372"/>
      <c r="E44" s="372"/>
      <c r="F44" s="51"/>
      <c r="G44" s="51"/>
    </row>
    <row r="45" spans="1:7" ht="21" hidden="1" customHeight="1" x14ac:dyDescent="0.25">
      <c r="A45" s="382"/>
      <c r="B45" s="382"/>
      <c r="C45" s="372" t="s">
        <v>331</v>
      </c>
      <c r="D45" s="372"/>
      <c r="E45" s="372"/>
      <c r="F45" s="51"/>
      <c r="G45" s="51"/>
    </row>
    <row r="46" spans="1:7" ht="21" hidden="1" customHeight="1" x14ac:dyDescent="0.25">
      <c r="A46" s="382"/>
      <c r="B46" s="382"/>
      <c r="C46" s="372" t="s">
        <v>323</v>
      </c>
      <c r="D46" s="372"/>
      <c r="E46" s="372"/>
      <c r="F46" s="51"/>
      <c r="G46" s="51"/>
    </row>
    <row r="47" spans="1:7" ht="21" hidden="1" customHeight="1" x14ac:dyDescent="0.25">
      <c r="A47" s="382"/>
      <c r="B47" s="382"/>
      <c r="C47" s="372" t="s">
        <v>324</v>
      </c>
      <c r="D47" s="372"/>
      <c r="E47" s="372"/>
      <c r="F47" s="51"/>
      <c r="G47" s="51"/>
    </row>
    <row r="48" spans="1:7" ht="21" hidden="1" customHeight="1" x14ac:dyDescent="0.25">
      <c r="A48" s="382"/>
      <c r="B48" s="382"/>
      <c r="C48" s="372" t="s">
        <v>325</v>
      </c>
      <c r="D48" s="372"/>
      <c r="E48" s="372"/>
      <c r="F48" s="51"/>
      <c r="G48" s="51"/>
    </row>
    <row r="49" spans="1:7" ht="21" hidden="1" customHeight="1" x14ac:dyDescent="0.25">
      <c r="A49" s="382"/>
      <c r="B49" s="382"/>
      <c r="C49" s="372" t="s">
        <v>326</v>
      </c>
      <c r="D49" s="372"/>
      <c r="E49" s="372"/>
      <c r="F49" s="51"/>
      <c r="G49" s="51"/>
    </row>
    <row r="50" spans="1:7" ht="21" customHeight="1" x14ac:dyDescent="0.25">
      <c r="A50" s="382"/>
      <c r="B50" s="382"/>
      <c r="C50" s="372" t="s">
        <v>415</v>
      </c>
      <c r="D50" s="372"/>
      <c r="E50" s="372"/>
      <c r="F50" s="51"/>
      <c r="G50" s="51"/>
    </row>
    <row r="51" spans="1:7" ht="21" customHeight="1" x14ac:dyDescent="0.25">
      <c r="A51" s="382"/>
      <c r="B51" s="382"/>
      <c r="C51" s="372" t="s">
        <v>327</v>
      </c>
      <c r="D51" s="372"/>
      <c r="E51" s="372"/>
      <c r="F51" s="51"/>
      <c r="G51" s="51"/>
    </row>
    <row r="52" spans="1:7" ht="21" hidden="1" customHeight="1" x14ac:dyDescent="0.25">
      <c r="A52" s="382"/>
      <c r="B52" s="382"/>
      <c r="C52" s="372" t="s">
        <v>336</v>
      </c>
      <c r="D52" s="372"/>
      <c r="E52" s="372"/>
      <c r="F52" s="51"/>
      <c r="G52" s="51"/>
    </row>
    <row r="53" spans="1:7" ht="21" hidden="1" customHeight="1" x14ac:dyDescent="0.25">
      <c r="A53" s="382"/>
      <c r="B53" s="382"/>
      <c r="C53" s="372" t="s">
        <v>335</v>
      </c>
      <c r="D53" s="372"/>
      <c r="E53" s="372"/>
      <c r="F53" s="51"/>
      <c r="G53" s="51"/>
    </row>
    <row r="54" spans="1:7" ht="21" customHeight="1" x14ac:dyDescent="0.25">
      <c r="A54" s="382"/>
      <c r="B54" s="382"/>
      <c r="C54" s="376" t="s">
        <v>79</v>
      </c>
      <c r="D54" s="376"/>
      <c r="E54" s="376"/>
      <c r="F54" s="51"/>
      <c r="G54" s="51"/>
    </row>
    <row r="55" spans="1:7" ht="21" hidden="1" customHeight="1" x14ac:dyDescent="0.25">
      <c r="A55" s="382"/>
      <c r="B55" s="382"/>
      <c r="C55" s="376" t="s">
        <v>391</v>
      </c>
      <c r="D55" s="376"/>
      <c r="E55" s="376"/>
      <c r="F55" s="51"/>
      <c r="G55" s="51"/>
    </row>
    <row r="56" spans="1:7" ht="21" hidden="1" customHeight="1" x14ac:dyDescent="0.25">
      <c r="A56" s="382"/>
      <c r="B56" s="382"/>
      <c r="C56" s="376" t="s">
        <v>392</v>
      </c>
      <c r="D56" s="376"/>
      <c r="E56" s="376"/>
      <c r="F56" s="51"/>
      <c r="G56" s="51"/>
    </row>
    <row r="57" spans="1:7" ht="21" customHeight="1" x14ac:dyDescent="0.25">
      <c r="A57" s="382"/>
      <c r="B57" s="382"/>
      <c r="C57" s="378" t="s">
        <v>394</v>
      </c>
      <c r="D57" s="376"/>
      <c r="E57" s="376"/>
      <c r="F57" s="51"/>
      <c r="G57" s="51"/>
    </row>
    <row r="58" spans="1:7" ht="21" customHeight="1" x14ac:dyDescent="0.25">
      <c r="A58" s="382"/>
      <c r="B58" s="382"/>
      <c r="C58" s="376" t="s">
        <v>393</v>
      </c>
      <c r="D58" s="376"/>
      <c r="E58" s="376"/>
      <c r="F58" s="51"/>
      <c r="G58" s="51"/>
    </row>
    <row r="59" spans="1:7" ht="21" hidden="1" customHeight="1" x14ac:dyDescent="0.25">
      <c r="A59" s="382"/>
      <c r="B59" s="382"/>
      <c r="C59" s="376" t="s">
        <v>304</v>
      </c>
      <c r="D59" s="376"/>
      <c r="E59" s="376"/>
      <c r="F59" s="51"/>
      <c r="G59" s="51"/>
    </row>
    <row r="60" spans="1:7" ht="21" hidden="1" customHeight="1" x14ac:dyDescent="0.25">
      <c r="A60" s="382"/>
      <c r="B60" s="382"/>
      <c r="C60" s="376" t="s">
        <v>332</v>
      </c>
      <c r="D60" s="376"/>
      <c r="E60" s="376"/>
      <c r="F60" s="51"/>
      <c r="G60" s="51"/>
    </row>
    <row r="61" spans="1:7" ht="21" hidden="1" customHeight="1" x14ac:dyDescent="0.25">
      <c r="A61" s="380" t="s">
        <v>396</v>
      </c>
      <c r="B61" s="382"/>
      <c r="D61" s="377"/>
      <c r="E61" s="377"/>
      <c r="F61" s="379"/>
      <c r="G61" s="379"/>
    </row>
    <row r="62" spans="1:7" ht="17.25" hidden="1" x14ac:dyDescent="0.25">
      <c r="A62" s="380" t="s">
        <v>397</v>
      </c>
      <c r="B62" s="368"/>
      <c r="D62" s="377"/>
      <c r="E62" s="377"/>
      <c r="F62" s="379"/>
      <c r="G62" s="379"/>
    </row>
    <row r="63" spans="1:7" hidden="1" x14ac:dyDescent="0.25">
      <c r="A63" s="25" t="s">
        <v>403</v>
      </c>
    </row>
    <row r="64" spans="1:7" hidden="1" x14ac:dyDescent="0.25">
      <c r="A64" s="53" t="s">
        <v>385</v>
      </c>
      <c r="G64" s="49"/>
    </row>
    <row r="65" spans="7:7" x14ac:dyDescent="0.25">
      <c r="G65" s="49"/>
    </row>
    <row r="66" spans="7:7" x14ac:dyDescent="0.25">
      <c r="G66" s="49"/>
    </row>
    <row r="67" spans="7:7" x14ac:dyDescent="0.25">
      <c r="G67" s="49"/>
    </row>
    <row r="68" spans="7:7" x14ac:dyDescent="0.25">
      <c r="G68" s="49"/>
    </row>
    <row r="69" spans="7:7" x14ac:dyDescent="0.25">
      <c r="G69" s="49"/>
    </row>
    <row r="70" spans="7:7" x14ac:dyDescent="0.25">
      <c r="G70" s="49"/>
    </row>
    <row r="71" spans="7:7" x14ac:dyDescent="0.25">
      <c r="G71" s="49"/>
    </row>
    <row r="72" spans="7:7" x14ac:dyDescent="0.25">
      <c r="G72" s="49"/>
    </row>
    <row r="73" spans="7:7" x14ac:dyDescent="0.25">
      <c r="G73" s="49"/>
    </row>
    <row r="74" spans="7:7" x14ac:dyDescent="0.25">
      <c r="G74" s="49"/>
    </row>
    <row r="75" spans="7:7" x14ac:dyDescent="0.25">
      <c r="G75" s="49"/>
    </row>
    <row r="76" spans="7:7" x14ac:dyDescent="0.25">
      <c r="G76" s="49"/>
    </row>
    <row r="77" spans="7:7" x14ac:dyDescent="0.25">
      <c r="G77" s="49"/>
    </row>
    <row r="78" spans="7:7" x14ac:dyDescent="0.25">
      <c r="G78" s="49"/>
    </row>
    <row r="79" spans="7:7" x14ac:dyDescent="0.25">
      <c r="G79" s="49"/>
    </row>
    <row r="80" spans="7:7" x14ac:dyDescent="0.25">
      <c r="G80" s="49"/>
    </row>
    <row r="81" spans="7:7" x14ac:dyDescent="0.25">
      <c r="G81" s="49"/>
    </row>
    <row r="82" spans="7:7" x14ac:dyDescent="0.25">
      <c r="G82" s="49"/>
    </row>
    <row r="83" spans="7:7" x14ac:dyDescent="0.25">
      <c r="G83" s="49"/>
    </row>
    <row r="84" spans="7:7" x14ac:dyDescent="0.25">
      <c r="G84" s="49"/>
    </row>
    <row r="85" spans="7:7" x14ac:dyDescent="0.25">
      <c r="G85" s="49"/>
    </row>
    <row r="86" spans="7:7" x14ac:dyDescent="0.25">
      <c r="G86" s="49"/>
    </row>
    <row r="87" spans="7:7" x14ac:dyDescent="0.25">
      <c r="G87" s="49"/>
    </row>
    <row r="88" spans="7:7" x14ac:dyDescent="0.25">
      <c r="G88" s="49"/>
    </row>
    <row r="89" spans="7:7" x14ac:dyDescent="0.25">
      <c r="G89" s="49"/>
    </row>
    <row r="90" spans="7:7" x14ac:dyDescent="0.25">
      <c r="G90" s="49"/>
    </row>
    <row r="91" spans="7:7" x14ac:dyDescent="0.25">
      <c r="G91" s="49"/>
    </row>
    <row r="92" spans="7:7" x14ac:dyDescent="0.25">
      <c r="G92" s="49"/>
    </row>
    <row r="93" spans="7:7" x14ac:dyDescent="0.25">
      <c r="G93" s="49"/>
    </row>
    <row r="94" spans="7:7" x14ac:dyDescent="0.25">
      <c r="G94" s="49"/>
    </row>
    <row r="95" spans="7:7" x14ac:dyDescent="0.25">
      <c r="G95" s="49"/>
    </row>
    <row r="96" spans="7:7" x14ac:dyDescent="0.25">
      <c r="G96" s="49"/>
    </row>
    <row r="97" spans="7:7" x14ac:dyDescent="0.25">
      <c r="G97" s="49"/>
    </row>
    <row r="98" spans="7:7" x14ac:dyDescent="0.25">
      <c r="G98" s="49"/>
    </row>
    <row r="99" spans="7:7" x14ac:dyDescent="0.25">
      <c r="G99" s="49"/>
    </row>
    <row r="100" spans="7:7" x14ac:dyDescent="0.25">
      <c r="G100" s="49"/>
    </row>
    <row r="101" spans="7:7" x14ac:dyDescent="0.25">
      <c r="G101" s="49"/>
    </row>
    <row r="102" spans="7:7" x14ac:dyDescent="0.25">
      <c r="G102" s="49"/>
    </row>
    <row r="103" spans="7:7" x14ac:dyDescent="0.25">
      <c r="G103" s="49"/>
    </row>
    <row r="104" spans="7:7" x14ac:dyDescent="0.25">
      <c r="G104" s="49"/>
    </row>
    <row r="105" spans="7:7" x14ac:dyDescent="0.25">
      <c r="G105" s="49"/>
    </row>
    <row r="106" spans="7:7" x14ac:dyDescent="0.25">
      <c r="G106" s="49"/>
    </row>
    <row r="107" spans="7:7" x14ac:dyDescent="0.25">
      <c r="G107" s="49"/>
    </row>
    <row r="108" spans="7:7" x14ac:dyDescent="0.25">
      <c r="G108" s="49"/>
    </row>
    <row r="109" spans="7:7" x14ac:dyDescent="0.25">
      <c r="G109" s="49"/>
    </row>
    <row r="110" spans="7:7" x14ac:dyDescent="0.25">
      <c r="G110" s="49"/>
    </row>
    <row r="111" spans="7:7" x14ac:dyDescent="0.25">
      <c r="G111" s="49"/>
    </row>
    <row r="112" spans="7:7" x14ac:dyDescent="0.25">
      <c r="G112" s="49"/>
    </row>
    <row r="113" spans="7:7" x14ac:dyDescent="0.25">
      <c r="G113" s="49"/>
    </row>
    <row r="114" spans="7:7" x14ac:dyDescent="0.25">
      <c r="G114" s="49"/>
    </row>
    <row r="115" spans="7:7" x14ac:dyDescent="0.25">
      <c r="G115" s="49"/>
    </row>
    <row r="116" spans="7:7" x14ac:dyDescent="0.25">
      <c r="G116" s="49"/>
    </row>
    <row r="117" spans="7:7" x14ac:dyDescent="0.25">
      <c r="G117" s="49"/>
    </row>
    <row r="118" spans="7:7" x14ac:dyDescent="0.25">
      <c r="G118" s="49"/>
    </row>
    <row r="119" spans="7:7" x14ac:dyDescent="0.25">
      <c r="G119" s="49"/>
    </row>
    <row r="120" spans="7:7" x14ac:dyDescent="0.25">
      <c r="G120" s="49"/>
    </row>
    <row r="121" spans="7:7" x14ac:dyDescent="0.25">
      <c r="G121" s="49"/>
    </row>
    <row r="122" spans="7:7" x14ac:dyDescent="0.25">
      <c r="G122" s="49"/>
    </row>
    <row r="123" spans="7:7" x14ac:dyDescent="0.25">
      <c r="G123" s="49"/>
    </row>
    <row r="124" spans="7:7" x14ac:dyDescent="0.25">
      <c r="G124" s="49"/>
    </row>
    <row r="125" spans="7:7" x14ac:dyDescent="0.25">
      <c r="G125" s="49"/>
    </row>
    <row r="126" spans="7:7" x14ac:dyDescent="0.25">
      <c r="G126" s="49"/>
    </row>
    <row r="127" spans="7:7" x14ac:dyDescent="0.25">
      <c r="G127" s="49"/>
    </row>
    <row r="128" spans="7:7" x14ac:dyDescent="0.25">
      <c r="G128" s="49"/>
    </row>
    <row r="129" spans="7:7" x14ac:dyDescent="0.25">
      <c r="G129" s="49"/>
    </row>
    <row r="130" spans="7:7" x14ac:dyDescent="0.25">
      <c r="G130" s="49"/>
    </row>
    <row r="131" spans="7:7" x14ac:dyDescent="0.25">
      <c r="G131" s="49"/>
    </row>
    <row r="132" spans="7:7" x14ac:dyDescent="0.25">
      <c r="G132" s="49"/>
    </row>
    <row r="133" spans="7:7" x14ac:dyDescent="0.25">
      <c r="G133" s="49"/>
    </row>
    <row r="134" spans="7:7" x14ac:dyDescent="0.25">
      <c r="G134" s="49"/>
    </row>
    <row r="135" spans="7:7" x14ac:dyDescent="0.25">
      <c r="G135" s="49"/>
    </row>
    <row r="136" spans="7:7" x14ac:dyDescent="0.25">
      <c r="G136" s="49"/>
    </row>
    <row r="137" spans="7:7" x14ac:dyDescent="0.25">
      <c r="G137" s="49"/>
    </row>
    <row r="138" spans="7:7" x14ac:dyDescent="0.25">
      <c r="G138" s="49"/>
    </row>
    <row r="139" spans="7:7" x14ac:dyDescent="0.25">
      <c r="G139" s="49"/>
    </row>
    <row r="140" spans="7:7" x14ac:dyDescent="0.25">
      <c r="G140" s="49"/>
    </row>
  </sheetData>
  <sheetProtection algorithmName="SHA-512" hashValue="ecQxFQcwrYtsoiiIzj4544wo3vVxFcxPBaWVVYvw1zAXM02nY3A+YYSwXmt1qpWhczdwtgMlOl+/Yt6e/5UzMQ==" saltValue="apOWWKBtaHWD3ZDmbtilhw==" spinCount="100000" sheet="1" objects="1" scenarios="1"/>
  <dataValidations count="1">
    <dataValidation type="list" allowBlank="1" showInputMessage="1" showErrorMessage="1" sqref="E6:E11">
      <formula1>"Y,N"</formula1>
    </dataValidation>
  </dataValidation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7089" r:id="rId4" name="Check Box 49">
              <controlPr defaultSize="0" autoFill="0" autoLine="0" autoPict="0">
                <anchor moveWithCells="1">
                  <from>
                    <xdr:col>0</xdr:col>
                    <xdr:colOff>0</xdr:colOff>
                    <xdr:row>18</xdr:row>
                    <xdr:rowOff>0</xdr:rowOff>
                  </from>
                  <to>
                    <xdr:col>0</xdr:col>
                    <xdr:colOff>295275</xdr:colOff>
                    <xdr:row>20</xdr:row>
                    <xdr:rowOff>19050</xdr:rowOff>
                  </to>
                </anchor>
              </controlPr>
            </control>
          </mc:Choice>
        </mc:AlternateContent>
        <mc:AlternateContent xmlns:mc="http://schemas.openxmlformats.org/markup-compatibility/2006">
          <mc:Choice Requires="x14">
            <control shapeId="87090" r:id="rId5" name="Check Box 50">
              <controlPr defaultSize="0" autoFill="0" autoLine="0" autoPict="0">
                <anchor moveWithCells="1">
                  <from>
                    <xdr:col>1</xdr:col>
                    <xdr:colOff>0</xdr:colOff>
                    <xdr:row>18</xdr:row>
                    <xdr:rowOff>0</xdr:rowOff>
                  </from>
                  <to>
                    <xdr:col>1</xdr:col>
                    <xdr:colOff>295275</xdr:colOff>
                    <xdr:row>20</xdr:row>
                    <xdr:rowOff>19050</xdr:rowOff>
                  </to>
                </anchor>
              </controlPr>
            </control>
          </mc:Choice>
        </mc:AlternateContent>
        <mc:AlternateContent xmlns:mc="http://schemas.openxmlformats.org/markup-compatibility/2006">
          <mc:Choice Requires="x14">
            <control shapeId="87091" r:id="rId6" name="Check Box 51">
              <controlPr defaultSize="0" autoFill="0" autoLine="0" autoPict="0">
                <anchor moveWithCells="1">
                  <from>
                    <xdr:col>0</xdr:col>
                    <xdr:colOff>0</xdr:colOff>
                    <xdr:row>20</xdr:row>
                    <xdr:rowOff>0</xdr:rowOff>
                  </from>
                  <to>
                    <xdr:col>0</xdr:col>
                    <xdr:colOff>295275</xdr:colOff>
                    <xdr:row>27</xdr:row>
                    <xdr:rowOff>19050</xdr:rowOff>
                  </to>
                </anchor>
              </controlPr>
            </control>
          </mc:Choice>
        </mc:AlternateContent>
        <mc:AlternateContent xmlns:mc="http://schemas.openxmlformats.org/markup-compatibility/2006">
          <mc:Choice Requires="x14">
            <control shapeId="87092" r:id="rId7" name="Check Box 52">
              <controlPr defaultSize="0" autoFill="0" autoLine="0" autoPict="0">
                <anchor moveWithCells="1">
                  <from>
                    <xdr:col>1</xdr:col>
                    <xdr:colOff>0</xdr:colOff>
                    <xdr:row>20</xdr:row>
                    <xdr:rowOff>0</xdr:rowOff>
                  </from>
                  <to>
                    <xdr:col>1</xdr:col>
                    <xdr:colOff>295275</xdr:colOff>
                    <xdr:row>27</xdr:row>
                    <xdr:rowOff>19050</xdr:rowOff>
                  </to>
                </anchor>
              </controlPr>
            </control>
          </mc:Choice>
        </mc:AlternateContent>
        <mc:AlternateContent xmlns:mc="http://schemas.openxmlformats.org/markup-compatibility/2006">
          <mc:Choice Requires="x14">
            <control shapeId="87093" r:id="rId8" name="Check Box 53">
              <controlPr defaultSize="0" autoFill="0" autoLine="0" autoPict="0">
                <anchor moveWithCells="1">
                  <from>
                    <xdr:col>0</xdr:col>
                    <xdr:colOff>0</xdr:colOff>
                    <xdr:row>27</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87094" r:id="rId9" name="Check Box 54">
              <controlPr defaultSize="0" autoFill="0" autoLine="0" autoPict="0">
                <anchor moveWithCells="1">
                  <from>
                    <xdr:col>1</xdr:col>
                    <xdr:colOff>0</xdr:colOff>
                    <xdr:row>27</xdr:row>
                    <xdr:rowOff>0</xdr:rowOff>
                  </from>
                  <to>
                    <xdr:col>1</xdr:col>
                    <xdr:colOff>295275</xdr:colOff>
                    <xdr:row>29</xdr:row>
                    <xdr:rowOff>19050</xdr:rowOff>
                  </to>
                </anchor>
              </controlPr>
            </control>
          </mc:Choice>
        </mc:AlternateContent>
        <mc:AlternateContent xmlns:mc="http://schemas.openxmlformats.org/markup-compatibility/2006">
          <mc:Choice Requires="x14">
            <control shapeId="87095" r:id="rId10" name="Check Box 55">
              <controlPr defaultSize="0" autoFill="0" autoLine="0" autoPict="0">
                <anchor moveWithCells="1">
                  <from>
                    <xdr:col>0</xdr:col>
                    <xdr:colOff>0</xdr:colOff>
                    <xdr:row>29</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87096" r:id="rId11" name="Check Box 56">
              <controlPr defaultSize="0" autoFill="0" autoLine="0" autoPict="0">
                <anchor moveWithCells="1">
                  <from>
                    <xdr:col>1</xdr:col>
                    <xdr:colOff>0</xdr:colOff>
                    <xdr:row>29</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87097" r:id="rId12" name="Check Box 57">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87098" r:id="rId13" name="Check Box 58">
              <controlPr defaultSize="0" autoFill="0" autoLine="0" autoPict="0">
                <anchor moveWithCells="1">
                  <from>
                    <xdr:col>0</xdr:col>
                    <xdr:colOff>0</xdr:colOff>
                    <xdr:row>32</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87099" r:id="rId14" name="Check Box 59">
              <controlPr defaultSize="0" autoFill="0" autoLine="0" autoPict="0">
                <anchor moveWithCells="1">
                  <from>
                    <xdr:col>0</xdr:col>
                    <xdr:colOff>0</xdr:colOff>
                    <xdr:row>49</xdr:row>
                    <xdr:rowOff>0</xdr:rowOff>
                  </from>
                  <to>
                    <xdr:col>0</xdr:col>
                    <xdr:colOff>295275</xdr:colOff>
                    <xdr:row>50</xdr:row>
                    <xdr:rowOff>19050</xdr:rowOff>
                  </to>
                </anchor>
              </controlPr>
            </control>
          </mc:Choice>
        </mc:AlternateContent>
        <mc:AlternateContent xmlns:mc="http://schemas.openxmlformats.org/markup-compatibility/2006">
          <mc:Choice Requires="x14">
            <control shapeId="87100" r:id="rId15" name="Check Box 60">
              <controlPr defaultSize="0" autoFill="0" autoLine="0" autoPict="0">
                <anchor moveWithCells="1">
                  <from>
                    <xdr:col>0</xdr:col>
                    <xdr:colOff>0</xdr:colOff>
                    <xdr:row>50</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87101" r:id="rId16" name="Check Box 61">
              <controlPr defaultSize="0" autoFill="0" autoLine="0" autoPict="0">
                <anchor moveWithCells="1">
                  <from>
                    <xdr:col>1</xdr:col>
                    <xdr:colOff>0</xdr:colOff>
                    <xdr:row>50</xdr:row>
                    <xdr:rowOff>0</xdr:rowOff>
                  </from>
                  <to>
                    <xdr:col>1</xdr:col>
                    <xdr:colOff>295275</xdr:colOff>
                    <xdr:row>53</xdr:row>
                    <xdr:rowOff>19050</xdr:rowOff>
                  </to>
                </anchor>
              </controlPr>
            </control>
          </mc:Choice>
        </mc:AlternateContent>
        <mc:AlternateContent xmlns:mc="http://schemas.openxmlformats.org/markup-compatibility/2006">
          <mc:Choice Requires="x14">
            <control shapeId="87102" r:id="rId17" name="Check Box 62">
              <controlPr defaultSize="0" autoFill="0" autoLine="0" autoPict="0">
                <anchor moveWithCells="1">
                  <from>
                    <xdr:col>0</xdr:col>
                    <xdr:colOff>0</xdr:colOff>
                    <xdr:row>53</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87103" r:id="rId18" name="Check Box 63">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87104" r:id="rId19" name="Check Box 64">
              <controlPr defaultSize="0" autoFill="0" autoLine="0" autoPict="0">
                <anchor moveWithCells="1">
                  <from>
                    <xdr:col>0</xdr:col>
                    <xdr:colOff>0</xdr:colOff>
                    <xdr:row>57</xdr:row>
                    <xdr:rowOff>0</xdr:rowOff>
                  </from>
                  <to>
                    <xdr:col>0</xdr:col>
                    <xdr:colOff>295275</xdr:colOff>
                    <xdr:row>64</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pageSetUpPr fitToPage="1"/>
  </sheetPr>
  <dimension ref="A1:G36"/>
  <sheetViews>
    <sheetView showGridLines="0" view="pageBreakPreview" zoomScaleNormal="100" zoomScaleSheetLayoutView="100" workbookViewId="0">
      <selection activeCell="D6" sqref="D6"/>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334" customWidth="1"/>
  </cols>
  <sheetData>
    <row r="1" spans="1:7" x14ac:dyDescent="0.25">
      <c r="A1" s="21" t="s">
        <v>68</v>
      </c>
      <c r="D1" s="37" t="s">
        <v>70</v>
      </c>
      <c r="F1" s="36" t="str">
        <f>Co_Name</f>
        <v>State Farm General Insurance Company</v>
      </c>
    </row>
    <row r="2" spans="1:7" x14ac:dyDescent="0.25">
      <c r="A2" s="21" t="s">
        <v>69</v>
      </c>
      <c r="D2" s="37" t="s">
        <v>71</v>
      </c>
      <c r="F2" s="36" t="str">
        <f>General_Line</f>
        <v>Homeowners</v>
      </c>
    </row>
    <row r="3" spans="1:7" x14ac:dyDescent="0.25">
      <c r="B3" s="167"/>
    </row>
    <row r="4" spans="1:7" ht="23.25" x14ac:dyDescent="0.25">
      <c r="A4" s="5" t="s">
        <v>285</v>
      </c>
      <c r="B4" s="3"/>
      <c r="C4" s="3"/>
      <c r="D4" s="3"/>
      <c r="E4" s="3"/>
      <c r="F4" s="3"/>
    </row>
    <row r="6" spans="1:7" ht="15.75" x14ac:dyDescent="0.25">
      <c r="B6" s="56" t="s">
        <v>74</v>
      </c>
      <c r="C6" s="27"/>
      <c r="D6" s="321" t="e">
        <f>$D$22</f>
        <v>#DIV/0!</v>
      </c>
    </row>
    <row r="7" spans="1:7" ht="4.5" customHeight="1" x14ac:dyDescent="0.25"/>
    <row r="8" spans="1:7" s="49" customFormat="1" ht="18" customHeight="1" x14ac:dyDescent="0.25">
      <c r="A8" s="55"/>
      <c r="B8" s="56" t="s">
        <v>73</v>
      </c>
      <c r="C8" s="27"/>
      <c r="D8" s="322"/>
      <c r="G8" s="335" t="str">
        <f>IF(ISBLANK(D8),"←ERROR! Enter the Proposed Earned Premium Per Exposure.","")</f>
        <v>←ERROR! Enter the Proposed Earned Premium Per Exposure.</v>
      </c>
    </row>
    <row r="9" spans="1:7" ht="18" customHeight="1" x14ac:dyDescent="0.25">
      <c r="A9" s="55"/>
      <c r="B9" s="56" t="s">
        <v>224</v>
      </c>
      <c r="C9" s="27"/>
      <c r="D9" s="269"/>
      <c r="G9" s="216" t="str">
        <f>IF(ISBLANK(D9),"←ERROR! Enter the Proposed Effective Date.","")</f>
        <v>←ERROR! Enter the Proposed Effective Date.</v>
      </c>
    </row>
    <row r="10" spans="1:7" ht="15.75" thickBot="1" x14ac:dyDescent="0.3">
      <c r="A10" s="54"/>
    </row>
    <row r="11" spans="1:7" ht="33" thickBot="1" x14ac:dyDescent="0.3">
      <c r="A11" s="59"/>
      <c r="B11" s="60" t="s">
        <v>126</v>
      </c>
      <c r="C11" s="60" t="s">
        <v>75</v>
      </c>
      <c r="D11" s="60" t="s">
        <v>357</v>
      </c>
      <c r="E11" s="60" t="s">
        <v>358</v>
      </c>
      <c r="F11" s="61" t="s">
        <v>359</v>
      </c>
    </row>
    <row r="12" spans="1:7" ht="30" customHeight="1" x14ac:dyDescent="0.25">
      <c r="A12" s="62">
        <v>-1</v>
      </c>
      <c r="B12" s="270"/>
      <c r="C12" s="271"/>
      <c r="D12" s="271"/>
      <c r="E12" s="272"/>
      <c r="F12" s="75">
        <f>E12*(1+D12)</f>
        <v>0</v>
      </c>
      <c r="G12" s="216" t="str">
        <f>IF(AND(COUNTA(B12:E12)&gt;=1,COUNTA(B12:E12)&lt;=3),"←ERROR! Fill out each cell in this row.","")</f>
        <v/>
      </c>
    </row>
    <row r="13" spans="1:7" ht="30" customHeight="1" x14ac:dyDescent="0.25">
      <c r="A13" s="63">
        <v>-2</v>
      </c>
      <c r="B13" s="273"/>
      <c r="C13" s="274"/>
      <c r="D13" s="274"/>
      <c r="E13" s="275"/>
      <c r="F13" s="76">
        <f t="shared" ref="F13:F21" si="0">E13*(1+D13)</f>
        <v>0</v>
      </c>
      <c r="G13" s="216" t="str">
        <f t="shared" ref="G13:G21" si="1">IF(AND(COUNTA(B13:E13)&gt;=1,COUNTA(B13:E13)&lt;=3),"←ERROR! Fill out each cell in this row.","")</f>
        <v/>
      </c>
    </row>
    <row r="14" spans="1:7" ht="30" customHeight="1" x14ac:dyDescent="0.25">
      <c r="A14" s="63">
        <v>-3</v>
      </c>
      <c r="B14" s="273"/>
      <c r="C14" s="274"/>
      <c r="D14" s="274"/>
      <c r="E14" s="275"/>
      <c r="F14" s="76">
        <f t="shared" si="0"/>
        <v>0</v>
      </c>
      <c r="G14" s="216" t="str">
        <f t="shared" si="1"/>
        <v/>
      </c>
    </row>
    <row r="15" spans="1:7" ht="30" customHeight="1" x14ac:dyDescent="0.25">
      <c r="A15" s="63">
        <v>-4</v>
      </c>
      <c r="B15" s="273"/>
      <c r="C15" s="274"/>
      <c r="D15" s="274"/>
      <c r="E15" s="275"/>
      <c r="F15" s="76">
        <f t="shared" si="0"/>
        <v>0</v>
      </c>
      <c r="G15" s="216" t="str">
        <f t="shared" si="1"/>
        <v/>
      </c>
    </row>
    <row r="16" spans="1:7" ht="30" customHeight="1" x14ac:dyDescent="0.25">
      <c r="A16" s="63">
        <v>-5</v>
      </c>
      <c r="B16" s="273"/>
      <c r="C16" s="274"/>
      <c r="D16" s="274"/>
      <c r="E16" s="275"/>
      <c r="F16" s="76">
        <f t="shared" si="0"/>
        <v>0</v>
      </c>
      <c r="G16" s="216" t="str">
        <f t="shared" si="1"/>
        <v/>
      </c>
    </row>
    <row r="17" spans="1:7" ht="30" customHeight="1" x14ac:dyDescent="0.25">
      <c r="A17" s="63">
        <v>-6</v>
      </c>
      <c r="B17" s="273"/>
      <c r="C17" s="274"/>
      <c r="D17" s="274"/>
      <c r="E17" s="275"/>
      <c r="F17" s="76">
        <f t="shared" si="0"/>
        <v>0</v>
      </c>
      <c r="G17" s="216" t="str">
        <f t="shared" si="1"/>
        <v/>
      </c>
    </row>
    <row r="18" spans="1:7" ht="30" customHeight="1" x14ac:dyDescent="0.25">
      <c r="A18" s="63">
        <v>-7</v>
      </c>
      <c r="B18" s="273"/>
      <c r="C18" s="274"/>
      <c r="D18" s="274"/>
      <c r="E18" s="275"/>
      <c r="F18" s="76">
        <f t="shared" si="0"/>
        <v>0</v>
      </c>
      <c r="G18" s="216" t="str">
        <f t="shared" si="1"/>
        <v/>
      </c>
    </row>
    <row r="19" spans="1:7" ht="30" customHeight="1" x14ac:dyDescent="0.25">
      <c r="A19" s="63">
        <v>-8</v>
      </c>
      <c r="B19" s="273"/>
      <c r="C19" s="274"/>
      <c r="D19" s="274"/>
      <c r="E19" s="275"/>
      <c r="F19" s="76">
        <f t="shared" si="0"/>
        <v>0</v>
      </c>
      <c r="G19" s="216" t="str">
        <f t="shared" si="1"/>
        <v/>
      </c>
    </row>
    <row r="20" spans="1:7" ht="30" customHeight="1" x14ac:dyDescent="0.25">
      <c r="A20" s="63">
        <v>-9</v>
      </c>
      <c r="B20" s="273"/>
      <c r="C20" s="274"/>
      <c r="D20" s="274"/>
      <c r="E20" s="275"/>
      <c r="F20" s="76">
        <f t="shared" si="0"/>
        <v>0</v>
      </c>
      <c r="G20" s="216" t="str">
        <f t="shared" si="1"/>
        <v/>
      </c>
    </row>
    <row r="21" spans="1:7" ht="30" customHeight="1" x14ac:dyDescent="0.25">
      <c r="A21" s="63">
        <v>-10</v>
      </c>
      <c r="B21" s="276"/>
      <c r="C21" s="277"/>
      <c r="D21" s="277"/>
      <c r="E21" s="278"/>
      <c r="F21" s="76">
        <f t="shared" si="0"/>
        <v>0</v>
      </c>
      <c r="G21" s="216" t="str">
        <f t="shared" si="1"/>
        <v/>
      </c>
    </row>
    <row r="22" spans="1:7" ht="30" customHeight="1" thickBot="1" x14ac:dyDescent="0.3">
      <c r="A22" s="78" t="s">
        <v>76</v>
      </c>
      <c r="B22" s="73"/>
      <c r="C22" s="79" t="e">
        <f>SUMPRODUCT(C$12:C$21,$E$12:$E$21)/$E$22</f>
        <v>#DIV/0!</v>
      </c>
      <c r="D22" s="79" t="e">
        <f>SUMPRODUCT(D$12:D$21,$E$12:$E$21)/$E$22</f>
        <v>#DIV/0!</v>
      </c>
      <c r="E22" s="80">
        <f>SUM($E$12:$E$21)</f>
        <v>0</v>
      </c>
      <c r="F22" s="77">
        <f>SUM($F$12:$F$21)</f>
        <v>0</v>
      </c>
    </row>
    <row r="23" spans="1:7" x14ac:dyDescent="0.25">
      <c r="D23" s="58"/>
    </row>
    <row r="24" spans="1:7" ht="17.25" x14ac:dyDescent="0.25">
      <c r="A24" t="s">
        <v>375</v>
      </c>
      <c r="D24" s="58"/>
    </row>
    <row r="25" spans="1:7" x14ac:dyDescent="0.25">
      <c r="A25" t="s">
        <v>376</v>
      </c>
      <c r="D25" s="58"/>
    </row>
    <row r="26" spans="1:7" ht="18" customHeight="1" x14ac:dyDescent="0.25">
      <c r="A26" s="50" t="s">
        <v>368</v>
      </c>
    </row>
    <row r="27" spans="1:7" ht="18" customHeight="1" x14ac:dyDescent="0.25">
      <c r="A27" s="324" t="s">
        <v>334</v>
      </c>
    </row>
    <row r="28" spans="1:7" ht="5.0999999999999996" customHeight="1" x14ac:dyDescent="0.25">
      <c r="A28" s="2"/>
    </row>
    <row r="29" spans="1:7" ht="18" customHeight="1" x14ac:dyDescent="0.25">
      <c r="A29" t="s">
        <v>365</v>
      </c>
    </row>
    <row r="30" spans="1:7" ht="18" customHeight="1" x14ac:dyDescent="0.25">
      <c r="A30" s="324" t="s">
        <v>363</v>
      </c>
    </row>
    <row r="31" spans="1:7" ht="18" customHeight="1" x14ac:dyDescent="0.25">
      <c r="A31" s="324" t="s">
        <v>362</v>
      </c>
    </row>
    <row r="32" spans="1:7" ht="5.0999999999999996" customHeight="1" x14ac:dyDescent="0.25">
      <c r="A32" s="324"/>
    </row>
    <row r="33" spans="1:1" ht="17.25" x14ac:dyDescent="0.25">
      <c r="A33" t="s">
        <v>366</v>
      </c>
    </row>
    <row r="34" spans="1:1" ht="18" customHeight="1" x14ac:dyDescent="0.25">
      <c r="A34" s="324" t="s">
        <v>364</v>
      </c>
    </row>
    <row r="35" spans="1:1" ht="5.0999999999999996" customHeight="1" x14ac:dyDescent="0.25">
      <c r="A35" s="2"/>
    </row>
    <row r="36" spans="1:1" ht="17.25" x14ac:dyDescent="0.25">
      <c r="A36" t="s">
        <v>367</v>
      </c>
    </row>
  </sheetData>
  <sheetProtection algorithmName="SHA-512" hashValue="9SKB4Y/0NzFsa9Ptqk/dZNeyMbZlx34aw/enSz/iQQ+XqHET84aLao2mxatbc3ZtunVknY9EtzWzLdOMmW/d0g==" saltValue="YEMRlogTpYXATST8D9Q0yQ==" spinCount="100000" sheet="1" objects="1" scenarios="1" formatColumns="0" formatRows="0" sort="0"/>
  <printOptions horizontalCentered="1"/>
  <pageMargins left="0.45" right="0.45" top="0.5" bottom="0.5" header="0.3" footer="0.05"/>
  <pageSetup scale="79" orientation="portrait" r:id="rId1"/>
  <headerFooter>
    <oddFooter xml:space="preserve">&amp;L1/11/2022 Edition
&amp;CPrior Approval Rate Application
Portions of the material contained in this document are protected by copyright owned by the State Farm Mutual Automobile Insurance Company, 2022&amp;RPage 4
</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pageSetUpPr fitToPage="1"/>
  </sheetPr>
  <dimension ref="A1:J29"/>
  <sheetViews>
    <sheetView showGridLines="0" view="pageBreakPreview" zoomScaleNormal="100" zoomScaleSheetLayoutView="100" workbookViewId="0">
      <selection activeCell="F8" sqref="F8"/>
    </sheetView>
  </sheetViews>
  <sheetFormatPr defaultRowHeight="15" x14ac:dyDescent="0.25"/>
  <cols>
    <col min="1" max="1" width="25.85546875" customWidth="1"/>
    <col min="2" max="2" width="39" customWidth="1"/>
    <col min="3" max="3" width="12.7109375" customWidth="1"/>
    <col min="4" max="6" width="15.7109375" customWidth="1"/>
    <col min="7" max="7" width="47" style="334" customWidth="1"/>
  </cols>
  <sheetData>
    <row r="1" spans="1:10" x14ac:dyDescent="0.25">
      <c r="A1" s="21" t="s">
        <v>68</v>
      </c>
      <c r="C1" s="37" t="s">
        <v>70</v>
      </c>
      <c r="F1" s="36" t="str">
        <f>Co_Name</f>
        <v>State Farm General Insurance Company</v>
      </c>
    </row>
    <row r="2" spans="1:10" x14ac:dyDescent="0.25">
      <c r="A2" s="21" t="s">
        <v>69</v>
      </c>
      <c r="C2" s="37" t="s">
        <v>71</v>
      </c>
      <c r="F2" s="36" t="str">
        <f>General_Line</f>
        <v>Homeowners</v>
      </c>
    </row>
    <row r="3" spans="1:10" x14ac:dyDescent="0.25">
      <c r="B3" s="167"/>
    </row>
    <row r="4" spans="1:10" ht="23.25" x14ac:dyDescent="0.25">
      <c r="A4" s="5" t="s">
        <v>295</v>
      </c>
      <c r="B4" s="5"/>
      <c r="C4" s="5"/>
      <c r="D4" s="5"/>
      <c r="E4" s="5"/>
      <c r="F4" s="5"/>
    </row>
    <row r="5" spans="1:10" ht="18.75" x14ac:dyDescent="0.3">
      <c r="A5" s="83" t="s">
        <v>118</v>
      </c>
      <c r="B5" s="83"/>
      <c r="C5" s="83"/>
      <c r="D5" s="83"/>
      <c r="E5" s="83"/>
      <c r="F5" s="83"/>
    </row>
    <row r="6" spans="1:10" ht="15.75" thickBot="1" x14ac:dyDescent="0.3"/>
    <row r="7" spans="1:10" ht="33" thickBot="1" x14ac:dyDescent="0.3">
      <c r="A7" s="72"/>
      <c r="B7" s="60" t="s">
        <v>126</v>
      </c>
      <c r="C7" s="60" t="s">
        <v>127</v>
      </c>
      <c r="D7" s="60" t="s">
        <v>122</v>
      </c>
      <c r="E7" s="60" t="s">
        <v>121</v>
      </c>
      <c r="F7" s="61" t="s">
        <v>120</v>
      </c>
    </row>
    <row r="8" spans="1:10" ht="18" customHeight="1" thickBot="1" x14ac:dyDescent="0.3">
      <c r="A8" s="161"/>
      <c r="B8" s="162"/>
      <c r="C8" s="162"/>
      <c r="D8" s="256" t="e">
        <f>E8-1</f>
        <v>#VALUE!</v>
      </c>
      <c r="E8" s="256" t="e">
        <f>F8-1</f>
        <v>#VALUE!</v>
      </c>
      <c r="F8" s="255" t="s">
        <v>172</v>
      </c>
    </row>
    <row r="9" spans="1:10" ht="30" customHeight="1" x14ac:dyDescent="0.25">
      <c r="A9" s="62">
        <v>-1</v>
      </c>
      <c r="B9" s="279"/>
      <c r="C9" s="280"/>
      <c r="D9" s="281"/>
      <c r="E9" s="281"/>
      <c r="F9" s="282"/>
      <c r="J9" s="332"/>
    </row>
    <row r="10" spans="1:10" ht="30" customHeight="1" x14ac:dyDescent="0.25">
      <c r="A10" s="63">
        <v>-2</v>
      </c>
      <c r="B10" s="283"/>
      <c r="C10" s="284"/>
      <c r="D10" s="285"/>
      <c r="E10" s="285"/>
      <c r="F10" s="286"/>
    </row>
    <row r="11" spans="1:10" ht="30" customHeight="1" x14ac:dyDescent="0.25">
      <c r="A11" s="63">
        <v>-3</v>
      </c>
      <c r="B11" s="283"/>
      <c r="C11" s="284"/>
      <c r="D11" s="285"/>
      <c r="E11" s="285"/>
      <c r="F11" s="286"/>
    </row>
    <row r="12" spans="1:10" ht="30" customHeight="1" x14ac:dyDescent="0.25">
      <c r="A12" s="63">
        <v>-4</v>
      </c>
      <c r="B12" s="283"/>
      <c r="C12" s="284"/>
      <c r="D12" s="285"/>
      <c r="E12" s="285"/>
      <c r="F12" s="286"/>
    </row>
    <row r="13" spans="1:10" ht="30" customHeight="1" x14ac:dyDescent="0.25">
      <c r="A13" s="63">
        <v>-5</v>
      </c>
      <c r="B13" s="283"/>
      <c r="C13" s="284"/>
      <c r="D13" s="285"/>
      <c r="E13" s="285"/>
      <c r="F13" s="286"/>
    </row>
    <row r="14" spans="1:10" ht="30" customHeight="1" x14ac:dyDescent="0.25">
      <c r="A14" s="63">
        <v>-6</v>
      </c>
      <c r="B14" s="283"/>
      <c r="C14" s="284"/>
      <c r="D14" s="285"/>
      <c r="E14" s="285"/>
      <c r="F14" s="286"/>
    </row>
    <row r="15" spans="1:10" ht="30" customHeight="1" x14ac:dyDescent="0.25">
      <c r="A15" s="63">
        <v>-7</v>
      </c>
      <c r="B15" s="283"/>
      <c r="C15" s="284"/>
      <c r="D15" s="285"/>
      <c r="E15" s="285"/>
      <c r="F15" s="286"/>
    </row>
    <row r="16" spans="1:10" ht="30" customHeight="1" x14ac:dyDescent="0.25">
      <c r="A16" s="63">
        <v>-8</v>
      </c>
      <c r="B16" s="283"/>
      <c r="C16" s="284"/>
      <c r="D16" s="285"/>
      <c r="E16" s="285"/>
      <c r="F16" s="286"/>
    </row>
    <row r="17" spans="1:7" ht="30" customHeight="1" x14ac:dyDescent="0.25">
      <c r="A17" s="63">
        <v>-9</v>
      </c>
      <c r="B17" s="283"/>
      <c r="C17" s="284"/>
      <c r="D17" s="285"/>
      <c r="E17" s="285"/>
      <c r="F17" s="286"/>
    </row>
    <row r="18" spans="1:7" ht="30" customHeight="1" x14ac:dyDescent="0.25">
      <c r="A18" s="63">
        <v>-10</v>
      </c>
      <c r="B18" s="287"/>
      <c r="C18" s="288"/>
      <c r="D18" s="289"/>
      <c r="E18" s="289"/>
      <c r="F18" s="290"/>
    </row>
    <row r="19" spans="1:7" ht="30" customHeight="1" thickBot="1" x14ac:dyDescent="0.3">
      <c r="A19" s="78" t="s">
        <v>76</v>
      </c>
      <c r="B19" s="73"/>
      <c r="C19" s="74"/>
      <c r="D19" s="81">
        <f>SUM(D$9:D$18)</f>
        <v>0</v>
      </c>
      <c r="E19" s="81">
        <f>SUM(E$9:E$18)</f>
        <v>0</v>
      </c>
      <c r="F19" s="82">
        <f>SUM(F$9:F$18)</f>
        <v>0</v>
      </c>
    </row>
    <row r="20" spans="1:7" ht="24.95" customHeight="1" x14ac:dyDescent="0.25">
      <c r="A20" s="235" t="s">
        <v>123</v>
      </c>
      <c r="B20" s="236"/>
      <c r="C20" s="237"/>
      <c r="D20" s="291"/>
      <c r="E20" s="292"/>
      <c r="F20" s="293"/>
      <c r="G20" s="335" t="str">
        <f>IF(COUNTA(D20:F20)&lt;3,"←ERROR! Enter Statutory Page 14 Data."," ")</f>
        <v>←ERROR! Enter Statutory Page 14 Data.</v>
      </c>
    </row>
    <row r="21" spans="1:7" ht="24.95" customHeight="1" thickBot="1" x14ac:dyDescent="0.3">
      <c r="A21" s="238" t="s">
        <v>124</v>
      </c>
      <c r="B21" s="239"/>
      <c r="C21" s="240"/>
      <c r="D21" s="241">
        <f>D19-D20</f>
        <v>0</v>
      </c>
      <c r="E21" s="241">
        <f t="shared" ref="E21:F21" si="0">E19-E20</f>
        <v>0</v>
      </c>
      <c r="F21" s="258">
        <f t="shared" si="0"/>
        <v>0</v>
      </c>
    </row>
    <row r="23" spans="1:7" ht="15.75" thickBot="1" x14ac:dyDescent="0.3">
      <c r="A23" t="s">
        <v>125</v>
      </c>
    </row>
    <row r="24" spans="1:7" ht="136.5" customHeight="1" thickBot="1" x14ac:dyDescent="0.3">
      <c r="A24" s="576"/>
      <c r="B24" s="577"/>
      <c r="C24" s="577"/>
      <c r="D24" s="577"/>
      <c r="E24" s="577"/>
      <c r="F24" s="578"/>
      <c r="G24" s="335" t="str">
        <f>IF(AND(ISBLANK(A24),OR(ROUND(D21,0)&lt;&gt;0,ROUND(E21,0)&lt;&gt;0,ROUND(F21,0)&lt;&gt;0)),"← WARNING! Explain any differences.","")</f>
        <v/>
      </c>
    </row>
    <row r="25" spans="1:7" ht="5.0999999999999996" customHeight="1" x14ac:dyDescent="0.25"/>
    <row r="26" spans="1:7" ht="17.25" x14ac:dyDescent="0.25">
      <c r="A26" s="331" t="s">
        <v>361</v>
      </c>
    </row>
    <row r="27" spans="1:7" x14ac:dyDescent="0.25">
      <c r="A27" s="331" t="s">
        <v>378</v>
      </c>
    </row>
    <row r="28" spans="1:7" x14ac:dyDescent="0.25">
      <c r="A28" s="331" t="s">
        <v>379</v>
      </c>
    </row>
    <row r="29" spans="1:7" ht="17.25" x14ac:dyDescent="0.25">
      <c r="A29" t="s">
        <v>128</v>
      </c>
    </row>
  </sheetData>
  <sheetProtection algorithmName="SHA-512" hashValue="LbV89u8qi/BJNO11DKtHbFA0Lg90GfmhgMtiducK7HZp3U8XpjGPXN+jVQkMvHlYFsaCkpoOxTBW+zrgs8hnKw==" saltValue="URYiRwhgpj6caEqnISS86w==" spinCount="100000" sheet="1" objects="1" scenarios="1" formatColumns="0" formatRows="0" sort="0"/>
  <mergeCells count="1">
    <mergeCell ref="A24:F24"/>
  </mergeCells>
  <printOptions horizontalCentered="1"/>
  <pageMargins left="0.45" right="0.45" top="0.5" bottom="0.5" header="0.3" footer="0.05"/>
  <pageSetup scale="77" orientation="portrait" r:id="rId1"/>
  <headerFooter>
    <oddFooter xml:space="preserve">&amp;L1/11/2022 Edition
&amp;CPrior Approval Rate Application
Portions of the material contained in this document are protected by copyright owned by the State Farm Mutual Automobile Insurance Company, 2022&amp;RPage 5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00FF"/>
  </sheetPr>
  <dimension ref="A1:J232"/>
  <sheetViews>
    <sheetView showGridLines="0" view="pageBreakPreview" zoomScaleNormal="100" zoomScaleSheetLayoutView="100" workbookViewId="0">
      <selection activeCell="B6" sqref="B6"/>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21" t="s">
        <v>68</v>
      </c>
      <c r="G1" s="37" t="s">
        <v>70</v>
      </c>
      <c r="J1" s="36" t="str">
        <f>Co_Name</f>
        <v>State Farm General Insurance Company</v>
      </c>
    </row>
    <row r="2" spans="1:10" x14ac:dyDescent="0.25">
      <c r="A2" s="21" t="s">
        <v>69</v>
      </c>
      <c r="G2" s="37" t="s">
        <v>71</v>
      </c>
      <c r="J2" s="36" t="str">
        <f>General_Line</f>
        <v>Homeowners</v>
      </c>
    </row>
    <row r="3" spans="1:10" x14ac:dyDescent="0.25">
      <c r="B3" s="232"/>
    </row>
    <row r="4" spans="1:10" ht="24" thickBot="1" x14ac:dyDescent="0.4">
      <c r="B4" s="303" t="str">
        <f>CONCATENATE("ANNUAL STATEMENT LINE - ", J2,)</f>
        <v>ANNUAL STATEMENT LINE - Homeowners</v>
      </c>
      <c r="C4" s="208"/>
      <c r="D4" s="208"/>
      <c r="E4" s="208"/>
      <c r="F4" s="208"/>
      <c r="G4" s="208"/>
      <c r="H4" s="208"/>
      <c r="I4" s="208"/>
      <c r="J4" s="208"/>
    </row>
    <row r="5" spans="1:10" ht="30.75" thickBot="1" x14ac:dyDescent="0.3">
      <c r="B5" s="209" t="s">
        <v>110</v>
      </c>
      <c r="C5" s="209" t="s">
        <v>259</v>
      </c>
      <c r="D5" s="209" t="s">
        <v>260</v>
      </c>
      <c r="E5" s="209" t="s">
        <v>116</v>
      </c>
      <c r="F5" s="209" t="s">
        <v>261</v>
      </c>
      <c r="G5" s="209" t="s">
        <v>117</v>
      </c>
      <c r="H5" s="209" t="s">
        <v>262</v>
      </c>
      <c r="I5" s="209" t="s">
        <v>263</v>
      </c>
      <c r="J5" s="209" t="s">
        <v>264</v>
      </c>
    </row>
    <row r="6" spans="1:10" x14ac:dyDescent="0.25">
      <c r="A6" s="210" t="s">
        <v>215</v>
      </c>
      <c r="B6" s="261" t="s">
        <v>172</v>
      </c>
      <c r="C6" s="313">
        <v>0</v>
      </c>
      <c r="D6" s="304">
        <v>0</v>
      </c>
      <c r="E6" s="305">
        <v>0</v>
      </c>
      <c r="F6" s="219" t="e">
        <f>E6/$D6</f>
        <v>#DIV/0!</v>
      </c>
      <c r="G6" s="310">
        <v>0</v>
      </c>
      <c r="H6" s="219" t="e">
        <f>G6/$D6</f>
        <v>#DIV/0!</v>
      </c>
      <c r="I6" s="218">
        <f>E6+G6</f>
        <v>0</v>
      </c>
      <c r="J6" s="219" t="e">
        <f>I6/$D6</f>
        <v>#DIV/0!</v>
      </c>
    </row>
    <row r="7" spans="1:10" x14ac:dyDescent="0.25">
      <c r="A7" s="210" t="s">
        <v>216</v>
      </c>
      <c r="B7" s="262" t="e">
        <f>B6-1</f>
        <v>#VALUE!</v>
      </c>
      <c r="C7" s="314">
        <v>0</v>
      </c>
      <c r="D7" s="306">
        <v>0</v>
      </c>
      <c r="E7" s="307">
        <v>0</v>
      </c>
      <c r="F7" s="219" t="e">
        <f>E7/$D7</f>
        <v>#DIV/0!</v>
      </c>
      <c r="G7" s="311">
        <v>0</v>
      </c>
      <c r="H7" s="219" t="e">
        <f>G7/$D7</f>
        <v>#DIV/0!</v>
      </c>
      <c r="I7" s="218">
        <f>E7+G7</f>
        <v>0</v>
      </c>
      <c r="J7" s="219" t="e">
        <f>I7/$D7</f>
        <v>#DIV/0!</v>
      </c>
    </row>
    <row r="8" spans="1:10" x14ac:dyDescent="0.25">
      <c r="A8" s="210" t="s">
        <v>218</v>
      </c>
      <c r="B8" s="263" t="e">
        <f>B7-1</f>
        <v>#VALUE!</v>
      </c>
      <c r="C8" s="315">
        <v>0</v>
      </c>
      <c r="D8" s="308">
        <v>0</v>
      </c>
      <c r="E8" s="309">
        <v>0</v>
      </c>
      <c r="F8" s="220" t="e">
        <f>E8/$D8</f>
        <v>#DIV/0!</v>
      </c>
      <c r="G8" s="312">
        <v>0</v>
      </c>
      <c r="H8" s="220" t="e">
        <f>G8/$D8</f>
        <v>#DIV/0!</v>
      </c>
      <c r="I8" s="227">
        <f>E8+G8</f>
        <v>0</v>
      </c>
      <c r="J8" s="220" t="e">
        <f>I8/$D8</f>
        <v>#DIV/0!</v>
      </c>
    </row>
    <row r="9" spans="1:10" x14ac:dyDescent="0.25">
      <c r="A9" s="210" t="s">
        <v>217</v>
      </c>
      <c r="B9" s="264" t="s">
        <v>265</v>
      </c>
      <c r="C9" s="218">
        <f>AVERAGE(C6:C8)</f>
        <v>0</v>
      </c>
      <c r="D9" s="218">
        <f>AVERAGE(D6:D8)</f>
        <v>0</v>
      </c>
      <c r="E9" s="218">
        <f>AVERAGE(E6:E8)</f>
        <v>0</v>
      </c>
      <c r="F9" s="219" t="e">
        <f>E9/$D9</f>
        <v>#DIV/0!</v>
      </c>
      <c r="G9" s="218">
        <f>AVERAGE(G6:G8)</f>
        <v>0</v>
      </c>
      <c r="H9" s="219" t="e">
        <f>G9/$D9</f>
        <v>#DIV/0!</v>
      </c>
      <c r="I9" s="218">
        <f>AVERAGE(I6:I8)</f>
        <v>0</v>
      </c>
      <c r="J9" s="219" t="e">
        <f>I9/$D9</f>
        <v>#DIV/0!</v>
      </c>
    </row>
    <row r="10" spans="1:10" ht="5.0999999999999996" customHeight="1" x14ac:dyDescent="0.25">
      <c r="A10" s="210"/>
      <c r="B10" s="4"/>
      <c r="C10" s="212"/>
      <c r="D10" s="212"/>
      <c r="E10" s="212"/>
      <c r="F10" s="211"/>
      <c r="G10" s="212"/>
      <c r="H10" s="211"/>
      <c r="I10" s="212"/>
      <c r="J10" s="211"/>
    </row>
    <row r="11" spans="1:10" x14ac:dyDescent="0.25">
      <c r="A11" s="148"/>
      <c r="B11" s="213" t="e">
        <f>"Source: Annual Statement for "&amp;B8&amp;", "&amp;B7&amp;" &amp; "&amp;B6</f>
        <v>#VALUE!</v>
      </c>
      <c r="F11" s="214"/>
    </row>
    <row r="12" spans="1:10" x14ac:dyDescent="0.25">
      <c r="B12" s="329" t="s">
        <v>347</v>
      </c>
      <c r="F12" s="214"/>
    </row>
    <row r="13" spans="1:10" x14ac:dyDescent="0.25">
      <c r="A13" s="148"/>
      <c r="B13" s="213" t="s">
        <v>266</v>
      </c>
    </row>
    <row r="14" spans="1:10" x14ac:dyDescent="0.25">
      <c r="A14" s="148"/>
    </row>
    <row r="15" spans="1:10" x14ac:dyDescent="0.25">
      <c r="A15" s="148"/>
      <c r="B15" s="214" t="s">
        <v>348</v>
      </c>
    </row>
    <row r="16" spans="1:10" ht="30.75" thickBot="1" x14ac:dyDescent="0.3">
      <c r="A16" s="148"/>
      <c r="B16" s="209" t="s">
        <v>110</v>
      </c>
      <c r="C16" s="209" t="s">
        <v>259</v>
      </c>
      <c r="D16" s="209" t="s">
        <v>260</v>
      </c>
      <c r="E16" s="209" t="s">
        <v>116</v>
      </c>
      <c r="F16" s="209" t="s">
        <v>261</v>
      </c>
      <c r="G16" s="209" t="s">
        <v>117</v>
      </c>
      <c r="H16" s="209" t="s">
        <v>262</v>
      </c>
      <c r="I16" s="209" t="s">
        <v>263</v>
      </c>
      <c r="J16" s="209" t="s">
        <v>264</v>
      </c>
    </row>
    <row r="17" spans="1:10" x14ac:dyDescent="0.25">
      <c r="A17" s="210" t="s">
        <v>219</v>
      </c>
      <c r="B17" s="217" t="str">
        <f>$B$6</f>
        <v>YYYY</v>
      </c>
      <c r="C17" s="221">
        <f t="shared" ref="C17:E18" si="0">C26+C33+C40+C47+C54+C61+C68+C75+C82+C89+C96+C103+C110+C117+C124+C131+C138+C145+C152+C159+C166+C173+C180+C187+C194+C201+C208+C215+C222+C229</f>
        <v>0</v>
      </c>
      <c r="D17" s="221">
        <f t="shared" si="0"/>
        <v>0</v>
      </c>
      <c r="E17" s="221">
        <f t="shared" si="0"/>
        <v>0</v>
      </c>
      <c r="F17" s="222" t="e">
        <f>E17/$D17</f>
        <v>#DIV/0!</v>
      </c>
      <c r="G17" s="221">
        <f>G26+G33+G40+G47+G54+G61+G68+G75+G82+G89+G96+G103+G110+G117+G124+G131+G138+G145+G152+G159+G166+G173+G180+G187+G194+G201+G208+G215+G222+G229</f>
        <v>0</v>
      </c>
      <c r="H17" s="222" t="e">
        <f>G17/$D17</f>
        <v>#DIV/0!</v>
      </c>
      <c r="I17" s="221">
        <f>I26+I33+I40+I47+I54+I61+I68+I75+I82+I89+I96+I103+I110+I117+I124+I131+I138+I145+I152+I159+I166+I173+I180+I187+I194+I201+I208+I215+I222+I229</f>
        <v>0</v>
      </c>
      <c r="J17" s="222" t="e">
        <f>I17/$D17</f>
        <v>#DIV/0!</v>
      </c>
    </row>
    <row r="18" spans="1:10" x14ac:dyDescent="0.25">
      <c r="A18" s="210" t="s">
        <v>220</v>
      </c>
      <c r="B18" s="217" t="e">
        <f>$B$7</f>
        <v>#VALUE!</v>
      </c>
      <c r="C18" s="221">
        <f t="shared" si="0"/>
        <v>0</v>
      </c>
      <c r="D18" s="221">
        <f t="shared" si="0"/>
        <v>0</v>
      </c>
      <c r="E18" s="221">
        <f t="shared" si="0"/>
        <v>0</v>
      </c>
      <c r="F18" s="222" t="e">
        <f>E18/$D18</f>
        <v>#DIV/0!</v>
      </c>
      <c r="G18" s="221">
        <f>G27+G34+G41+G48+G55+G62+G69+G76+G83+G90+G97+G104+G111+G118+G125+G132+G139+G146+G153+G160+G167+G174+G181+G188+G195+G202+G209+G216+G223+G230</f>
        <v>0</v>
      </c>
      <c r="H18" s="222" t="e">
        <f>G18/$D18</f>
        <v>#DIV/0!</v>
      </c>
      <c r="I18" s="221">
        <f>I27+I34+I41+I48+I55+I62+I69+I76+I83+I90+I97+I104+I111+I118+I125+I132+I139+I146+I153+I160+I167+I174+I181+I188+I195+I1202+I209+I216+I223+I230</f>
        <v>0</v>
      </c>
      <c r="J18" s="222" t="e">
        <f>I18/$D18</f>
        <v>#DIV/0!</v>
      </c>
    </row>
    <row r="19" spans="1:10" x14ac:dyDescent="0.25">
      <c r="A19" s="210" t="s">
        <v>221</v>
      </c>
      <c r="B19" s="223" t="e">
        <f>$B$8</f>
        <v>#VALUE!</v>
      </c>
      <c r="C19" s="224">
        <f>C28+C35+C42+C49+C56+C63+C70+C77+C84+C91+C98+C105+C112+C119+C126+C133+C140+C147+C154+C161+C168+C175+C182+C189+C196+C203+C210+C217+C224+C231</f>
        <v>0</v>
      </c>
      <c r="D19" s="224">
        <f>D28+D35+D42+D49+D56+D63+D70+D77+D84+D91+D98+D105+D112+D119+D126+D133+D140+D147+D154+D161+D168+D175+D182+D189+D196+D203+D210+D217+D224+D231</f>
        <v>0</v>
      </c>
      <c r="E19" s="224">
        <f>E28+E35+E42+E49+E56+E63+E70+E77+E84+E91+E98+E105+E112+E119+E126+E133+E140+E147+E154+E161+E168+E175+E182+E189+E196+E203+E210+E217+E224+E231</f>
        <v>0</v>
      </c>
      <c r="F19" s="225" t="e">
        <f>E19/$D19</f>
        <v>#DIV/0!</v>
      </c>
      <c r="G19" s="224">
        <f>G28+G35+G42+G49+G56+G63+G70+G77+G84+G91+G98+G105+G112+G119+G126+G133+G140+G147+G154+G161+G168+G175+G181+G189+G196+G203+G210+G217+G224+G231</f>
        <v>0</v>
      </c>
      <c r="H19" s="225" t="e">
        <f>G19/$D19</f>
        <v>#DIV/0!</v>
      </c>
      <c r="I19" s="224">
        <f>I28+I35+I42+I49+I56+I63+I70+I77+I84+I91+I98+I105+I112+I119+I126+I133+I140+I147+I154+I161+I168+I175+I182+I189+I196+I203+I210+I217+I224+I231</f>
        <v>0</v>
      </c>
      <c r="J19" s="225" t="e">
        <f>I19/$D19</f>
        <v>#DIV/0!</v>
      </c>
    </row>
    <row r="20" spans="1:10" x14ac:dyDescent="0.25">
      <c r="A20" s="210" t="s">
        <v>222</v>
      </c>
      <c r="B20" s="217" t="s">
        <v>265</v>
      </c>
      <c r="C20" s="221">
        <f>AVERAGE(C17:C19)</f>
        <v>0</v>
      </c>
      <c r="D20" s="221">
        <f>AVERAGE(D17:D19)</f>
        <v>0</v>
      </c>
      <c r="E20" s="221">
        <f>AVERAGE(E17:E19)</f>
        <v>0</v>
      </c>
      <c r="F20" s="222" t="e">
        <f>E20/$D20</f>
        <v>#DIV/0!</v>
      </c>
      <c r="G20" s="221">
        <f>AVERAGE(G17:G19)</f>
        <v>0</v>
      </c>
      <c r="H20" s="222" t="e">
        <f>G20/$D20</f>
        <v>#DIV/0!</v>
      </c>
      <c r="I20" s="221">
        <f>AVERAGE(I17:I19)</f>
        <v>0</v>
      </c>
      <c r="J20" s="222" t="e">
        <f>I20/$D20</f>
        <v>#DIV/0!</v>
      </c>
    </row>
    <row r="21" spans="1:10" x14ac:dyDescent="0.25">
      <c r="A21" s="148"/>
      <c r="B21" s="4"/>
      <c r="C21" s="215"/>
      <c r="D21" s="215"/>
      <c r="E21" s="215"/>
      <c r="F21" s="211"/>
      <c r="G21" s="215"/>
      <c r="H21" s="211"/>
      <c r="I21" s="215"/>
      <c r="J21" s="211"/>
    </row>
    <row r="22" spans="1:10" x14ac:dyDescent="0.25">
      <c r="A22" s="148"/>
      <c r="B22" s="217" t="s">
        <v>124</v>
      </c>
      <c r="C22" s="226">
        <f>C20-C9</f>
        <v>0</v>
      </c>
      <c r="D22" s="226">
        <f t="shared" ref="D22:J22" si="1">D20-D9</f>
        <v>0</v>
      </c>
      <c r="E22" s="226">
        <f t="shared" si="1"/>
        <v>0</v>
      </c>
      <c r="F22" s="226" t="e">
        <f t="shared" si="1"/>
        <v>#DIV/0!</v>
      </c>
      <c r="G22" s="226">
        <f t="shared" si="1"/>
        <v>0</v>
      </c>
      <c r="H22" s="226" t="e">
        <f t="shared" si="1"/>
        <v>#DIV/0!</v>
      </c>
      <c r="I22" s="226">
        <f>I20-I9</f>
        <v>0</v>
      </c>
      <c r="J22" s="226" t="e">
        <f t="shared" si="1"/>
        <v>#DIV/0!</v>
      </c>
    </row>
    <row r="23" spans="1:10" x14ac:dyDescent="0.25">
      <c r="A23" s="148"/>
      <c r="B23" s="216" t="str">
        <f>IF(OR(C20&lt;&gt;C9,D20&lt;&gt;D9,E20&lt;&gt;E9,G20&lt;&gt;G9,I20&lt;&gt;I9),"ERROR! Total of all forms [Line (8)] must match Annual Statement in [Line (4)] above.  (Round-off will be ignored.)","")</f>
        <v/>
      </c>
    </row>
    <row r="24" spans="1:10" x14ac:dyDescent="0.25">
      <c r="A24" s="148"/>
      <c r="B24" s="579" t="s">
        <v>349</v>
      </c>
      <c r="C24" s="579"/>
    </row>
    <row r="25" spans="1:10" ht="30.75" thickBot="1" x14ac:dyDescent="0.3">
      <c r="A25" s="148"/>
      <c r="B25" s="209" t="s">
        <v>110</v>
      </c>
      <c r="C25" s="209" t="s">
        <v>259</v>
      </c>
      <c r="D25" s="209" t="s">
        <v>260</v>
      </c>
      <c r="E25" s="209" t="s">
        <v>116</v>
      </c>
      <c r="F25" s="209" t="s">
        <v>261</v>
      </c>
      <c r="G25" s="209" t="s">
        <v>117</v>
      </c>
      <c r="H25" s="209" t="s">
        <v>262</v>
      </c>
      <c r="I25" s="209" t="s">
        <v>263</v>
      </c>
      <c r="J25" s="209" t="s">
        <v>264</v>
      </c>
    </row>
    <row r="26" spans="1:10" x14ac:dyDescent="0.25">
      <c r="A26" s="148"/>
      <c r="B26" s="217" t="str">
        <f>$B$6</f>
        <v>YYYY</v>
      </c>
      <c r="C26" s="313">
        <v>0</v>
      </c>
      <c r="D26" s="304">
        <v>0</v>
      </c>
      <c r="E26" s="305">
        <v>0</v>
      </c>
      <c r="F26" s="219" t="e">
        <f>E26/$D26</f>
        <v>#DIV/0!</v>
      </c>
      <c r="G26" s="310">
        <v>0</v>
      </c>
      <c r="H26" s="219" t="e">
        <f>G26/$D26</f>
        <v>#DIV/0!</v>
      </c>
      <c r="I26" s="218">
        <f>E26+G26</f>
        <v>0</v>
      </c>
      <c r="J26" s="219" t="e">
        <f>I26/$D26</f>
        <v>#DIV/0!</v>
      </c>
    </row>
    <row r="27" spans="1:10" x14ac:dyDescent="0.25">
      <c r="A27" s="148"/>
      <c r="B27" s="217" t="e">
        <f>$B$7</f>
        <v>#VALUE!</v>
      </c>
      <c r="C27" s="314">
        <v>0</v>
      </c>
      <c r="D27" s="306">
        <v>0</v>
      </c>
      <c r="E27" s="307">
        <v>0</v>
      </c>
      <c r="F27" s="219" t="e">
        <f>E27/$D27</f>
        <v>#DIV/0!</v>
      </c>
      <c r="G27" s="311">
        <v>0</v>
      </c>
      <c r="H27" s="219" t="e">
        <f>G27/$D27</f>
        <v>#DIV/0!</v>
      </c>
      <c r="I27" s="218">
        <f>E27+G27</f>
        <v>0</v>
      </c>
      <c r="J27" s="219" t="e">
        <f>I27/$D27</f>
        <v>#DIV/0!</v>
      </c>
    </row>
    <row r="28" spans="1:10" x14ac:dyDescent="0.25">
      <c r="A28" s="148"/>
      <c r="B28" s="223" t="e">
        <f>$B$8</f>
        <v>#VALUE!</v>
      </c>
      <c r="C28" s="315">
        <v>0</v>
      </c>
      <c r="D28" s="308">
        <v>0</v>
      </c>
      <c r="E28" s="309">
        <v>0</v>
      </c>
      <c r="F28" s="220" t="e">
        <f>E28/$D28</f>
        <v>#DIV/0!</v>
      </c>
      <c r="G28" s="312">
        <v>0</v>
      </c>
      <c r="H28" s="220" t="e">
        <f>G28/$D28</f>
        <v>#DIV/0!</v>
      </c>
      <c r="I28" s="227">
        <f>E28+G28</f>
        <v>0</v>
      </c>
      <c r="J28" s="220" t="e">
        <f>I28/$D28</f>
        <v>#DIV/0!</v>
      </c>
    </row>
    <row r="29" spans="1:10" x14ac:dyDescent="0.25">
      <c r="A29" s="148"/>
      <c r="B29" s="217" t="s">
        <v>265</v>
      </c>
      <c r="C29" s="218">
        <f>AVERAGE(C26:C28)</f>
        <v>0</v>
      </c>
      <c r="D29" s="218">
        <f>AVERAGE(D26:D28)</f>
        <v>0</v>
      </c>
      <c r="E29" s="218">
        <f>AVERAGE(E26:E28)</f>
        <v>0</v>
      </c>
      <c r="F29" s="219" t="e">
        <f>E29/$D29</f>
        <v>#DIV/0!</v>
      </c>
      <c r="G29" s="218">
        <f>AVERAGE(G26:G28)</f>
        <v>0</v>
      </c>
      <c r="H29" s="219" t="e">
        <f>G29/$D29</f>
        <v>#DIV/0!</v>
      </c>
      <c r="I29" s="218">
        <f>AVERAGE(I26:I28)</f>
        <v>0</v>
      </c>
      <c r="J29" s="219" t="e">
        <f>I29/$D29</f>
        <v>#DIV/0!</v>
      </c>
    </row>
    <row r="30" spans="1:10" x14ac:dyDescent="0.25">
      <c r="A30" s="148"/>
    </row>
    <row r="31" spans="1:10" x14ac:dyDescent="0.25">
      <c r="A31" s="148"/>
      <c r="B31" s="579" t="s">
        <v>349</v>
      </c>
      <c r="C31" s="579"/>
    </row>
    <row r="32" spans="1:10" ht="30.75" thickBot="1" x14ac:dyDescent="0.3">
      <c r="A32" s="148"/>
      <c r="B32" s="209" t="s">
        <v>110</v>
      </c>
      <c r="C32" s="209" t="s">
        <v>259</v>
      </c>
      <c r="D32" s="209" t="s">
        <v>260</v>
      </c>
      <c r="E32" s="209" t="s">
        <v>116</v>
      </c>
      <c r="F32" s="209" t="s">
        <v>261</v>
      </c>
      <c r="G32" s="209" t="s">
        <v>117</v>
      </c>
      <c r="H32" s="209" t="s">
        <v>262</v>
      </c>
      <c r="I32" s="209" t="s">
        <v>263</v>
      </c>
      <c r="J32" s="209" t="s">
        <v>264</v>
      </c>
    </row>
    <row r="33" spans="1:10" x14ac:dyDescent="0.25">
      <c r="A33" s="148"/>
      <c r="B33" s="217" t="str">
        <f>$B$6</f>
        <v>YYYY</v>
      </c>
      <c r="C33" s="313">
        <v>0</v>
      </c>
      <c r="D33" s="304">
        <v>0</v>
      </c>
      <c r="E33" s="305">
        <v>0</v>
      </c>
      <c r="F33" s="219" t="e">
        <f>E33/$D33</f>
        <v>#DIV/0!</v>
      </c>
      <c r="G33" s="310">
        <v>0</v>
      </c>
      <c r="H33" s="219" t="e">
        <f>G33/$D33</f>
        <v>#DIV/0!</v>
      </c>
      <c r="I33" s="218">
        <f>E33+G33</f>
        <v>0</v>
      </c>
      <c r="J33" s="219" t="e">
        <f>I33/$D33</f>
        <v>#DIV/0!</v>
      </c>
    </row>
    <row r="34" spans="1:10" x14ac:dyDescent="0.25">
      <c r="A34" s="148"/>
      <c r="B34" s="217" t="e">
        <f>$B$7</f>
        <v>#VALUE!</v>
      </c>
      <c r="C34" s="314">
        <v>0</v>
      </c>
      <c r="D34" s="306">
        <v>0</v>
      </c>
      <c r="E34" s="307">
        <v>0</v>
      </c>
      <c r="F34" s="219" t="e">
        <f>E34/$D34</f>
        <v>#DIV/0!</v>
      </c>
      <c r="G34" s="311">
        <v>0</v>
      </c>
      <c r="H34" s="219" t="e">
        <f>G34/$D34</f>
        <v>#DIV/0!</v>
      </c>
      <c r="I34" s="218">
        <f>E34+G34</f>
        <v>0</v>
      </c>
      <c r="J34" s="219" t="e">
        <f>I34/$D34</f>
        <v>#DIV/0!</v>
      </c>
    </row>
    <row r="35" spans="1:10" x14ac:dyDescent="0.25">
      <c r="A35" s="148"/>
      <c r="B35" s="223" t="e">
        <f>$B$8</f>
        <v>#VALUE!</v>
      </c>
      <c r="C35" s="315">
        <v>0</v>
      </c>
      <c r="D35" s="308">
        <v>0</v>
      </c>
      <c r="E35" s="309">
        <v>0</v>
      </c>
      <c r="F35" s="220" t="e">
        <f>E35/$D35</f>
        <v>#DIV/0!</v>
      </c>
      <c r="G35" s="312">
        <v>0</v>
      </c>
      <c r="H35" s="220" t="e">
        <f>G35/$D35</f>
        <v>#DIV/0!</v>
      </c>
      <c r="I35" s="227">
        <f>E35+G35</f>
        <v>0</v>
      </c>
      <c r="J35" s="220" t="e">
        <f>I35/$D35</f>
        <v>#DIV/0!</v>
      </c>
    </row>
    <row r="36" spans="1:10" x14ac:dyDescent="0.25">
      <c r="A36" s="148"/>
      <c r="B36" s="217" t="s">
        <v>265</v>
      </c>
      <c r="C36" s="218">
        <f>AVERAGE(C33:C35)</f>
        <v>0</v>
      </c>
      <c r="D36" s="218">
        <f>AVERAGE(D33:D35)</f>
        <v>0</v>
      </c>
      <c r="E36" s="218">
        <f>AVERAGE(E33:E35)</f>
        <v>0</v>
      </c>
      <c r="F36" s="219" t="e">
        <f>E36/$D36</f>
        <v>#DIV/0!</v>
      </c>
      <c r="G36" s="218">
        <f>AVERAGE(G33:G35)</f>
        <v>0</v>
      </c>
      <c r="H36" s="219" t="e">
        <f>G36/$D36</f>
        <v>#DIV/0!</v>
      </c>
      <c r="I36" s="218">
        <f>AVERAGE(I33:I35)</f>
        <v>0</v>
      </c>
      <c r="J36" s="219" t="e">
        <f>I36/$D36</f>
        <v>#DIV/0!</v>
      </c>
    </row>
    <row r="37" spans="1:10" x14ac:dyDescent="0.25">
      <c r="A37" s="148"/>
    </row>
    <row r="38" spans="1:10" x14ac:dyDescent="0.25">
      <c r="A38" s="148"/>
      <c r="B38" s="579" t="s">
        <v>349</v>
      </c>
      <c r="C38" s="579"/>
    </row>
    <row r="39" spans="1:10" ht="30.75" thickBot="1" x14ac:dyDescent="0.3">
      <c r="A39" s="148"/>
      <c r="B39" s="209" t="s">
        <v>110</v>
      </c>
      <c r="C39" s="209" t="s">
        <v>259</v>
      </c>
      <c r="D39" s="209" t="s">
        <v>260</v>
      </c>
      <c r="E39" s="209" t="s">
        <v>116</v>
      </c>
      <c r="F39" s="209" t="s">
        <v>261</v>
      </c>
      <c r="G39" s="209" t="s">
        <v>117</v>
      </c>
      <c r="H39" s="209" t="s">
        <v>262</v>
      </c>
      <c r="I39" s="209" t="s">
        <v>263</v>
      </c>
      <c r="J39" s="209" t="s">
        <v>264</v>
      </c>
    </row>
    <row r="40" spans="1:10" x14ac:dyDescent="0.25">
      <c r="A40" s="148"/>
      <c r="B40" s="217" t="str">
        <f>$B$6</f>
        <v>YYYY</v>
      </c>
      <c r="C40" s="313">
        <v>0</v>
      </c>
      <c r="D40" s="304">
        <v>0</v>
      </c>
      <c r="E40" s="305">
        <v>0</v>
      </c>
      <c r="F40" s="219" t="e">
        <f>E40/$D40</f>
        <v>#DIV/0!</v>
      </c>
      <c r="G40" s="310">
        <v>0</v>
      </c>
      <c r="H40" s="219" t="e">
        <f>G40/$D40</f>
        <v>#DIV/0!</v>
      </c>
      <c r="I40" s="218">
        <f>E40+G40</f>
        <v>0</v>
      </c>
      <c r="J40" s="219" t="e">
        <f>I40/$D40</f>
        <v>#DIV/0!</v>
      </c>
    </row>
    <row r="41" spans="1:10" x14ac:dyDescent="0.25">
      <c r="A41" s="148"/>
      <c r="B41" s="217" t="e">
        <f>$B$7</f>
        <v>#VALUE!</v>
      </c>
      <c r="C41" s="314">
        <v>0</v>
      </c>
      <c r="D41" s="306">
        <v>0</v>
      </c>
      <c r="E41" s="307">
        <v>0</v>
      </c>
      <c r="F41" s="219" t="e">
        <f>E41/$D41</f>
        <v>#DIV/0!</v>
      </c>
      <c r="G41" s="311">
        <v>0</v>
      </c>
      <c r="H41" s="219" t="e">
        <f>G41/$D41</f>
        <v>#DIV/0!</v>
      </c>
      <c r="I41" s="218">
        <f>E41+G41</f>
        <v>0</v>
      </c>
      <c r="J41" s="219" t="e">
        <f>I41/$D41</f>
        <v>#DIV/0!</v>
      </c>
    </row>
    <row r="42" spans="1:10" x14ac:dyDescent="0.25">
      <c r="A42" s="148"/>
      <c r="B42" s="223" t="e">
        <f>$B$8</f>
        <v>#VALUE!</v>
      </c>
      <c r="C42" s="315">
        <v>0</v>
      </c>
      <c r="D42" s="308">
        <v>0</v>
      </c>
      <c r="E42" s="309">
        <v>0</v>
      </c>
      <c r="F42" s="220" t="e">
        <f>E42/$D42</f>
        <v>#DIV/0!</v>
      </c>
      <c r="G42" s="312">
        <v>0</v>
      </c>
      <c r="H42" s="220" t="e">
        <f>G42/$D42</f>
        <v>#DIV/0!</v>
      </c>
      <c r="I42" s="227">
        <f>E42+G42</f>
        <v>0</v>
      </c>
      <c r="J42" s="220" t="e">
        <f>I42/$D42</f>
        <v>#DIV/0!</v>
      </c>
    </row>
    <row r="43" spans="1:10" x14ac:dyDescent="0.25">
      <c r="A43" s="148"/>
      <c r="B43" s="217" t="s">
        <v>265</v>
      </c>
      <c r="C43" s="218">
        <f>AVERAGE(C40:C42)</f>
        <v>0</v>
      </c>
      <c r="D43" s="218">
        <f>AVERAGE(D40:D42)</f>
        <v>0</v>
      </c>
      <c r="E43" s="218">
        <f>AVERAGE(E40:E42)</f>
        <v>0</v>
      </c>
      <c r="F43" s="219" t="e">
        <f>E43/$D43</f>
        <v>#DIV/0!</v>
      </c>
      <c r="G43" s="218">
        <f>AVERAGE(G40:G42)</f>
        <v>0</v>
      </c>
      <c r="H43" s="219" t="e">
        <f>G43/$D43</f>
        <v>#DIV/0!</v>
      </c>
      <c r="I43" s="218">
        <f>AVERAGE(I40:I42)</f>
        <v>0</v>
      </c>
      <c r="J43" s="219" t="e">
        <f>I43/$D43</f>
        <v>#DIV/0!</v>
      </c>
    </row>
    <row r="44" spans="1:10" x14ac:dyDescent="0.25">
      <c r="A44" s="148"/>
    </row>
    <row r="45" spans="1:10" x14ac:dyDescent="0.25">
      <c r="A45" s="148"/>
      <c r="B45" s="579" t="s">
        <v>349</v>
      </c>
      <c r="C45" s="579"/>
    </row>
    <row r="46" spans="1:10" ht="30.75" thickBot="1" x14ac:dyDescent="0.3">
      <c r="A46" s="148"/>
      <c r="B46" s="209" t="s">
        <v>110</v>
      </c>
      <c r="C46" s="209" t="s">
        <v>259</v>
      </c>
      <c r="D46" s="209" t="s">
        <v>260</v>
      </c>
      <c r="E46" s="209" t="s">
        <v>116</v>
      </c>
      <c r="F46" s="209" t="s">
        <v>261</v>
      </c>
      <c r="G46" s="209" t="s">
        <v>117</v>
      </c>
      <c r="H46" s="209" t="s">
        <v>262</v>
      </c>
      <c r="I46" s="209" t="s">
        <v>263</v>
      </c>
      <c r="J46" s="209" t="s">
        <v>264</v>
      </c>
    </row>
    <row r="47" spans="1:10" x14ac:dyDescent="0.25">
      <c r="A47" s="148"/>
      <c r="B47" s="217" t="str">
        <f>$B$6</f>
        <v>YYYY</v>
      </c>
      <c r="C47" s="313">
        <v>0</v>
      </c>
      <c r="D47" s="304">
        <v>0</v>
      </c>
      <c r="E47" s="305">
        <v>0</v>
      </c>
      <c r="F47" s="219" t="e">
        <f>E47/$D47</f>
        <v>#DIV/0!</v>
      </c>
      <c r="G47" s="310">
        <v>0</v>
      </c>
      <c r="H47" s="219" t="e">
        <f>G47/$D47</f>
        <v>#DIV/0!</v>
      </c>
      <c r="I47" s="218">
        <f>E47+G47</f>
        <v>0</v>
      </c>
      <c r="J47" s="219" t="e">
        <f>I47/$D47</f>
        <v>#DIV/0!</v>
      </c>
    </row>
    <row r="48" spans="1:10" x14ac:dyDescent="0.25">
      <c r="A48" s="148"/>
      <c r="B48" s="217" t="e">
        <f>$B$7</f>
        <v>#VALUE!</v>
      </c>
      <c r="C48" s="314">
        <v>0</v>
      </c>
      <c r="D48" s="306">
        <v>0</v>
      </c>
      <c r="E48" s="307">
        <v>0</v>
      </c>
      <c r="F48" s="219" t="e">
        <f>E48/$D48</f>
        <v>#DIV/0!</v>
      </c>
      <c r="G48" s="311">
        <v>0</v>
      </c>
      <c r="H48" s="219" t="e">
        <f>G48/$D48</f>
        <v>#DIV/0!</v>
      </c>
      <c r="I48" s="218">
        <f>E48+G48</f>
        <v>0</v>
      </c>
      <c r="J48" s="219" t="e">
        <f>I48/$D48</f>
        <v>#DIV/0!</v>
      </c>
    </row>
    <row r="49" spans="1:10" x14ac:dyDescent="0.25">
      <c r="A49" s="148"/>
      <c r="B49" s="223" t="e">
        <f>$B$8</f>
        <v>#VALUE!</v>
      </c>
      <c r="C49" s="315">
        <v>0</v>
      </c>
      <c r="D49" s="308">
        <v>0</v>
      </c>
      <c r="E49" s="309">
        <v>0</v>
      </c>
      <c r="F49" s="220" t="e">
        <f>E49/$D49</f>
        <v>#DIV/0!</v>
      </c>
      <c r="G49" s="312">
        <v>0</v>
      </c>
      <c r="H49" s="220" t="e">
        <f>G49/$D49</f>
        <v>#DIV/0!</v>
      </c>
      <c r="I49" s="227">
        <f>E49+G49</f>
        <v>0</v>
      </c>
      <c r="J49" s="220" t="e">
        <f>I49/$D49</f>
        <v>#DIV/0!</v>
      </c>
    </row>
    <row r="50" spans="1:10" x14ac:dyDescent="0.25">
      <c r="A50" s="148"/>
      <c r="B50" s="217" t="s">
        <v>265</v>
      </c>
      <c r="C50" s="218">
        <f>AVERAGE(C47:C49)</f>
        <v>0</v>
      </c>
      <c r="D50" s="218">
        <f>AVERAGE(D47:D49)</f>
        <v>0</v>
      </c>
      <c r="E50" s="218">
        <f>AVERAGE(E47:E49)</f>
        <v>0</v>
      </c>
      <c r="F50" s="219" t="e">
        <f>E50/$D50</f>
        <v>#DIV/0!</v>
      </c>
      <c r="G50" s="218">
        <f>AVERAGE(G47:G49)</f>
        <v>0</v>
      </c>
      <c r="H50" s="219" t="e">
        <f>G50/$D50</f>
        <v>#DIV/0!</v>
      </c>
      <c r="I50" s="218">
        <f>AVERAGE(I47:I49)</f>
        <v>0</v>
      </c>
      <c r="J50" s="219" t="e">
        <f>I50/$D50</f>
        <v>#DIV/0!</v>
      </c>
    </row>
    <row r="51" spans="1:10" x14ac:dyDescent="0.25">
      <c r="A51" s="148"/>
    </row>
    <row r="52" spans="1:10" x14ac:dyDescent="0.25">
      <c r="A52" s="148"/>
      <c r="B52" s="579" t="s">
        <v>349</v>
      </c>
      <c r="C52" s="579"/>
    </row>
    <row r="53" spans="1:10" ht="30.75" thickBot="1" x14ac:dyDescent="0.3">
      <c r="A53" s="148"/>
      <c r="B53" s="209" t="s">
        <v>110</v>
      </c>
      <c r="C53" s="209" t="s">
        <v>259</v>
      </c>
      <c r="D53" s="209" t="s">
        <v>260</v>
      </c>
      <c r="E53" s="209" t="s">
        <v>116</v>
      </c>
      <c r="F53" s="209" t="s">
        <v>261</v>
      </c>
      <c r="G53" s="209" t="s">
        <v>117</v>
      </c>
      <c r="H53" s="209" t="s">
        <v>262</v>
      </c>
      <c r="I53" s="209" t="s">
        <v>263</v>
      </c>
      <c r="J53" s="209" t="s">
        <v>264</v>
      </c>
    </row>
    <row r="54" spans="1:10" x14ac:dyDescent="0.25">
      <c r="A54" s="148"/>
      <c r="B54" s="217" t="str">
        <f>$B$6</f>
        <v>YYYY</v>
      </c>
      <c r="C54" s="313">
        <v>0</v>
      </c>
      <c r="D54" s="304">
        <v>0</v>
      </c>
      <c r="E54" s="305">
        <v>0</v>
      </c>
      <c r="F54" s="219" t="e">
        <f>E54/$D54</f>
        <v>#DIV/0!</v>
      </c>
      <c r="G54" s="310">
        <v>0</v>
      </c>
      <c r="H54" s="219" t="e">
        <f>G54/$D54</f>
        <v>#DIV/0!</v>
      </c>
      <c r="I54" s="218">
        <f>E54+G54</f>
        <v>0</v>
      </c>
      <c r="J54" s="219" t="e">
        <f>I54/$D54</f>
        <v>#DIV/0!</v>
      </c>
    </row>
    <row r="55" spans="1:10" x14ac:dyDescent="0.25">
      <c r="A55" s="148"/>
      <c r="B55" s="217" t="e">
        <f>$B$7</f>
        <v>#VALUE!</v>
      </c>
      <c r="C55" s="314">
        <v>0</v>
      </c>
      <c r="D55" s="306">
        <v>0</v>
      </c>
      <c r="E55" s="307">
        <v>0</v>
      </c>
      <c r="F55" s="219" t="e">
        <f>E55/$D55</f>
        <v>#DIV/0!</v>
      </c>
      <c r="G55" s="311">
        <v>0</v>
      </c>
      <c r="H55" s="219" t="e">
        <f>G55/$D55</f>
        <v>#DIV/0!</v>
      </c>
      <c r="I55" s="218">
        <f>E55+G55</f>
        <v>0</v>
      </c>
      <c r="J55" s="219" t="e">
        <f>I55/$D55</f>
        <v>#DIV/0!</v>
      </c>
    </row>
    <row r="56" spans="1:10" x14ac:dyDescent="0.25">
      <c r="A56" s="148"/>
      <c r="B56" s="223" t="e">
        <f>$B$8</f>
        <v>#VALUE!</v>
      </c>
      <c r="C56" s="315">
        <v>0</v>
      </c>
      <c r="D56" s="308">
        <v>0</v>
      </c>
      <c r="E56" s="309">
        <v>0</v>
      </c>
      <c r="F56" s="220" t="e">
        <f>E56/$D56</f>
        <v>#DIV/0!</v>
      </c>
      <c r="G56" s="312">
        <v>0</v>
      </c>
      <c r="H56" s="220" t="e">
        <f>G56/$D56</f>
        <v>#DIV/0!</v>
      </c>
      <c r="I56" s="227">
        <f>E56+G56</f>
        <v>0</v>
      </c>
      <c r="J56" s="220" t="e">
        <f>I56/$D56</f>
        <v>#DIV/0!</v>
      </c>
    </row>
    <row r="57" spans="1:10" x14ac:dyDescent="0.25">
      <c r="A57" s="148"/>
      <c r="B57" s="217" t="s">
        <v>265</v>
      </c>
      <c r="C57" s="218">
        <f>AVERAGE(C54:C56)</f>
        <v>0</v>
      </c>
      <c r="D57" s="218">
        <f>AVERAGE(D54:D56)</f>
        <v>0</v>
      </c>
      <c r="E57" s="218">
        <f>AVERAGE(E54:E56)</f>
        <v>0</v>
      </c>
      <c r="F57" s="219" t="e">
        <f>E57/$D57</f>
        <v>#DIV/0!</v>
      </c>
      <c r="G57" s="218">
        <f>AVERAGE(G54:G56)</f>
        <v>0</v>
      </c>
      <c r="H57" s="219" t="e">
        <f>G57/$D57</f>
        <v>#DIV/0!</v>
      </c>
      <c r="I57" s="218">
        <f>AVERAGE(I54:I56)</f>
        <v>0</v>
      </c>
      <c r="J57" s="219" t="e">
        <f>I57/$D57</f>
        <v>#DIV/0!</v>
      </c>
    </row>
    <row r="58" spans="1:10" hidden="1" x14ac:dyDescent="0.25">
      <c r="A58" s="148"/>
    </row>
    <row r="59" spans="1:10" hidden="1" x14ac:dyDescent="0.25">
      <c r="A59" s="148"/>
      <c r="B59" s="579" t="s">
        <v>349</v>
      </c>
      <c r="C59" s="579"/>
    </row>
    <row r="60" spans="1:10" ht="30.75" hidden="1" thickBot="1" x14ac:dyDescent="0.3">
      <c r="A60" s="148"/>
      <c r="B60" s="209" t="s">
        <v>110</v>
      </c>
      <c r="C60" s="209" t="s">
        <v>259</v>
      </c>
      <c r="D60" s="209" t="s">
        <v>260</v>
      </c>
      <c r="E60" s="209" t="s">
        <v>116</v>
      </c>
      <c r="F60" s="209" t="s">
        <v>261</v>
      </c>
      <c r="G60" s="209" t="s">
        <v>117</v>
      </c>
      <c r="H60" s="209" t="s">
        <v>262</v>
      </c>
      <c r="I60" s="209" t="s">
        <v>263</v>
      </c>
      <c r="J60" s="209" t="s">
        <v>264</v>
      </c>
    </row>
    <row r="61" spans="1:10" hidden="1" x14ac:dyDescent="0.25">
      <c r="A61" s="148"/>
      <c r="B61" s="217" t="str">
        <f>$B$6</f>
        <v>YYYY</v>
      </c>
      <c r="C61" s="313">
        <v>0</v>
      </c>
      <c r="D61" s="304">
        <v>0</v>
      </c>
      <c r="E61" s="305">
        <v>0</v>
      </c>
      <c r="F61" s="219" t="e">
        <f>E61/$D61</f>
        <v>#DIV/0!</v>
      </c>
      <c r="G61" s="310">
        <v>0</v>
      </c>
      <c r="H61" s="219" t="e">
        <f>G61/$D61</f>
        <v>#DIV/0!</v>
      </c>
      <c r="I61" s="218">
        <f>E61+G61</f>
        <v>0</v>
      </c>
      <c r="J61" s="219" t="e">
        <f>I61/$D61</f>
        <v>#DIV/0!</v>
      </c>
    </row>
    <row r="62" spans="1:10" hidden="1" x14ac:dyDescent="0.25">
      <c r="A62" s="148"/>
      <c r="B62" s="217" t="e">
        <f>$B$7</f>
        <v>#VALUE!</v>
      </c>
      <c r="C62" s="314">
        <v>0</v>
      </c>
      <c r="D62" s="306">
        <v>0</v>
      </c>
      <c r="E62" s="307">
        <v>0</v>
      </c>
      <c r="F62" s="219" t="e">
        <f>E62/$D62</f>
        <v>#DIV/0!</v>
      </c>
      <c r="G62" s="311">
        <v>0</v>
      </c>
      <c r="H62" s="219" t="e">
        <f>G62/$D62</f>
        <v>#DIV/0!</v>
      </c>
      <c r="I62" s="218">
        <f>E62+G62</f>
        <v>0</v>
      </c>
      <c r="J62" s="219" t="e">
        <f>I62/$D62</f>
        <v>#DIV/0!</v>
      </c>
    </row>
    <row r="63" spans="1:10" hidden="1" x14ac:dyDescent="0.25">
      <c r="A63" s="148"/>
      <c r="B63" s="223" t="e">
        <f>$B$8</f>
        <v>#VALUE!</v>
      </c>
      <c r="C63" s="315">
        <v>0</v>
      </c>
      <c r="D63" s="308">
        <v>0</v>
      </c>
      <c r="E63" s="309">
        <v>0</v>
      </c>
      <c r="F63" s="220" t="e">
        <f>E63/$D63</f>
        <v>#DIV/0!</v>
      </c>
      <c r="G63" s="312">
        <v>0</v>
      </c>
      <c r="H63" s="220" t="e">
        <f>G63/$D63</f>
        <v>#DIV/0!</v>
      </c>
      <c r="I63" s="227">
        <f>E63+G63</f>
        <v>0</v>
      </c>
      <c r="J63" s="220" t="e">
        <f>I63/$D63</f>
        <v>#DIV/0!</v>
      </c>
    </row>
    <row r="64" spans="1:10" hidden="1" x14ac:dyDescent="0.25">
      <c r="A64" s="148"/>
      <c r="B64" s="217" t="s">
        <v>265</v>
      </c>
      <c r="C64" s="218">
        <f>AVERAGE(C61:C63)</f>
        <v>0</v>
      </c>
      <c r="D64" s="218">
        <f>AVERAGE(D61:D63)</f>
        <v>0</v>
      </c>
      <c r="E64" s="218">
        <f>AVERAGE(E61:E63)</f>
        <v>0</v>
      </c>
      <c r="F64" s="219" t="e">
        <f>E64/$D64</f>
        <v>#DIV/0!</v>
      </c>
      <c r="G64" s="218">
        <f>AVERAGE(G61:G63)</f>
        <v>0</v>
      </c>
      <c r="H64" s="219" t="e">
        <f>G64/$D64</f>
        <v>#DIV/0!</v>
      </c>
      <c r="I64" s="218">
        <f>AVERAGE(I61:I63)</f>
        <v>0</v>
      </c>
      <c r="J64" s="219" t="e">
        <f>I64/$D64</f>
        <v>#DIV/0!</v>
      </c>
    </row>
    <row r="65" spans="1:10" hidden="1" x14ac:dyDescent="0.25">
      <c r="A65" s="148"/>
    </row>
    <row r="66" spans="1:10" hidden="1" x14ac:dyDescent="0.25">
      <c r="A66" s="148"/>
      <c r="B66" s="579" t="s">
        <v>349</v>
      </c>
      <c r="C66" s="579"/>
    </row>
    <row r="67" spans="1:10" ht="30.75" hidden="1" thickBot="1" x14ac:dyDescent="0.3">
      <c r="A67" s="148"/>
      <c r="B67" s="209" t="s">
        <v>110</v>
      </c>
      <c r="C67" s="209" t="s">
        <v>259</v>
      </c>
      <c r="D67" s="209" t="s">
        <v>260</v>
      </c>
      <c r="E67" s="209" t="s">
        <v>116</v>
      </c>
      <c r="F67" s="209" t="s">
        <v>261</v>
      </c>
      <c r="G67" s="209" t="s">
        <v>117</v>
      </c>
      <c r="H67" s="209" t="s">
        <v>262</v>
      </c>
      <c r="I67" s="209" t="s">
        <v>263</v>
      </c>
      <c r="J67" s="209" t="s">
        <v>264</v>
      </c>
    </row>
    <row r="68" spans="1:10" hidden="1" x14ac:dyDescent="0.25">
      <c r="A68" s="148"/>
      <c r="B68" s="217" t="str">
        <f>$B$6</f>
        <v>YYYY</v>
      </c>
      <c r="C68" s="313">
        <v>0</v>
      </c>
      <c r="D68" s="304">
        <v>0</v>
      </c>
      <c r="E68" s="305">
        <v>0</v>
      </c>
      <c r="F68" s="219" t="e">
        <f>E68/$D68</f>
        <v>#DIV/0!</v>
      </c>
      <c r="G68" s="310">
        <v>0</v>
      </c>
      <c r="H68" s="219" t="e">
        <f>G68/$D68</f>
        <v>#DIV/0!</v>
      </c>
      <c r="I68" s="218">
        <f>E68+G68</f>
        <v>0</v>
      </c>
      <c r="J68" s="219" t="e">
        <f>I68/$D68</f>
        <v>#DIV/0!</v>
      </c>
    </row>
    <row r="69" spans="1:10" hidden="1" x14ac:dyDescent="0.25">
      <c r="A69" s="148"/>
      <c r="B69" s="217" t="e">
        <f>$B$7</f>
        <v>#VALUE!</v>
      </c>
      <c r="C69" s="314">
        <v>0</v>
      </c>
      <c r="D69" s="306">
        <v>0</v>
      </c>
      <c r="E69" s="307">
        <v>0</v>
      </c>
      <c r="F69" s="219" t="e">
        <f>E69/$D69</f>
        <v>#DIV/0!</v>
      </c>
      <c r="G69" s="311">
        <v>0</v>
      </c>
      <c r="H69" s="219" t="e">
        <f>G69/$D69</f>
        <v>#DIV/0!</v>
      </c>
      <c r="I69" s="218">
        <f>E69+G69</f>
        <v>0</v>
      </c>
      <c r="J69" s="219" t="e">
        <f>I69/$D69</f>
        <v>#DIV/0!</v>
      </c>
    </row>
    <row r="70" spans="1:10" hidden="1" x14ac:dyDescent="0.25">
      <c r="A70" s="148"/>
      <c r="B70" s="223" t="e">
        <f>$B$8</f>
        <v>#VALUE!</v>
      </c>
      <c r="C70" s="315">
        <v>0</v>
      </c>
      <c r="D70" s="308">
        <v>0</v>
      </c>
      <c r="E70" s="309">
        <v>0</v>
      </c>
      <c r="F70" s="220" t="e">
        <f>E70/$D70</f>
        <v>#DIV/0!</v>
      </c>
      <c r="G70" s="312">
        <v>0</v>
      </c>
      <c r="H70" s="220" t="e">
        <f>G70/$D70</f>
        <v>#DIV/0!</v>
      </c>
      <c r="I70" s="227">
        <f>E70+G70</f>
        <v>0</v>
      </c>
      <c r="J70" s="220" t="e">
        <f>I70/$D70</f>
        <v>#DIV/0!</v>
      </c>
    </row>
    <row r="71" spans="1:10" hidden="1" x14ac:dyDescent="0.25">
      <c r="A71" s="148"/>
      <c r="B71" s="217" t="s">
        <v>265</v>
      </c>
      <c r="C71" s="218">
        <f>AVERAGE(C68:C70)</f>
        <v>0</v>
      </c>
      <c r="D71" s="218">
        <f>AVERAGE(D68:D70)</f>
        <v>0</v>
      </c>
      <c r="E71" s="218">
        <f>AVERAGE(E68:E70)</f>
        <v>0</v>
      </c>
      <c r="F71" s="219" t="e">
        <f>E71/$D71</f>
        <v>#DIV/0!</v>
      </c>
      <c r="G71" s="218">
        <f>AVERAGE(G68:G70)</f>
        <v>0</v>
      </c>
      <c r="H71" s="219" t="e">
        <f>G71/$D71</f>
        <v>#DIV/0!</v>
      </c>
      <c r="I71" s="218">
        <f>AVERAGE(I68:I70)</f>
        <v>0</v>
      </c>
      <c r="J71" s="219" t="e">
        <f>I71/$D71</f>
        <v>#DIV/0!</v>
      </c>
    </row>
    <row r="72" spans="1:10" hidden="1" x14ac:dyDescent="0.25">
      <c r="A72" s="148"/>
    </row>
    <row r="73" spans="1:10" hidden="1" x14ac:dyDescent="0.25">
      <c r="A73" s="148"/>
      <c r="B73" s="579" t="s">
        <v>349</v>
      </c>
      <c r="C73" s="579"/>
    </row>
    <row r="74" spans="1:10" ht="30.75" hidden="1" thickBot="1" x14ac:dyDescent="0.3">
      <c r="A74" s="148"/>
      <c r="B74" s="209" t="s">
        <v>110</v>
      </c>
      <c r="C74" s="209" t="s">
        <v>259</v>
      </c>
      <c r="D74" s="209" t="s">
        <v>260</v>
      </c>
      <c r="E74" s="209" t="s">
        <v>116</v>
      </c>
      <c r="F74" s="209" t="s">
        <v>261</v>
      </c>
      <c r="G74" s="209" t="s">
        <v>117</v>
      </c>
      <c r="H74" s="209" t="s">
        <v>262</v>
      </c>
      <c r="I74" s="209" t="s">
        <v>263</v>
      </c>
      <c r="J74" s="209" t="s">
        <v>264</v>
      </c>
    </row>
    <row r="75" spans="1:10" hidden="1" x14ac:dyDescent="0.25">
      <c r="A75" s="148"/>
      <c r="B75" s="217" t="str">
        <f>$B$6</f>
        <v>YYYY</v>
      </c>
      <c r="C75" s="313">
        <v>0</v>
      </c>
      <c r="D75" s="304">
        <v>0</v>
      </c>
      <c r="E75" s="305">
        <v>0</v>
      </c>
      <c r="F75" s="219" t="e">
        <f>E75/$D75</f>
        <v>#DIV/0!</v>
      </c>
      <c r="G75" s="310">
        <v>0</v>
      </c>
      <c r="H75" s="219" t="e">
        <f>G75/$D75</f>
        <v>#DIV/0!</v>
      </c>
      <c r="I75" s="218">
        <f>E75+G75</f>
        <v>0</v>
      </c>
      <c r="J75" s="219" t="e">
        <f>I75/$D75</f>
        <v>#DIV/0!</v>
      </c>
    </row>
    <row r="76" spans="1:10" hidden="1" x14ac:dyDescent="0.25">
      <c r="A76" s="148"/>
      <c r="B76" s="217" t="e">
        <f>$B$7</f>
        <v>#VALUE!</v>
      </c>
      <c r="C76" s="314">
        <v>0</v>
      </c>
      <c r="D76" s="306">
        <v>0</v>
      </c>
      <c r="E76" s="307">
        <v>0</v>
      </c>
      <c r="F76" s="219" t="e">
        <f>E76/$D76</f>
        <v>#DIV/0!</v>
      </c>
      <c r="G76" s="311">
        <v>0</v>
      </c>
      <c r="H76" s="219" t="e">
        <f>G76/$D76</f>
        <v>#DIV/0!</v>
      </c>
      <c r="I76" s="218">
        <f>E76+G76</f>
        <v>0</v>
      </c>
      <c r="J76" s="219" t="e">
        <f>I76/$D76</f>
        <v>#DIV/0!</v>
      </c>
    </row>
    <row r="77" spans="1:10" hidden="1" x14ac:dyDescent="0.25">
      <c r="A77" s="148"/>
      <c r="B77" s="223" t="e">
        <f>$B$8</f>
        <v>#VALUE!</v>
      </c>
      <c r="C77" s="315">
        <v>0</v>
      </c>
      <c r="D77" s="308">
        <v>0</v>
      </c>
      <c r="E77" s="309">
        <v>0</v>
      </c>
      <c r="F77" s="220" t="e">
        <f>E77/$D77</f>
        <v>#DIV/0!</v>
      </c>
      <c r="G77" s="312">
        <v>0</v>
      </c>
      <c r="H77" s="220" t="e">
        <f>G77/$D77</f>
        <v>#DIV/0!</v>
      </c>
      <c r="I77" s="227">
        <f>E77+G77</f>
        <v>0</v>
      </c>
      <c r="J77" s="220" t="e">
        <f>I77/$D77</f>
        <v>#DIV/0!</v>
      </c>
    </row>
    <row r="78" spans="1:10" hidden="1" x14ac:dyDescent="0.25">
      <c r="A78" s="148"/>
      <c r="B78" s="217" t="s">
        <v>265</v>
      </c>
      <c r="C78" s="218">
        <f>AVERAGE(C75:C77)</f>
        <v>0</v>
      </c>
      <c r="D78" s="218">
        <f>AVERAGE(D75:D77)</f>
        <v>0</v>
      </c>
      <c r="E78" s="218">
        <f>AVERAGE(E75:E77)</f>
        <v>0</v>
      </c>
      <c r="F78" s="219" t="e">
        <f>E78/$D78</f>
        <v>#DIV/0!</v>
      </c>
      <c r="G78" s="218">
        <f>AVERAGE(G75:G77)</f>
        <v>0</v>
      </c>
      <c r="H78" s="219" t="e">
        <f>G78/$D78</f>
        <v>#DIV/0!</v>
      </c>
      <c r="I78" s="218">
        <f>AVERAGE(I75:I77)</f>
        <v>0</v>
      </c>
      <c r="J78" s="219" t="e">
        <f>I78/$D78</f>
        <v>#DIV/0!</v>
      </c>
    </row>
    <row r="79" spans="1:10" hidden="1" x14ac:dyDescent="0.25">
      <c r="A79" s="148"/>
    </row>
    <row r="80" spans="1:10" hidden="1" x14ac:dyDescent="0.25">
      <c r="A80" s="148"/>
      <c r="B80" s="579" t="s">
        <v>349</v>
      </c>
      <c r="C80" s="579"/>
    </row>
    <row r="81" spans="1:10" ht="30.75" hidden="1" thickBot="1" x14ac:dyDescent="0.3">
      <c r="A81" s="148"/>
      <c r="B81" s="209" t="s">
        <v>110</v>
      </c>
      <c r="C81" s="209" t="s">
        <v>259</v>
      </c>
      <c r="D81" s="209" t="s">
        <v>260</v>
      </c>
      <c r="E81" s="209" t="s">
        <v>116</v>
      </c>
      <c r="F81" s="209" t="s">
        <v>261</v>
      </c>
      <c r="G81" s="209" t="s">
        <v>117</v>
      </c>
      <c r="H81" s="209" t="s">
        <v>262</v>
      </c>
      <c r="I81" s="209" t="s">
        <v>263</v>
      </c>
      <c r="J81" s="209" t="s">
        <v>264</v>
      </c>
    </row>
    <row r="82" spans="1:10" hidden="1" x14ac:dyDescent="0.25">
      <c r="A82" s="148"/>
      <c r="B82" s="217" t="str">
        <f>$B$6</f>
        <v>YYYY</v>
      </c>
      <c r="C82" s="313">
        <v>0</v>
      </c>
      <c r="D82" s="304">
        <v>0</v>
      </c>
      <c r="E82" s="305">
        <v>0</v>
      </c>
      <c r="F82" s="219" t="e">
        <f>E82/$D82</f>
        <v>#DIV/0!</v>
      </c>
      <c r="G82" s="310">
        <v>0</v>
      </c>
      <c r="H82" s="219" t="e">
        <f>G82/$D82</f>
        <v>#DIV/0!</v>
      </c>
      <c r="I82" s="218">
        <f>E82+G82</f>
        <v>0</v>
      </c>
      <c r="J82" s="219" t="e">
        <f>I82/$D82</f>
        <v>#DIV/0!</v>
      </c>
    </row>
    <row r="83" spans="1:10" hidden="1" x14ac:dyDescent="0.25">
      <c r="A83" s="148"/>
      <c r="B83" s="217" t="e">
        <f>$B$7</f>
        <v>#VALUE!</v>
      </c>
      <c r="C83" s="314">
        <v>0</v>
      </c>
      <c r="D83" s="306">
        <v>0</v>
      </c>
      <c r="E83" s="307">
        <v>0</v>
      </c>
      <c r="F83" s="219" t="e">
        <f>E83/$D83</f>
        <v>#DIV/0!</v>
      </c>
      <c r="G83" s="311">
        <v>0</v>
      </c>
      <c r="H83" s="219" t="e">
        <f>G83/$D83</f>
        <v>#DIV/0!</v>
      </c>
      <c r="I83" s="218">
        <f>E83+G83</f>
        <v>0</v>
      </c>
      <c r="J83" s="219" t="e">
        <f>I83/$D83</f>
        <v>#DIV/0!</v>
      </c>
    </row>
    <row r="84" spans="1:10" hidden="1" x14ac:dyDescent="0.25">
      <c r="A84" s="148"/>
      <c r="B84" s="223" t="e">
        <f>$B$8</f>
        <v>#VALUE!</v>
      </c>
      <c r="C84" s="315">
        <v>0</v>
      </c>
      <c r="D84" s="308">
        <v>0</v>
      </c>
      <c r="E84" s="309">
        <v>0</v>
      </c>
      <c r="F84" s="220" t="e">
        <f>E84/$D84</f>
        <v>#DIV/0!</v>
      </c>
      <c r="G84" s="312">
        <v>0</v>
      </c>
      <c r="H84" s="220" t="e">
        <f>G84/$D84</f>
        <v>#DIV/0!</v>
      </c>
      <c r="I84" s="227">
        <f>E84+G84</f>
        <v>0</v>
      </c>
      <c r="J84" s="220" t="e">
        <f>I84/$D84</f>
        <v>#DIV/0!</v>
      </c>
    </row>
    <row r="85" spans="1:10" hidden="1" x14ac:dyDescent="0.25">
      <c r="A85" s="148"/>
      <c r="B85" s="217" t="s">
        <v>265</v>
      </c>
      <c r="C85" s="218">
        <f>AVERAGE(C82:C84)</f>
        <v>0</v>
      </c>
      <c r="D85" s="218">
        <f>AVERAGE(D82:D84)</f>
        <v>0</v>
      </c>
      <c r="E85" s="218">
        <f>AVERAGE(E82:E84)</f>
        <v>0</v>
      </c>
      <c r="F85" s="219" t="e">
        <f>E85/$D85</f>
        <v>#DIV/0!</v>
      </c>
      <c r="G85" s="218">
        <f>AVERAGE(G82:G84)</f>
        <v>0</v>
      </c>
      <c r="H85" s="219" t="e">
        <f>G85/$D85</f>
        <v>#DIV/0!</v>
      </c>
      <c r="I85" s="218">
        <f>AVERAGE(I82:I84)</f>
        <v>0</v>
      </c>
      <c r="J85" s="219" t="e">
        <f>I85/$D85</f>
        <v>#DIV/0!</v>
      </c>
    </row>
    <row r="86" spans="1:10" hidden="1" x14ac:dyDescent="0.25">
      <c r="A86" s="148"/>
    </row>
    <row r="87" spans="1:10" hidden="1" x14ac:dyDescent="0.25">
      <c r="A87" s="148"/>
      <c r="B87" s="579" t="s">
        <v>349</v>
      </c>
      <c r="C87" s="579"/>
    </row>
    <row r="88" spans="1:10" ht="30.75" hidden="1" thickBot="1" x14ac:dyDescent="0.3">
      <c r="A88" s="148"/>
      <c r="B88" s="209" t="s">
        <v>110</v>
      </c>
      <c r="C88" s="209" t="s">
        <v>259</v>
      </c>
      <c r="D88" s="209" t="s">
        <v>260</v>
      </c>
      <c r="E88" s="209" t="s">
        <v>116</v>
      </c>
      <c r="F88" s="209" t="s">
        <v>261</v>
      </c>
      <c r="G88" s="209" t="s">
        <v>117</v>
      </c>
      <c r="H88" s="209" t="s">
        <v>262</v>
      </c>
      <c r="I88" s="209" t="s">
        <v>263</v>
      </c>
      <c r="J88" s="209" t="s">
        <v>264</v>
      </c>
    </row>
    <row r="89" spans="1:10" hidden="1" x14ac:dyDescent="0.25">
      <c r="A89" s="148"/>
      <c r="B89" s="217" t="str">
        <f>$B$6</f>
        <v>YYYY</v>
      </c>
      <c r="C89" s="313">
        <v>0</v>
      </c>
      <c r="D89" s="304">
        <v>0</v>
      </c>
      <c r="E89" s="305">
        <v>0</v>
      </c>
      <c r="F89" s="219" t="e">
        <f>E89/$D89</f>
        <v>#DIV/0!</v>
      </c>
      <c r="G89" s="310">
        <v>0</v>
      </c>
      <c r="H89" s="219" t="e">
        <f>G89/$D89</f>
        <v>#DIV/0!</v>
      </c>
      <c r="I89" s="218">
        <f>E89+G89</f>
        <v>0</v>
      </c>
      <c r="J89" s="219" t="e">
        <f>I89/$D89</f>
        <v>#DIV/0!</v>
      </c>
    </row>
    <row r="90" spans="1:10" hidden="1" x14ac:dyDescent="0.25">
      <c r="A90" s="148"/>
      <c r="B90" s="217" t="e">
        <f>$B$7</f>
        <v>#VALUE!</v>
      </c>
      <c r="C90" s="314">
        <v>0</v>
      </c>
      <c r="D90" s="306">
        <v>0</v>
      </c>
      <c r="E90" s="307">
        <v>0</v>
      </c>
      <c r="F90" s="219" t="e">
        <f>E90/$D90</f>
        <v>#DIV/0!</v>
      </c>
      <c r="G90" s="311">
        <v>0</v>
      </c>
      <c r="H90" s="219" t="e">
        <f>G90/$D90</f>
        <v>#DIV/0!</v>
      </c>
      <c r="I90" s="218">
        <f>E90+G90</f>
        <v>0</v>
      </c>
      <c r="J90" s="219" t="e">
        <f>I90/$D90</f>
        <v>#DIV/0!</v>
      </c>
    </row>
    <row r="91" spans="1:10" hidden="1" x14ac:dyDescent="0.25">
      <c r="A91" s="148"/>
      <c r="B91" s="223" t="e">
        <f>$B$8</f>
        <v>#VALUE!</v>
      </c>
      <c r="C91" s="315">
        <v>0</v>
      </c>
      <c r="D91" s="308">
        <v>0</v>
      </c>
      <c r="E91" s="309">
        <v>0</v>
      </c>
      <c r="F91" s="220" t="e">
        <f>E91/$D91</f>
        <v>#DIV/0!</v>
      </c>
      <c r="G91" s="312">
        <v>0</v>
      </c>
      <c r="H91" s="220" t="e">
        <f>G91/$D91</f>
        <v>#DIV/0!</v>
      </c>
      <c r="I91" s="227">
        <f>E91+G91</f>
        <v>0</v>
      </c>
      <c r="J91" s="220" t="e">
        <f>I91/$D91</f>
        <v>#DIV/0!</v>
      </c>
    </row>
    <row r="92" spans="1:10" hidden="1" x14ac:dyDescent="0.25">
      <c r="A92" s="148"/>
      <c r="B92" s="217" t="s">
        <v>265</v>
      </c>
      <c r="C92" s="218">
        <f>AVERAGE(C89:C91)</f>
        <v>0</v>
      </c>
      <c r="D92" s="218">
        <f>AVERAGE(D89:D91)</f>
        <v>0</v>
      </c>
      <c r="E92" s="218">
        <f>AVERAGE(E89:E91)</f>
        <v>0</v>
      </c>
      <c r="F92" s="219" t="e">
        <f>E92/$D92</f>
        <v>#DIV/0!</v>
      </c>
      <c r="G92" s="218">
        <f>AVERAGE(G89:G91)</f>
        <v>0</v>
      </c>
      <c r="H92" s="219" t="e">
        <f>G92/$D92</f>
        <v>#DIV/0!</v>
      </c>
      <c r="I92" s="218">
        <f>AVERAGE(I89:I91)</f>
        <v>0</v>
      </c>
      <c r="J92" s="219" t="e">
        <f>I92/$D92</f>
        <v>#DIV/0!</v>
      </c>
    </row>
    <row r="93" spans="1:10" hidden="1" x14ac:dyDescent="0.25">
      <c r="A93" s="148"/>
    </row>
    <row r="94" spans="1:10" hidden="1" x14ac:dyDescent="0.25">
      <c r="A94" s="148"/>
      <c r="B94" s="579" t="s">
        <v>349</v>
      </c>
      <c r="C94" s="579"/>
    </row>
    <row r="95" spans="1:10" ht="30.75" hidden="1" thickBot="1" x14ac:dyDescent="0.3">
      <c r="A95" s="148"/>
      <c r="B95" s="209" t="s">
        <v>110</v>
      </c>
      <c r="C95" s="209" t="s">
        <v>259</v>
      </c>
      <c r="D95" s="209" t="s">
        <v>260</v>
      </c>
      <c r="E95" s="209" t="s">
        <v>116</v>
      </c>
      <c r="F95" s="209" t="s">
        <v>261</v>
      </c>
      <c r="G95" s="209" t="s">
        <v>117</v>
      </c>
      <c r="H95" s="209" t="s">
        <v>262</v>
      </c>
      <c r="I95" s="209" t="s">
        <v>263</v>
      </c>
      <c r="J95" s="209" t="s">
        <v>264</v>
      </c>
    </row>
    <row r="96" spans="1:10" hidden="1" x14ac:dyDescent="0.25">
      <c r="A96" s="148"/>
      <c r="B96" s="217" t="str">
        <f>$B$6</f>
        <v>YYYY</v>
      </c>
      <c r="C96" s="313">
        <v>0</v>
      </c>
      <c r="D96" s="304">
        <v>0</v>
      </c>
      <c r="E96" s="305">
        <v>0</v>
      </c>
      <c r="F96" s="219" t="e">
        <f>E96/$D96</f>
        <v>#DIV/0!</v>
      </c>
      <c r="G96" s="310">
        <v>0</v>
      </c>
      <c r="H96" s="219" t="e">
        <f>G96/$D96</f>
        <v>#DIV/0!</v>
      </c>
      <c r="I96" s="218">
        <f>E96+G96</f>
        <v>0</v>
      </c>
      <c r="J96" s="219" t="e">
        <f>I96/$D96</f>
        <v>#DIV/0!</v>
      </c>
    </row>
    <row r="97" spans="1:10" hidden="1" x14ac:dyDescent="0.25">
      <c r="A97" s="148"/>
      <c r="B97" s="217" t="e">
        <f>$B$7</f>
        <v>#VALUE!</v>
      </c>
      <c r="C97" s="314">
        <v>0</v>
      </c>
      <c r="D97" s="306">
        <v>0</v>
      </c>
      <c r="E97" s="307">
        <v>0</v>
      </c>
      <c r="F97" s="219" t="e">
        <f>E97/$D97</f>
        <v>#DIV/0!</v>
      </c>
      <c r="G97" s="311">
        <v>0</v>
      </c>
      <c r="H97" s="219" t="e">
        <f>G97/$D97</f>
        <v>#DIV/0!</v>
      </c>
      <c r="I97" s="218">
        <f>E97+G97</f>
        <v>0</v>
      </c>
      <c r="J97" s="219" t="e">
        <f>I97/$D97</f>
        <v>#DIV/0!</v>
      </c>
    </row>
    <row r="98" spans="1:10" hidden="1" x14ac:dyDescent="0.25">
      <c r="A98" s="148"/>
      <c r="B98" s="223" t="e">
        <f>$B$8</f>
        <v>#VALUE!</v>
      </c>
      <c r="C98" s="315">
        <v>0</v>
      </c>
      <c r="D98" s="308">
        <v>0</v>
      </c>
      <c r="E98" s="309">
        <v>0</v>
      </c>
      <c r="F98" s="220" t="e">
        <f>E98/$D98</f>
        <v>#DIV/0!</v>
      </c>
      <c r="G98" s="312">
        <v>0</v>
      </c>
      <c r="H98" s="220" t="e">
        <f>G98/$D98</f>
        <v>#DIV/0!</v>
      </c>
      <c r="I98" s="227">
        <f>E98+G98</f>
        <v>0</v>
      </c>
      <c r="J98" s="220" t="e">
        <f>I98/$D98</f>
        <v>#DIV/0!</v>
      </c>
    </row>
    <row r="99" spans="1:10" hidden="1" x14ac:dyDescent="0.25">
      <c r="A99" s="148"/>
      <c r="B99" s="217" t="s">
        <v>265</v>
      </c>
      <c r="C99" s="218">
        <f>AVERAGE(C96:C98)</f>
        <v>0</v>
      </c>
      <c r="D99" s="218">
        <f>AVERAGE(D96:D98)</f>
        <v>0</v>
      </c>
      <c r="E99" s="218">
        <f>AVERAGE(E96:E98)</f>
        <v>0</v>
      </c>
      <c r="F99" s="219" t="e">
        <f>E99/$D99</f>
        <v>#DIV/0!</v>
      </c>
      <c r="G99" s="218">
        <f>AVERAGE(G96:G98)</f>
        <v>0</v>
      </c>
      <c r="H99" s="219" t="e">
        <f>G99/$D99</f>
        <v>#DIV/0!</v>
      </c>
      <c r="I99" s="218">
        <f>AVERAGE(I96:I98)</f>
        <v>0</v>
      </c>
      <c r="J99" s="219" t="e">
        <f>I99/$D99</f>
        <v>#DIV/0!</v>
      </c>
    </row>
    <row r="100" spans="1:10" hidden="1" x14ac:dyDescent="0.25">
      <c r="A100" s="148"/>
    </row>
    <row r="101" spans="1:10" hidden="1" x14ac:dyDescent="0.25">
      <c r="A101" s="148"/>
      <c r="B101" s="579" t="s">
        <v>349</v>
      </c>
      <c r="C101" s="579"/>
    </row>
    <row r="102" spans="1:10" ht="30.75" hidden="1" thickBot="1" x14ac:dyDescent="0.3">
      <c r="A102" s="148"/>
      <c r="B102" s="209" t="s">
        <v>110</v>
      </c>
      <c r="C102" s="209" t="s">
        <v>259</v>
      </c>
      <c r="D102" s="209" t="s">
        <v>260</v>
      </c>
      <c r="E102" s="209" t="s">
        <v>116</v>
      </c>
      <c r="F102" s="209" t="s">
        <v>261</v>
      </c>
      <c r="G102" s="209" t="s">
        <v>117</v>
      </c>
      <c r="H102" s="209" t="s">
        <v>262</v>
      </c>
      <c r="I102" s="209" t="s">
        <v>263</v>
      </c>
      <c r="J102" s="209" t="s">
        <v>264</v>
      </c>
    </row>
    <row r="103" spans="1:10" hidden="1" x14ac:dyDescent="0.25">
      <c r="A103" s="148"/>
      <c r="B103" s="217" t="str">
        <f>$B$6</f>
        <v>YYYY</v>
      </c>
      <c r="C103" s="313">
        <v>0</v>
      </c>
      <c r="D103" s="304">
        <v>0</v>
      </c>
      <c r="E103" s="305">
        <v>0</v>
      </c>
      <c r="F103" s="219" t="e">
        <f>E103/$D103</f>
        <v>#DIV/0!</v>
      </c>
      <c r="G103" s="310">
        <v>0</v>
      </c>
      <c r="H103" s="219" t="e">
        <f>G103/$D103</f>
        <v>#DIV/0!</v>
      </c>
      <c r="I103" s="218">
        <f>E103+G103</f>
        <v>0</v>
      </c>
      <c r="J103" s="219" t="e">
        <f>I103/$D103</f>
        <v>#DIV/0!</v>
      </c>
    </row>
    <row r="104" spans="1:10" hidden="1" x14ac:dyDescent="0.25">
      <c r="A104" s="148"/>
      <c r="B104" s="217" t="e">
        <f>$B$7</f>
        <v>#VALUE!</v>
      </c>
      <c r="C104" s="314">
        <v>0</v>
      </c>
      <c r="D104" s="306">
        <v>0</v>
      </c>
      <c r="E104" s="307">
        <v>0</v>
      </c>
      <c r="F104" s="219" t="e">
        <f>E104/$D104</f>
        <v>#DIV/0!</v>
      </c>
      <c r="G104" s="311">
        <v>0</v>
      </c>
      <c r="H104" s="219" t="e">
        <f>G104/$D104</f>
        <v>#DIV/0!</v>
      </c>
      <c r="I104" s="218">
        <f>E104+G104</f>
        <v>0</v>
      </c>
      <c r="J104" s="219" t="e">
        <f>I104/$D104</f>
        <v>#DIV/0!</v>
      </c>
    </row>
    <row r="105" spans="1:10" hidden="1" x14ac:dyDescent="0.25">
      <c r="A105" s="148"/>
      <c r="B105" s="223" t="e">
        <f>$B$8</f>
        <v>#VALUE!</v>
      </c>
      <c r="C105" s="315">
        <v>0</v>
      </c>
      <c r="D105" s="308">
        <v>0</v>
      </c>
      <c r="E105" s="309">
        <v>0</v>
      </c>
      <c r="F105" s="220" t="e">
        <f>E105/$D105</f>
        <v>#DIV/0!</v>
      </c>
      <c r="G105" s="312">
        <v>0</v>
      </c>
      <c r="H105" s="220" t="e">
        <f>G105/$D105</f>
        <v>#DIV/0!</v>
      </c>
      <c r="I105" s="227">
        <f>E105+G105</f>
        <v>0</v>
      </c>
      <c r="J105" s="220" t="e">
        <f>I105/$D105</f>
        <v>#DIV/0!</v>
      </c>
    </row>
    <row r="106" spans="1:10" hidden="1" x14ac:dyDescent="0.25">
      <c r="A106" s="148"/>
      <c r="B106" s="217" t="s">
        <v>265</v>
      </c>
      <c r="C106" s="218">
        <f>AVERAGE(C103:C105)</f>
        <v>0</v>
      </c>
      <c r="D106" s="218">
        <f>AVERAGE(D103:D105)</f>
        <v>0</v>
      </c>
      <c r="E106" s="218">
        <f>AVERAGE(E103:E105)</f>
        <v>0</v>
      </c>
      <c r="F106" s="219" t="e">
        <f>E106/$D106</f>
        <v>#DIV/0!</v>
      </c>
      <c r="G106" s="218">
        <f>AVERAGE(G103:G105)</f>
        <v>0</v>
      </c>
      <c r="H106" s="219" t="e">
        <f>G106/$D106</f>
        <v>#DIV/0!</v>
      </c>
      <c r="I106" s="218">
        <f>AVERAGE(I103:I105)</f>
        <v>0</v>
      </c>
      <c r="J106" s="219" t="e">
        <f>I106/$D106</f>
        <v>#DIV/0!</v>
      </c>
    </row>
    <row r="107" spans="1:10" hidden="1" x14ac:dyDescent="0.25">
      <c r="A107" s="148"/>
    </row>
    <row r="108" spans="1:10" hidden="1" x14ac:dyDescent="0.25">
      <c r="A108" s="148"/>
      <c r="B108" s="579" t="s">
        <v>349</v>
      </c>
      <c r="C108" s="579"/>
    </row>
    <row r="109" spans="1:10" ht="30.75" hidden="1" thickBot="1" x14ac:dyDescent="0.3">
      <c r="A109" s="148"/>
      <c r="B109" s="209" t="s">
        <v>110</v>
      </c>
      <c r="C109" s="209" t="s">
        <v>259</v>
      </c>
      <c r="D109" s="209" t="s">
        <v>260</v>
      </c>
      <c r="E109" s="209" t="s">
        <v>116</v>
      </c>
      <c r="F109" s="209" t="s">
        <v>261</v>
      </c>
      <c r="G109" s="209" t="s">
        <v>117</v>
      </c>
      <c r="H109" s="209" t="s">
        <v>262</v>
      </c>
      <c r="I109" s="209" t="s">
        <v>263</v>
      </c>
      <c r="J109" s="209" t="s">
        <v>264</v>
      </c>
    </row>
    <row r="110" spans="1:10" hidden="1" x14ac:dyDescent="0.25">
      <c r="A110" s="148"/>
      <c r="B110" s="217" t="str">
        <f>$B$6</f>
        <v>YYYY</v>
      </c>
      <c r="C110" s="313">
        <v>0</v>
      </c>
      <c r="D110" s="304">
        <v>0</v>
      </c>
      <c r="E110" s="305">
        <v>0</v>
      </c>
      <c r="F110" s="219" t="e">
        <f>E110/$D110</f>
        <v>#DIV/0!</v>
      </c>
      <c r="G110" s="310">
        <v>0</v>
      </c>
      <c r="H110" s="219" t="e">
        <f>G110/$D110</f>
        <v>#DIV/0!</v>
      </c>
      <c r="I110" s="218">
        <f>E110+G110</f>
        <v>0</v>
      </c>
      <c r="J110" s="219" t="e">
        <f>I110/$D110</f>
        <v>#DIV/0!</v>
      </c>
    </row>
    <row r="111" spans="1:10" hidden="1" x14ac:dyDescent="0.25">
      <c r="A111" s="148"/>
      <c r="B111" s="217" t="e">
        <f>$B$7</f>
        <v>#VALUE!</v>
      </c>
      <c r="C111" s="314">
        <v>0</v>
      </c>
      <c r="D111" s="306">
        <v>0</v>
      </c>
      <c r="E111" s="307">
        <v>0</v>
      </c>
      <c r="F111" s="219" t="e">
        <f>E111/$D111</f>
        <v>#DIV/0!</v>
      </c>
      <c r="G111" s="311">
        <v>0</v>
      </c>
      <c r="H111" s="219" t="e">
        <f>G111/$D111</f>
        <v>#DIV/0!</v>
      </c>
      <c r="I111" s="218">
        <f>E111+G111</f>
        <v>0</v>
      </c>
      <c r="J111" s="219" t="e">
        <f>I111/$D111</f>
        <v>#DIV/0!</v>
      </c>
    </row>
    <row r="112" spans="1:10" hidden="1" x14ac:dyDescent="0.25">
      <c r="A112" s="148"/>
      <c r="B112" s="223" t="e">
        <f>$B$8</f>
        <v>#VALUE!</v>
      </c>
      <c r="C112" s="315">
        <v>0</v>
      </c>
      <c r="D112" s="308">
        <v>0</v>
      </c>
      <c r="E112" s="309">
        <v>0</v>
      </c>
      <c r="F112" s="220" t="e">
        <f>E112/$D112</f>
        <v>#DIV/0!</v>
      </c>
      <c r="G112" s="312">
        <v>0</v>
      </c>
      <c r="H112" s="220" t="e">
        <f>G112/$D112</f>
        <v>#DIV/0!</v>
      </c>
      <c r="I112" s="227">
        <f>E112+G112</f>
        <v>0</v>
      </c>
      <c r="J112" s="220" t="e">
        <f>I112/$D112</f>
        <v>#DIV/0!</v>
      </c>
    </row>
    <row r="113" spans="1:10" hidden="1" x14ac:dyDescent="0.25">
      <c r="A113" s="148"/>
      <c r="B113" s="217" t="s">
        <v>265</v>
      </c>
      <c r="C113" s="218">
        <f>AVERAGE(C110:C112)</f>
        <v>0</v>
      </c>
      <c r="D113" s="218">
        <f>AVERAGE(D110:D112)</f>
        <v>0</v>
      </c>
      <c r="E113" s="218">
        <f>AVERAGE(E110:E112)</f>
        <v>0</v>
      </c>
      <c r="F113" s="219" t="e">
        <f>E113/$D113</f>
        <v>#DIV/0!</v>
      </c>
      <c r="G113" s="218">
        <f>AVERAGE(G110:G112)</f>
        <v>0</v>
      </c>
      <c r="H113" s="219" t="e">
        <f>G113/$D113</f>
        <v>#DIV/0!</v>
      </c>
      <c r="I113" s="218">
        <f>AVERAGE(I110:I112)</f>
        <v>0</v>
      </c>
      <c r="J113" s="219" t="e">
        <f>I113/$D113</f>
        <v>#DIV/0!</v>
      </c>
    </row>
    <row r="114" spans="1:10" hidden="1" x14ac:dyDescent="0.25">
      <c r="A114" s="148"/>
    </row>
    <row r="115" spans="1:10" hidden="1" x14ac:dyDescent="0.25">
      <c r="A115" s="148"/>
      <c r="B115" s="579" t="s">
        <v>349</v>
      </c>
      <c r="C115" s="579"/>
    </row>
    <row r="116" spans="1:10" ht="30.75" hidden="1" thickBot="1" x14ac:dyDescent="0.3">
      <c r="A116" s="148"/>
      <c r="B116" s="209" t="s">
        <v>110</v>
      </c>
      <c r="C116" s="209" t="s">
        <v>259</v>
      </c>
      <c r="D116" s="209" t="s">
        <v>260</v>
      </c>
      <c r="E116" s="209" t="s">
        <v>116</v>
      </c>
      <c r="F116" s="209" t="s">
        <v>261</v>
      </c>
      <c r="G116" s="209" t="s">
        <v>117</v>
      </c>
      <c r="H116" s="209" t="s">
        <v>262</v>
      </c>
      <c r="I116" s="209" t="s">
        <v>263</v>
      </c>
      <c r="J116" s="209" t="s">
        <v>264</v>
      </c>
    </row>
    <row r="117" spans="1:10" hidden="1" x14ac:dyDescent="0.25">
      <c r="A117" s="148"/>
      <c r="B117" s="217" t="str">
        <f>$B$6</f>
        <v>YYYY</v>
      </c>
      <c r="C117" s="313">
        <v>0</v>
      </c>
      <c r="D117" s="304">
        <v>0</v>
      </c>
      <c r="E117" s="305">
        <v>0</v>
      </c>
      <c r="F117" s="219" t="e">
        <f>E117/$D117</f>
        <v>#DIV/0!</v>
      </c>
      <c r="G117" s="310">
        <v>0</v>
      </c>
      <c r="H117" s="219" t="e">
        <f>G117/$D117</f>
        <v>#DIV/0!</v>
      </c>
      <c r="I117" s="218">
        <f>E117+G117</f>
        <v>0</v>
      </c>
      <c r="J117" s="219" t="e">
        <f>I117/$D117</f>
        <v>#DIV/0!</v>
      </c>
    </row>
    <row r="118" spans="1:10" hidden="1" x14ac:dyDescent="0.25">
      <c r="A118" s="148"/>
      <c r="B118" s="217" t="e">
        <f>$B$7</f>
        <v>#VALUE!</v>
      </c>
      <c r="C118" s="314">
        <v>0</v>
      </c>
      <c r="D118" s="306">
        <v>0</v>
      </c>
      <c r="E118" s="307">
        <v>0</v>
      </c>
      <c r="F118" s="219" t="e">
        <f>E118/$D118</f>
        <v>#DIV/0!</v>
      </c>
      <c r="G118" s="311">
        <v>0</v>
      </c>
      <c r="H118" s="219" t="e">
        <f>G118/$D118</f>
        <v>#DIV/0!</v>
      </c>
      <c r="I118" s="218">
        <f>E118+G118</f>
        <v>0</v>
      </c>
      <c r="J118" s="219" t="e">
        <f>I118/$D118</f>
        <v>#DIV/0!</v>
      </c>
    </row>
    <row r="119" spans="1:10" hidden="1" x14ac:dyDescent="0.25">
      <c r="A119" s="148"/>
      <c r="B119" s="223" t="e">
        <f>$B$8</f>
        <v>#VALUE!</v>
      </c>
      <c r="C119" s="315">
        <v>0</v>
      </c>
      <c r="D119" s="308">
        <v>0</v>
      </c>
      <c r="E119" s="309">
        <v>0</v>
      </c>
      <c r="F119" s="220" t="e">
        <f>E119/$D119</f>
        <v>#DIV/0!</v>
      </c>
      <c r="G119" s="312">
        <v>0</v>
      </c>
      <c r="H119" s="220" t="e">
        <f>G119/$D119</f>
        <v>#DIV/0!</v>
      </c>
      <c r="I119" s="227">
        <f>E119+G119</f>
        <v>0</v>
      </c>
      <c r="J119" s="220" t="e">
        <f>I119/$D119</f>
        <v>#DIV/0!</v>
      </c>
    </row>
    <row r="120" spans="1:10" hidden="1" x14ac:dyDescent="0.25">
      <c r="A120" s="148"/>
      <c r="B120" s="217" t="s">
        <v>265</v>
      </c>
      <c r="C120" s="218">
        <f>AVERAGE(C117:C119)</f>
        <v>0</v>
      </c>
      <c r="D120" s="218">
        <f>AVERAGE(D117:D119)</f>
        <v>0</v>
      </c>
      <c r="E120" s="218">
        <f>AVERAGE(E117:E119)</f>
        <v>0</v>
      </c>
      <c r="F120" s="219" t="e">
        <f>E120/$D120</f>
        <v>#DIV/0!</v>
      </c>
      <c r="G120" s="218">
        <f>AVERAGE(G117:G119)</f>
        <v>0</v>
      </c>
      <c r="H120" s="219" t="e">
        <f>G120/$D120</f>
        <v>#DIV/0!</v>
      </c>
      <c r="I120" s="218">
        <f>AVERAGE(I117:I119)</f>
        <v>0</v>
      </c>
      <c r="J120" s="219" t="e">
        <f>I120/$D120</f>
        <v>#DIV/0!</v>
      </c>
    </row>
    <row r="121" spans="1:10" hidden="1" x14ac:dyDescent="0.25">
      <c r="A121" s="148"/>
    </row>
    <row r="122" spans="1:10" hidden="1" x14ac:dyDescent="0.25">
      <c r="A122" s="148"/>
      <c r="B122" s="579" t="s">
        <v>349</v>
      </c>
      <c r="C122" s="579"/>
    </row>
    <row r="123" spans="1:10" ht="30.75" hidden="1" thickBot="1" x14ac:dyDescent="0.3">
      <c r="A123" s="148"/>
      <c r="B123" s="209" t="s">
        <v>110</v>
      </c>
      <c r="C123" s="209" t="s">
        <v>259</v>
      </c>
      <c r="D123" s="209" t="s">
        <v>260</v>
      </c>
      <c r="E123" s="209" t="s">
        <v>116</v>
      </c>
      <c r="F123" s="209" t="s">
        <v>261</v>
      </c>
      <c r="G123" s="209" t="s">
        <v>117</v>
      </c>
      <c r="H123" s="209" t="s">
        <v>262</v>
      </c>
      <c r="I123" s="209" t="s">
        <v>263</v>
      </c>
      <c r="J123" s="209" t="s">
        <v>264</v>
      </c>
    </row>
    <row r="124" spans="1:10" hidden="1" x14ac:dyDescent="0.25">
      <c r="A124" s="148"/>
      <c r="B124" s="217" t="str">
        <f>$B$6</f>
        <v>YYYY</v>
      </c>
      <c r="C124" s="313">
        <v>0</v>
      </c>
      <c r="D124" s="304">
        <v>0</v>
      </c>
      <c r="E124" s="305">
        <v>0</v>
      </c>
      <c r="F124" s="219" t="e">
        <f>E124/$D124</f>
        <v>#DIV/0!</v>
      </c>
      <c r="G124" s="310">
        <v>0</v>
      </c>
      <c r="H124" s="219" t="e">
        <f>G124/$D124</f>
        <v>#DIV/0!</v>
      </c>
      <c r="I124" s="218">
        <f>E124+G124</f>
        <v>0</v>
      </c>
      <c r="J124" s="219" t="e">
        <f>I124/$D124</f>
        <v>#DIV/0!</v>
      </c>
    </row>
    <row r="125" spans="1:10" hidden="1" x14ac:dyDescent="0.25">
      <c r="A125" s="148"/>
      <c r="B125" s="217" t="e">
        <f>$B$7</f>
        <v>#VALUE!</v>
      </c>
      <c r="C125" s="314">
        <v>0</v>
      </c>
      <c r="D125" s="306">
        <v>0</v>
      </c>
      <c r="E125" s="307">
        <v>0</v>
      </c>
      <c r="F125" s="219" t="e">
        <f>E125/$D125</f>
        <v>#DIV/0!</v>
      </c>
      <c r="G125" s="311">
        <v>0</v>
      </c>
      <c r="H125" s="219" t="e">
        <f>G125/$D125</f>
        <v>#DIV/0!</v>
      </c>
      <c r="I125" s="218">
        <f>E125+G125</f>
        <v>0</v>
      </c>
      <c r="J125" s="219" t="e">
        <f>I125/$D125</f>
        <v>#DIV/0!</v>
      </c>
    </row>
    <row r="126" spans="1:10" hidden="1" x14ac:dyDescent="0.25">
      <c r="A126" s="148"/>
      <c r="B126" s="223" t="e">
        <f>$B$8</f>
        <v>#VALUE!</v>
      </c>
      <c r="C126" s="315">
        <v>0</v>
      </c>
      <c r="D126" s="308">
        <v>0</v>
      </c>
      <c r="E126" s="309">
        <v>0</v>
      </c>
      <c r="F126" s="220" t="e">
        <f>E126/$D126</f>
        <v>#DIV/0!</v>
      </c>
      <c r="G126" s="312">
        <v>0</v>
      </c>
      <c r="H126" s="220" t="e">
        <f>G126/$D126</f>
        <v>#DIV/0!</v>
      </c>
      <c r="I126" s="227">
        <f>E126+G126</f>
        <v>0</v>
      </c>
      <c r="J126" s="220" t="e">
        <f>I126/$D126</f>
        <v>#DIV/0!</v>
      </c>
    </row>
    <row r="127" spans="1:10" hidden="1" x14ac:dyDescent="0.25">
      <c r="A127" s="148"/>
      <c r="B127" s="217" t="s">
        <v>265</v>
      </c>
      <c r="C127" s="218">
        <f>AVERAGE(C124:C126)</f>
        <v>0</v>
      </c>
      <c r="D127" s="218">
        <f>AVERAGE(D124:D126)</f>
        <v>0</v>
      </c>
      <c r="E127" s="218">
        <f>AVERAGE(E124:E126)</f>
        <v>0</v>
      </c>
      <c r="F127" s="219" t="e">
        <f>E127/$D127</f>
        <v>#DIV/0!</v>
      </c>
      <c r="G127" s="218">
        <f>AVERAGE(G124:G126)</f>
        <v>0</v>
      </c>
      <c r="H127" s="219" t="e">
        <f>G127/$D127</f>
        <v>#DIV/0!</v>
      </c>
      <c r="I127" s="218">
        <f>AVERAGE(I124:I126)</f>
        <v>0</v>
      </c>
      <c r="J127" s="219" t="e">
        <f>I127/$D127</f>
        <v>#DIV/0!</v>
      </c>
    </row>
    <row r="128" spans="1:10" hidden="1" x14ac:dyDescent="0.25">
      <c r="A128" s="148"/>
    </row>
    <row r="129" spans="1:10" hidden="1" x14ac:dyDescent="0.25">
      <c r="A129" s="148"/>
      <c r="B129" s="579" t="s">
        <v>349</v>
      </c>
      <c r="C129" s="579"/>
    </row>
    <row r="130" spans="1:10" ht="30.75" hidden="1" thickBot="1" x14ac:dyDescent="0.3">
      <c r="A130" s="148"/>
      <c r="B130" s="209" t="s">
        <v>110</v>
      </c>
      <c r="C130" s="209" t="s">
        <v>259</v>
      </c>
      <c r="D130" s="209" t="s">
        <v>260</v>
      </c>
      <c r="E130" s="209" t="s">
        <v>116</v>
      </c>
      <c r="F130" s="209" t="s">
        <v>261</v>
      </c>
      <c r="G130" s="209" t="s">
        <v>117</v>
      </c>
      <c r="H130" s="209" t="s">
        <v>262</v>
      </c>
      <c r="I130" s="209" t="s">
        <v>263</v>
      </c>
      <c r="J130" s="209" t="s">
        <v>264</v>
      </c>
    </row>
    <row r="131" spans="1:10" hidden="1" x14ac:dyDescent="0.25">
      <c r="A131" s="148"/>
      <c r="B131" s="217" t="str">
        <f>$B$6</f>
        <v>YYYY</v>
      </c>
      <c r="C131" s="313">
        <v>0</v>
      </c>
      <c r="D131" s="304">
        <v>0</v>
      </c>
      <c r="E131" s="305">
        <v>0</v>
      </c>
      <c r="F131" s="219" t="e">
        <f>E131/$D131</f>
        <v>#DIV/0!</v>
      </c>
      <c r="G131" s="310">
        <v>0</v>
      </c>
      <c r="H131" s="219" t="e">
        <f>G131/$D131</f>
        <v>#DIV/0!</v>
      </c>
      <c r="I131" s="218">
        <f>E131+G131</f>
        <v>0</v>
      </c>
      <c r="J131" s="219" t="e">
        <f>I131/$D131</f>
        <v>#DIV/0!</v>
      </c>
    </row>
    <row r="132" spans="1:10" hidden="1" x14ac:dyDescent="0.25">
      <c r="A132" s="148"/>
      <c r="B132" s="217" t="e">
        <f>$B$7</f>
        <v>#VALUE!</v>
      </c>
      <c r="C132" s="314">
        <v>0</v>
      </c>
      <c r="D132" s="306">
        <v>0</v>
      </c>
      <c r="E132" s="307">
        <v>0</v>
      </c>
      <c r="F132" s="219" t="e">
        <f>E132/$D132</f>
        <v>#DIV/0!</v>
      </c>
      <c r="G132" s="311">
        <v>0</v>
      </c>
      <c r="H132" s="219" t="e">
        <f>G132/$D132</f>
        <v>#DIV/0!</v>
      </c>
      <c r="I132" s="218">
        <f>E132+G132</f>
        <v>0</v>
      </c>
      <c r="J132" s="219" t="e">
        <f>I132/$D132</f>
        <v>#DIV/0!</v>
      </c>
    </row>
    <row r="133" spans="1:10" hidden="1" x14ac:dyDescent="0.25">
      <c r="A133" s="148"/>
      <c r="B133" s="223" t="e">
        <f>$B$8</f>
        <v>#VALUE!</v>
      </c>
      <c r="C133" s="315">
        <v>0</v>
      </c>
      <c r="D133" s="308">
        <v>0</v>
      </c>
      <c r="E133" s="309">
        <v>0</v>
      </c>
      <c r="F133" s="220" t="e">
        <f>E133/$D133</f>
        <v>#DIV/0!</v>
      </c>
      <c r="G133" s="312">
        <v>0</v>
      </c>
      <c r="H133" s="220" t="e">
        <f>G133/$D133</f>
        <v>#DIV/0!</v>
      </c>
      <c r="I133" s="227">
        <f>E133+G133</f>
        <v>0</v>
      </c>
      <c r="J133" s="220" t="e">
        <f>I133/$D133</f>
        <v>#DIV/0!</v>
      </c>
    </row>
    <row r="134" spans="1:10" hidden="1" x14ac:dyDescent="0.25">
      <c r="A134" s="148"/>
      <c r="B134" s="217" t="s">
        <v>265</v>
      </c>
      <c r="C134" s="218">
        <f>AVERAGE(C131:C133)</f>
        <v>0</v>
      </c>
      <c r="D134" s="218">
        <f>AVERAGE(D131:D133)</f>
        <v>0</v>
      </c>
      <c r="E134" s="218">
        <f>AVERAGE(E131:E133)</f>
        <v>0</v>
      </c>
      <c r="F134" s="219" t="e">
        <f>E134/$D134</f>
        <v>#DIV/0!</v>
      </c>
      <c r="G134" s="218">
        <f>AVERAGE(G131:G133)</f>
        <v>0</v>
      </c>
      <c r="H134" s="219" t="e">
        <f>G134/$D134</f>
        <v>#DIV/0!</v>
      </c>
      <c r="I134" s="218">
        <f>AVERAGE(I131:I133)</f>
        <v>0</v>
      </c>
      <c r="J134" s="219" t="e">
        <f>I134/$D134</f>
        <v>#DIV/0!</v>
      </c>
    </row>
    <row r="135" spans="1:10" hidden="1" x14ac:dyDescent="0.25">
      <c r="A135" s="148"/>
    </row>
    <row r="136" spans="1:10" hidden="1" x14ac:dyDescent="0.25">
      <c r="A136" s="148"/>
      <c r="B136" s="579" t="s">
        <v>349</v>
      </c>
      <c r="C136" s="579"/>
    </row>
    <row r="137" spans="1:10" ht="30.75" hidden="1" thickBot="1" x14ac:dyDescent="0.3">
      <c r="A137" s="148"/>
      <c r="B137" s="209" t="s">
        <v>110</v>
      </c>
      <c r="C137" s="209" t="s">
        <v>259</v>
      </c>
      <c r="D137" s="209" t="s">
        <v>260</v>
      </c>
      <c r="E137" s="209" t="s">
        <v>116</v>
      </c>
      <c r="F137" s="209" t="s">
        <v>261</v>
      </c>
      <c r="G137" s="209" t="s">
        <v>117</v>
      </c>
      <c r="H137" s="209" t="s">
        <v>262</v>
      </c>
      <c r="I137" s="209" t="s">
        <v>263</v>
      </c>
      <c r="J137" s="209" t="s">
        <v>264</v>
      </c>
    </row>
    <row r="138" spans="1:10" hidden="1" x14ac:dyDescent="0.25">
      <c r="A138" s="148"/>
      <c r="B138" s="217" t="str">
        <f>$B$6</f>
        <v>YYYY</v>
      </c>
      <c r="C138" s="313">
        <v>0</v>
      </c>
      <c r="D138" s="304">
        <v>0</v>
      </c>
      <c r="E138" s="305">
        <v>0</v>
      </c>
      <c r="F138" s="219" t="e">
        <f>E138/$D138</f>
        <v>#DIV/0!</v>
      </c>
      <c r="G138" s="310">
        <v>0</v>
      </c>
      <c r="H138" s="219" t="e">
        <f>G138/$D138</f>
        <v>#DIV/0!</v>
      </c>
      <c r="I138" s="218">
        <f>E138+G138</f>
        <v>0</v>
      </c>
      <c r="J138" s="219" t="e">
        <f>I138/$D138</f>
        <v>#DIV/0!</v>
      </c>
    </row>
    <row r="139" spans="1:10" hidden="1" x14ac:dyDescent="0.25">
      <c r="A139" s="148"/>
      <c r="B139" s="217" t="e">
        <f>$B$7</f>
        <v>#VALUE!</v>
      </c>
      <c r="C139" s="314">
        <v>0</v>
      </c>
      <c r="D139" s="306">
        <v>0</v>
      </c>
      <c r="E139" s="307">
        <v>0</v>
      </c>
      <c r="F139" s="219" t="e">
        <f>E139/$D139</f>
        <v>#DIV/0!</v>
      </c>
      <c r="G139" s="311">
        <v>0</v>
      </c>
      <c r="H139" s="219" t="e">
        <f>G139/$D139</f>
        <v>#DIV/0!</v>
      </c>
      <c r="I139" s="218">
        <f>E139+G139</f>
        <v>0</v>
      </c>
      <c r="J139" s="219" t="e">
        <f>I139/$D139</f>
        <v>#DIV/0!</v>
      </c>
    </row>
    <row r="140" spans="1:10" hidden="1" x14ac:dyDescent="0.25">
      <c r="A140" s="148"/>
      <c r="B140" s="223" t="e">
        <f>$B$8</f>
        <v>#VALUE!</v>
      </c>
      <c r="C140" s="315">
        <v>0</v>
      </c>
      <c r="D140" s="308">
        <v>0</v>
      </c>
      <c r="E140" s="309">
        <v>0</v>
      </c>
      <c r="F140" s="220" t="e">
        <f>E140/$D140</f>
        <v>#DIV/0!</v>
      </c>
      <c r="G140" s="312">
        <v>0</v>
      </c>
      <c r="H140" s="220" t="e">
        <f>G140/$D140</f>
        <v>#DIV/0!</v>
      </c>
      <c r="I140" s="227">
        <f>E140+G140</f>
        <v>0</v>
      </c>
      <c r="J140" s="220" t="e">
        <f>I140/$D140</f>
        <v>#DIV/0!</v>
      </c>
    </row>
    <row r="141" spans="1:10" hidden="1" x14ac:dyDescent="0.25">
      <c r="A141" s="148"/>
      <c r="B141" s="217" t="s">
        <v>265</v>
      </c>
      <c r="C141" s="218">
        <f>AVERAGE(C138:C140)</f>
        <v>0</v>
      </c>
      <c r="D141" s="218">
        <f>AVERAGE(D138:D140)</f>
        <v>0</v>
      </c>
      <c r="E141" s="218">
        <f>AVERAGE(E138:E140)</f>
        <v>0</v>
      </c>
      <c r="F141" s="219" t="e">
        <f>E141/$D141</f>
        <v>#DIV/0!</v>
      </c>
      <c r="G141" s="218">
        <f>AVERAGE(G138:G140)</f>
        <v>0</v>
      </c>
      <c r="H141" s="219" t="e">
        <f>G141/$D141</f>
        <v>#DIV/0!</v>
      </c>
      <c r="I141" s="218">
        <f>AVERAGE(I138:I140)</f>
        <v>0</v>
      </c>
      <c r="J141" s="219" t="e">
        <f>I141/$D141</f>
        <v>#DIV/0!</v>
      </c>
    </row>
    <row r="142" spans="1:10" hidden="1" x14ac:dyDescent="0.25">
      <c r="A142" s="148"/>
    </row>
    <row r="143" spans="1:10" hidden="1" x14ac:dyDescent="0.25">
      <c r="A143" s="148"/>
      <c r="B143" s="579" t="s">
        <v>349</v>
      </c>
      <c r="C143" s="579"/>
    </row>
    <row r="144" spans="1:10" ht="30.75" hidden="1" thickBot="1" x14ac:dyDescent="0.3">
      <c r="A144" s="148"/>
      <c r="B144" s="209" t="s">
        <v>110</v>
      </c>
      <c r="C144" s="209" t="s">
        <v>259</v>
      </c>
      <c r="D144" s="209" t="s">
        <v>260</v>
      </c>
      <c r="E144" s="209" t="s">
        <v>116</v>
      </c>
      <c r="F144" s="209" t="s">
        <v>261</v>
      </c>
      <c r="G144" s="209" t="s">
        <v>117</v>
      </c>
      <c r="H144" s="209" t="s">
        <v>262</v>
      </c>
      <c r="I144" s="209" t="s">
        <v>263</v>
      </c>
      <c r="J144" s="209" t="s">
        <v>264</v>
      </c>
    </row>
    <row r="145" spans="1:10" hidden="1" x14ac:dyDescent="0.25">
      <c r="A145" s="148"/>
      <c r="B145" s="217" t="str">
        <f>$B$6</f>
        <v>YYYY</v>
      </c>
      <c r="C145" s="313">
        <v>0</v>
      </c>
      <c r="D145" s="304">
        <v>0</v>
      </c>
      <c r="E145" s="305">
        <v>0</v>
      </c>
      <c r="F145" s="219" t="e">
        <f>E145/$D145</f>
        <v>#DIV/0!</v>
      </c>
      <c r="G145" s="310">
        <v>0</v>
      </c>
      <c r="H145" s="219" t="e">
        <f>G145/$D145</f>
        <v>#DIV/0!</v>
      </c>
      <c r="I145" s="218">
        <f>E145+G145</f>
        <v>0</v>
      </c>
      <c r="J145" s="219" t="e">
        <f>I145/$D145</f>
        <v>#DIV/0!</v>
      </c>
    </row>
    <row r="146" spans="1:10" hidden="1" x14ac:dyDescent="0.25">
      <c r="A146" s="148"/>
      <c r="B146" s="217" t="e">
        <f>$B$7</f>
        <v>#VALUE!</v>
      </c>
      <c r="C146" s="314">
        <v>0</v>
      </c>
      <c r="D146" s="306">
        <v>0</v>
      </c>
      <c r="E146" s="307">
        <v>0</v>
      </c>
      <c r="F146" s="219" t="e">
        <f>E146/$D146</f>
        <v>#DIV/0!</v>
      </c>
      <c r="G146" s="311">
        <v>0</v>
      </c>
      <c r="H146" s="219" t="e">
        <f>G146/$D146</f>
        <v>#DIV/0!</v>
      </c>
      <c r="I146" s="218">
        <f>E146+G146</f>
        <v>0</v>
      </c>
      <c r="J146" s="219" t="e">
        <f>I146/$D146</f>
        <v>#DIV/0!</v>
      </c>
    </row>
    <row r="147" spans="1:10" hidden="1" x14ac:dyDescent="0.25">
      <c r="A147" s="148"/>
      <c r="B147" s="223" t="e">
        <f>$B$8</f>
        <v>#VALUE!</v>
      </c>
      <c r="C147" s="315">
        <v>0</v>
      </c>
      <c r="D147" s="308">
        <v>0</v>
      </c>
      <c r="E147" s="309">
        <v>0</v>
      </c>
      <c r="F147" s="220" t="e">
        <f>E147/$D147</f>
        <v>#DIV/0!</v>
      </c>
      <c r="G147" s="312">
        <v>0</v>
      </c>
      <c r="H147" s="220" t="e">
        <f>G147/$D147</f>
        <v>#DIV/0!</v>
      </c>
      <c r="I147" s="227">
        <f>E147+G147</f>
        <v>0</v>
      </c>
      <c r="J147" s="220" t="e">
        <f>I147/$D147</f>
        <v>#DIV/0!</v>
      </c>
    </row>
    <row r="148" spans="1:10" hidden="1" x14ac:dyDescent="0.25">
      <c r="A148" s="148"/>
      <c r="B148" s="217" t="s">
        <v>265</v>
      </c>
      <c r="C148" s="218">
        <f>AVERAGE(C145:C147)</f>
        <v>0</v>
      </c>
      <c r="D148" s="218">
        <f>AVERAGE(D145:D147)</f>
        <v>0</v>
      </c>
      <c r="E148" s="218">
        <f>AVERAGE(E145:E147)</f>
        <v>0</v>
      </c>
      <c r="F148" s="219" t="e">
        <f>E148/$D148</f>
        <v>#DIV/0!</v>
      </c>
      <c r="G148" s="218">
        <f>AVERAGE(G145:G147)</f>
        <v>0</v>
      </c>
      <c r="H148" s="219" t="e">
        <f>G148/$D148</f>
        <v>#DIV/0!</v>
      </c>
      <c r="I148" s="218">
        <f>AVERAGE(I145:I147)</f>
        <v>0</v>
      </c>
      <c r="J148" s="219" t="e">
        <f>I148/$D148</f>
        <v>#DIV/0!</v>
      </c>
    </row>
    <row r="149" spans="1:10" hidden="1" x14ac:dyDescent="0.25">
      <c r="A149" s="148"/>
    </row>
    <row r="150" spans="1:10" hidden="1" x14ac:dyDescent="0.25">
      <c r="A150" s="148"/>
      <c r="B150" s="579" t="s">
        <v>349</v>
      </c>
      <c r="C150" s="579"/>
    </row>
    <row r="151" spans="1:10" ht="30.75" hidden="1" thickBot="1" x14ac:dyDescent="0.3">
      <c r="A151" s="148"/>
      <c r="B151" s="209" t="s">
        <v>110</v>
      </c>
      <c r="C151" s="209" t="s">
        <v>259</v>
      </c>
      <c r="D151" s="209" t="s">
        <v>260</v>
      </c>
      <c r="E151" s="209" t="s">
        <v>116</v>
      </c>
      <c r="F151" s="209" t="s">
        <v>261</v>
      </c>
      <c r="G151" s="209" t="s">
        <v>117</v>
      </c>
      <c r="H151" s="209" t="s">
        <v>262</v>
      </c>
      <c r="I151" s="209" t="s">
        <v>263</v>
      </c>
      <c r="J151" s="209" t="s">
        <v>264</v>
      </c>
    </row>
    <row r="152" spans="1:10" hidden="1" x14ac:dyDescent="0.25">
      <c r="A152" s="148"/>
      <c r="B152" s="217" t="str">
        <f>$B$6</f>
        <v>YYYY</v>
      </c>
      <c r="C152" s="313">
        <v>0</v>
      </c>
      <c r="D152" s="304">
        <v>0</v>
      </c>
      <c r="E152" s="305">
        <v>0</v>
      </c>
      <c r="F152" s="219" t="e">
        <f>E152/$D152</f>
        <v>#DIV/0!</v>
      </c>
      <c r="G152" s="310">
        <v>0</v>
      </c>
      <c r="H152" s="219" t="e">
        <f>G152/$D152</f>
        <v>#DIV/0!</v>
      </c>
      <c r="I152" s="218">
        <f>E152+G152</f>
        <v>0</v>
      </c>
      <c r="J152" s="219" t="e">
        <f>I152/$D152</f>
        <v>#DIV/0!</v>
      </c>
    </row>
    <row r="153" spans="1:10" hidden="1" x14ac:dyDescent="0.25">
      <c r="A153" s="148"/>
      <c r="B153" s="217" t="e">
        <f>$B$7</f>
        <v>#VALUE!</v>
      </c>
      <c r="C153" s="314">
        <v>0</v>
      </c>
      <c r="D153" s="306">
        <v>0</v>
      </c>
      <c r="E153" s="307">
        <v>0</v>
      </c>
      <c r="F153" s="219" t="e">
        <f>E153/$D153</f>
        <v>#DIV/0!</v>
      </c>
      <c r="G153" s="311">
        <v>0</v>
      </c>
      <c r="H153" s="219" t="e">
        <f>G153/$D153</f>
        <v>#DIV/0!</v>
      </c>
      <c r="I153" s="218">
        <f>E153+G153</f>
        <v>0</v>
      </c>
      <c r="J153" s="219" t="e">
        <f>I153/$D153</f>
        <v>#DIV/0!</v>
      </c>
    </row>
    <row r="154" spans="1:10" hidden="1" x14ac:dyDescent="0.25">
      <c r="A154" s="148"/>
      <c r="B154" s="223" t="e">
        <f>$B$8</f>
        <v>#VALUE!</v>
      </c>
      <c r="C154" s="315">
        <v>0</v>
      </c>
      <c r="D154" s="308">
        <v>0</v>
      </c>
      <c r="E154" s="309">
        <v>0</v>
      </c>
      <c r="F154" s="220" t="e">
        <f>E154/$D154</f>
        <v>#DIV/0!</v>
      </c>
      <c r="G154" s="312">
        <v>0</v>
      </c>
      <c r="H154" s="220" t="e">
        <f>G154/$D154</f>
        <v>#DIV/0!</v>
      </c>
      <c r="I154" s="227">
        <f>E154+G154</f>
        <v>0</v>
      </c>
      <c r="J154" s="220" t="e">
        <f>I154/$D154</f>
        <v>#DIV/0!</v>
      </c>
    </row>
    <row r="155" spans="1:10" hidden="1" x14ac:dyDescent="0.25">
      <c r="A155" s="148"/>
      <c r="B155" s="217" t="s">
        <v>265</v>
      </c>
      <c r="C155" s="218">
        <f>AVERAGE(C152:C154)</f>
        <v>0</v>
      </c>
      <c r="D155" s="218">
        <f>AVERAGE(D152:D154)</f>
        <v>0</v>
      </c>
      <c r="E155" s="218">
        <f>AVERAGE(E152:E154)</f>
        <v>0</v>
      </c>
      <c r="F155" s="219" t="e">
        <f>E155/$D155</f>
        <v>#DIV/0!</v>
      </c>
      <c r="G155" s="218">
        <f>AVERAGE(G152:G154)</f>
        <v>0</v>
      </c>
      <c r="H155" s="219" t="e">
        <f>G155/$D155</f>
        <v>#DIV/0!</v>
      </c>
      <c r="I155" s="218">
        <f>AVERAGE(I152:I154)</f>
        <v>0</v>
      </c>
      <c r="J155" s="219" t="e">
        <f>I155/$D155</f>
        <v>#DIV/0!</v>
      </c>
    </row>
    <row r="156" spans="1:10" hidden="1" x14ac:dyDescent="0.25">
      <c r="A156" s="148"/>
    </row>
    <row r="157" spans="1:10" hidden="1" x14ac:dyDescent="0.25">
      <c r="A157" s="148"/>
      <c r="B157" s="579" t="s">
        <v>349</v>
      </c>
      <c r="C157" s="579"/>
    </row>
    <row r="158" spans="1:10" ht="30.75" hidden="1" thickBot="1" x14ac:dyDescent="0.3">
      <c r="A158" s="148"/>
      <c r="B158" s="209" t="s">
        <v>110</v>
      </c>
      <c r="C158" s="209" t="s">
        <v>259</v>
      </c>
      <c r="D158" s="209" t="s">
        <v>260</v>
      </c>
      <c r="E158" s="209" t="s">
        <v>116</v>
      </c>
      <c r="F158" s="209" t="s">
        <v>261</v>
      </c>
      <c r="G158" s="209" t="s">
        <v>117</v>
      </c>
      <c r="H158" s="209" t="s">
        <v>262</v>
      </c>
      <c r="I158" s="209" t="s">
        <v>263</v>
      </c>
      <c r="J158" s="209" t="s">
        <v>264</v>
      </c>
    </row>
    <row r="159" spans="1:10" hidden="1" x14ac:dyDescent="0.25">
      <c r="A159" s="148"/>
      <c r="B159" s="217" t="str">
        <f>$B$6</f>
        <v>YYYY</v>
      </c>
      <c r="C159" s="313">
        <v>0</v>
      </c>
      <c r="D159" s="304">
        <v>0</v>
      </c>
      <c r="E159" s="305">
        <v>0</v>
      </c>
      <c r="F159" s="219" t="e">
        <f>E159/$D159</f>
        <v>#DIV/0!</v>
      </c>
      <c r="G159" s="310">
        <v>0</v>
      </c>
      <c r="H159" s="219" t="e">
        <f>G159/$D159</f>
        <v>#DIV/0!</v>
      </c>
      <c r="I159" s="218">
        <f>E159+G159</f>
        <v>0</v>
      </c>
      <c r="J159" s="219" t="e">
        <f>I159/$D159</f>
        <v>#DIV/0!</v>
      </c>
    </row>
    <row r="160" spans="1:10" hidden="1" x14ac:dyDescent="0.25">
      <c r="A160" s="148"/>
      <c r="B160" s="217" t="e">
        <f>$B$7</f>
        <v>#VALUE!</v>
      </c>
      <c r="C160" s="314">
        <v>0</v>
      </c>
      <c r="D160" s="306">
        <v>0</v>
      </c>
      <c r="E160" s="307">
        <v>0</v>
      </c>
      <c r="F160" s="219" t="e">
        <f>E160/$D160</f>
        <v>#DIV/0!</v>
      </c>
      <c r="G160" s="311">
        <v>0</v>
      </c>
      <c r="H160" s="219" t="e">
        <f>G160/$D160</f>
        <v>#DIV/0!</v>
      </c>
      <c r="I160" s="218">
        <f>E160+G160</f>
        <v>0</v>
      </c>
      <c r="J160" s="219" t="e">
        <f>I160/$D160</f>
        <v>#DIV/0!</v>
      </c>
    </row>
    <row r="161" spans="1:10" hidden="1" x14ac:dyDescent="0.25">
      <c r="A161" s="148"/>
      <c r="B161" s="223" t="e">
        <f>$B$8</f>
        <v>#VALUE!</v>
      </c>
      <c r="C161" s="315">
        <v>0</v>
      </c>
      <c r="D161" s="308">
        <v>0</v>
      </c>
      <c r="E161" s="309">
        <v>0</v>
      </c>
      <c r="F161" s="220" t="e">
        <f>E161/$D161</f>
        <v>#DIV/0!</v>
      </c>
      <c r="G161" s="312">
        <v>0</v>
      </c>
      <c r="H161" s="220" t="e">
        <f>G161/$D161</f>
        <v>#DIV/0!</v>
      </c>
      <c r="I161" s="227">
        <f>E161+G161</f>
        <v>0</v>
      </c>
      <c r="J161" s="220" t="e">
        <f>I161/$D161</f>
        <v>#DIV/0!</v>
      </c>
    </row>
    <row r="162" spans="1:10" hidden="1" x14ac:dyDescent="0.25">
      <c r="A162" s="148"/>
      <c r="B162" s="217" t="s">
        <v>265</v>
      </c>
      <c r="C162" s="218">
        <f>AVERAGE(C159:C161)</f>
        <v>0</v>
      </c>
      <c r="D162" s="218">
        <f>AVERAGE(D159:D161)</f>
        <v>0</v>
      </c>
      <c r="E162" s="218">
        <f>AVERAGE(E159:E161)</f>
        <v>0</v>
      </c>
      <c r="F162" s="219" t="e">
        <f>E162/$D162</f>
        <v>#DIV/0!</v>
      </c>
      <c r="G162" s="218">
        <f>AVERAGE(G159:G161)</f>
        <v>0</v>
      </c>
      <c r="H162" s="219" t="e">
        <f>G162/$D162</f>
        <v>#DIV/0!</v>
      </c>
      <c r="I162" s="218">
        <f>AVERAGE(I159:I161)</f>
        <v>0</v>
      </c>
      <c r="J162" s="219" t="e">
        <f>I162/$D162</f>
        <v>#DIV/0!</v>
      </c>
    </row>
    <row r="163" spans="1:10" hidden="1" x14ac:dyDescent="0.25">
      <c r="A163" s="148"/>
    </row>
    <row r="164" spans="1:10" hidden="1" x14ac:dyDescent="0.25">
      <c r="A164" s="148"/>
      <c r="B164" s="579" t="s">
        <v>349</v>
      </c>
      <c r="C164" s="579"/>
    </row>
    <row r="165" spans="1:10" ht="30.75" hidden="1" thickBot="1" x14ac:dyDescent="0.3">
      <c r="A165" s="148"/>
      <c r="B165" s="209" t="s">
        <v>110</v>
      </c>
      <c r="C165" s="209" t="s">
        <v>259</v>
      </c>
      <c r="D165" s="209" t="s">
        <v>260</v>
      </c>
      <c r="E165" s="209" t="s">
        <v>116</v>
      </c>
      <c r="F165" s="209" t="s">
        <v>261</v>
      </c>
      <c r="G165" s="209" t="s">
        <v>117</v>
      </c>
      <c r="H165" s="209" t="s">
        <v>262</v>
      </c>
      <c r="I165" s="209" t="s">
        <v>263</v>
      </c>
      <c r="J165" s="209" t="s">
        <v>264</v>
      </c>
    </row>
    <row r="166" spans="1:10" hidden="1" x14ac:dyDescent="0.25">
      <c r="A166" s="148"/>
      <c r="B166" s="217" t="str">
        <f>$B$6</f>
        <v>YYYY</v>
      </c>
      <c r="C166" s="313">
        <v>0</v>
      </c>
      <c r="D166" s="304">
        <v>0</v>
      </c>
      <c r="E166" s="305">
        <v>0</v>
      </c>
      <c r="F166" s="219" t="e">
        <f>E166/$D166</f>
        <v>#DIV/0!</v>
      </c>
      <c r="G166" s="310">
        <v>0</v>
      </c>
      <c r="H166" s="219" t="e">
        <f>G166/$D166</f>
        <v>#DIV/0!</v>
      </c>
      <c r="I166" s="218">
        <f>E166+G166</f>
        <v>0</v>
      </c>
      <c r="J166" s="219" t="e">
        <f>I166/$D166</f>
        <v>#DIV/0!</v>
      </c>
    </row>
    <row r="167" spans="1:10" hidden="1" x14ac:dyDescent="0.25">
      <c r="A167" s="148"/>
      <c r="B167" s="217" t="e">
        <f>$B$7</f>
        <v>#VALUE!</v>
      </c>
      <c r="C167" s="314">
        <v>0</v>
      </c>
      <c r="D167" s="306">
        <v>0</v>
      </c>
      <c r="E167" s="307">
        <v>0</v>
      </c>
      <c r="F167" s="219" t="e">
        <f>E167/$D167</f>
        <v>#DIV/0!</v>
      </c>
      <c r="G167" s="311">
        <v>0</v>
      </c>
      <c r="H167" s="219" t="e">
        <f>G167/$D167</f>
        <v>#DIV/0!</v>
      </c>
      <c r="I167" s="218">
        <f>E167+G167</f>
        <v>0</v>
      </c>
      <c r="J167" s="219" t="e">
        <f>I167/$D167</f>
        <v>#DIV/0!</v>
      </c>
    </row>
    <row r="168" spans="1:10" hidden="1" x14ac:dyDescent="0.25">
      <c r="A168" s="148"/>
      <c r="B168" s="223" t="e">
        <f>$B$8</f>
        <v>#VALUE!</v>
      </c>
      <c r="C168" s="315">
        <v>0</v>
      </c>
      <c r="D168" s="308">
        <v>0</v>
      </c>
      <c r="E168" s="309">
        <v>0</v>
      </c>
      <c r="F168" s="220" t="e">
        <f>E168/$D168</f>
        <v>#DIV/0!</v>
      </c>
      <c r="G168" s="312">
        <v>0</v>
      </c>
      <c r="H168" s="220" t="e">
        <f>G168/$D168</f>
        <v>#DIV/0!</v>
      </c>
      <c r="I168" s="227">
        <f>E168+G168</f>
        <v>0</v>
      </c>
      <c r="J168" s="220" t="e">
        <f>I168/$D168</f>
        <v>#DIV/0!</v>
      </c>
    </row>
    <row r="169" spans="1:10" hidden="1" x14ac:dyDescent="0.25">
      <c r="A169" s="148"/>
      <c r="B169" s="217" t="s">
        <v>265</v>
      </c>
      <c r="C169" s="218">
        <f>AVERAGE(C166:C168)</f>
        <v>0</v>
      </c>
      <c r="D169" s="218">
        <f>AVERAGE(D166:D168)</f>
        <v>0</v>
      </c>
      <c r="E169" s="218">
        <f>AVERAGE(E166:E168)</f>
        <v>0</v>
      </c>
      <c r="F169" s="219" t="e">
        <f>E169/$D169</f>
        <v>#DIV/0!</v>
      </c>
      <c r="G169" s="218">
        <f>AVERAGE(G166:G168)</f>
        <v>0</v>
      </c>
      <c r="H169" s="219" t="e">
        <f>G169/$D169</f>
        <v>#DIV/0!</v>
      </c>
      <c r="I169" s="218">
        <f>AVERAGE(I166:I168)</f>
        <v>0</v>
      </c>
      <c r="J169" s="219" t="e">
        <f>I169/$D169</f>
        <v>#DIV/0!</v>
      </c>
    </row>
    <row r="170" spans="1:10" hidden="1" x14ac:dyDescent="0.25">
      <c r="A170" s="148"/>
    </row>
    <row r="171" spans="1:10" hidden="1" x14ac:dyDescent="0.25">
      <c r="A171" s="148"/>
      <c r="B171" s="579" t="s">
        <v>349</v>
      </c>
      <c r="C171" s="579"/>
    </row>
    <row r="172" spans="1:10" ht="30.75" hidden="1" thickBot="1" x14ac:dyDescent="0.3">
      <c r="A172" s="148"/>
      <c r="B172" s="209" t="s">
        <v>110</v>
      </c>
      <c r="C172" s="209" t="s">
        <v>259</v>
      </c>
      <c r="D172" s="209" t="s">
        <v>260</v>
      </c>
      <c r="E172" s="209" t="s">
        <v>116</v>
      </c>
      <c r="F172" s="209" t="s">
        <v>261</v>
      </c>
      <c r="G172" s="209" t="s">
        <v>117</v>
      </c>
      <c r="H172" s="209" t="s">
        <v>262</v>
      </c>
      <c r="I172" s="209" t="s">
        <v>263</v>
      </c>
      <c r="J172" s="209" t="s">
        <v>264</v>
      </c>
    </row>
    <row r="173" spans="1:10" hidden="1" x14ac:dyDescent="0.25">
      <c r="A173" s="148"/>
      <c r="B173" s="217" t="str">
        <f>$B$6</f>
        <v>YYYY</v>
      </c>
      <c r="C173" s="313">
        <v>0</v>
      </c>
      <c r="D173" s="304">
        <v>0</v>
      </c>
      <c r="E173" s="305">
        <v>0</v>
      </c>
      <c r="F173" s="219" t="e">
        <f>E173/$D173</f>
        <v>#DIV/0!</v>
      </c>
      <c r="G173" s="310">
        <v>0</v>
      </c>
      <c r="H173" s="219" t="e">
        <f>G173/$D173</f>
        <v>#DIV/0!</v>
      </c>
      <c r="I173" s="218">
        <f>E173+G173</f>
        <v>0</v>
      </c>
      <c r="J173" s="219" t="e">
        <f>I173/$D173</f>
        <v>#DIV/0!</v>
      </c>
    </row>
    <row r="174" spans="1:10" hidden="1" x14ac:dyDescent="0.25">
      <c r="A174" s="148"/>
      <c r="B174" s="217" t="e">
        <f>$B$7</f>
        <v>#VALUE!</v>
      </c>
      <c r="C174" s="314">
        <v>0</v>
      </c>
      <c r="D174" s="306">
        <v>0</v>
      </c>
      <c r="E174" s="307">
        <v>0</v>
      </c>
      <c r="F174" s="219" t="e">
        <f>E174/$D174</f>
        <v>#DIV/0!</v>
      </c>
      <c r="G174" s="311">
        <v>0</v>
      </c>
      <c r="H174" s="219" t="e">
        <f>G174/$D174</f>
        <v>#DIV/0!</v>
      </c>
      <c r="I174" s="218">
        <f>E174+G174</f>
        <v>0</v>
      </c>
      <c r="J174" s="219" t="e">
        <f>I174/$D174</f>
        <v>#DIV/0!</v>
      </c>
    </row>
    <row r="175" spans="1:10" hidden="1" x14ac:dyDescent="0.25">
      <c r="A175" s="148"/>
      <c r="B175" s="223" t="e">
        <f>$B$8</f>
        <v>#VALUE!</v>
      </c>
      <c r="C175" s="315">
        <v>0</v>
      </c>
      <c r="D175" s="308">
        <v>0</v>
      </c>
      <c r="E175" s="309">
        <v>0</v>
      </c>
      <c r="F175" s="220" t="e">
        <f>E175/$D175</f>
        <v>#DIV/0!</v>
      </c>
      <c r="G175" s="312">
        <v>0</v>
      </c>
      <c r="H175" s="220" t="e">
        <f>G175/$D175</f>
        <v>#DIV/0!</v>
      </c>
      <c r="I175" s="227">
        <f>E175+G175</f>
        <v>0</v>
      </c>
      <c r="J175" s="220" t="e">
        <f>I175/$D175</f>
        <v>#DIV/0!</v>
      </c>
    </row>
    <row r="176" spans="1:10" hidden="1" x14ac:dyDescent="0.25">
      <c r="A176" s="148"/>
      <c r="B176" s="217" t="s">
        <v>265</v>
      </c>
      <c r="C176" s="218">
        <f>AVERAGE(C173:C175)</f>
        <v>0</v>
      </c>
      <c r="D176" s="218">
        <f>AVERAGE(D173:D175)</f>
        <v>0</v>
      </c>
      <c r="E176" s="218">
        <f>AVERAGE(E173:E175)</f>
        <v>0</v>
      </c>
      <c r="F176" s="219" t="e">
        <f>E176/$D176</f>
        <v>#DIV/0!</v>
      </c>
      <c r="G176" s="218">
        <f>AVERAGE(G173:G175)</f>
        <v>0</v>
      </c>
      <c r="H176" s="219" t="e">
        <f>G176/$D176</f>
        <v>#DIV/0!</v>
      </c>
      <c r="I176" s="218">
        <f>AVERAGE(I173:I175)</f>
        <v>0</v>
      </c>
      <c r="J176" s="219" t="e">
        <f>I176/$D176</f>
        <v>#DIV/0!</v>
      </c>
    </row>
    <row r="177" spans="1:10" hidden="1" x14ac:dyDescent="0.25">
      <c r="A177" s="148"/>
    </row>
    <row r="178" spans="1:10" hidden="1" x14ac:dyDescent="0.25">
      <c r="A178" s="148"/>
      <c r="B178" s="579" t="s">
        <v>349</v>
      </c>
      <c r="C178" s="579"/>
    </row>
    <row r="179" spans="1:10" ht="30.75" hidden="1" thickBot="1" x14ac:dyDescent="0.3">
      <c r="A179" s="148"/>
      <c r="B179" s="209" t="s">
        <v>110</v>
      </c>
      <c r="C179" s="209" t="s">
        <v>259</v>
      </c>
      <c r="D179" s="209" t="s">
        <v>260</v>
      </c>
      <c r="E179" s="209" t="s">
        <v>116</v>
      </c>
      <c r="F179" s="209" t="s">
        <v>261</v>
      </c>
      <c r="G179" s="209" t="s">
        <v>117</v>
      </c>
      <c r="H179" s="209" t="s">
        <v>262</v>
      </c>
      <c r="I179" s="209" t="s">
        <v>263</v>
      </c>
      <c r="J179" s="209" t="s">
        <v>264</v>
      </c>
    </row>
    <row r="180" spans="1:10" hidden="1" x14ac:dyDescent="0.25">
      <c r="A180" s="148"/>
      <c r="B180" s="217" t="str">
        <f>$B$6</f>
        <v>YYYY</v>
      </c>
      <c r="C180" s="313">
        <v>0</v>
      </c>
      <c r="D180" s="304">
        <v>0</v>
      </c>
      <c r="E180" s="305">
        <v>0</v>
      </c>
      <c r="F180" s="219" t="e">
        <f>E180/$D180</f>
        <v>#DIV/0!</v>
      </c>
      <c r="G180" s="310">
        <v>0</v>
      </c>
      <c r="H180" s="219" t="e">
        <f>G180/$D180</f>
        <v>#DIV/0!</v>
      </c>
      <c r="I180" s="218">
        <f>E180+G180</f>
        <v>0</v>
      </c>
      <c r="J180" s="219" t="e">
        <f>I180/$D180</f>
        <v>#DIV/0!</v>
      </c>
    </row>
    <row r="181" spans="1:10" hidden="1" x14ac:dyDescent="0.25">
      <c r="A181" s="148"/>
      <c r="B181" s="217" t="e">
        <f>$B$7</f>
        <v>#VALUE!</v>
      </c>
      <c r="C181" s="314">
        <v>0</v>
      </c>
      <c r="D181" s="306">
        <v>0</v>
      </c>
      <c r="E181" s="307">
        <v>0</v>
      </c>
      <c r="F181" s="219" t="e">
        <f>E181/$D181</f>
        <v>#DIV/0!</v>
      </c>
      <c r="G181" s="311">
        <v>0</v>
      </c>
      <c r="H181" s="219" t="e">
        <f>G181/$D181</f>
        <v>#DIV/0!</v>
      </c>
      <c r="I181" s="218">
        <f>E181+G181</f>
        <v>0</v>
      </c>
      <c r="J181" s="219" t="e">
        <f>I181/$D181</f>
        <v>#DIV/0!</v>
      </c>
    </row>
    <row r="182" spans="1:10" hidden="1" x14ac:dyDescent="0.25">
      <c r="A182" s="148"/>
      <c r="B182" s="223" t="e">
        <f>$B$8</f>
        <v>#VALUE!</v>
      </c>
      <c r="C182" s="315">
        <v>0</v>
      </c>
      <c r="D182" s="308">
        <v>0</v>
      </c>
      <c r="E182" s="309">
        <v>0</v>
      </c>
      <c r="F182" s="220" t="e">
        <f>E182/$D182</f>
        <v>#DIV/0!</v>
      </c>
      <c r="G182" s="312">
        <v>0</v>
      </c>
      <c r="H182" s="220" t="e">
        <f>G182/$D182</f>
        <v>#DIV/0!</v>
      </c>
      <c r="I182" s="227">
        <f>E182+G182</f>
        <v>0</v>
      </c>
      <c r="J182" s="220" t="e">
        <f>I182/$D182</f>
        <v>#DIV/0!</v>
      </c>
    </row>
    <row r="183" spans="1:10" hidden="1" x14ac:dyDescent="0.25">
      <c r="A183" s="148"/>
      <c r="B183" s="217" t="s">
        <v>265</v>
      </c>
      <c r="C183" s="218">
        <f>AVERAGE(C180:C182)</f>
        <v>0</v>
      </c>
      <c r="D183" s="218">
        <f>AVERAGE(D180:D182)</f>
        <v>0</v>
      </c>
      <c r="E183" s="218">
        <f>AVERAGE(E180:E182)</f>
        <v>0</v>
      </c>
      <c r="F183" s="219" t="e">
        <f>E183/$D183</f>
        <v>#DIV/0!</v>
      </c>
      <c r="G183" s="218">
        <f>AVERAGE(G180:G182)</f>
        <v>0</v>
      </c>
      <c r="H183" s="219" t="e">
        <f>G183/$D183</f>
        <v>#DIV/0!</v>
      </c>
      <c r="I183" s="218">
        <f>AVERAGE(I180:I182)</f>
        <v>0</v>
      </c>
      <c r="J183" s="219" t="e">
        <f>I183/$D183</f>
        <v>#DIV/0!</v>
      </c>
    </row>
    <row r="184" spans="1:10" hidden="1" x14ac:dyDescent="0.25">
      <c r="A184" s="148"/>
    </row>
    <row r="185" spans="1:10" hidden="1" x14ac:dyDescent="0.25">
      <c r="A185" s="148"/>
      <c r="B185" s="579" t="s">
        <v>349</v>
      </c>
      <c r="C185" s="579"/>
    </row>
    <row r="186" spans="1:10" ht="30.75" hidden="1" thickBot="1" x14ac:dyDescent="0.3">
      <c r="A186" s="148"/>
      <c r="B186" s="209" t="s">
        <v>110</v>
      </c>
      <c r="C186" s="209" t="s">
        <v>259</v>
      </c>
      <c r="D186" s="209" t="s">
        <v>260</v>
      </c>
      <c r="E186" s="209" t="s">
        <v>116</v>
      </c>
      <c r="F186" s="209" t="s">
        <v>261</v>
      </c>
      <c r="G186" s="209" t="s">
        <v>117</v>
      </c>
      <c r="H186" s="209" t="s">
        <v>262</v>
      </c>
      <c r="I186" s="209" t="s">
        <v>263</v>
      </c>
      <c r="J186" s="209" t="s">
        <v>264</v>
      </c>
    </row>
    <row r="187" spans="1:10" hidden="1" x14ac:dyDescent="0.25">
      <c r="A187" s="148"/>
      <c r="B187" s="217" t="str">
        <f>$B$6</f>
        <v>YYYY</v>
      </c>
      <c r="C187" s="313">
        <v>0</v>
      </c>
      <c r="D187" s="304">
        <v>0</v>
      </c>
      <c r="E187" s="305">
        <v>0</v>
      </c>
      <c r="F187" s="219" t="e">
        <f>E187/$D187</f>
        <v>#DIV/0!</v>
      </c>
      <c r="G187" s="310">
        <v>0</v>
      </c>
      <c r="H187" s="219" t="e">
        <f>G187/$D187</f>
        <v>#DIV/0!</v>
      </c>
      <c r="I187" s="218">
        <f>E187+G187</f>
        <v>0</v>
      </c>
      <c r="J187" s="219" t="e">
        <f>I187/$D187</f>
        <v>#DIV/0!</v>
      </c>
    </row>
    <row r="188" spans="1:10" hidden="1" x14ac:dyDescent="0.25">
      <c r="A188" s="148"/>
      <c r="B188" s="217" t="e">
        <f>$B$7</f>
        <v>#VALUE!</v>
      </c>
      <c r="C188" s="314">
        <v>0</v>
      </c>
      <c r="D188" s="306">
        <v>0</v>
      </c>
      <c r="E188" s="307">
        <v>0</v>
      </c>
      <c r="F188" s="219" t="e">
        <f>E188/$D188</f>
        <v>#DIV/0!</v>
      </c>
      <c r="G188" s="311">
        <v>0</v>
      </c>
      <c r="H188" s="219" t="e">
        <f>G188/$D188</f>
        <v>#DIV/0!</v>
      </c>
      <c r="I188" s="218">
        <f>E188+G188</f>
        <v>0</v>
      </c>
      <c r="J188" s="219" t="e">
        <f>I188/$D188</f>
        <v>#DIV/0!</v>
      </c>
    </row>
    <row r="189" spans="1:10" hidden="1" x14ac:dyDescent="0.25">
      <c r="A189" s="148"/>
      <c r="B189" s="223" t="e">
        <f>$B$8</f>
        <v>#VALUE!</v>
      </c>
      <c r="C189" s="315">
        <v>0</v>
      </c>
      <c r="D189" s="308">
        <v>0</v>
      </c>
      <c r="E189" s="309">
        <v>0</v>
      </c>
      <c r="F189" s="220" t="e">
        <f>E189/$D189</f>
        <v>#DIV/0!</v>
      </c>
      <c r="G189" s="312">
        <v>0</v>
      </c>
      <c r="H189" s="220" t="e">
        <f>G189/$D189</f>
        <v>#DIV/0!</v>
      </c>
      <c r="I189" s="227">
        <f>E189+G189</f>
        <v>0</v>
      </c>
      <c r="J189" s="220" t="e">
        <f>I189/$D189</f>
        <v>#DIV/0!</v>
      </c>
    </row>
    <row r="190" spans="1:10" hidden="1" x14ac:dyDescent="0.25">
      <c r="A190" s="148"/>
      <c r="B190" s="217" t="s">
        <v>265</v>
      </c>
      <c r="C190" s="218">
        <f>AVERAGE(C187:C189)</f>
        <v>0</v>
      </c>
      <c r="D190" s="218">
        <f>AVERAGE(D187:D189)</f>
        <v>0</v>
      </c>
      <c r="E190" s="218">
        <f>AVERAGE(E187:E189)</f>
        <v>0</v>
      </c>
      <c r="F190" s="219" t="e">
        <f>E190/$D190</f>
        <v>#DIV/0!</v>
      </c>
      <c r="G190" s="218">
        <f>AVERAGE(G187:G189)</f>
        <v>0</v>
      </c>
      <c r="H190" s="219" t="e">
        <f>G190/$D190</f>
        <v>#DIV/0!</v>
      </c>
      <c r="I190" s="218">
        <f>AVERAGE(I187:I189)</f>
        <v>0</v>
      </c>
      <c r="J190" s="219" t="e">
        <f>I190/$D190</f>
        <v>#DIV/0!</v>
      </c>
    </row>
    <row r="191" spans="1:10" hidden="1" x14ac:dyDescent="0.25">
      <c r="A191" s="148"/>
    </row>
    <row r="192" spans="1:10" hidden="1" x14ac:dyDescent="0.25">
      <c r="A192" s="148"/>
      <c r="B192" s="579" t="s">
        <v>349</v>
      </c>
      <c r="C192" s="579"/>
    </row>
    <row r="193" spans="1:10" ht="30.75" hidden="1" thickBot="1" x14ac:dyDescent="0.3">
      <c r="A193" s="148"/>
      <c r="B193" s="209" t="s">
        <v>110</v>
      </c>
      <c r="C193" s="209" t="s">
        <v>259</v>
      </c>
      <c r="D193" s="209" t="s">
        <v>260</v>
      </c>
      <c r="E193" s="209" t="s">
        <v>116</v>
      </c>
      <c r="F193" s="209" t="s">
        <v>261</v>
      </c>
      <c r="G193" s="209" t="s">
        <v>117</v>
      </c>
      <c r="H193" s="209" t="s">
        <v>262</v>
      </c>
      <c r="I193" s="209" t="s">
        <v>263</v>
      </c>
      <c r="J193" s="209" t="s">
        <v>264</v>
      </c>
    </row>
    <row r="194" spans="1:10" hidden="1" x14ac:dyDescent="0.25">
      <c r="A194" s="148"/>
      <c r="B194" s="217" t="str">
        <f>$B$6</f>
        <v>YYYY</v>
      </c>
      <c r="C194" s="313">
        <v>0</v>
      </c>
      <c r="D194" s="304">
        <v>0</v>
      </c>
      <c r="E194" s="305">
        <v>0</v>
      </c>
      <c r="F194" s="219" t="e">
        <f>E194/$D194</f>
        <v>#DIV/0!</v>
      </c>
      <c r="G194" s="310">
        <v>0</v>
      </c>
      <c r="H194" s="219" t="e">
        <f>G194/$D194</f>
        <v>#DIV/0!</v>
      </c>
      <c r="I194" s="218">
        <f>E194+G194</f>
        <v>0</v>
      </c>
      <c r="J194" s="219" t="e">
        <f>I194/$D194</f>
        <v>#DIV/0!</v>
      </c>
    </row>
    <row r="195" spans="1:10" hidden="1" x14ac:dyDescent="0.25">
      <c r="A195" s="148"/>
      <c r="B195" s="217" t="e">
        <f>$B$7</f>
        <v>#VALUE!</v>
      </c>
      <c r="C195" s="314">
        <v>0</v>
      </c>
      <c r="D195" s="306">
        <v>0</v>
      </c>
      <c r="E195" s="307">
        <v>0</v>
      </c>
      <c r="F195" s="219" t="e">
        <f>E195/$D195</f>
        <v>#DIV/0!</v>
      </c>
      <c r="G195" s="311">
        <v>0</v>
      </c>
      <c r="H195" s="219" t="e">
        <f>G195/$D195</f>
        <v>#DIV/0!</v>
      </c>
      <c r="I195" s="218">
        <f>E195+G195</f>
        <v>0</v>
      </c>
      <c r="J195" s="219" t="e">
        <f>I195/$D195</f>
        <v>#DIV/0!</v>
      </c>
    </row>
    <row r="196" spans="1:10" hidden="1" x14ac:dyDescent="0.25">
      <c r="A196" s="148"/>
      <c r="B196" s="223" t="e">
        <f>$B$8</f>
        <v>#VALUE!</v>
      </c>
      <c r="C196" s="315">
        <v>0</v>
      </c>
      <c r="D196" s="308">
        <v>0</v>
      </c>
      <c r="E196" s="309">
        <v>0</v>
      </c>
      <c r="F196" s="220" t="e">
        <f>E196/$D196</f>
        <v>#DIV/0!</v>
      </c>
      <c r="G196" s="312">
        <v>0</v>
      </c>
      <c r="H196" s="220" t="e">
        <f>G196/$D196</f>
        <v>#DIV/0!</v>
      </c>
      <c r="I196" s="227">
        <f>E196+G196</f>
        <v>0</v>
      </c>
      <c r="J196" s="220" t="e">
        <f>I196/$D196</f>
        <v>#DIV/0!</v>
      </c>
    </row>
    <row r="197" spans="1:10" hidden="1" x14ac:dyDescent="0.25">
      <c r="A197" s="148"/>
      <c r="B197" s="217" t="s">
        <v>265</v>
      </c>
      <c r="C197" s="218">
        <f>AVERAGE(C194:C196)</f>
        <v>0</v>
      </c>
      <c r="D197" s="218">
        <f>AVERAGE(D194:D196)</f>
        <v>0</v>
      </c>
      <c r="E197" s="218">
        <f>AVERAGE(E194:E196)</f>
        <v>0</v>
      </c>
      <c r="F197" s="219" t="e">
        <f>E197/$D197</f>
        <v>#DIV/0!</v>
      </c>
      <c r="G197" s="218">
        <f>AVERAGE(G194:G196)</f>
        <v>0</v>
      </c>
      <c r="H197" s="219" t="e">
        <f>G197/$D197</f>
        <v>#DIV/0!</v>
      </c>
      <c r="I197" s="218">
        <f>AVERAGE(I194:I196)</f>
        <v>0</v>
      </c>
      <c r="J197" s="219" t="e">
        <f>I197/$D197</f>
        <v>#DIV/0!</v>
      </c>
    </row>
    <row r="198" spans="1:10" hidden="1" x14ac:dyDescent="0.25">
      <c r="A198" s="148"/>
    </row>
    <row r="199" spans="1:10" hidden="1" x14ac:dyDescent="0.25">
      <c r="A199" s="148"/>
      <c r="B199" s="579" t="s">
        <v>349</v>
      </c>
      <c r="C199" s="579"/>
    </row>
    <row r="200" spans="1:10" ht="30.75" hidden="1" thickBot="1" x14ac:dyDescent="0.3">
      <c r="A200" s="148"/>
      <c r="B200" s="209" t="s">
        <v>110</v>
      </c>
      <c r="C200" s="209" t="s">
        <v>259</v>
      </c>
      <c r="D200" s="209" t="s">
        <v>260</v>
      </c>
      <c r="E200" s="209" t="s">
        <v>116</v>
      </c>
      <c r="F200" s="209" t="s">
        <v>261</v>
      </c>
      <c r="G200" s="209" t="s">
        <v>117</v>
      </c>
      <c r="H200" s="209" t="s">
        <v>262</v>
      </c>
      <c r="I200" s="209" t="s">
        <v>263</v>
      </c>
      <c r="J200" s="209" t="s">
        <v>264</v>
      </c>
    </row>
    <row r="201" spans="1:10" hidden="1" x14ac:dyDescent="0.25">
      <c r="A201" s="148"/>
      <c r="B201" s="217" t="str">
        <f>$B$6</f>
        <v>YYYY</v>
      </c>
      <c r="C201" s="313">
        <v>0</v>
      </c>
      <c r="D201" s="304">
        <v>0</v>
      </c>
      <c r="E201" s="305">
        <v>0</v>
      </c>
      <c r="F201" s="219" t="e">
        <f>E201/$D201</f>
        <v>#DIV/0!</v>
      </c>
      <c r="G201" s="310">
        <v>0</v>
      </c>
      <c r="H201" s="219" t="e">
        <f>G201/$D201</f>
        <v>#DIV/0!</v>
      </c>
      <c r="I201" s="218">
        <f>E201+G201</f>
        <v>0</v>
      </c>
      <c r="J201" s="219" t="e">
        <f>I201/$D201</f>
        <v>#DIV/0!</v>
      </c>
    </row>
    <row r="202" spans="1:10" hidden="1" x14ac:dyDescent="0.25">
      <c r="A202" s="148"/>
      <c r="B202" s="217" t="e">
        <f>$B$7</f>
        <v>#VALUE!</v>
      </c>
      <c r="C202" s="314">
        <v>0</v>
      </c>
      <c r="D202" s="306">
        <v>0</v>
      </c>
      <c r="E202" s="307">
        <v>0</v>
      </c>
      <c r="F202" s="219" t="e">
        <f>E202/$D202</f>
        <v>#DIV/0!</v>
      </c>
      <c r="G202" s="311">
        <v>0</v>
      </c>
      <c r="H202" s="219" t="e">
        <f>G202/$D202</f>
        <v>#DIV/0!</v>
      </c>
      <c r="I202" s="218">
        <f>E202+G202</f>
        <v>0</v>
      </c>
      <c r="J202" s="219" t="e">
        <f>I202/$D202</f>
        <v>#DIV/0!</v>
      </c>
    </row>
    <row r="203" spans="1:10" hidden="1" x14ac:dyDescent="0.25">
      <c r="A203" s="148"/>
      <c r="B203" s="223" t="e">
        <f>$B$8</f>
        <v>#VALUE!</v>
      </c>
      <c r="C203" s="315">
        <v>0</v>
      </c>
      <c r="D203" s="308">
        <v>0</v>
      </c>
      <c r="E203" s="309">
        <v>0</v>
      </c>
      <c r="F203" s="220" t="e">
        <f>E203/$D203</f>
        <v>#DIV/0!</v>
      </c>
      <c r="G203" s="312">
        <v>0</v>
      </c>
      <c r="H203" s="220" t="e">
        <f>G203/$D203</f>
        <v>#DIV/0!</v>
      </c>
      <c r="I203" s="227">
        <f>E203+G203</f>
        <v>0</v>
      </c>
      <c r="J203" s="220" t="e">
        <f>I203/$D203</f>
        <v>#DIV/0!</v>
      </c>
    </row>
    <row r="204" spans="1:10" hidden="1" x14ac:dyDescent="0.25">
      <c r="A204" s="148"/>
      <c r="B204" s="217" t="s">
        <v>265</v>
      </c>
      <c r="C204" s="218">
        <f>AVERAGE(C201:C203)</f>
        <v>0</v>
      </c>
      <c r="D204" s="218">
        <f>AVERAGE(D201:D203)</f>
        <v>0</v>
      </c>
      <c r="E204" s="218">
        <f>AVERAGE(E201:E203)</f>
        <v>0</v>
      </c>
      <c r="F204" s="219" t="e">
        <f>E204/$D204</f>
        <v>#DIV/0!</v>
      </c>
      <c r="G204" s="218">
        <f>AVERAGE(G201:G203)</f>
        <v>0</v>
      </c>
      <c r="H204" s="219" t="e">
        <f>G204/$D204</f>
        <v>#DIV/0!</v>
      </c>
      <c r="I204" s="218">
        <f>AVERAGE(I201:I203)</f>
        <v>0</v>
      </c>
      <c r="J204" s="219" t="e">
        <f>I204/$D204</f>
        <v>#DIV/0!</v>
      </c>
    </row>
    <row r="205" spans="1:10" hidden="1" x14ac:dyDescent="0.25">
      <c r="A205" s="148"/>
    </row>
    <row r="206" spans="1:10" hidden="1" x14ac:dyDescent="0.25">
      <c r="A206" s="148"/>
      <c r="B206" s="579" t="s">
        <v>349</v>
      </c>
      <c r="C206" s="579"/>
    </row>
    <row r="207" spans="1:10" ht="30.75" hidden="1" thickBot="1" x14ac:dyDescent="0.3">
      <c r="A207" s="148"/>
      <c r="B207" s="209" t="s">
        <v>110</v>
      </c>
      <c r="C207" s="209" t="s">
        <v>259</v>
      </c>
      <c r="D207" s="209" t="s">
        <v>260</v>
      </c>
      <c r="E207" s="209" t="s">
        <v>116</v>
      </c>
      <c r="F207" s="209" t="s">
        <v>261</v>
      </c>
      <c r="G207" s="209" t="s">
        <v>117</v>
      </c>
      <c r="H207" s="209" t="s">
        <v>262</v>
      </c>
      <c r="I207" s="209" t="s">
        <v>263</v>
      </c>
      <c r="J207" s="209" t="s">
        <v>264</v>
      </c>
    </row>
    <row r="208" spans="1:10" hidden="1" x14ac:dyDescent="0.25">
      <c r="A208" s="148"/>
      <c r="B208" s="217" t="str">
        <f>$B$6</f>
        <v>YYYY</v>
      </c>
      <c r="C208" s="313">
        <v>0</v>
      </c>
      <c r="D208" s="304">
        <v>0</v>
      </c>
      <c r="E208" s="305">
        <v>0</v>
      </c>
      <c r="F208" s="219" t="e">
        <f>E208/$D208</f>
        <v>#DIV/0!</v>
      </c>
      <c r="G208" s="310">
        <v>0</v>
      </c>
      <c r="H208" s="219" t="e">
        <f>G208/$D208</f>
        <v>#DIV/0!</v>
      </c>
      <c r="I208" s="218">
        <f>E208+G208</f>
        <v>0</v>
      </c>
      <c r="J208" s="219" t="e">
        <f>I208/$D208</f>
        <v>#DIV/0!</v>
      </c>
    </row>
    <row r="209" spans="1:10" hidden="1" x14ac:dyDescent="0.25">
      <c r="A209" s="148"/>
      <c r="B209" s="217" t="e">
        <f>$B$7</f>
        <v>#VALUE!</v>
      </c>
      <c r="C209" s="314">
        <v>0</v>
      </c>
      <c r="D209" s="306">
        <v>0</v>
      </c>
      <c r="E209" s="307">
        <v>0</v>
      </c>
      <c r="F209" s="219" t="e">
        <f>E209/$D209</f>
        <v>#DIV/0!</v>
      </c>
      <c r="G209" s="311">
        <v>0</v>
      </c>
      <c r="H209" s="219" t="e">
        <f>G209/$D209</f>
        <v>#DIV/0!</v>
      </c>
      <c r="I209" s="218">
        <f>E209+G209</f>
        <v>0</v>
      </c>
      <c r="J209" s="219" t="e">
        <f>I209/$D209</f>
        <v>#DIV/0!</v>
      </c>
    </row>
    <row r="210" spans="1:10" hidden="1" x14ac:dyDescent="0.25">
      <c r="A210" s="148"/>
      <c r="B210" s="223" t="e">
        <f>$B$8</f>
        <v>#VALUE!</v>
      </c>
      <c r="C210" s="315">
        <v>0</v>
      </c>
      <c r="D210" s="308">
        <v>0</v>
      </c>
      <c r="E210" s="309">
        <v>0</v>
      </c>
      <c r="F210" s="220" t="e">
        <f>E210/$D210</f>
        <v>#DIV/0!</v>
      </c>
      <c r="G210" s="312">
        <v>0</v>
      </c>
      <c r="H210" s="220" t="e">
        <f>G210/$D210</f>
        <v>#DIV/0!</v>
      </c>
      <c r="I210" s="227">
        <f>E210+G210</f>
        <v>0</v>
      </c>
      <c r="J210" s="220" t="e">
        <f>I210/$D210</f>
        <v>#DIV/0!</v>
      </c>
    </row>
    <row r="211" spans="1:10" hidden="1" x14ac:dyDescent="0.25">
      <c r="A211" s="148"/>
      <c r="B211" s="217" t="s">
        <v>265</v>
      </c>
      <c r="C211" s="218">
        <f>AVERAGE(C208:C210)</f>
        <v>0</v>
      </c>
      <c r="D211" s="218">
        <f>AVERAGE(D208:D210)</f>
        <v>0</v>
      </c>
      <c r="E211" s="218">
        <f>AVERAGE(E208:E210)</f>
        <v>0</v>
      </c>
      <c r="F211" s="219" t="e">
        <f>E211/$D211</f>
        <v>#DIV/0!</v>
      </c>
      <c r="G211" s="218">
        <f>AVERAGE(G208:G210)</f>
        <v>0</v>
      </c>
      <c r="H211" s="219" t="e">
        <f>G211/$D211</f>
        <v>#DIV/0!</v>
      </c>
      <c r="I211" s="218">
        <f>AVERAGE(I208:I210)</f>
        <v>0</v>
      </c>
      <c r="J211" s="219" t="e">
        <f>I211/$D211</f>
        <v>#DIV/0!</v>
      </c>
    </row>
    <row r="212" spans="1:10" hidden="1" x14ac:dyDescent="0.25">
      <c r="A212" s="148"/>
    </row>
    <row r="213" spans="1:10" hidden="1" x14ac:dyDescent="0.25">
      <c r="A213" s="148"/>
      <c r="B213" s="579" t="s">
        <v>349</v>
      </c>
      <c r="C213" s="579"/>
    </row>
    <row r="214" spans="1:10" ht="30.75" hidden="1" thickBot="1" x14ac:dyDescent="0.3">
      <c r="A214" s="148"/>
      <c r="B214" s="209" t="s">
        <v>110</v>
      </c>
      <c r="C214" s="209" t="s">
        <v>259</v>
      </c>
      <c r="D214" s="209" t="s">
        <v>260</v>
      </c>
      <c r="E214" s="209" t="s">
        <v>116</v>
      </c>
      <c r="F214" s="209" t="s">
        <v>261</v>
      </c>
      <c r="G214" s="209" t="s">
        <v>117</v>
      </c>
      <c r="H214" s="209" t="s">
        <v>262</v>
      </c>
      <c r="I214" s="209" t="s">
        <v>263</v>
      </c>
      <c r="J214" s="209" t="s">
        <v>264</v>
      </c>
    </row>
    <row r="215" spans="1:10" hidden="1" x14ac:dyDescent="0.25">
      <c r="A215" s="148"/>
      <c r="B215" s="217" t="str">
        <f>$B$6</f>
        <v>YYYY</v>
      </c>
      <c r="C215" s="313">
        <v>0</v>
      </c>
      <c r="D215" s="304">
        <v>0</v>
      </c>
      <c r="E215" s="305">
        <v>0</v>
      </c>
      <c r="F215" s="219" t="e">
        <f>E215/$D215</f>
        <v>#DIV/0!</v>
      </c>
      <c r="G215" s="310">
        <v>0</v>
      </c>
      <c r="H215" s="219" t="e">
        <f>G215/$D215</f>
        <v>#DIV/0!</v>
      </c>
      <c r="I215" s="218">
        <f>E215+G215</f>
        <v>0</v>
      </c>
      <c r="J215" s="219" t="e">
        <f>I215/$D215</f>
        <v>#DIV/0!</v>
      </c>
    </row>
    <row r="216" spans="1:10" hidden="1" x14ac:dyDescent="0.25">
      <c r="A216" s="148"/>
      <c r="B216" s="217" t="e">
        <f>$B$7</f>
        <v>#VALUE!</v>
      </c>
      <c r="C216" s="314">
        <v>0</v>
      </c>
      <c r="D216" s="306">
        <v>0</v>
      </c>
      <c r="E216" s="307">
        <v>0</v>
      </c>
      <c r="F216" s="219" t="e">
        <f>E216/$D216</f>
        <v>#DIV/0!</v>
      </c>
      <c r="G216" s="311">
        <v>0</v>
      </c>
      <c r="H216" s="219" t="e">
        <f>G216/$D216</f>
        <v>#DIV/0!</v>
      </c>
      <c r="I216" s="218">
        <f>E216+G216</f>
        <v>0</v>
      </c>
      <c r="J216" s="219" t="e">
        <f>I216/$D216</f>
        <v>#DIV/0!</v>
      </c>
    </row>
    <row r="217" spans="1:10" hidden="1" x14ac:dyDescent="0.25">
      <c r="A217" s="148"/>
      <c r="B217" s="223" t="e">
        <f>$B$8</f>
        <v>#VALUE!</v>
      </c>
      <c r="C217" s="315">
        <v>0</v>
      </c>
      <c r="D217" s="308">
        <v>0</v>
      </c>
      <c r="E217" s="309">
        <v>0</v>
      </c>
      <c r="F217" s="220" t="e">
        <f>E217/$D217</f>
        <v>#DIV/0!</v>
      </c>
      <c r="G217" s="312">
        <v>0</v>
      </c>
      <c r="H217" s="220" t="e">
        <f>G217/$D217</f>
        <v>#DIV/0!</v>
      </c>
      <c r="I217" s="227">
        <f>E217+G217</f>
        <v>0</v>
      </c>
      <c r="J217" s="220" t="e">
        <f>I217/$D217</f>
        <v>#DIV/0!</v>
      </c>
    </row>
    <row r="218" spans="1:10" hidden="1" x14ac:dyDescent="0.25">
      <c r="A218" s="148"/>
      <c r="B218" s="217" t="s">
        <v>265</v>
      </c>
      <c r="C218" s="218">
        <f>AVERAGE(C215:C217)</f>
        <v>0</v>
      </c>
      <c r="D218" s="218">
        <f>AVERAGE(D215:D217)</f>
        <v>0</v>
      </c>
      <c r="E218" s="218">
        <f>AVERAGE(E215:E217)</f>
        <v>0</v>
      </c>
      <c r="F218" s="219" t="e">
        <f>E218/$D218</f>
        <v>#DIV/0!</v>
      </c>
      <c r="G218" s="218">
        <f>AVERAGE(G215:G217)</f>
        <v>0</v>
      </c>
      <c r="H218" s="219" t="e">
        <f>G218/$D218</f>
        <v>#DIV/0!</v>
      </c>
      <c r="I218" s="218">
        <f>AVERAGE(I215:I217)</f>
        <v>0</v>
      </c>
      <c r="J218" s="219" t="e">
        <f>I218/$D218</f>
        <v>#DIV/0!</v>
      </c>
    </row>
    <row r="219" spans="1:10" hidden="1" x14ac:dyDescent="0.25">
      <c r="A219" s="148"/>
    </row>
    <row r="220" spans="1:10" hidden="1" x14ac:dyDescent="0.25">
      <c r="A220" s="148"/>
      <c r="B220" s="579" t="s">
        <v>349</v>
      </c>
      <c r="C220" s="579"/>
    </row>
    <row r="221" spans="1:10" ht="30.75" hidden="1" thickBot="1" x14ac:dyDescent="0.3">
      <c r="A221" s="148"/>
      <c r="B221" s="209" t="s">
        <v>110</v>
      </c>
      <c r="C221" s="209" t="s">
        <v>259</v>
      </c>
      <c r="D221" s="209" t="s">
        <v>260</v>
      </c>
      <c r="E221" s="209" t="s">
        <v>116</v>
      </c>
      <c r="F221" s="209" t="s">
        <v>261</v>
      </c>
      <c r="G221" s="209" t="s">
        <v>117</v>
      </c>
      <c r="H221" s="209" t="s">
        <v>262</v>
      </c>
      <c r="I221" s="209" t="s">
        <v>263</v>
      </c>
      <c r="J221" s="209" t="s">
        <v>264</v>
      </c>
    </row>
    <row r="222" spans="1:10" hidden="1" x14ac:dyDescent="0.25">
      <c r="A222" s="148"/>
      <c r="B222" s="217" t="str">
        <f>$B$6</f>
        <v>YYYY</v>
      </c>
      <c r="C222" s="313">
        <v>0</v>
      </c>
      <c r="D222" s="304">
        <v>0</v>
      </c>
      <c r="E222" s="305">
        <v>0</v>
      </c>
      <c r="F222" s="219" t="e">
        <f>E222/$D222</f>
        <v>#DIV/0!</v>
      </c>
      <c r="G222" s="310">
        <v>0</v>
      </c>
      <c r="H222" s="219" t="e">
        <f>G222/$D222</f>
        <v>#DIV/0!</v>
      </c>
      <c r="I222" s="218">
        <f>E222+G222</f>
        <v>0</v>
      </c>
      <c r="J222" s="219" t="e">
        <f>I222/$D222</f>
        <v>#DIV/0!</v>
      </c>
    </row>
    <row r="223" spans="1:10" hidden="1" x14ac:dyDescent="0.25">
      <c r="A223" s="148"/>
      <c r="B223" s="217" t="e">
        <f>$B$7</f>
        <v>#VALUE!</v>
      </c>
      <c r="C223" s="314">
        <v>0</v>
      </c>
      <c r="D223" s="306">
        <v>0</v>
      </c>
      <c r="E223" s="307">
        <v>0</v>
      </c>
      <c r="F223" s="219" t="e">
        <f>E223/$D223</f>
        <v>#DIV/0!</v>
      </c>
      <c r="G223" s="311">
        <v>0</v>
      </c>
      <c r="H223" s="219" t="e">
        <f>G223/$D223</f>
        <v>#DIV/0!</v>
      </c>
      <c r="I223" s="218">
        <f>E223+G223</f>
        <v>0</v>
      </c>
      <c r="J223" s="219" t="e">
        <f>I223/$D223</f>
        <v>#DIV/0!</v>
      </c>
    </row>
    <row r="224" spans="1:10" hidden="1" x14ac:dyDescent="0.25">
      <c r="A224" s="148"/>
      <c r="B224" s="223" t="e">
        <f>$B$8</f>
        <v>#VALUE!</v>
      </c>
      <c r="C224" s="315">
        <v>0</v>
      </c>
      <c r="D224" s="308">
        <v>0</v>
      </c>
      <c r="E224" s="309">
        <v>0</v>
      </c>
      <c r="F224" s="220" t="e">
        <f>E224/$D224</f>
        <v>#DIV/0!</v>
      </c>
      <c r="G224" s="312">
        <v>0</v>
      </c>
      <c r="H224" s="220" t="e">
        <f>G224/$D224</f>
        <v>#DIV/0!</v>
      </c>
      <c r="I224" s="227">
        <f>E224+G224</f>
        <v>0</v>
      </c>
      <c r="J224" s="220" t="e">
        <f>I224/$D224</f>
        <v>#DIV/0!</v>
      </c>
    </row>
    <row r="225" spans="1:10" hidden="1" x14ac:dyDescent="0.25">
      <c r="A225" s="148"/>
      <c r="B225" s="217" t="s">
        <v>265</v>
      </c>
      <c r="C225" s="218">
        <f>AVERAGE(C222:C224)</f>
        <v>0</v>
      </c>
      <c r="D225" s="218">
        <f>AVERAGE(D222:D224)</f>
        <v>0</v>
      </c>
      <c r="E225" s="218">
        <f>AVERAGE(E222:E224)</f>
        <v>0</v>
      </c>
      <c r="F225" s="219" t="e">
        <f>E225/$D225</f>
        <v>#DIV/0!</v>
      </c>
      <c r="G225" s="218">
        <f>AVERAGE(G222:G224)</f>
        <v>0</v>
      </c>
      <c r="H225" s="219" t="e">
        <f>G225/$D225</f>
        <v>#DIV/0!</v>
      </c>
      <c r="I225" s="218">
        <f>AVERAGE(I222:I224)</f>
        <v>0</v>
      </c>
      <c r="J225" s="219" t="e">
        <f>I225/$D225</f>
        <v>#DIV/0!</v>
      </c>
    </row>
    <row r="226" spans="1:10" hidden="1" x14ac:dyDescent="0.25">
      <c r="A226" s="148"/>
    </row>
    <row r="227" spans="1:10" hidden="1" x14ac:dyDescent="0.25">
      <c r="A227" s="148"/>
      <c r="B227" s="579" t="s">
        <v>349</v>
      </c>
      <c r="C227" s="579"/>
    </row>
    <row r="228" spans="1:10" ht="30.75" hidden="1" thickBot="1" x14ac:dyDescent="0.3">
      <c r="A228" s="148"/>
      <c r="B228" s="209" t="s">
        <v>110</v>
      </c>
      <c r="C228" s="209" t="s">
        <v>259</v>
      </c>
      <c r="D228" s="209" t="s">
        <v>260</v>
      </c>
      <c r="E228" s="209" t="s">
        <v>116</v>
      </c>
      <c r="F228" s="209" t="s">
        <v>261</v>
      </c>
      <c r="G228" s="209" t="s">
        <v>117</v>
      </c>
      <c r="H228" s="209" t="s">
        <v>262</v>
      </c>
      <c r="I228" s="209" t="s">
        <v>263</v>
      </c>
      <c r="J228" s="209" t="s">
        <v>264</v>
      </c>
    </row>
    <row r="229" spans="1:10" hidden="1" x14ac:dyDescent="0.25">
      <c r="A229" s="148"/>
      <c r="B229" s="217" t="str">
        <f>$B$6</f>
        <v>YYYY</v>
      </c>
      <c r="C229" s="313">
        <v>0</v>
      </c>
      <c r="D229" s="304">
        <v>0</v>
      </c>
      <c r="E229" s="305">
        <v>0</v>
      </c>
      <c r="F229" s="219" t="e">
        <f>E229/$D229</f>
        <v>#DIV/0!</v>
      </c>
      <c r="G229" s="310">
        <v>0</v>
      </c>
      <c r="H229" s="219" t="e">
        <f>G229/$D229</f>
        <v>#DIV/0!</v>
      </c>
      <c r="I229" s="218">
        <f>E229+G229</f>
        <v>0</v>
      </c>
      <c r="J229" s="219" t="e">
        <f>I229/$D229</f>
        <v>#DIV/0!</v>
      </c>
    </row>
    <row r="230" spans="1:10" hidden="1" x14ac:dyDescent="0.25">
      <c r="A230" s="148"/>
      <c r="B230" s="217" t="e">
        <f>$B$7</f>
        <v>#VALUE!</v>
      </c>
      <c r="C230" s="314">
        <v>0</v>
      </c>
      <c r="D230" s="306">
        <v>0</v>
      </c>
      <c r="E230" s="307">
        <v>0</v>
      </c>
      <c r="F230" s="219" t="e">
        <f>E230/$D230</f>
        <v>#DIV/0!</v>
      </c>
      <c r="G230" s="311">
        <v>0</v>
      </c>
      <c r="H230" s="219" t="e">
        <f>G230/$D230</f>
        <v>#DIV/0!</v>
      </c>
      <c r="I230" s="218">
        <f>E230+G230</f>
        <v>0</v>
      </c>
      <c r="J230" s="219" t="e">
        <f>I230/$D230</f>
        <v>#DIV/0!</v>
      </c>
    </row>
    <row r="231" spans="1:10" hidden="1" x14ac:dyDescent="0.25">
      <c r="A231" s="148"/>
      <c r="B231" s="223" t="e">
        <f>$B$8</f>
        <v>#VALUE!</v>
      </c>
      <c r="C231" s="315">
        <v>0</v>
      </c>
      <c r="D231" s="308">
        <v>0</v>
      </c>
      <c r="E231" s="309">
        <v>0</v>
      </c>
      <c r="F231" s="220" t="e">
        <f>E231/$D231</f>
        <v>#DIV/0!</v>
      </c>
      <c r="G231" s="312">
        <v>0</v>
      </c>
      <c r="H231" s="220" t="e">
        <f>G231/$D231</f>
        <v>#DIV/0!</v>
      </c>
      <c r="I231" s="227">
        <f>E231+G231</f>
        <v>0</v>
      </c>
      <c r="J231" s="220" t="e">
        <f>I231/$D231</f>
        <v>#DIV/0!</v>
      </c>
    </row>
    <row r="232" spans="1:10" hidden="1" x14ac:dyDescent="0.25">
      <c r="A232" s="148"/>
      <c r="B232" s="217" t="s">
        <v>265</v>
      </c>
      <c r="C232" s="218">
        <f>AVERAGE(C229:C231)</f>
        <v>0</v>
      </c>
      <c r="D232" s="218">
        <f>AVERAGE(D229:D231)</f>
        <v>0</v>
      </c>
      <c r="E232" s="218">
        <f>AVERAGE(E229:E231)</f>
        <v>0</v>
      </c>
      <c r="F232" s="219" t="e">
        <f>E232/$D232</f>
        <v>#DIV/0!</v>
      </c>
      <c r="G232" s="218">
        <f>AVERAGE(G229:G231)</f>
        <v>0</v>
      </c>
      <c r="H232" s="219" t="e">
        <f>G232/$D232</f>
        <v>#DIV/0!</v>
      </c>
      <c r="I232" s="218">
        <f>AVERAGE(I229:I231)</f>
        <v>0</v>
      </c>
      <c r="J232" s="219" t="e">
        <f>I232/$D232</f>
        <v>#DIV/0!</v>
      </c>
    </row>
  </sheetData>
  <sheetProtection algorithmName="SHA-512" hashValue="Ls9tHkI9U70mNmQNbkJ0HyePD10Xr903YvxMckp+64VfmYwoTZD9KCDIo4smP1xj+oQWRTuDod8LP4tYG+9rrA==" saltValue="4fbnJG7SwiJMKdU7NAGg+Q=="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05"/>
  <pageSetup scale="73" orientation="portrait" r:id="rId1"/>
  <headerFooter>
    <oddFooter xml:space="preserve">&amp;L1/11/2022 Edition
&amp;CPrior Approval Rate Application
Portions of the material contained in this document are protected by copyright owned by the State Farm Mutual Automobile Insurance Company, 2022&amp;RPage 6
</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E31"/>
  <sheetViews>
    <sheetView showGridLines="0" view="pageBreakPreview" zoomScaleNormal="100" zoomScaleSheetLayoutView="100" workbookViewId="0">
      <selection activeCell="E9" sqref="E9"/>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21" t="s">
        <v>68</v>
      </c>
      <c r="C1" s="37" t="s">
        <v>70</v>
      </c>
      <c r="E1" s="36" t="str">
        <f>Co_Name</f>
        <v>State Farm General Insurance Company</v>
      </c>
    </row>
    <row r="2" spans="1:5" x14ac:dyDescent="0.25">
      <c r="A2" s="21" t="s">
        <v>69</v>
      </c>
      <c r="C2" s="37" t="s">
        <v>71</v>
      </c>
      <c r="E2" s="36" t="str">
        <f>General_Line</f>
        <v>Homeowners</v>
      </c>
    </row>
    <row r="3" spans="1:5" x14ac:dyDescent="0.25">
      <c r="B3" s="167"/>
    </row>
    <row r="4" spans="1:5" ht="23.25" x14ac:dyDescent="0.25">
      <c r="A4" s="5" t="s">
        <v>151</v>
      </c>
      <c r="B4" s="3"/>
      <c r="C4" s="3"/>
      <c r="D4" s="3"/>
      <c r="E4" s="3"/>
    </row>
    <row r="6" spans="1:5" x14ac:dyDescent="0.25">
      <c r="A6" s="53" t="s">
        <v>152</v>
      </c>
    </row>
    <row r="7" spans="1:5" ht="15.75" thickBot="1" x14ac:dyDescent="0.3"/>
    <row r="8" spans="1:5" ht="30.75" thickBot="1" x14ac:dyDescent="0.3">
      <c r="A8" s="86" t="s">
        <v>82</v>
      </c>
      <c r="B8" s="87" t="s">
        <v>129</v>
      </c>
      <c r="C8" s="87"/>
      <c r="D8" s="93"/>
      <c r="E8" s="84" t="s">
        <v>120</v>
      </c>
    </row>
    <row r="9" spans="1:5" ht="15.75" thickBot="1" x14ac:dyDescent="0.3">
      <c r="A9" s="90" t="s">
        <v>111</v>
      </c>
      <c r="B9" s="88" t="s">
        <v>136</v>
      </c>
      <c r="C9" s="94"/>
      <c r="D9" s="85"/>
      <c r="E9" s="257" t="s">
        <v>172</v>
      </c>
    </row>
    <row r="10" spans="1:5" ht="18" customHeight="1" x14ac:dyDescent="0.25">
      <c r="A10" s="62">
        <v>-1</v>
      </c>
      <c r="B10" s="169" t="s">
        <v>130</v>
      </c>
      <c r="C10" s="95"/>
      <c r="D10" s="89"/>
      <c r="E10" s="294"/>
    </row>
    <row r="11" spans="1:5" ht="18" customHeight="1" x14ac:dyDescent="0.25">
      <c r="A11" s="63">
        <v>-2</v>
      </c>
      <c r="B11" s="170" t="s">
        <v>131</v>
      </c>
      <c r="C11" s="96"/>
      <c r="D11" s="68"/>
      <c r="E11" s="295"/>
    </row>
    <row r="12" spans="1:5" ht="18" customHeight="1" x14ac:dyDescent="0.25">
      <c r="A12" s="63">
        <v>-3</v>
      </c>
      <c r="B12" s="170" t="s">
        <v>132</v>
      </c>
      <c r="C12" s="96"/>
      <c r="D12" s="69"/>
      <c r="E12" s="296"/>
    </row>
    <row r="13" spans="1:5" ht="18" customHeight="1" x14ac:dyDescent="0.25">
      <c r="A13" s="63">
        <v>-4</v>
      </c>
      <c r="B13" s="170" t="s">
        <v>133</v>
      </c>
      <c r="C13" s="96"/>
      <c r="D13" s="69"/>
      <c r="E13" s="185">
        <f>E10+E11-E12</f>
        <v>0</v>
      </c>
    </row>
    <row r="14" spans="1:5" ht="18" customHeight="1" x14ac:dyDescent="0.25">
      <c r="A14" s="63">
        <v>-5</v>
      </c>
      <c r="B14" s="170" t="s">
        <v>134</v>
      </c>
      <c r="C14" s="96"/>
      <c r="D14" s="68"/>
      <c r="E14" s="297"/>
    </row>
    <row r="15" spans="1:5" ht="18" customHeight="1" x14ac:dyDescent="0.25">
      <c r="A15" s="63">
        <v>-6</v>
      </c>
      <c r="B15" s="170" t="s">
        <v>135</v>
      </c>
      <c r="C15" s="96"/>
      <c r="D15" s="68"/>
      <c r="E15" s="298"/>
    </row>
    <row r="16" spans="1:5" ht="18" customHeight="1" x14ac:dyDescent="0.25">
      <c r="A16" s="63">
        <v>-7</v>
      </c>
      <c r="B16" s="170" t="s">
        <v>138</v>
      </c>
      <c r="C16" s="96"/>
      <c r="D16" s="68"/>
      <c r="E16" s="298"/>
    </row>
    <row r="17" spans="1:5" ht="18" customHeight="1" x14ac:dyDescent="0.25">
      <c r="A17" s="63">
        <v>-8</v>
      </c>
      <c r="B17" s="170" t="s">
        <v>137</v>
      </c>
      <c r="C17" s="96"/>
      <c r="D17" s="68"/>
      <c r="E17" s="298"/>
    </row>
    <row r="18" spans="1:5" ht="18" customHeight="1" x14ac:dyDescent="0.25">
      <c r="A18" s="63">
        <v>-9</v>
      </c>
      <c r="B18" s="170" t="s">
        <v>139</v>
      </c>
      <c r="C18" s="96"/>
      <c r="D18" s="69"/>
      <c r="E18" s="299"/>
    </row>
    <row r="19" spans="1:5" ht="18" customHeight="1" x14ac:dyDescent="0.25">
      <c r="A19" s="63">
        <v>-10</v>
      </c>
      <c r="B19" s="170" t="s">
        <v>140</v>
      </c>
      <c r="C19" s="96"/>
      <c r="D19" s="69"/>
      <c r="E19" s="300"/>
    </row>
    <row r="20" spans="1:5" ht="18" customHeight="1" x14ac:dyDescent="0.25">
      <c r="A20" s="63">
        <v>-11</v>
      </c>
      <c r="B20" s="170" t="s">
        <v>250</v>
      </c>
      <c r="C20" s="96"/>
      <c r="D20" s="69"/>
      <c r="E20" s="184">
        <f>E19+E24</f>
        <v>0</v>
      </c>
    </row>
    <row r="21" spans="1:5" ht="18" customHeight="1" x14ac:dyDescent="0.25">
      <c r="A21" s="63">
        <v>-12</v>
      </c>
      <c r="B21" s="170" t="s">
        <v>141</v>
      </c>
      <c r="C21" s="96"/>
      <c r="D21" s="69"/>
      <c r="E21" s="301"/>
    </row>
    <row r="22" spans="1:5" ht="18" customHeight="1" x14ac:dyDescent="0.25">
      <c r="A22" s="63">
        <v>-13</v>
      </c>
      <c r="B22" s="170" t="s">
        <v>142</v>
      </c>
      <c r="C22" s="96"/>
      <c r="D22" s="69"/>
      <c r="E22" s="295"/>
    </row>
    <row r="23" spans="1:5" ht="18" customHeight="1" x14ac:dyDescent="0.25">
      <c r="A23" s="63">
        <v>-14</v>
      </c>
      <c r="B23" s="170" t="s">
        <v>143</v>
      </c>
      <c r="C23" s="96"/>
      <c r="D23" s="69"/>
      <c r="E23" s="295"/>
    </row>
    <row r="24" spans="1:5" ht="18" customHeight="1" x14ac:dyDescent="0.25">
      <c r="A24" s="63">
        <v>-15</v>
      </c>
      <c r="B24" s="170" t="s">
        <v>251</v>
      </c>
      <c r="C24" s="96"/>
      <c r="D24" s="69"/>
      <c r="E24" s="300"/>
    </row>
    <row r="25" spans="1:5" ht="18" customHeight="1" x14ac:dyDescent="0.25">
      <c r="A25" s="63">
        <v>-16</v>
      </c>
      <c r="B25" s="170" t="s">
        <v>144</v>
      </c>
      <c r="C25" s="96"/>
      <c r="D25" s="69"/>
      <c r="E25" s="183"/>
    </row>
    <row r="26" spans="1:5" ht="18" customHeight="1" x14ac:dyDescent="0.25">
      <c r="A26" s="63">
        <v>-17</v>
      </c>
      <c r="B26" s="171" t="s">
        <v>150</v>
      </c>
      <c r="C26" s="97"/>
      <c r="D26" s="69"/>
      <c r="E26" s="297"/>
    </row>
    <row r="27" spans="1:5" ht="18" customHeight="1" x14ac:dyDescent="0.25">
      <c r="A27" s="63">
        <v>-18</v>
      </c>
      <c r="B27" s="171" t="s">
        <v>149</v>
      </c>
      <c r="C27" s="97"/>
      <c r="D27" s="69"/>
      <c r="E27" s="298"/>
    </row>
    <row r="28" spans="1:5" ht="18" customHeight="1" x14ac:dyDescent="0.25">
      <c r="A28" s="63">
        <v>-19</v>
      </c>
      <c r="B28" s="171" t="s">
        <v>148</v>
      </c>
      <c r="C28" s="97"/>
      <c r="D28" s="69"/>
      <c r="E28" s="298"/>
    </row>
    <row r="29" spans="1:5" ht="18" customHeight="1" x14ac:dyDescent="0.25">
      <c r="A29" s="63">
        <v>-20</v>
      </c>
      <c r="B29" s="171" t="s">
        <v>147</v>
      </c>
      <c r="C29" s="97"/>
      <c r="D29" s="69"/>
      <c r="E29" s="298"/>
    </row>
    <row r="30" spans="1:5" ht="18" customHeight="1" x14ac:dyDescent="0.25">
      <c r="A30" s="63">
        <v>-21</v>
      </c>
      <c r="B30" s="171" t="s">
        <v>146</v>
      </c>
      <c r="C30" s="97"/>
      <c r="D30" s="69"/>
      <c r="E30" s="298"/>
    </row>
    <row r="31" spans="1:5" ht="18" customHeight="1" thickBot="1" x14ac:dyDescent="0.3">
      <c r="A31" s="91">
        <v>-22</v>
      </c>
      <c r="B31" s="172" t="s">
        <v>145</v>
      </c>
      <c r="C31" s="98"/>
      <c r="D31" s="92"/>
      <c r="E31" s="302"/>
    </row>
  </sheetData>
  <sheetProtection algorithmName="SHA-512" hashValue="kYf1Y5iLEBrVwAWzqAa812KDgO/3UYuYmIro7iRQnBpw/iHV/z3w9p2AmK9oKCifyr96GaWiS4hVysJGGyKP/g==" saltValue="Q+3Ue83cpEUFRHY6fx7tiQ==" spinCount="100000" sheet="1" objects="1" scenarios="1" formatColumns="0" formatRows="0" sort="0"/>
  <printOptions horizontalCentered="1"/>
  <pageMargins left="0.45" right="0.45" top="0.5" bottom="0.5" header="0.3" footer="0.05"/>
  <pageSetup scale="95" orientation="landscape" r:id="rId1"/>
  <headerFooter>
    <oddFooter xml:space="preserve">&amp;L1/11/2022 Edition
&amp;CPrior Approval Rate Application
Portions of the material contained in this document are protected by copyright owned by the State Farm Mutual Automobile Insurance Company, 2022&amp;RPage 7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00FF"/>
  </sheetPr>
  <dimension ref="A1:G39"/>
  <sheetViews>
    <sheetView showGridLines="0" view="pageBreakPreview" zoomScaleNormal="100" zoomScaleSheetLayoutView="100" workbookViewId="0"/>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334" customWidth="1"/>
  </cols>
  <sheetData>
    <row r="1" spans="1:7" ht="15.75" thickBot="1" x14ac:dyDescent="0.3">
      <c r="A1" s="21" t="s">
        <v>68</v>
      </c>
      <c r="C1" s="37" t="s">
        <v>70</v>
      </c>
      <c r="F1" s="36" t="str">
        <f>Co_Name</f>
        <v>State Farm General Insurance Company</v>
      </c>
      <c r="G1" s="346" t="s">
        <v>282</v>
      </c>
    </row>
    <row r="2" spans="1:7" x14ac:dyDescent="0.25">
      <c r="A2" s="21" t="s">
        <v>69</v>
      </c>
      <c r="C2" s="37" t="s">
        <v>71</v>
      </c>
      <c r="F2" s="36" t="str">
        <f>General_Line</f>
        <v>Homeowners</v>
      </c>
      <c r="G2" s="347" t="s">
        <v>109</v>
      </c>
    </row>
    <row r="3" spans="1:7" x14ac:dyDescent="0.25">
      <c r="B3" s="167"/>
      <c r="G3" s="348"/>
    </row>
    <row r="4" spans="1:7" ht="23.25" x14ac:dyDescent="0.25">
      <c r="A4" s="5" t="s">
        <v>153</v>
      </c>
      <c r="B4" s="3"/>
      <c r="C4" s="3"/>
      <c r="D4" s="3"/>
      <c r="E4" s="3"/>
      <c r="F4" s="3"/>
      <c r="G4" s="348"/>
    </row>
    <row r="5" spans="1:7" x14ac:dyDescent="0.25">
      <c r="G5" s="348"/>
    </row>
    <row r="6" spans="1:7" ht="18" customHeight="1" x14ac:dyDescent="0.25">
      <c r="A6" t="s">
        <v>423</v>
      </c>
      <c r="G6" s="348"/>
    </row>
    <row r="7" spans="1:7" ht="18" customHeight="1" x14ac:dyDescent="0.25">
      <c r="A7" t="s">
        <v>163</v>
      </c>
      <c r="C7" s="70"/>
      <c r="G7" s="259"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Enter Fees if they apply or select the check box indicating that no fees apply.</v>
      </c>
    </row>
    <row r="8" spans="1:7" ht="18" customHeight="1" x14ac:dyDescent="0.25">
      <c r="A8" t="s">
        <v>419</v>
      </c>
      <c r="C8" s="70"/>
      <c r="G8" s="259" t="str">
        <f>IF(AND(No_Fees=TRUE,OR(COUNTA(D12:D25)&lt;&gt;0,COUNTA(F12:F25)&lt;&gt;0,COUNTA(D29:D37)&lt;&gt;0,COUNTA(F29:F37)&lt;&gt;0)),"no fees apply.","")</f>
        <v/>
      </c>
    </row>
    <row r="9" spans="1:7" ht="18" customHeight="1" x14ac:dyDescent="0.25">
      <c r="A9" t="s">
        <v>420</v>
      </c>
      <c r="G9" s="260"/>
    </row>
    <row r="10" spans="1:7" ht="30" customHeight="1" thickBot="1" x14ac:dyDescent="0.3">
      <c r="A10" s="101" t="s">
        <v>154</v>
      </c>
      <c r="B10" s="102"/>
      <c r="C10" s="102"/>
      <c r="D10" s="102"/>
      <c r="E10" s="102"/>
      <c r="F10" s="102"/>
      <c r="G10" s="348"/>
    </row>
    <row r="11" spans="1:7" s="49" customFormat="1" ht="30" customHeight="1" x14ac:dyDescent="0.25">
      <c r="A11" s="103"/>
      <c r="B11" s="104"/>
      <c r="C11" s="104"/>
      <c r="D11" s="105" t="s">
        <v>161</v>
      </c>
      <c r="E11" s="100"/>
      <c r="F11" s="105" t="s">
        <v>162</v>
      </c>
      <c r="G11" s="349"/>
    </row>
    <row r="12" spans="1:7" s="49" customFormat="1" ht="18" customHeight="1" x14ac:dyDescent="0.25">
      <c r="A12" t="s">
        <v>418</v>
      </c>
      <c r="B12" s="104"/>
      <c r="C12" s="104"/>
      <c r="D12" s="198"/>
      <c r="E12" s="100"/>
      <c r="F12" s="198"/>
      <c r="G12" s="403"/>
    </row>
    <row r="13" spans="1:7" ht="18" customHeight="1" x14ac:dyDescent="0.25">
      <c r="A13" t="s">
        <v>155</v>
      </c>
      <c r="C13" s="70"/>
      <c r="D13" s="198"/>
      <c r="E13" s="70"/>
      <c r="F13" s="198"/>
      <c r="G13" s="352"/>
    </row>
    <row r="14" spans="1:7" ht="18" customHeight="1" x14ac:dyDescent="0.25">
      <c r="A14" t="s">
        <v>337</v>
      </c>
      <c r="C14" s="70"/>
      <c r="D14" s="198"/>
      <c r="E14" s="70"/>
      <c r="F14" s="198"/>
      <c r="G14" s="350"/>
    </row>
    <row r="15" spans="1:7" ht="18" customHeight="1" x14ac:dyDescent="0.25">
      <c r="A15" t="s">
        <v>156</v>
      </c>
      <c r="C15" s="70"/>
      <c r="D15" s="198"/>
      <c r="E15" s="70"/>
      <c r="F15" s="198"/>
      <c r="G15" s="350"/>
    </row>
    <row r="16" spans="1:7" ht="18" customHeight="1" x14ac:dyDescent="0.25">
      <c r="A16" t="s">
        <v>158</v>
      </c>
      <c r="C16" s="70"/>
      <c r="D16" s="198"/>
      <c r="E16" s="70"/>
      <c r="F16" s="198"/>
      <c r="G16" s="350"/>
    </row>
    <row r="17" spans="1:7" ht="18" customHeight="1" x14ac:dyDescent="0.25">
      <c r="A17" t="s">
        <v>157</v>
      </c>
      <c r="C17" s="70"/>
      <c r="D17" s="198"/>
      <c r="E17" s="70"/>
      <c r="F17" s="198"/>
      <c r="G17" s="350"/>
    </row>
    <row r="18" spans="1:7" ht="18" customHeight="1" x14ac:dyDescent="0.25">
      <c r="A18" t="s">
        <v>159</v>
      </c>
      <c r="C18" s="70"/>
      <c r="D18" s="198"/>
      <c r="E18" s="70"/>
      <c r="F18" s="198"/>
      <c r="G18" s="350"/>
    </row>
    <row r="19" spans="1:7" ht="18" customHeight="1" x14ac:dyDescent="0.25">
      <c r="A19" t="s">
        <v>160</v>
      </c>
      <c r="C19" s="70"/>
      <c r="D19" s="198"/>
      <c r="E19" s="70"/>
      <c r="F19" s="198"/>
      <c r="G19" s="350"/>
    </row>
    <row r="20" spans="1:7" ht="18" customHeight="1" x14ac:dyDescent="0.25">
      <c r="A20" t="s">
        <v>227</v>
      </c>
      <c r="C20" s="70"/>
      <c r="D20" s="198"/>
      <c r="E20" s="70"/>
      <c r="F20" s="198"/>
      <c r="G20" s="350"/>
    </row>
    <row r="21" spans="1:7" ht="18" customHeight="1" x14ac:dyDescent="0.25">
      <c r="A21" t="s">
        <v>167</v>
      </c>
      <c r="B21" s="8"/>
      <c r="C21" s="8"/>
      <c r="D21" s="8"/>
      <c r="E21" s="8"/>
      <c r="F21" s="8"/>
      <c r="G21" s="350"/>
    </row>
    <row r="22" spans="1:7" ht="18" customHeight="1" x14ac:dyDescent="0.25">
      <c r="A22" s="326" t="s">
        <v>339</v>
      </c>
      <c r="C22" s="70"/>
      <c r="D22" s="198"/>
      <c r="E22" s="70"/>
      <c r="F22" s="198"/>
      <c r="G22" s="350"/>
    </row>
    <row r="23" spans="1:7" ht="18" customHeight="1" x14ac:dyDescent="0.25">
      <c r="A23" s="326" t="s">
        <v>164</v>
      </c>
      <c r="C23" s="70"/>
      <c r="D23" s="198"/>
      <c r="E23" s="70"/>
      <c r="F23" s="198"/>
      <c r="G23" s="350"/>
    </row>
    <row r="24" spans="1:7" ht="18" customHeight="1" x14ac:dyDescent="0.25">
      <c r="A24" s="326" t="s">
        <v>165</v>
      </c>
      <c r="C24" s="70"/>
      <c r="D24" s="198"/>
      <c r="E24" s="70"/>
      <c r="F24" s="198"/>
      <c r="G24" s="350"/>
    </row>
    <row r="25" spans="1:7" ht="18" customHeight="1" x14ac:dyDescent="0.25">
      <c r="A25" s="326" t="s">
        <v>166</v>
      </c>
      <c r="C25" s="70"/>
      <c r="D25" s="198"/>
      <c r="E25" s="70"/>
      <c r="F25" s="198"/>
      <c r="G25" s="350"/>
    </row>
    <row r="26" spans="1:7" ht="18" customHeight="1" x14ac:dyDescent="0.25">
      <c r="G26" s="348"/>
    </row>
    <row r="27" spans="1:7" ht="30" customHeight="1" thickBot="1" x14ac:dyDescent="0.3">
      <c r="A27" s="101" t="s">
        <v>80</v>
      </c>
      <c r="B27" s="102"/>
      <c r="C27" s="102"/>
      <c r="D27" s="102"/>
      <c r="E27" s="102"/>
      <c r="F27" s="102"/>
      <c r="G27" s="348"/>
    </row>
    <row r="28" spans="1:7" ht="30" customHeight="1" x14ac:dyDescent="0.25">
      <c r="A28" s="103"/>
      <c r="B28" s="104"/>
      <c r="C28" s="104"/>
      <c r="D28" s="105" t="s">
        <v>161</v>
      </c>
      <c r="E28" s="100"/>
      <c r="F28" s="105" t="s">
        <v>162</v>
      </c>
      <c r="G28" s="348"/>
    </row>
    <row r="29" spans="1:7" ht="18" customHeight="1" x14ac:dyDescent="0.25">
      <c r="A29" s="99" t="s">
        <v>170</v>
      </c>
      <c r="C29" s="70"/>
      <c r="D29" s="199"/>
      <c r="E29" s="70"/>
      <c r="F29" s="199"/>
      <c r="G29" s="350"/>
    </row>
    <row r="30" spans="1:7" ht="18" customHeight="1" x14ac:dyDescent="0.25">
      <c r="A30" t="s">
        <v>169</v>
      </c>
      <c r="C30" s="70"/>
      <c r="D30" s="198"/>
      <c r="E30" s="70"/>
      <c r="F30" s="198"/>
      <c r="G30" s="350"/>
    </row>
    <row r="31" spans="1:7" ht="18" customHeight="1" x14ac:dyDescent="0.25">
      <c r="A31" t="s">
        <v>168</v>
      </c>
      <c r="C31" s="70"/>
      <c r="D31" s="198"/>
      <c r="E31" s="70"/>
      <c r="F31" s="198"/>
      <c r="G31" s="350"/>
    </row>
    <row r="32" spans="1:7" ht="18" customHeight="1" x14ac:dyDescent="0.25">
      <c r="A32" t="s">
        <v>338</v>
      </c>
      <c r="C32" s="70"/>
      <c r="D32" s="198"/>
      <c r="E32" s="70"/>
      <c r="F32" s="198"/>
      <c r="G32" s="350"/>
    </row>
    <row r="33" spans="1:7" ht="18" customHeight="1" x14ac:dyDescent="0.25">
      <c r="A33" t="s">
        <v>167</v>
      </c>
      <c r="B33" s="8"/>
      <c r="C33" s="8"/>
      <c r="D33" s="8"/>
      <c r="E33" s="8"/>
      <c r="F33" s="8"/>
      <c r="G33" s="350"/>
    </row>
    <row r="34" spans="1:7" ht="18" customHeight="1" x14ac:dyDescent="0.25">
      <c r="A34" s="326" t="s">
        <v>339</v>
      </c>
      <c r="C34" s="70"/>
      <c r="D34" s="198"/>
      <c r="E34" s="70"/>
      <c r="F34" s="198"/>
      <c r="G34" s="350"/>
    </row>
    <row r="35" spans="1:7" ht="18" customHeight="1" x14ac:dyDescent="0.25">
      <c r="A35" s="326" t="s">
        <v>164</v>
      </c>
      <c r="C35" s="70"/>
      <c r="D35" s="198"/>
      <c r="E35" s="70"/>
      <c r="F35" s="198"/>
      <c r="G35" s="350"/>
    </row>
    <row r="36" spans="1:7" ht="18" customHeight="1" x14ac:dyDescent="0.25">
      <c r="A36" s="326" t="s">
        <v>165</v>
      </c>
      <c r="C36" s="70"/>
      <c r="D36" s="198"/>
      <c r="E36" s="70"/>
      <c r="F36" s="198"/>
      <c r="G36" s="350"/>
    </row>
    <row r="37" spans="1:7" ht="18" customHeight="1" x14ac:dyDescent="0.25">
      <c r="A37" s="326" t="s">
        <v>166</v>
      </c>
      <c r="C37" s="70"/>
      <c r="D37" s="198"/>
      <c r="E37" s="70"/>
      <c r="F37" s="198"/>
      <c r="G37" s="348"/>
    </row>
    <row r="38" spans="1:7" x14ac:dyDescent="0.25">
      <c r="G38" s="348"/>
    </row>
    <row r="39" spans="1:7" ht="15.75" thickBot="1" x14ac:dyDescent="0.3">
      <c r="A39" s="99" t="s">
        <v>171</v>
      </c>
      <c r="G39" s="351"/>
    </row>
  </sheetData>
  <sheetProtection algorithmName="SHA-512" hashValue="3lZsNA1mdAi1TH92zqq0Pnj8hBNV4L5fFWxrRnV/YH1dXpwUzj5Ehfiau7trQlY34HgZ1dkgO1W61d1BS1W4lw==" saltValue="ugQGSUMzumGtdpajwvtT6w==" spinCount="100000" sheet="1" objects="1" scenarios="1" formatColumns="0" formatRows="0" sort="0"/>
  <printOptions horizontalCentered="1"/>
  <pageMargins left="0.45" right="0.45" top="0.5" bottom="0.5" header="0.3" footer="0.05"/>
  <pageSetup scale="80" orientation="portrait" r:id="rId1"/>
  <headerFooter>
    <oddFooter xml:space="preserve">&amp;L1/11/2022 Edition
&amp;CPrior Approval Rate Application
Portions of the material contained in this document are protected by copyright owned by the State Farm Mutual Automobile Insurance Company, 2022&amp;RPage 8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00FF"/>
    <outlinePr summaryBelow="0"/>
    <pageSetUpPr fitToPage="1"/>
  </sheetPr>
  <dimension ref="A1:O75"/>
  <sheetViews>
    <sheetView showGridLines="0" zoomScale="90" zoomScaleNormal="90" zoomScaleSheetLayoutView="100" workbookViewId="0">
      <pane ySplit="32" topLeftCell="A33" activePane="bottomLeft" state="frozen"/>
      <selection pane="bottomLeft"/>
    </sheetView>
  </sheetViews>
  <sheetFormatPr defaultRowHeight="15" x14ac:dyDescent="0.25"/>
  <cols>
    <col min="1" max="1" width="6.42578125" customWidth="1"/>
    <col min="2" max="2" width="13.140625" customWidth="1"/>
    <col min="3" max="3" width="22.7109375" customWidth="1"/>
    <col min="4" max="4" width="46.7109375" customWidth="1"/>
    <col min="5" max="6" width="8.7109375" customWidth="1"/>
    <col min="7" max="7" width="20.7109375" style="149" customWidth="1"/>
    <col min="8" max="8" width="8.7109375" customWidth="1"/>
    <col min="9" max="12" width="16.28515625" customWidth="1"/>
    <col min="13" max="13" width="74" style="335" customWidth="1"/>
  </cols>
  <sheetData>
    <row r="1" spans="1:12" x14ac:dyDescent="0.25">
      <c r="A1" s="21" t="s">
        <v>68</v>
      </c>
      <c r="B1" s="21"/>
      <c r="G1"/>
      <c r="J1" s="37" t="s">
        <v>70</v>
      </c>
      <c r="L1" t="str">
        <f>Co_Name</f>
        <v>State Farm General Insurance Company</v>
      </c>
    </row>
    <row r="2" spans="1:12" x14ac:dyDescent="0.25">
      <c r="A2" s="21" t="s">
        <v>69</v>
      </c>
      <c r="B2" s="21"/>
      <c r="G2"/>
      <c r="J2" s="37" t="s">
        <v>71</v>
      </c>
      <c r="L2" t="str">
        <f>General_Line</f>
        <v>Homeowners</v>
      </c>
    </row>
    <row r="3" spans="1:12" ht="5.0999999999999996" customHeight="1" x14ac:dyDescent="0.25">
      <c r="B3" s="167"/>
      <c r="G3" s="214"/>
    </row>
    <row r="4" spans="1:12" ht="23.25" x14ac:dyDescent="0.25">
      <c r="A4" s="5" t="s">
        <v>186</v>
      </c>
      <c r="B4" s="5"/>
      <c r="C4" s="3"/>
      <c r="D4" s="3"/>
      <c r="E4" s="3"/>
      <c r="F4" s="3"/>
      <c r="G4" s="3"/>
      <c r="H4" s="3"/>
      <c r="I4" s="3"/>
      <c r="J4" s="3"/>
      <c r="K4" s="3"/>
      <c r="L4" s="3"/>
    </row>
    <row r="5" spans="1:12" ht="26.25" x14ac:dyDescent="0.4">
      <c r="A5" s="265"/>
      <c r="B5" s="5"/>
      <c r="C5" s="3"/>
      <c r="D5" s="265"/>
      <c r="E5" s="3"/>
      <c r="F5" s="3"/>
      <c r="G5" s="3"/>
      <c r="H5" s="3"/>
      <c r="I5" s="3"/>
      <c r="J5" s="3"/>
      <c r="K5" s="3"/>
      <c r="L5" s="3"/>
    </row>
    <row r="6" spans="1:12" ht="5.0999999999999996" customHeight="1" x14ac:dyDescent="0.25">
      <c r="A6" s="458"/>
      <c r="B6" s="5"/>
      <c r="C6" s="3"/>
      <c r="D6" s="3"/>
      <c r="E6" s="3"/>
      <c r="F6" s="3"/>
      <c r="G6" s="3"/>
      <c r="H6" s="3"/>
      <c r="I6" s="3"/>
      <c r="J6" s="3"/>
      <c r="K6" s="3"/>
      <c r="L6" s="3"/>
    </row>
    <row r="7" spans="1:12" ht="15.75" thickBot="1" x14ac:dyDescent="0.3">
      <c r="A7" s="527"/>
      <c r="B7" s="550" t="s">
        <v>512</v>
      </c>
      <c r="C7" s="113"/>
      <c r="D7" s="113"/>
      <c r="E7" s="551"/>
      <c r="F7" s="113"/>
      <c r="G7" s="113"/>
      <c r="H7" s="113"/>
      <c r="I7" s="113"/>
      <c r="J7" s="113"/>
      <c r="K7" s="113"/>
      <c r="L7" s="113"/>
    </row>
    <row r="8" spans="1:12" x14ac:dyDescent="0.25">
      <c r="A8" s="501"/>
      <c r="B8" s="480" t="s">
        <v>200</v>
      </c>
      <c r="C8" s="483"/>
      <c r="D8" s="481" t="s">
        <v>201</v>
      </c>
      <c r="E8" s="502" t="s">
        <v>202</v>
      </c>
      <c r="F8" s="491"/>
      <c r="G8" s="491"/>
      <c r="H8" s="491"/>
      <c r="I8" s="491"/>
      <c r="J8" s="485"/>
      <c r="K8" s="488"/>
      <c r="L8" s="500"/>
    </row>
    <row r="9" spans="1:12" x14ac:dyDescent="0.25">
      <c r="A9" s="484"/>
      <c r="B9" s="51" t="s">
        <v>505</v>
      </c>
      <c r="C9" s="484"/>
      <c r="D9" s="482" t="s">
        <v>501</v>
      </c>
      <c r="E9" s="492" t="s">
        <v>491</v>
      </c>
      <c r="F9" s="492"/>
      <c r="G9" s="492"/>
      <c r="H9" s="492" t="s">
        <v>494</v>
      </c>
      <c r="I9" s="492"/>
      <c r="J9" s="486"/>
      <c r="K9" s="489" t="s">
        <v>497</v>
      </c>
      <c r="L9" s="494"/>
    </row>
    <row r="10" spans="1:12" x14ac:dyDescent="0.25">
      <c r="A10" s="484"/>
      <c r="B10" s="51" t="s">
        <v>506</v>
      </c>
      <c r="C10" s="484"/>
      <c r="D10" s="482" t="s">
        <v>502</v>
      </c>
      <c r="E10" s="492" t="s">
        <v>492</v>
      </c>
      <c r="F10" s="492"/>
      <c r="G10" s="492"/>
      <c r="H10" s="492" t="s">
        <v>495</v>
      </c>
      <c r="I10" s="492"/>
      <c r="J10" s="486"/>
      <c r="K10" s="489" t="s">
        <v>498</v>
      </c>
      <c r="L10" s="494"/>
    </row>
    <row r="11" spans="1:12" x14ac:dyDescent="0.25">
      <c r="A11" s="484"/>
      <c r="B11" s="51" t="s">
        <v>507</v>
      </c>
      <c r="C11" s="484"/>
      <c r="D11" s="482" t="s">
        <v>503</v>
      </c>
      <c r="E11" s="492" t="s">
        <v>493</v>
      </c>
      <c r="F11" s="492"/>
      <c r="G11" s="492"/>
      <c r="H11" s="492" t="s">
        <v>496</v>
      </c>
      <c r="I11" s="492"/>
      <c r="J11" s="486"/>
      <c r="K11" s="489" t="s">
        <v>499</v>
      </c>
      <c r="L11" s="494"/>
    </row>
    <row r="12" spans="1:12" x14ac:dyDescent="0.25">
      <c r="A12" s="541">
        <v>1</v>
      </c>
      <c r="B12" s="51" t="s">
        <v>508</v>
      </c>
      <c r="C12" s="484"/>
      <c r="D12" s="482" t="s">
        <v>504</v>
      </c>
      <c r="E12" s="492"/>
      <c r="F12" s="492"/>
      <c r="G12" s="492"/>
      <c r="H12" s="492"/>
      <c r="I12" s="492"/>
      <c r="J12" s="486"/>
      <c r="K12" s="489" t="s">
        <v>500</v>
      </c>
      <c r="L12" s="494"/>
    </row>
    <row r="13" spans="1:12" x14ac:dyDescent="0.25">
      <c r="A13" s="496"/>
      <c r="B13" s="51"/>
      <c r="C13" s="496"/>
      <c r="D13" s="498"/>
      <c r="E13" s="492" t="s">
        <v>509</v>
      </c>
      <c r="F13" s="492"/>
      <c r="G13" s="492"/>
      <c r="H13" s="492"/>
      <c r="I13" s="492"/>
      <c r="J13" s="486"/>
      <c r="K13" s="489"/>
      <c r="L13" s="494"/>
    </row>
    <row r="14" spans="1:12" x14ac:dyDescent="0.25">
      <c r="A14" s="496"/>
      <c r="B14" s="51"/>
      <c r="C14" s="496"/>
      <c r="D14" s="498"/>
      <c r="E14" s="492" t="s">
        <v>510</v>
      </c>
      <c r="F14" s="492"/>
      <c r="G14" s="492"/>
      <c r="H14" s="492"/>
      <c r="I14" s="492"/>
      <c r="J14" s="486"/>
      <c r="K14" s="489"/>
      <c r="L14" s="494"/>
    </row>
    <row r="15" spans="1:12" ht="15.75" thickBot="1" x14ac:dyDescent="0.3">
      <c r="A15" s="496"/>
      <c r="B15" s="113"/>
      <c r="C15" s="497"/>
      <c r="D15" s="499"/>
      <c r="E15" s="493" t="s">
        <v>511</v>
      </c>
      <c r="F15" s="493"/>
      <c r="G15" s="493"/>
      <c r="H15" s="493"/>
      <c r="I15" s="493"/>
      <c r="J15" s="487"/>
      <c r="K15" s="490"/>
      <c r="L15" s="495"/>
    </row>
    <row r="16" spans="1:12" ht="5.0999999999999996" customHeight="1" thickBot="1" x14ac:dyDescent="0.3">
      <c r="A16" s="268"/>
      <c r="B16" s="552"/>
      <c r="C16" s="552"/>
      <c r="D16" s="552"/>
      <c r="E16" s="552"/>
      <c r="F16" s="552"/>
      <c r="G16" s="552"/>
      <c r="H16" s="552"/>
      <c r="I16" s="552"/>
      <c r="J16" s="552"/>
      <c r="K16" s="552"/>
      <c r="L16" s="552"/>
    </row>
    <row r="17" spans="1:15" x14ac:dyDescent="0.25">
      <c r="A17" s="153"/>
      <c r="B17" s="151"/>
      <c r="C17" s="154" t="s">
        <v>188</v>
      </c>
      <c r="D17" s="150"/>
      <c r="E17" s="152"/>
      <c r="F17" s="154" t="s">
        <v>192</v>
      </c>
      <c r="G17" s="152"/>
      <c r="H17" s="156"/>
      <c r="I17" s="154" t="s">
        <v>195</v>
      </c>
      <c r="J17" s="152"/>
      <c r="K17" s="154" t="s">
        <v>196</v>
      </c>
      <c r="L17" s="152"/>
    </row>
    <row r="18" spans="1:15" ht="18" thickBot="1" x14ac:dyDescent="0.3">
      <c r="A18" s="158"/>
      <c r="B18" s="157"/>
      <c r="C18" s="155" t="s">
        <v>189</v>
      </c>
      <c r="D18" s="470" t="s">
        <v>190</v>
      </c>
      <c r="E18" s="471" t="s">
        <v>191</v>
      </c>
      <c r="F18" s="155" t="s">
        <v>81</v>
      </c>
      <c r="G18" s="471" t="s">
        <v>333</v>
      </c>
      <c r="H18" s="477" t="s">
        <v>193</v>
      </c>
      <c r="I18" s="155" t="s">
        <v>279</v>
      </c>
      <c r="J18" s="471" t="s">
        <v>197</v>
      </c>
      <c r="K18" s="155" t="s">
        <v>198</v>
      </c>
      <c r="L18" s="471" t="s">
        <v>194</v>
      </c>
      <c r="N18" s="70"/>
      <c r="O18" s="70"/>
    </row>
    <row r="19" spans="1:15" ht="18" hidden="1" customHeight="1" x14ac:dyDescent="0.25">
      <c r="A19" s="467">
        <f>A12-1</f>
        <v>0</v>
      </c>
      <c r="B19" s="546" t="s">
        <v>199</v>
      </c>
      <c r="C19" s="524"/>
      <c r="D19" s="515"/>
      <c r="E19" s="516"/>
      <c r="F19" s="516"/>
      <c r="G19" s="517"/>
      <c r="H19" s="516"/>
      <c r="I19" s="516"/>
      <c r="J19" s="516"/>
      <c r="K19" s="516"/>
      <c r="L19" s="518"/>
      <c r="M19" s="335"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70"/>
      <c r="O19" s="70"/>
    </row>
    <row r="20" spans="1:15" ht="18" hidden="1" customHeight="1" x14ac:dyDescent="0.25">
      <c r="A20" s="459"/>
      <c r="B20" s="547" t="s">
        <v>268</v>
      </c>
      <c r="C20" s="525"/>
      <c r="D20" s="520"/>
      <c r="E20" s="521"/>
      <c r="F20" s="521"/>
      <c r="G20" s="519"/>
      <c r="H20" s="521"/>
      <c r="I20" s="522"/>
      <c r="J20" s="522"/>
      <c r="K20" s="522"/>
      <c r="L20" s="523"/>
      <c r="M20" s="335" t="str">
        <f>IF(OR(H19=1,H19=2,H19=3,H19=7,H19=8,H19=9,ISBLANK(H19)),"",
IF(COUNTBLANK(C20:H20)&gt;0,"←ERROR! Fill out all of the required information in the current line.",
IF(AND(OR(H19=4,H19=5,H19=6),OR(H20=7,H20=8,H20=9)),"","←ERROR! Current category code must be withdrawn if you are proposing to replace the form.")))</f>
        <v/>
      </c>
      <c r="N20" s="70"/>
      <c r="O20" s="70"/>
    </row>
    <row r="21" spans="1:15" ht="90" hidden="1" customHeight="1" x14ac:dyDescent="0.25">
      <c r="A21" s="459"/>
      <c r="B21" s="612" t="s">
        <v>485</v>
      </c>
      <c r="C21" s="613"/>
      <c r="D21" s="614"/>
      <c r="E21" s="614"/>
      <c r="F21" s="614"/>
      <c r="G21" s="614"/>
      <c r="H21" s="614"/>
      <c r="I21" s="614"/>
      <c r="J21" s="614"/>
      <c r="K21" s="614"/>
      <c r="L21" s="615"/>
      <c r="M21" s="335" t="str">
        <f>IF(LEN(TRIM(CLEAN(D21)))=0,"←ERROR! Detailed explanation was not provided.","")</f>
        <v>←ERROR! Detailed explanation was not provided.</v>
      </c>
      <c r="N21" s="70"/>
      <c r="O21" s="70"/>
    </row>
    <row r="22" spans="1:15" ht="120" hidden="1" customHeight="1" x14ac:dyDescent="0.25">
      <c r="A22" s="467"/>
      <c r="B22" s="612" t="s">
        <v>483</v>
      </c>
      <c r="C22" s="613"/>
      <c r="D22" s="582"/>
      <c r="E22" s="582"/>
      <c r="F22" s="582"/>
      <c r="G22" s="582"/>
      <c r="H22" s="582"/>
      <c r="I22" s="582"/>
      <c r="J22" s="582"/>
      <c r="K22" s="582"/>
      <c r="L22" s="583"/>
      <c r="N22" s="70"/>
      <c r="O22" s="70"/>
    </row>
    <row r="23" spans="1:15" ht="45.95" hidden="1" customHeight="1" x14ac:dyDescent="0.25">
      <c r="A23" s="459"/>
      <c r="B23" s="612" t="s">
        <v>484</v>
      </c>
      <c r="C23" s="613"/>
      <c r="D23" s="582"/>
      <c r="E23" s="582"/>
      <c r="F23" s="582"/>
      <c r="G23" s="582"/>
      <c r="H23" s="582"/>
      <c r="I23" s="582"/>
      <c r="J23" s="582"/>
      <c r="K23" s="582"/>
      <c r="L23" s="583"/>
      <c r="N23" s="70"/>
      <c r="O23" s="70"/>
    </row>
    <row r="24" spans="1:15" ht="60.95" hidden="1" customHeight="1" x14ac:dyDescent="0.25">
      <c r="A24" s="459"/>
      <c r="B24" s="612" t="s">
        <v>513</v>
      </c>
      <c r="C24" s="613"/>
      <c r="D24" s="582"/>
      <c r="E24" s="582"/>
      <c r="F24" s="582"/>
      <c r="G24" s="582"/>
      <c r="H24" s="582"/>
      <c r="I24" s="582"/>
      <c r="J24" s="582"/>
      <c r="K24" s="582"/>
      <c r="L24" s="583"/>
      <c r="N24" s="70"/>
      <c r="O24" s="70"/>
    </row>
    <row r="25" spans="1:15" ht="9" hidden="1" customHeight="1" thickBot="1" x14ac:dyDescent="0.3">
      <c r="A25" s="459"/>
      <c r="B25" s="616"/>
      <c r="C25" s="616"/>
      <c r="D25" s="591"/>
      <c r="E25" s="591"/>
      <c r="F25" s="591"/>
      <c r="G25" s="591"/>
      <c r="H25" s="591"/>
      <c r="I25" s="591"/>
      <c r="J25" s="591"/>
      <c r="K25" s="591"/>
      <c r="L25" s="591"/>
      <c r="N25" s="70"/>
      <c r="O25" s="70"/>
    </row>
    <row r="26" spans="1:15" ht="18" hidden="1" customHeight="1" x14ac:dyDescent="0.25">
      <c r="A26" s="528">
        <f>A19-1</f>
        <v>-1</v>
      </c>
      <c r="B26" s="548" t="s">
        <v>199</v>
      </c>
      <c r="C26" s="529"/>
      <c r="D26" s="530"/>
      <c r="E26" s="531"/>
      <c r="F26" s="531"/>
      <c r="G26" s="532"/>
      <c r="H26" s="533"/>
      <c r="I26" s="534"/>
      <c r="J26" s="533"/>
      <c r="K26" s="535"/>
      <c r="L26" s="536"/>
      <c r="M26" s="335"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70"/>
      <c r="O26" s="70"/>
    </row>
    <row r="27" spans="1:15" ht="18" hidden="1" customHeight="1" x14ac:dyDescent="0.25">
      <c r="A27" s="460"/>
      <c r="B27" s="549" t="s">
        <v>268</v>
      </c>
      <c r="C27" s="461"/>
      <c r="D27" s="462"/>
      <c r="E27" s="463"/>
      <c r="F27" s="463"/>
      <c r="G27" s="464"/>
      <c r="H27" s="465"/>
      <c r="I27" s="478"/>
      <c r="J27" s="475"/>
      <c r="K27" s="479"/>
      <c r="L27" s="475"/>
      <c r="M27" s="335" t="str">
        <f>IF(OR(H26=1,H26=2,H26=3,H26=7,H26=8,H26=9,ISBLANK(H26)),"",
IF(COUNTBLANK(C27:H27)&gt;0,"←ERROR! Fill out all of the required information in the current line.",
IF(AND(OR(H26=4,H26=5,H26=6),OR(H27=7,H27=8,H27=9)),"","←ERROR! Current category code must be withdrawn if you are proposing to replace the form.")))</f>
        <v/>
      </c>
      <c r="N27" s="70"/>
      <c r="O27" s="70"/>
    </row>
    <row r="28" spans="1:15" ht="90" hidden="1" customHeight="1" x14ac:dyDescent="0.25">
      <c r="A28" s="460"/>
      <c r="B28" s="617" t="s">
        <v>485</v>
      </c>
      <c r="C28" s="618"/>
      <c r="D28" s="592"/>
      <c r="E28" s="593"/>
      <c r="F28" s="593"/>
      <c r="G28" s="593"/>
      <c r="H28" s="593"/>
      <c r="I28" s="593"/>
      <c r="J28" s="593"/>
      <c r="K28" s="593"/>
      <c r="L28" s="594"/>
      <c r="M28" s="335" t="str">
        <f>IF(LEN(TRIM(CLEAN(D28)))=0,"←ERROR! Detailed explanation was not provided.","")</f>
        <v>←ERROR! Detailed explanation was not provided.</v>
      </c>
      <c r="N28" s="70"/>
      <c r="O28" s="70"/>
    </row>
    <row r="29" spans="1:15" ht="120" hidden="1" customHeight="1" x14ac:dyDescent="0.25">
      <c r="A29" s="468"/>
      <c r="B29" s="619" t="s">
        <v>483</v>
      </c>
      <c r="C29" s="620"/>
      <c r="D29" s="592"/>
      <c r="E29" s="593"/>
      <c r="F29" s="593"/>
      <c r="G29" s="593"/>
      <c r="H29" s="593"/>
      <c r="I29" s="593"/>
      <c r="J29" s="593"/>
      <c r="K29" s="593"/>
      <c r="L29" s="594"/>
      <c r="N29" s="70"/>
      <c r="O29" s="70"/>
    </row>
    <row r="30" spans="1:15" ht="45.95" hidden="1" customHeight="1" x14ac:dyDescent="0.25">
      <c r="A30" s="460"/>
      <c r="B30" s="619" t="s">
        <v>484</v>
      </c>
      <c r="C30" s="620"/>
      <c r="D30" s="592"/>
      <c r="E30" s="593"/>
      <c r="F30" s="593"/>
      <c r="G30" s="593"/>
      <c r="H30" s="593"/>
      <c r="I30" s="593"/>
      <c r="J30" s="593"/>
      <c r="K30" s="593"/>
      <c r="L30" s="594"/>
      <c r="N30" s="70"/>
      <c r="O30" s="70"/>
    </row>
    <row r="31" spans="1:15" ht="60.95" hidden="1" customHeight="1" x14ac:dyDescent="0.25">
      <c r="A31" s="460"/>
      <c r="B31" s="619" t="s">
        <v>513</v>
      </c>
      <c r="C31" s="620"/>
      <c r="D31" s="592"/>
      <c r="E31" s="593"/>
      <c r="F31" s="593"/>
      <c r="G31" s="593"/>
      <c r="H31" s="593"/>
      <c r="I31" s="593"/>
      <c r="J31" s="593"/>
      <c r="K31" s="593"/>
      <c r="L31" s="594"/>
      <c r="N31" s="70"/>
      <c r="O31" s="70"/>
    </row>
    <row r="32" spans="1:15" ht="9" hidden="1" customHeight="1" thickBot="1" x14ac:dyDescent="0.3">
      <c r="A32" s="503"/>
      <c r="B32" s="622"/>
      <c r="C32" s="622"/>
      <c r="D32" s="609"/>
      <c r="E32" s="609"/>
      <c r="F32" s="609"/>
      <c r="G32" s="609"/>
      <c r="H32" s="609"/>
      <c r="I32" s="609"/>
      <c r="J32" s="609"/>
      <c r="K32" s="609"/>
      <c r="L32" s="609"/>
      <c r="N32" s="70"/>
      <c r="O32" s="70"/>
    </row>
    <row r="33" spans="1:15" ht="18" customHeight="1" x14ac:dyDescent="0.25">
      <c r="A33" s="528">
        <f>A19-1</f>
        <v>-1</v>
      </c>
      <c r="B33" s="542" t="s">
        <v>199</v>
      </c>
      <c r="C33" s="508"/>
      <c r="D33" s="504"/>
      <c r="E33" s="505"/>
      <c r="F33" s="505"/>
      <c r="G33" s="506"/>
      <c r="H33" s="505"/>
      <c r="I33" s="505"/>
      <c r="J33" s="505"/>
      <c r="K33" s="505"/>
      <c r="L33" s="507"/>
      <c r="M33" s="335"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70"/>
      <c r="O33" s="70"/>
    </row>
    <row r="34" spans="1:15" ht="18" customHeight="1" x14ac:dyDescent="0.25">
      <c r="A34" s="459"/>
      <c r="B34" s="543" t="s">
        <v>268</v>
      </c>
      <c r="C34" s="514"/>
      <c r="D34" s="510"/>
      <c r="E34" s="511"/>
      <c r="F34" s="511"/>
      <c r="G34" s="509"/>
      <c r="H34" s="511"/>
      <c r="I34" s="512"/>
      <c r="J34" s="512"/>
      <c r="K34" s="512"/>
      <c r="L34" s="475"/>
      <c r="M34" s="335" t="str">
        <f>IF(OR(H33=1,H33=2,H33=3,H33=7,H33=8,H33=9,ISBLANK(H33)),"",
IF(COUNTBLANK(C34:H34)&gt;0,"←ERROR! Fill out all of the required information in the current line.",
IF(AND(OR(H33=4,H33=5,H33=6),OR(H34=7,H34=8,H34=9)),"","←ERROR! Current category code must be withdrawn if you are proposing to replace the form.")))</f>
        <v/>
      </c>
      <c r="N34" s="70"/>
      <c r="O34" s="70"/>
    </row>
    <row r="35" spans="1:15" ht="75" customHeight="1" x14ac:dyDescent="0.25">
      <c r="A35" s="459"/>
      <c r="B35" s="580" t="s">
        <v>485</v>
      </c>
      <c r="C35" s="581"/>
      <c r="D35" s="582"/>
      <c r="E35" s="582"/>
      <c r="F35" s="582"/>
      <c r="G35" s="582"/>
      <c r="H35" s="582"/>
      <c r="I35" s="582"/>
      <c r="J35" s="582"/>
      <c r="K35" s="582"/>
      <c r="L35" s="583"/>
      <c r="M35" s="335" t="str">
        <f>IF(LEN(TRIM(CLEAN(D35)))=0,"←ERROR! Detailed explanation was not provided.","")</f>
        <v>←ERROR! Detailed explanation was not provided.</v>
      </c>
      <c r="N35" s="70"/>
      <c r="O35" s="70"/>
    </row>
    <row r="36" spans="1:15" ht="105" customHeight="1" x14ac:dyDescent="0.25">
      <c r="A36" s="467"/>
      <c r="B36" s="580" t="s">
        <v>483</v>
      </c>
      <c r="C36" s="581"/>
      <c r="D36" s="582"/>
      <c r="E36" s="582"/>
      <c r="F36" s="582"/>
      <c r="G36" s="582"/>
      <c r="H36" s="582"/>
      <c r="I36" s="582"/>
      <c r="J36" s="582"/>
      <c r="K36" s="582"/>
      <c r="L36" s="583"/>
      <c r="N36" s="70"/>
      <c r="O36" s="70"/>
    </row>
    <row r="37" spans="1:15" ht="45.95" customHeight="1" x14ac:dyDescent="0.25">
      <c r="A37" s="459"/>
      <c r="B37" s="580" t="s">
        <v>484</v>
      </c>
      <c r="C37" s="581"/>
      <c r="D37" s="582"/>
      <c r="E37" s="582"/>
      <c r="F37" s="582"/>
      <c r="G37" s="582"/>
      <c r="H37" s="582"/>
      <c r="I37" s="582"/>
      <c r="J37" s="582"/>
      <c r="K37" s="582"/>
      <c r="L37" s="583"/>
      <c r="N37" s="70"/>
      <c r="O37" s="70"/>
    </row>
    <row r="38" spans="1:15" ht="45.95" customHeight="1" x14ac:dyDescent="0.25">
      <c r="A38" s="459"/>
      <c r="B38" s="580" t="s">
        <v>513</v>
      </c>
      <c r="C38" s="581"/>
      <c r="D38" s="582"/>
      <c r="E38" s="582"/>
      <c r="F38" s="582"/>
      <c r="G38" s="582"/>
      <c r="H38" s="582"/>
      <c r="I38" s="582"/>
      <c r="J38" s="582"/>
      <c r="K38" s="582"/>
      <c r="L38" s="583"/>
      <c r="N38" s="70"/>
      <c r="O38" s="70"/>
    </row>
    <row r="39" spans="1:15" ht="9" customHeight="1" thickBot="1" x14ac:dyDescent="0.3">
      <c r="A39" s="459"/>
      <c r="B39" s="621"/>
      <c r="C39" s="621"/>
      <c r="D39" s="591"/>
      <c r="E39" s="591"/>
      <c r="F39" s="591"/>
      <c r="G39" s="591"/>
      <c r="H39" s="591"/>
      <c r="I39" s="591"/>
      <c r="J39" s="591"/>
      <c r="K39" s="591"/>
      <c r="L39" s="591"/>
      <c r="N39" s="70"/>
      <c r="O39" s="70"/>
    </row>
    <row r="40" spans="1:15" ht="18" customHeight="1" x14ac:dyDescent="0.25">
      <c r="A40" s="537">
        <f>A33-1</f>
        <v>-2</v>
      </c>
      <c r="B40" s="544" t="s">
        <v>199</v>
      </c>
      <c r="C40" s="529"/>
      <c r="D40" s="530"/>
      <c r="E40" s="531"/>
      <c r="F40" s="531"/>
      <c r="G40" s="539"/>
      <c r="H40" s="533"/>
      <c r="I40" s="534"/>
      <c r="J40" s="533"/>
      <c r="K40" s="535"/>
      <c r="L40" s="536"/>
      <c r="M40" s="335"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70"/>
      <c r="O40" s="70"/>
    </row>
    <row r="41" spans="1:15" ht="18" customHeight="1" x14ac:dyDescent="0.25">
      <c r="A41" s="466"/>
      <c r="B41" s="545" t="s">
        <v>268</v>
      </c>
      <c r="C41" s="461"/>
      <c r="D41" s="462"/>
      <c r="E41" s="463"/>
      <c r="F41" s="463"/>
      <c r="G41" s="464"/>
      <c r="H41" s="465"/>
      <c r="I41" s="472"/>
      <c r="J41" s="473"/>
      <c r="K41" s="474"/>
      <c r="L41" s="475"/>
      <c r="M41" s="335" t="str">
        <f>IF(OR(H40=1,H40=2,H40=3,H40=7,H40=8,H40=9,ISBLANK(H40)),"",
IF(COUNTBLANK(C41:H41)&gt;0,"←ERROR! Fill out all of the required information in the current line.",
IF(AND(OR(H40=4,H40=5,H40=6),OR(H41=7,H41=8,H41=9)),"","←ERROR! Current category code must be withdrawn if you are proposing to replace the form.")))</f>
        <v/>
      </c>
      <c r="N41" s="70"/>
      <c r="O41" s="70"/>
    </row>
    <row r="42" spans="1:15" ht="90" customHeight="1" x14ac:dyDescent="0.25">
      <c r="A42" s="466"/>
      <c r="B42" s="587" t="s">
        <v>485</v>
      </c>
      <c r="C42" s="588"/>
      <c r="D42" s="584"/>
      <c r="E42" s="584"/>
      <c r="F42" s="584"/>
      <c r="G42" s="584"/>
      <c r="H42" s="584"/>
      <c r="I42" s="584"/>
      <c r="J42" s="584"/>
      <c r="K42" s="584"/>
      <c r="L42" s="585"/>
      <c r="M42" s="335" t="str">
        <f>IF(LEN(TRIM(CLEAN(D42)))=0,"←ERROR! Detailed explanation was not provided.","")</f>
        <v>←ERROR! Detailed explanation was not provided.</v>
      </c>
      <c r="N42" s="70"/>
      <c r="O42" s="70"/>
    </row>
    <row r="43" spans="1:15" ht="120" customHeight="1" x14ac:dyDescent="0.25">
      <c r="A43" s="469"/>
      <c r="B43" s="587" t="s">
        <v>483</v>
      </c>
      <c r="C43" s="588"/>
      <c r="D43" s="584"/>
      <c r="E43" s="584"/>
      <c r="F43" s="584"/>
      <c r="G43" s="584"/>
      <c r="H43" s="584"/>
      <c r="I43" s="584"/>
      <c r="J43" s="584"/>
      <c r="K43" s="584"/>
      <c r="L43" s="585"/>
      <c r="N43" s="70"/>
      <c r="O43" s="70"/>
    </row>
    <row r="44" spans="1:15" ht="45.95" customHeight="1" x14ac:dyDescent="0.25">
      <c r="A44" s="466"/>
      <c r="B44" s="587" t="s">
        <v>484</v>
      </c>
      <c r="C44" s="588"/>
      <c r="D44" s="584"/>
      <c r="E44" s="584"/>
      <c r="F44" s="584"/>
      <c r="G44" s="584"/>
      <c r="H44" s="584"/>
      <c r="I44" s="584"/>
      <c r="J44" s="584"/>
      <c r="K44" s="584"/>
      <c r="L44" s="585"/>
      <c r="N44" s="70"/>
      <c r="O44" s="70"/>
    </row>
    <row r="45" spans="1:15" ht="60.95" customHeight="1" x14ac:dyDescent="0.25">
      <c r="A45" s="466"/>
      <c r="B45" s="587" t="s">
        <v>513</v>
      </c>
      <c r="C45" s="588"/>
      <c r="D45" s="584"/>
      <c r="E45" s="584"/>
      <c r="F45" s="584"/>
      <c r="G45" s="584"/>
      <c r="H45" s="584"/>
      <c r="I45" s="584"/>
      <c r="J45" s="584"/>
      <c r="K45" s="584"/>
      <c r="L45" s="585"/>
      <c r="N45" s="70"/>
      <c r="O45" s="70"/>
    </row>
    <row r="46" spans="1:15" ht="9" customHeight="1" thickBot="1" x14ac:dyDescent="0.3">
      <c r="A46" s="466"/>
      <c r="B46" s="589"/>
      <c r="C46" s="590"/>
      <c r="D46" s="586"/>
      <c r="E46" s="586"/>
      <c r="F46" s="586"/>
      <c r="G46" s="586"/>
      <c r="H46" s="586"/>
      <c r="I46" s="586"/>
      <c r="J46" s="586"/>
      <c r="K46" s="586"/>
      <c r="L46" s="586"/>
      <c r="N46" s="70"/>
      <c r="O46" s="70"/>
    </row>
    <row r="47" spans="1:15" ht="18" customHeight="1" x14ac:dyDescent="0.25">
      <c r="A47" s="528">
        <f>A40-1</f>
        <v>-3</v>
      </c>
      <c r="B47" s="542" t="s">
        <v>199</v>
      </c>
      <c r="C47" s="508"/>
      <c r="D47" s="504"/>
      <c r="E47" s="505"/>
      <c r="F47" s="505"/>
      <c r="G47" s="506"/>
      <c r="H47" s="505"/>
      <c r="I47" s="505"/>
      <c r="J47" s="505"/>
      <c r="K47" s="505"/>
      <c r="L47" s="507"/>
      <c r="M47" s="335"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70"/>
      <c r="O47" s="70"/>
    </row>
    <row r="48" spans="1:15" ht="18" customHeight="1" x14ac:dyDescent="0.25">
      <c r="A48" s="459"/>
      <c r="B48" s="543" t="s">
        <v>268</v>
      </c>
      <c r="C48" s="513"/>
      <c r="D48" s="510"/>
      <c r="E48" s="511"/>
      <c r="F48" s="511"/>
      <c r="G48" s="509"/>
      <c r="H48" s="511"/>
      <c r="I48" s="512"/>
      <c r="J48" s="512"/>
      <c r="K48" s="512"/>
      <c r="L48" s="475"/>
      <c r="M48" s="335" t="str">
        <f>IF(OR(H47=1,H47=2,H47=3,H47=7,H47=8,H47=9,ISBLANK(H47)),"",
IF(COUNTBLANK(C48:H48)&gt;0,"←ERROR! Fill out all of the required information in the current line.",
IF(AND(OR(H47=4,H47=5,H47=6),OR(H48=7,H48=8,H48=9)),"","←ERROR! Current category code must be withdrawn if you are proposing to replace the form.")))</f>
        <v/>
      </c>
      <c r="N48" s="70"/>
      <c r="O48" s="70"/>
    </row>
    <row r="49" spans="1:15" ht="90" customHeight="1" x14ac:dyDescent="0.25">
      <c r="A49" s="459"/>
      <c r="B49" s="580" t="s">
        <v>485</v>
      </c>
      <c r="C49" s="581"/>
      <c r="D49" s="582"/>
      <c r="E49" s="582"/>
      <c r="F49" s="582"/>
      <c r="G49" s="582"/>
      <c r="H49" s="582"/>
      <c r="I49" s="582"/>
      <c r="J49" s="582"/>
      <c r="K49" s="582"/>
      <c r="L49" s="583"/>
      <c r="M49" s="335" t="str">
        <f>IF(LEN(TRIM(CLEAN(D49)))=0,"←ERROR! Detailed explanation was not provided.","")</f>
        <v>←ERROR! Detailed explanation was not provided.</v>
      </c>
      <c r="N49" s="70"/>
      <c r="O49" s="70"/>
    </row>
    <row r="50" spans="1:15" ht="120" customHeight="1" x14ac:dyDescent="0.25">
      <c r="A50" s="467"/>
      <c r="B50" s="580" t="s">
        <v>483</v>
      </c>
      <c r="C50" s="581"/>
      <c r="D50" s="582"/>
      <c r="E50" s="582"/>
      <c r="F50" s="582"/>
      <c r="G50" s="582"/>
      <c r="H50" s="582"/>
      <c r="I50" s="582"/>
      <c r="J50" s="582"/>
      <c r="K50" s="582"/>
      <c r="L50" s="583"/>
      <c r="N50" s="70"/>
      <c r="O50" s="70"/>
    </row>
    <row r="51" spans="1:15" ht="45.95" customHeight="1" x14ac:dyDescent="0.25">
      <c r="A51" s="459"/>
      <c r="B51" s="580" t="s">
        <v>484</v>
      </c>
      <c r="C51" s="581"/>
      <c r="D51" s="582"/>
      <c r="E51" s="582"/>
      <c r="F51" s="582"/>
      <c r="G51" s="582"/>
      <c r="H51" s="582"/>
      <c r="I51" s="582"/>
      <c r="J51" s="582"/>
      <c r="K51" s="582"/>
      <c r="L51" s="583"/>
      <c r="N51" s="70"/>
      <c r="O51" s="70"/>
    </row>
    <row r="52" spans="1:15" ht="60.95" customHeight="1" x14ac:dyDescent="0.25">
      <c r="A52" s="459"/>
      <c r="B52" s="580" t="s">
        <v>513</v>
      </c>
      <c r="C52" s="581"/>
      <c r="D52" s="582"/>
      <c r="E52" s="582"/>
      <c r="F52" s="582"/>
      <c r="G52" s="582"/>
      <c r="H52" s="582"/>
      <c r="I52" s="582"/>
      <c r="J52" s="582"/>
      <c r="K52" s="582"/>
      <c r="L52" s="583"/>
      <c r="N52" s="70"/>
      <c r="O52" s="70"/>
    </row>
    <row r="53" spans="1:15" ht="9" customHeight="1" thickBot="1" x14ac:dyDescent="0.3">
      <c r="A53" s="459"/>
      <c r="B53" s="605"/>
      <c r="C53" s="606"/>
      <c r="D53" s="604"/>
      <c r="E53" s="604"/>
      <c r="F53" s="604"/>
      <c r="G53" s="604"/>
      <c r="H53" s="604"/>
      <c r="I53" s="604"/>
      <c r="J53" s="604"/>
      <c r="K53" s="604"/>
      <c r="L53" s="604"/>
      <c r="N53" s="70"/>
      <c r="O53" s="70"/>
    </row>
    <row r="54" spans="1:15" ht="18" customHeight="1" x14ac:dyDescent="0.25">
      <c r="A54" s="537">
        <f>A47-1</f>
        <v>-4</v>
      </c>
      <c r="B54" s="538" t="s">
        <v>199</v>
      </c>
      <c r="C54" s="529"/>
      <c r="D54" s="530"/>
      <c r="E54" s="531"/>
      <c r="F54" s="531"/>
      <c r="G54" s="539"/>
      <c r="H54" s="533"/>
      <c r="I54" s="534"/>
      <c r="J54" s="533"/>
      <c r="K54" s="535"/>
      <c r="L54" s="536"/>
      <c r="M54" s="335"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70"/>
      <c r="O54" s="70"/>
    </row>
    <row r="55" spans="1:15" ht="18" customHeight="1" x14ac:dyDescent="0.25">
      <c r="A55" s="466"/>
      <c r="B55" s="526" t="s">
        <v>268</v>
      </c>
      <c r="C55" s="461"/>
      <c r="D55" s="462"/>
      <c r="E55" s="463"/>
      <c r="F55" s="463"/>
      <c r="G55" s="464"/>
      <c r="H55" s="465"/>
      <c r="I55" s="472"/>
      <c r="J55" s="473"/>
      <c r="K55" s="474"/>
      <c r="L55" s="475"/>
      <c r="M55" s="335" t="str">
        <f>IF(OR(H54=1,H54=2,H54=3,H54=7,H54=8,H54=9,ISBLANK(H54)),"",
IF(COUNTBLANK(C55:H55)&gt;0,"←ERROR! Fill out all of the required information in the current line.",
IF(AND(OR(H54=4,H54=5,H54=6),OR(H55=7,H55=8,H55=9)),"","←ERROR! Current category code must be withdrawn if you are proposing to replace the form.")))</f>
        <v/>
      </c>
      <c r="N55" s="70"/>
      <c r="O55" s="70"/>
    </row>
    <row r="56" spans="1:15" ht="90" customHeight="1" x14ac:dyDescent="0.25">
      <c r="A56" s="466"/>
      <c r="B56" s="607" t="s">
        <v>485</v>
      </c>
      <c r="C56" s="608"/>
      <c r="D56" s="584"/>
      <c r="E56" s="584"/>
      <c r="F56" s="584"/>
      <c r="G56" s="584"/>
      <c r="H56" s="584"/>
      <c r="I56" s="584"/>
      <c r="J56" s="584"/>
      <c r="K56" s="584"/>
      <c r="L56" s="585"/>
      <c r="M56" s="335" t="str">
        <f>IF(LEN(TRIM(CLEAN(D56)))=0,"←ERROR! Detailed explanation was not provided.","")</f>
        <v>←ERROR! Detailed explanation was not provided.</v>
      </c>
      <c r="N56" s="70"/>
      <c r="O56" s="70"/>
    </row>
    <row r="57" spans="1:15" ht="120" customHeight="1" x14ac:dyDescent="0.25">
      <c r="A57" s="469"/>
      <c r="B57" s="607" t="s">
        <v>483</v>
      </c>
      <c r="C57" s="608"/>
      <c r="D57" s="584"/>
      <c r="E57" s="584"/>
      <c r="F57" s="584"/>
      <c r="G57" s="584"/>
      <c r="H57" s="584"/>
      <c r="I57" s="584"/>
      <c r="J57" s="584"/>
      <c r="K57" s="584"/>
      <c r="L57" s="585"/>
      <c r="N57" s="70"/>
      <c r="O57" s="70"/>
    </row>
    <row r="58" spans="1:15" ht="45.95" customHeight="1" x14ac:dyDescent="0.25">
      <c r="A58" s="466"/>
      <c r="B58" s="607" t="s">
        <v>484</v>
      </c>
      <c r="C58" s="608"/>
      <c r="D58" s="584"/>
      <c r="E58" s="584"/>
      <c r="F58" s="584"/>
      <c r="G58" s="584"/>
      <c r="H58" s="584"/>
      <c r="I58" s="584"/>
      <c r="J58" s="584"/>
      <c r="K58" s="584"/>
      <c r="L58" s="585"/>
      <c r="N58" s="70"/>
      <c r="O58" s="70"/>
    </row>
    <row r="59" spans="1:15" ht="60.95" customHeight="1" x14ac:dyDescent="0.25">
      <c r="A59" s="466"/>
      <c r="B59" s="607" t="s">
        <v>513</v>
      </c>
      <c r="C59" s="608"/>
      <c r="D59" s="584"/>
      <c r="E59" s="584"/>
      <c r="F59" s="584"/>
      <c r="G59" s="584"/>
      <c r="H59" s="584"/>
      <c r="I59" s="584"/>
      <c r="J59" s="584"/>
      <c r="K59" s="584"/>
      <c r="L59" s="585"/>
      <c r="N59" s="70"/>
      <c r="O59" s="70"/>
    </row>
    <row r="60" spans="1:15" ht="9" customHeight="1" thickBot="1" x14ac:dyDescent="0.3">
      <c r="A60" s="540"/>
      <c r="B60" s="610"/>
      <c r="C60" s="611"/>
      <c r="D60" s="609"/>
      <c r="E60" s="609"/>
      <c r="F60" s="609"/>
      <c r="G60" s="609"/>
      <c r="H60" s="609"/>
      <c r="I60" s="609"/>
      <c r="J60" s="609"/>
      <c r="K60" s="609"/>
      <c r="L60" s="609"/>
      <c r="N60" s="70"/>
      <c r="O60" s="70"/>
    </row>
    <row r="61" spans="1:15" ht="3.75" customHeight="1" x14ac:dyDescent="0.25"/>
    <row r="62" spans="1:15" ht="17.25" x14ac:dyDescent="0.25">
      <c r="B62" s="49" t="s">
        <v>481</v>
      </c>
    </row>
    <row r="63" spans="1:15" x14ac:dyDescent="0.25">
      <c r="B63" s="457" t="s">
        <v>482</v>
      </c>
    </row>
    <row r="64" spans="1:15" ht="17.25" customHeight="1" x14ac:dyDescent="0.25">
      <c r="B64" s="49" t="s">
        <v>280</v>
      </c>
    </row>
    <row r="66" spans="2:12" ht="15.75" thickBot="1" x14ac:dyDescent="0.3">
      <c r="B66" s="1" t="s">
        <v>490</v>
      </c>
      <c r="F66" s="149"/>
      <c r="G66"/>
    </row>
    <row r="67" spans="2:12" ht="15" customHeight="1" x14ac:dyDescent="0.25">
      <c r="B67" s="595"/>
      <c r="C67" s="596"/>
      <c r="D67" s="596"/>
      <c r="E67" s="596"/>
      <c r="F67" s="596"/>
      <c r="G67" s="596"/>
      <c r="H67" s="596"/>
      <c r="I67" s="596"/>
      <c r="J67" s="596"/>
      <c r="K67" s="596"/>
      <c r="L67" s="597"/>
    </row>
    <row r="68" spans="2:12" x14ac:dyDescent="0.25">
      <c r="B68" s="598"/>
      <c r="C68" s="599"/>
      <c r="D68" s="599"/>
      <c r="E68" s="599"/>
      <c r="F68" s="599"/>
      <c r="G68" s="599"/>
      <c r="H68" s="599"/>
      <c r="I68" s="599"/>
      <c r="J68" s="599"/>
      <c r="K68" s="599"/>
      <c r="L68" s="600"/>
    </row>
    <row r="69" spans="2:12" x14ac:dyDescent="0.25">
      <c r="B69" s="598"/>
      <c r="C69" s="599"/>
      <c r="D69" s="599"/>
      <c r="E69" s="599"/>
      <c r="F69" s="599"/>
      <c r="G69" s="599"/>
      <c r="H69" s="599"/>
      <c r="I69" s="599"/>
      <c r="J69" s="599"/>
      <c r="K69" s="599"/>
      <c r="L69" s="600"/>
    </row>
    <row r="70" spans="2:12" x14ac:dyDescent="0.25">
      <c r="B70" s="598"/>
      <c r="C70" s="599"/>
      <c r="D70" s="599"/>
      <c r="E70" s="599"/>
      <c r="F70" s="599"/>
      <c r="G70" s="599"/>
      <c r="H70" s="599"/>
      <c r="I70" s="599"/>
      <c r="J70" s="599"/>
      <c r="K70" s="599"/>
      <c r="L70" s="600"/>
    </row>
    <row r="71" spans="2:12" x14ac:dyDescent="0.25">
      <c r="B71" s="598"/>
      <c r="C71" s="599"/>
      <c r="D71" s="599"/>
      <c r="E71" s="599"/>
      <c r="F71" s="599"/>
      <c r="G71" s="599"/>
      <c r="H71" s="599"/>
      <c r="I71" s="599"/>
      <c r="J71" s="599"/>
      <c r="K71" s="599"/>
      <c r="L71" s="600"/>
    </row>
    <row r="72" spans="2:12" x14ac:dyDescent="0.25">
      <c r="B72" s="598"/>
      <c r="C72" s="599"/>
      <c r="D72" s="599"/>
      <c r="E72" s="599"/>
      <c r="F72" s="599"/>
      <c r="G72" s="599"/>
      <c r="H72" s="599"/>
      <c r="I72" s="599"/>
      <c r="J72" s="599"/>
      <c r="K72" s="599"/>
      <c r="L72" s="600"/>
    </row>
    <row r="73" spans="2:12" x14ac:dyDescent="0.25">
      <c r="B73" s="598"/>
      <c r="C73" s="599"/>
      <c r="D73" s="599"/>
      <c r="E73" s="599"/>
      <c r="F73" s="599"/>
      <c r="G73" s="599"/>
      <c r="H73" s="599"/>
      <c r="I73" s="599"/>
      <c r="J73" s="599"/>
      <c r="K73" s="599"/>
      <c r="L73" s="600"/>
    </row>
    <row r="74" spans="2:12" x14ac:dyDescent="0.25">
      <c r="B74" s="598"/>
      <c r="C74" s="599"/>
      <c r="D74" s="599"/>
      <c r="E74" s="599"/>
      <c r="F74" s="599"/>
      <c r="G74" s="599"/>
      <c r="H74" s="599"/>
      <c r="I74" s="599"/>
      <c r="J74" s="599"/>
      <c r="K74" s="599"/>
      <c r="L74" s="600"/>
    </row>
    <row r="75" spans="2:12" ht="15.75" thickBot="1" x14ac:dyDescent="0.3">
      <c r="B75" s="601"/>
      <c r="C75" s="602"/>
      <c r="D75" s="602"/>
      <c r="E75" s="602"/>
      <c r="F75" s="602"/>
      <c r="G75" s="602"/>
      <c r="H75" s="602"/>
      <c r="I75" s="602"/>
      <c r="J75" s="602"/>
      <c r="K75" s="602"/>
      <c r="L75" s="603"/>
    </row>
  </sheetData>
  <sheetProtection algorithmName="SHA-512" hashValue="snk58StVRMdutjt2GGoOyxrVn3t+hwCRlgfnXWPcDitYSHBWuolWuZo7H46w+w/bG+d8Dyflk0wn0rePoyMcXQ==" saltValue="4BErccw4GD0ugUXFgo3JvA==" spinCount="100000" sheet="1" objects="1" scenarios="1" formatColumns="0" formatRows="0" sort="0"/>
  <mergeCells count="61">
    <mergeCell ref="B39:C39"/>
    <mergeCell ref="B38:C38"/>
    <mergeCell ref="B35:C35"/>
    <mergeCell ref="B36:C36"/>
    <mergeCell ref="B30:C30"/>
    <mergeCell ref="B31:C31"/>
    <mergeCell ref="B32:C32"/>
    <mergeCell ref="B21:C21"/>
    <mergeCell ref="B22:C22"/>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B67:L75"/>
    <mergeCell ref="D53:L53"/>
    <mergeCell ref="B53:C53"/>
    <mergeCell ref="B56:C56"/>
    <mergeCell ref="B57:C57"/>
    <mergeCell ref="B58:C58"/>
    <mergeCell ref="B59:C59"/>
    <mergeCell ref="D60:L60"/>
    <mergeCell ref="B60:C60"/>
    <mergeCell ref="D59:L59"/>
    <mergeCell ref="D58:L58"/>
    <mergeCell ref="D57:L57"/>
    <mergeCell ref="D56:L56"/>
    <mergeCell ref="D29:L29"/>
    <mergeCell ref="D28:L28"/>
    <mergeCell ref="D35:L35"/>
    <mergeCell ref="D36:L36"/>
    <mergeCell ref="D37:L37"/>
    <mergeCell ref="D38:L38"/>
    <mergeCell ref="D39:L39"/>
    <mergeCell ref="D42:L42"/>
    <mergeCell ref="D43:L43"/>
    <mergeCell ref="D44:L44"/>
    <mergeCell ref="D45:L45"/>
    <mergeCell ref="D46:L46"/>
    <mergeCell ref="B42:C42"/>
    <mergeCell ref="B43:C43"/>
    <mergeCell ref="B44:C44"/>
    <mergeCell ref="B45:C45"/>
    <mergeCell ref="B46:C46"/>
    <mergeCell ref="B49:C49"/>
    <mergeCell ref="B50:C50"/>
    <mergeCell ref="B51:C51"/>
    <mergeCell ref="B52:C52"/>
    <mergeCell ref="D49:L49"/>
    <mergeCell ref="D50:L50"/>
    <mergeCell ref="D51:L51"/>
    <mergeCell ref="D52:L52"/>
  </mergeCells>
  <dataValidations disablePrompts="1" count="4">
    <dataValidation type="list" allowBlank="1" showInputMessage="1" showErrorMessage="1" sqref="K47 K19 K54 K40 K26">
      <formula1>"Y, N"</formula1>
    </dataValidation>
    <dataValidation type="list" allowBlank="1" showInputMessage="1" showErrorMessage="1" sqref="E19:F20 E47:F48 E54:F55 E40:F41 E26:F27 E33:F34">
      <formula1>"1,2,3,4"</formula1>
    </dataValidation>
    <dataValidation type="list" allowBlank="1" showInputMessage="1" showErrorMessage="1" sqref="H19:H20 H47:H48 H54:H55 H40:H41 H26:H27 H33:H34">
      <formula1>"1,2,3,4,5,6,7,8,9,10"</formula1>
    </dataValidation>
    <dataValidation type="list" allowBlank="1" showInputMessage="1" showErrorMessage="1" sqref="I19:J19 I26:J26 I54:J54 I40:J40 I47:J47 I33:K33">
      <formula1>List_YNIndicator</formula1>
    </dataValidation>
  </dataValidations>
  <printOptions horizontalCentered="1"/>
  <pageMargins left="0.45" right="0.45" top="0.5" bottom="0.5" header="0.3" footer="0.05"/>
  <pageSetup scale="64" fitToHeight="0" orientation="landscape" useFirstPageNumber="1" r:id="rId1"/>
  <headerFooter>
    <oddFooter xml:space="preserve">&amp;L1/11/2022 Edition
&amp;CPrior Approval Rate Application
Portions of the material contained in this document are protected by copyright owned by the State Farm Mutual Automobile Insurance Company, 2022&amp;RPage 9.&amp;P
</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00FF"/>
  </sheetPr>
  <dimension ref="A1:N40"/>
  <sheetViews>
    <sheetView showGridLines="0" view="pageBreakPreview" zoomScaleNormal="100" zoomScaleSheetLayoutView="100" workbookViewId="0"/>
  </sheetViews>
  <sheetFormatPr defaultRowHeight="15" x14ac:dyDescent="0.25"/>
  <cols>
    <col min="1" max="1" width="9.140625" style="49"/>
    <col min="2" max="2" width="40.140625" style="49" customWidth="1"/>
    <col min="3" max="3" width="15.140625" style="49" customWidth="1"/>
    <col min="4" max="4" width="42.140625" style="49" customWidth="1"/>
    <col min="5" max="5" width="0.5703125" style="49" customWidth="1"/>
    <col min="6" max="16384" width="9.140625" style="49"/>
  </cols>
  <sheetData>
    <row r="1" spans="1:14" x14ac:dyDescent="0.25">
      <c r="A1" s="10" t="s">
        <v>68</v>
      </c>
      <c r="B1" s="10"/>
      <c r="C1" s="159" t="s">
        <v>70</v>
      </c>
      <c r="D1" s="160" t="str">
        <f>Co_Name</f>
        <v>State Farm General Insurance Company</v>
      </c>
      <c r="H1" s="160"/>
      <c r="I1" s="159"/>
    </row>
    <row r="2" spans="1:14" x14ac:dyDescent="0.25">
      <c r="A2" s="10" t="s">
        <v>69</v>
      </c>
      <c r="B2" s="10"/>
      <c r="C2" s="159" t="s">
        <v>71</v>
      </c>
      <c r="D2" s="160" t="str">
        <f>General_Line</f>
        <v>Homeowners</v>
      </c>
      <c r="H2" s="160"/>
      <c r="I2" s="159"/>
    </row>
    <row r="3" spans="1:14" x14ac:dyDescent="0.25">
      <c r="B3" s="166"/>
    </row>
    <row r="4" spans="1:14" ht="23.25" x14ac:dyDescent="0.25">
      <c r="A4" s="5" t="s">
        <v>417</v>
      </c>
      <c r="B4" s="5"/>
      <c r="C4" s="147"/>
      <c r="D4" s="147"/>
      <c r="F4" s="147"/>
      <c r="G4" s="147"/>
      <c r="H4" s="147"/>
      <c r="I4" s="147"/>
      <c r="J4" s="147"/>
      <c r="K4" s="147"/>
      <c r="L4" s="147"/>
      <c r="M4" s="147"/>
      <c r="N4" s="147"/>
    </row>
    <row r="6" spans="1:14" x14ac:dyDescent="0.25">
      <c r="A6" s="49" t="s">
        <v>254</v>
      </c>
    </row>
    <row r="7" spans="1:14" x14ac:dyDescent="0.25">
      <c r="A7" s="49" t="s">
        <v>317</v>
      </c>
    </row>
    <row r="9" spans="1:14" ht="18" customHeight="1" x14ac:dyDescent="0.25">
      <c r="A9" s="49" t="s">
        <v>203</v>
      </c>
    </row>
    <row r="10" spans="1:14" ht="24.95" customHeight="1" x14ac:dyDescent="0.25">
      <c r="B10" s="49" t="s">
        <v>205</v>
      </c>
    </row>
    <row r="11" spans="1:14" ht="24.95" customHeight="1" x14ac:dyDescent="0.25">
      <c r="B11" s="49" t="s">
        <v>204</v>
      </c>
    </row>
    <row r="12" spans="1:14" ht="24.95" customHeight="1" x14ac:dyDescent="0.25">
      <c r="B12" s="49" t="s">
        <v>275</v>
      </c>
      <c r="E12" s="23" t="b">
        <v>0</v>
      </c>
    </row>
    <row r="13" spans="1:14" ht="24.95" customHeight="1" x14ac:dyDescent="0.25">
      <c r="B13" s="49" t="s">
        <v>208</v>
      </c>
    </row>
    <row r="14" spans="1:14" ht="24.75" customHeight="1" x14ac:dyDescent="0.25">
      <c r="B14" s="49" t="s">
        <v>272</v>
      </c>
    </row>
    <row r="15" spans="1:14" ht="9.75" customHeight="1" x14ac:dyDescent="0.25"/>
    <row r="16" spans="1:14" ht="18" customHeight="1" x14ac:dyDescent="0.25">
      <c r="A16" s="233" t="s">
        <v>269</v>
      </c>
    </row>
    <row r="17" spans="1:6" ht="24.95" customHeight="1" x14ac:dyDescent="0.25">
      <c r="B17" s="49" t="s">
        <v>274</v>
      </c>
    </row>
    <row r="18" spans="1:6" ht="24.95" customHeight="1" x14ac:dyDescent="0.25">
      <c r="B18" s="29" t="s">
        <v>318</v>
      </c>
    </row>
    <row r="19" spans="1:6" ht="24.95" customHeight="1" x14ac:dyDescent="0.25">
      <c r="B19" s="49" t="s">
        <v>270</v>
      </c>
    </row>
    <row r="20" spans="1:6" ht="24.95" customHeight="1" x14ac:dyDescent="0.25">
      <c r="B20" s="49" t="s">
        <v>213</v>
      </c>
    </row>
    <row r="21" spans="1:6" ht="24.95" customHeight="1" x14ac:dyDescent="0.25">
      <c r="B21" s="29" t="s">
        <v>319</v>
      </c>
    </row>
    <row r="22" spans="1:6" ht="24.95" customHeight="1" x14ac:dyDescent="0.25">
      <c r="B22" s="49" t="s">
        <v>276</v>
      </c>
    </row>
    <row r="23" spans="1:6" ht="24.95" customHeight="1" x14ac:dyDescent="0.25">
      <c r="B23" s="29" t="s">
        <v>320</v>
      </c>
    </row>
    <row r="24" spans="1:6" ht="24.95" customHeight="1" x14ac:dyDescent="0.25">
      <c r="B24" s="49" t="s">
        <v>209</v>
      </c>
    </row>
    <row r="25" spans="1:6" ht="18" customHeight="1" x14ac:dyDescent="0.25">
      <c r="B25" s="29" t="s">
        <v>206</v>
      </c>
    </row>
    <row r="26" spans="1:6" ht="18" customHeight="1" x14ac:dyDescent="0.25">
      <c r="B26" s="29" t="s">
        <v>207</v>
      </c>
    </row>
    <row r="27" spans="1:6" ht="9.9499999999999993" customHeight="1" x14ac:dyDescent="0.25"/>
    <row r="28" spans="1:6" ht="18" customHeight="1" x14ac:dyDescent="0.25">
      <c r="A28" s="49" t="s">
        <v>212</v>
      </c>
      <c r="D28" s="200"/>
      <c r="F28" s="335" t="str">
        <f>IF(AND(ISBLANK(D28),E12=TRUE),"← WARNING! If (3) above is checked, specify the approved CDI File #(s) of the AO rule.","")</f>
        <v/>
      </c>
    </row>
    <row r="29" spans="1:6" ht="9.9499999999999993" customHeight="1" x14ac:dyDescent="0.25"/>
    <row r="30" spans="1:6" ht="18" customHeight="1" x14ac:dyDescent="0.25">
      <c r="A30" s="49" t="s">
        <v>210</v>
      </c>
    </row>
    <row r="31" spans="1:6" ht="24.95" customHeight="1" x14ac:dyDescent="0.25">
      <c r="B31" s="49" t="s">
        <v>321</v>
      </c>
    </row>
    <row r="32" spans="1:6" ht="24.95" customHeight="1" x14ac:dyDescent="0.25">
      <c r="B32" s="49" t="s">
        <v>211</v>
      </c>
    </row>
    <row r="33" spans="1:2" ht="24.95" customHeight="1" x14ac:dyDescent="0.25">
      <c r="B33" s="49" t="s">
        <v>214</v>
      </c>
    </row>
    <row r="34" spans="1:2" ht="24.95" customHeight="1" x14ac:dyDescent="0.25">
      <c r="B34" s="29" t="s">
        <v>320</v>
      </c>
    </row>
    <row r="36" spans="1:2" ht="18" customHeight="1" x14ac:dyDescent="0.25">
      <c r="A36" s="49" t="s">
        <v>278</v>
      </c>
    </row>
    <row r="37" spans="1:2" ht="18" customHeight="1" x14ac:dyDescent="0.25">
      <c r="A37" s="49" t="s">
        <v>322</v>
      </c>
    </row>
    <row r="39" spans="1:2" ht="17.25" x14ac:dyDescent="0.25">
      <c r="A39" s="49" t="s">
        <v>273</v>
      </c>
    </row>
    <row r="40" spans="1:2" x14ac:dyDescent="0.25">
      <c r="A40" s="64" t="s">
        <v>271</v>
      </c>
    </row>
  </sheetData>
  <sheetProtection algorithmName="SHA-512" hashValue="o1yfdN99WurAGv3o6RJEzSqGdEeqIPkyVhC75SmaTftZMGxn4UyaHcLHRZB2EEH+CGoFWH6iLiZsSO2j30t7NA==" saltValue="xtOgE1VRtrKcUrNIDcn22A==" spinCount="100000" sheet="1" objects="1" scenarios="1" formatColumns="0" formatRows="0" sort="0"/>
  <pageMargins left="0.7" right="0.7" top="0.75" bottom="0.75" header="0.3" footer="0.05"/>
  <pageSetup scale="75" orientation="portrait" r:id="rId1"/>
  <headerFooter>
    <oddFooter xml:space="preserve">&amp;L1/11/2022 Edition
&amp;CPrior Approval Rate Application
Portions of the material contained in this document are protected by copyright owned by the State Farm Mutual Automobile Insurance Company, 2022&amp;RPage 10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00FF"/>
    <pageSetUpPr fitToPage="1"/>
  </sheetPr>
  <dimension ref="A1:J105"/>
  <sheetViews>
    <sheetView showGridLines="0" view="pageBreakPreview" zoomScaleNormal="100" zoomScaleSheetLayoutView="100" workbookViewId="0">
      <selection activeCell="D6" sqref="D6"/>
    </sheetView>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21" t="s">
        <v>68</v>
      </c>
      <c r="E1" s="37" t="s">
        <v>70</v>
      </c>
      <c r="G1" s="36" t="str">
        <f>Co_Name</f>
        <v>State Farm General Insurance Company</v>
      </c>
      <c r="I1" s="50"/>
    </row>
    <row r="2" spans="1:10" x14ac:dyDescent="0.25">
      <c r="A2" s="21" t="s">
        <v>69</v>
      </c>
      <c r="E2" s="37" t="s">
        <v>71</v>
      </c>
      <c r="G2" s="36" t="str">
        <f>General_Line</f>
        <v>Homeowners</v>
      </c>
      <c r="I2" s="50"/>
    </row>
    <row r="3" spans="1:10" x14ac:dyDescent="0.25">
      <c r="B3" s="167"/>
      <c r="I3" s="50"/>
    </row>
    <row r="4" spans="1:10" ht="23.25" x14ac:dyDescent="0.25">
      <c r="A4" s="5" t="s">
        <v>329</v>
      </c>
      <c r="B4" s="3"/>
      <c r="C4" s="3"/>
      <c r="D4" s="3"/>
      <c r="E4" s="3"/>
      <c r="F4" s="3"/>
      <c r="G4" s="3"/>
      <c r="I4" s="234"/>
    </row>
    <row r="5" spans="1:10" x14ac:dyDescent="0.25">
      <c r="I5" s="50"/>
    </row>
    <row r="6" spans="1:10" x14ac:dyDescent="0.25">
      <c r="A6" t="s">
        <v>246</v>
      </c>
      <c r="I6" s="50"/>
    </row>
    <row r="7" spans="1:10" x14ac:dyDescent="0.25">
      <c r="A7" s="2" t="s">
        <v>245</v>
      </c>
      <c r="I7" s="50"/>
    </row>
    <row r="8" spans="1:10" ht="5.0999999999999996" customHeight="1" x14ac:dyDescent="0.25">
      <c r="A8" s="2"/>
      <c r="I8" s="50"/>
    </row>
    <row r="9" spans="1:10" x14ac:dyDescent="0.25">
      <c r="A9" t="s">
        <v>247</v>
      </c>
      <c r="I9" s="50"/>
    </row>
    <row r="10" spans="1:10" x14ac:dyDescent="0.25">
      <c r="A10" s="2" t="s">
        <v>253</v>
      </c>
      <c r="I10" s="50"/>
    </row>
    <row r="11" spans="1:10" ht="15.75" thickBot="1" x14ac:dyDescent="0.3">
      <c r="I11" s="50"/>
    </row>
    <row r="12" spans="1:10" ht="195" x14ac:dyDescent="0.25">
      <c r="A12" s="109"/>
      <c r="B12" s="110"/>
      <c r="C12" s="110"/>
      <c r="D12" s="229" t="s">
        <v>173</v>
      </c>
      <c r="E12" s="229" t="s">
        <v>180</v>
      </c>
      <c r="F12" s="229" t="s">
        <v>174</v>
      </c>
      <c r="G12" s="111" t="s">
        <v>181</v>
      </c>
      <c r="H12" s="107" t="s">
        <v>179</v>
      </c>
      <c r="I12" s="50"/>
    </row>
    <row r="13" spans="1:10" ht="5.0999999999999996" customHeight="1" thickBot="1" x14ac:dyDescent="0.3">
      <c r="A13" s="115"/>
      <c r="B13" s="113"/>
      <c r="C13" s="113"/>
      <c r="D13" s="228"/>
      <c r="E13" s="228"/>
      <c r="F13" s="228"/>
      <c r="G13" s="116"/>
      <c r="H13" s="4"/>
      <c r="I13" s="50"/>
    </row>
    <row r="14" spans="1:10" ht="18" customHeight="1" x14ac:dyDescent="0.25">
      <c r="A14" s="117" t="s">
        <v>340</v>
      </c>
      <c r="B14" s="118"/>
      <c r="C14" s="118"/>
      <c r="D14" s="197"/>
      <c r="E14" s="119"/>
      <c r="F14" s="197"/>
      <c r="G14" s="120"/>
      <c r="H14" s="4"/>
      <c r="I14" s="50"/>
      <c r="J14" s="106"/>
    </row>
    <row r="15" spans="1:10" ht="30" customHeight="1" thickBot="1" x14ac:dyDescent="0.3">
      <c r="A15" s="121"/>
      <c r="B15" s="122"/>
      <c r="C15" s="122"/>
      <c r="D15" s="123"/>
      <c r="E15" s="123"/>
      <c r="F15" s="123"/>
      <c r="G15" s="124"/>
      <c r="H15" s="4"/>
      <c r="I15" s="50"/>
    </row>
    <row r="16" spans="1:10" ht="18" customHeight="1" x14ac:dyDescent="0.25">
      <c r="A16" s="117" t="s">
        <v>182</v>
      </c>
      <c r="B16" s="127" t="s">
        <v>107</v>
      </c>
      <c r="C16" s="127"/>
      <c r="D16" s="197"/>
      <c r="E16" s="125" t="str">
        <f>IF(ISBLANK(D16),"",D16-D$14)</f>
        <v/>
      </c>
      <c r="F16" s="197"/>
      <c r="G16" s="126" t="str">
        <f>IF(ISBLANK(F16),"",F16-F$14)</f>
        <v/>
      </c>
      <c r="H16" s="180">
        <v>23</v>
      </c>
      <c r="I16" s="50"/>
    </row>
    <row r="17" spans="1:9" ht="5.0999999999999996" customHeight="1" x14ac:dyDescent="0.25">
      <c r="A17" s="112"/>
      <c r="B17" s="164"/>
      <c r="C17" s="164"/>
      <c r="D17" s="108"/>
      <c r="E17" s="173"/>
      <c r="F17" s="108"/>
      <c r="G17" s="174"/>
      <c r="H17" s="4"/>
      <c r="I17" s="50"/>
    </row>
    <row r="18" spans="1:9" ht="24.95" customHeight="1" x14ac:dyDescent="0.25">
      <c r="A18" s="623" t="str">
        <f>INDEX(List_Variances,$H16,2)</f>
        <v/>
      </c>
      <c r="B18" s="624"/>
      <c r="C18" s="624"/>
      <c r="D18" s="624"/>
      <c r="E18" s="624"/>
      <c r="F18" s="624"/>
      <c r="G18" s="625"/>
      <c r="H18" s="4"/>
      <c r="I18" s="50"/>
    </row>
    <row r="19" spans="1:9" ht="24.95" customHeight="1" thickBot="1" x14ac:dyDescent="0.3">
      <c r="A19" s="626"/>
      <c r="B19" s="627"/>
      <c r="C19" s="627"/>
      <c r="D19" s="627"/>
      <c r="E19" s="627"/>
      <c r="F19" s="627"/>
      <c r="G19" s="628"/>
      <c r="H19" s="4"/>
      <c r="I19" s="50"/>
    </row>
    <row r="20" spans="1:9" ht="18" customHeight="1" x14ac:dyDescent="0.25">
      <c r="A20" s="117" t="s">
        <v>175</v>
      </c>
      <c r="B20" s="127" t="s">
        <v>107</v>
      </c>
      <c r="C20" s="118"/>
      <c r="D20" s="197"/>
      <c r="E20" s="125" t="str">
        <f>IF(ISBLANK(D20),"",D20-D$14)</f>
        <v/>
      </c>
      <c r="F20" s="197"/>
      <c r="G20" s="126" t="str">
        <f>IF(ISBLANK(F20),"",F20-F$14)</f>
        <v/>
      </c>
      <c r="H20" s="180">
        <v>23</v>
      </c>
      <c r="I20" s="50"/>
    </row>
    <row r="21" spans="1:9" ht="24.75" customHeight="1" x14ac:dyDescent="0.25">
      <c r="A21" s="623" t="str">
        <f>INDEX(List_Variances,$H20,2)</f>
        <v/>
      </c>
      <c r="B21" s="624"/>
      <c r="C21" s="624"/>
      <c r="D21" s="624"/>
      <c r="E21" s="624"/>
      <c r="F21" s="624"/>
      <c r="G21" s="625"/>
      <c r="H21" s="4"/>
      <c r="I21" s="50"/>
    </row>
    <row r="22" spans="1:9" ht="24.75" customHeight="1" thickBot="1" x14ac:dyDescent="0.3">
      <c r="A22" s="626"/>
      <c r="B22" s="627"/>
      <c r="C22" s="627"/>
      <c r="D22" s="627"/>
      <c r="E22" s="627"/>
      <c r="F22" s="627"/>
      <c r="G22" s="628"/>
      <c r="H22" s="4"/>
      <c r="I22" s="50"/>
    </row>
    <row r="23" spans="1:9" ht="18" customHeight="1" x14ac:dyDescent="0.25">
      <c r="A23" s="117" t="s">
        <v>176</v>
      </c>
      <c r="B23" s="127" t="s">
        <v>107</v>
      </c>
      <c r="C23" s="118"/>
      <c r="D23" s="197"/>
      <c r="E23" s="125" t="str">
        <f>IF(ISBLANK(D23),"",D23-D$14)</f>
        <v/>
      </c>
      <c r="F23" s="197"/>
      <c r="G23" s="126" t="str">
        <f>IF(ISBLANK(F23),"",F23-F$14)</f>
        <v/>
      </c>
      <c r="H23" s="180">
        <v>23</v>
      </c>
      <c r="I23" s="50"/>
    </row>
    <row r="24" spans="1:9" ht="24.75" customHeight="1" x14ac:dyDescent="0.25">
      <c r="A24" s="623" t="str">
        <f>INDEX(List_Variances,$H23,2)</f>
        <v/>
      </c>
      <c r="B24" s="624"/>
      <c r="C24" s="624"/>
      <c r="D24" s="624"/>
      <c r="E24" s="624"/>
      <c r="F24" s="624"/>
      <c r="G24" s="625"/>
      <c r="H24" s="4"/>
      <c r="I24" s="50"/>
    </row>
    <row r="25" spans="1:9" ht="24.75" customHeight="1" thickBot="1" x14ac:dyDescent="0.3">
      <c r="A25" s="626"/>
      <c r="B25" s="627"/>
      <c r="C25" s="627"/>
      <c r="D25" s="627"/>
      <c r="E25" s="627"/>
      <c r="F25" s="627"/>
      <c r="G25" s="628"/>
      <c r="H25" s="4"/>
      <c r="I25" s="50"/>
    </row>
    <row r="26" spans="1:9" ht="18" customHeight="1" x14ac:dyDescent="0.25">
      <c r="A26" s="117" t="s">
        <v>177</v>
      </c>
      <c r="B26" s="127" t="s">
        <v>107</v>
      </c>
      <c r="C26" s="118"/>
      <c r="D26" s="197"/>
      <c r="E26" s="125" t="str">
        <f>IF(ISBLANK(D26),"",D26-D$14)</f>
        <v/>
      </c>
      <c r="F26" s="197"/>
      <c r="G26" s="126" t="str">
        <f>IF(ISBLANK(F26),"",F26-F$14)</f>
        <v/>
      </c>
      <c r="H26" s="180">
        <v>23</v>
      </c>
      <c r="I26" s="50"/>
    </row>
    <row r="27" spans="1:9" ht="24.75" customHeight="1" x14ac:dyDescent="0.25">
      <c r="A27" s="623" t="str">
        <f>INDEX(List_Variances,$H26,2)</f>
        <v/>
      </c>
      <c r="B27" s="624"/>
      <c r="C27" s="624"/>
      <c r="D27" s="624"/>
      <c r="E27" s="624"/>
      <c r="F27" s="624"/>
      <c r="G27" s="625"/>
      <c r="H27" s="4"/>
      <c r="I27" s="50"/>
    </row>
    <row r="28" spans="1:9" ht="24.75" customHeight="1" thickBot="1" x14ac:dyDescent="0.3">
      <c r="A28" s="626"/>
      <c r="B28" s="627"/>
      <c r="C28" s="627"/>
      <c r="D28" s="627"/>
      <c r="E28" s="627"/>
      <c r="F28" s="627"/>
      <c r="G28" s="628"/>
      <c r="H28" s="4"/>
      <c r="I28" s="50"/>
    </row>
    <row r="29" spans="1:9" ht="18" customHeight="1" x14ac:dyDescent="0.25">
      <c r="A29" s="117" t="s">
        <v>178</v>
      </c>
      <c r="B29" s="127" t="s">
        <v>107</v>
      </c>
      <c r="C29" s="118"/>
      <c r="D29" s="197"/>
      <c r="E29" s="125" t="str">
        <f>IF(ISBLANK(D29),"",D29-D$14)</f>
        <v/>
      </c>
      <c r="F29" s="197"/>
      <c r="G29" s="126" t="str">
        <f>IF(ISBLANK(F29),"",F29-F$14)</f>
        <v/>
      </c>
      <c r="H29" s="180">
        <v>23</v>
      </c>
      <c r="I29" s="50"/>
    </row>
    <row r="30" spans="1:9" ht="24.75" customHeight="1" x14ac:dyDescent="0.25">
      <c r="A30" s="623" t="str">
        <f>INDEX(List_Variances,$H29,2)</f>
        <v/>
      </c>
      <c r="B30" s="624"/>
      <c r="C30" s="624"/>
      <c r="D30" s="624"/>
      <c r="E30" s="624"/>
      <c r="F30" s="624"/>
      <c r="G30" s="625"/>
      <c r="H30" s="4"/>
      <c r="I30" s="50"/>
    </row>
    <row r="31" spans="1:9" ht="24.75" customHeight="1" thickBot="1" x14ac:dyDescent="0.3">
      <c r="A31" s="626"/>
      <c r="B31" s="627"/>
      <c r="C31" s="627"/>
      <c r="D31" s="627"/>
      <c r="E31" s="627"/>
      <c r="F31" s="627"/>
      <c r="G31" s="628"/>
      <c r="H31" s="4"/>
      <c r="I31" s="50"/>
    </row>
    <row r="32" spans="1:9" ht="18" customHeight="1" x14ac:dyDescent="0.25">
      <c r="A32" s="117" t="s">
        <v>341</v>
      </c>
      <c r="B32" s="127" t="s">
        <v>107</v>
      </c>
      <c r="C32" s="118"/>
      <c r="D32" s="197"/>
      <c r="E32" s="125" t="str">
        <f>IF(ISBLANK(D32),"",D32-D$14)</f>
        <v/>
      </c>
      <c r="F32" s="197"/>
      <c r="G32" s="126" t="str">
        <f>IF(ISBLANK(F32),"",F32-F$14)</f>
        <v/>
      </c>
      <c r="H32" s="180">
        <v>23</v>
      </c>
      <c r="I32" s="50"/>
    </row>
    <row r="33" spans="1:9" ht="24.75" customHeight="1" x14ac:dyDescent="0.25">
      <c r="A33" s="623" t="str">
        <f>INDEX(List_Variances,$H32,2)</f>
        <v/>
      </c>
      <c r="B33" s="624"/>
      <c r="C33" s="624"/>
      <c r="D33" s="624"/>
      <c r="E33" s="624"/>
      <c r="F33" s="624"/>
      <c r="G33" s="625"/>
      <c r="I33" s="50"/>
    </row>
    <row r="34" spans="1:9" ht="15.75" thickBot="1" x14ac:dyDescent="0.3">
      <c r="A34" s="626"/>
      <c r="B34" s="627"/>
      <c r="C34" s="627"/>
      <c r="D34" s="627"/>
      <c r="E34" s="627"/>
      <c r="F34" s="627"/>
      <c r="G34" s="628"/>
      <c r="I34" s="50"/>
    </row>
    <row r="35" spans="1:9" ht="18" customHeight="1" x14ac:dyDescent="0.25">
      <c r="A35" s="117" t="s">
        <v>342</v>
      </c>
      <c r="B35" s="127" t="s">
        <v>107</v>
      </c>
      <c r="C35" s="118"/>
      <c r="D35" s="197"/>
      <c r="E35" s="125" t="str">
        <f>IF(ISBLANK(D35),"",D35-D$14)</f>
        <v/>
      </c>
      <c r="F35" s="197"/>
      <c r="G35" s="126" t="str">
        <f>IF(ISBLANK(F35),"",F35-F$14)</f>
        <v/>
      </c>
      <c r="H35" s="180">
        <v>23</v>
      </c>
      <c r="I35" s="50"/>
    </row>
    <row r="36" spans="1:9" ht="24.75" customHeight="1" x14ac:dyDescent="0.25">
      <c r="A36" s="623" t="str">
        <f>INDEX(List_Variances,$H35,2)</f>
        <v/>
      </c>
      <c r="B36" s="624"/>
      <c r="C36" s="624"/>
      <c r="D36" s="624"/>
      <c r="E36" s="624"/>
      <c r="F36" s="624"/>
      <c r="G36" s="625"/>
      <c r="I36" s="50"/>
    </row>
    <row r="37" spans="1:9" ht="15.75" thickBot="1" x14ac:dyDescent="0.3">
      <c r="A37" s="626"/>
      <c r="B37" s="627"/>
      <c r="C37" s="627"/>
      <c r="D37" s="627"/>
      <c r="E37" s="627"/>
      <c r="F37" s="627"/>
      <c r="G37" s="628"/>
      <c r="I37" s="50"/>
    </row>
    <row r="38" spans="1:9" ht="18" customHeight="1" x14ac:dyDescent="0.25">
      <c r="A38" s="117" t="s">
        <v>343</v>
      </c>
      <c r="B38" s="127" t="s">
        <v>107</v>
      </c>
      <c r="C38" s="118"/>
      <c r="D38" s="197"/>
      <c r="E38" s="125" t="str">
        <f>IF(ISBLANK(D38),"",D38-D$14)</f>
        <v/>
      </c>
      <c r="F38" s="197"/>
      <c r="G38" s="126" t="str">
        <f>IF(ISBLANK(F38),"",F38-F$14)</f>
        <v/>
      </c>
      <c r="H38" s="180">
        <v>23</v>
      </c>
      <c r="I38" s="50"/>
    </row>
    <row r="39" spans="1:9" ht="24.75" customHeight="1" x14ac:dyDescent="0.25">
      <c r="A39" s="623" t="str">
        <f>INDEX(List_Variances,$H38,2)</f>
        <v/>
      </c>
      <c r="B39" s="624"/>
      <c r="C39" s="624"/>
      <c r="D39" s="624"/>
      <c r="E39" s="624"/>
      <c r="F39" s="624"/>
      <c r="G39" s="625"/>
      <c r="I39" s="50"/>
    </row>
    <row r="40" spans="1:9" ht="15.75" thickBot="1" x14ac:dyDescent="0.3">
      <c r="A40" s="626"/>
      <c r="B40" s="627"/>
      <c r="C40" s="627"/>
      <c r="D40" s="627"/>
      <c r="E40" s="627"/>
      <c r="F40" s="627"/>
      <c r="G40" s="628"/>
      <c r="I40" s="50"/>
    </row>
    <row r="41" spans="1:9" ht="18" customHeight="1" x14ac:dyDescent="0.25">
      <c r="A41" s="117" t="s">
        <v>344</v>
      </c>
      <c r="B41" s="127" t="s">
        <v>107</v>
      </c>
      <c r="C41" s="118"/>
      <c r="D41" s="197"/>
      <c r="E41" s="125" t="str">
        <f>IF(ISBLANK(D41),"",D41-D$14)</f>
        <v/>
      </c>
      <c r="F41" s="197"/>
      <c r="G41" s="126" t="str">
        <f>IF(ISBLANK(F41),"",F41-F$14)</f>
        <v/>
      </c>
      <c r="H41" s="180">
        <v>23</v>
      </c>
      <c r="I41" s="50"/>
    </row>
    <row r="42" spans="1:9" ht="24.75" customHeight="1" x14ac:dyDescent="0.25">
      <c r="A42" s="623" t="str">
        <f>INDEX(List_Variances,$H41,2)</f>
        <v/>
      </c>
      <c r="B42" s="624"/>
      <c r="C42" s="624"/>
      <c r="D42" s="624"/>
      <c r="E42" s="624"/>
      <c r="F42" s="624"/>
      <c r="G42" s="625"/>
      <c r="I42" s="50"/>
    </row>
    <row r="43" spans="1:9" ht="15.75" thickBot="1" x14ac:dyDescent="0.3">
      <c r="A43" s="626"/>
      <c r="B43" s="627"/>
      <c r="C43" s="627"/>
      <c r="D43" s="627"/>
      <c r="E43" s="627"/>
      <c r="F43" s="627"/>
      <c r="G43" s="628"/>
      <c r="I43" s="50"/>
    </row>
    <row r="44" spans="1:9" ht="18" customHeight="1" x14ac:dyDescent="0.25">
      <c r="A44" s="117" t="s">
        <v>345</v>
      </c>
      <c r="B44" s="127" t="s">
        <v>107</v>
      </c>
      <c r="C44" s="118"/>
      <c r="D44" s="197"/>
      <c r="E44" s="125" t="str">
        <f>IF(ISBLANK(D44),"",D44-D$14)</f>
        <v/>
      </c>
      <c r="F44" s="197"/>
      <c r="G44" s="126" t="str">
        <f>IF(ISBLANK(F44),"",F44-F$14)</f>
        <v/>
      </c>
      <c r="H44" s="180">
        <v>23</v>
      </c>
      <c r="I44" s="50"/>
    </row>
    <row r="45" spans="1:9" ht="24.75" customHeight="1" x14ac:dyDescent="0.25">
      <c r="A45" s="623" t="str">
        <f>INDEX(List_Variances,$H44,2)</f>
        <v/>
      </c>
      <c r="B45" s="624"/>
      <c r="C45" s="624"/>
      <c r="D45" s="624"/>
      <c r="E45" s="624"/>
      <c r="F45" s="624"/>
      <c r="G45" s="625"/>
      <c r="I45" s="50"/>
    </row>
    <row r="46" spans="1:9" ht="15.75" thickBot="1" x14ac:dyDescent="0.3">
      <c r="A46" s="626"/>
      <c r="B46" s="627"/>
      <c r="C46" s="627"/>
      <c r="D46" s="627"/>
      <c r="E46" s="627"/>
      <c r="F46" s="627"/>
      <c r="G46" s="628"/>
      <c r="I46" s="50"/>
    </row>
    <row r="47" spans="1:9" x14ac:dyDescent="0.25">
      <c r="A47" s="117" t="s">
        <v>252</v>
      </c>
      <c r="B47" s="127"/>
      <c r="C47" s="110"/>
      <c r="D47" s="197"/>
      <c r="E47" s="125" t="str">
        <f>IF(ISBLANK(D47),"",D47-D$14)</f>
        <v/>
      </c>
      <c r="F47" s="197"/>
      <c r="G47" s="126" t="str">
        <f>IF(ISBLANK(F47),"",F47-F$14)</f>
        <v/>
      </c>
      <c r="I47" s="50"/>
    </row>
    <row r="48" spans="1:9" ht="15.75" thickBot="1" x14ac:dyDescent="0.3">
      <c r="A48" s="186"/>
      <c r="B48" s="113"/>
      <c r="C48" s="113"/>
      <c r="D48" s="113"/>
      <c r="E48" s="113"/>
      <c r="F48" s="113"/>
      <c r="G48" s="114"/>
      <c r="I48" s="50"/>
    </row>
    <row r="49" spans="9:9" x14ac:dyDescent="0.25">
      <c r="I49" s="50"/>
    </row>
    <row r="50" spans="9:9" x14ac:dyDescent="0.25">
      <c r="I50" s="50"/>
    </row>
    <row r="51" spans="9:9" x14ac:dyDescent="0.25">
      <c r="I51" s="50"/>
    </row>
    <row r="52" spans="9:9" x14ac:dyDescent="0.25">
      <c r="I52" s="50"/>
    </row>
    <row r="53" spans="9:9" x14ac:dyDescent="0.25">
      <c r="I53" s="50"/>
    </row>
    <row r="54" spans="9:9" x14ac:dyDescent="0.25">
      <c r="I54" s="50"/>
    </row>
    <row r="55" spans="9:9" x14ac:dyDescent="0.25">
      <c r="I55" s="50"/>
    </row>
    <row r="56" spans="9:9" x14ac:dyDescent="0.25">
      <c r="I56" s="50"/>
    </row>
    <row r="57" spans="9:9" x14ac:dyDescent="0.25">
      <c r="I57" s="50"/>
    </row>
    <row r="58" spans="9:9" x14ac:dyDescent="0.25">
      <c r="I58" s="50"/>
    </row>
    <row r="59" spans="9:9" x14ac:dyDescent="0.25">
      <c r="I59" s="50"/>
    </row>
    <row r="60" spans="9:9" x14ac:dyDescent="0.25">
      <c r="I60" s="50"/>
    </row>
    <row r="61" spans="9:9" x14ac:dyDescent="0.25">
      <c r="I61" s="50"/>
    </row>
    <row r="62" spans="9:9" x14ac:dyDescent="0.25">
      <c r="I62" s="50"/>
    </row>
    <row r="63" spans="9:9" x14ac:dyDescent="0.25">
      <c r="I63" s="50"/>
    </row>
    <row r="64" spans="9:9" x14ac:dyDescent="0.25">
      <c r="I64" s="50"/>
    </row>
    <row r="65" spans="9:9" x14ac:dyDescent="0.25">
      <c r="I65" s="50"/>
    </row>
    <row r="66" spans="9:9" x14ac:dyDescent="0.25">
      <c r="I66" s="50"/>
    </row>
    <row r="67" spans="9:9" x14ac:dyDescent="0.25">
      <c r="I67" s="50"/>
    </row>
    <row r="68" spans="9:9" x14ac:dyDescent="0.25">
      <c r="I68" s="50"/>
    </row>
    <row r="69" spans="9:9" x14ac:dyDescent="0.25">
      <c r="I69" s="50"/>
    </row>
    <row r="70" spans="9:9" x14ac:dyDescent="0.25">
      <c r="I70" s="50"/>
    </row>
    <row r="71" spans="9:9" x14ac:dyDescent="0.25">
      <c r="I71" s="50"/>
    </row>
    <row r="72" spans="9:9" x14ac:dyDescent="0.25">
      <c r="I72" s="50"/>
    </row>
    <row r="73" spans="9:9" x14ac:dyDescent="0.25">
      <c r="I73" s="50"/>
    </row>
    <row r="74" spans="9:9" x14ac:dyDescent="0.25">
      <c r="I74" s="50"/>
    </row>
    <row r="75" spans="9:9" x14ac:dyDescent="0.25">
      <c r="I75" s="50"/>
    </row>
    <row r="76" spans="9:9" x14ac:dyDescent="0.25">
      <c r="I76" s="50"/>
    </row>
    <row r="77" spans="9:9" x14ac:dyDescent="0.25">
      <c r="I77" s="50"/>
    </row>
    <row r="78" spans="9:9" x14ac:dyDescent="0.25">
      <c r="I78" s="50"/>
    </row>
    <row r="79" spans="9:9" x14ac:dyDescent="0.25">
      <c r="I79" s="50"/>
    </row>
    <row r="80" spans="9:9" x14ac:dyDescent="0.25">
      <c r="I80" s="50"/>
    </row>
    <row r="81" spans="9:9" x14ac:dyDescent="0.25">
      <c r="I81" s="50"/>
    </row>
    <row r="82" spans="9:9" x14ac:dyDescent="0.25">
      <c r="I82" s="50"/>
    </row>
    <row r="83" spans="9:9" x14ac:dyDescent="0.25">
      <c r="I83" s="50"/>
    </row>
    <row r="84" spans="9:9" x14ac:dyDescent="0.25">
      <c r="I84" s="50"/>
    </row>
    <row r="85" spans="9:9" x14ac:dyDescent="0.25">
      <c r="I85" s="50"/>
    </row>
    <row r="86" spans="9:9" x14ac:dyDescent="0.25">
      <c r="I86" s="50"/>
    </row>
    <row r="87" spans="9:9" x14ac:dyDescent="0.25">
      <c r="I87" s="50"/>
    </row>
    <row r="88" spans="9:9" x14ac:dyDescent="0.25">
      <c r="I88" s="50"/>
    </row>
    <row r="89" spans="9:9" x14ac:dyDescent="0.25">
      <c r="I89" s="50"/>
    </row>
    <row r="90" spans="9:9" x14ac:dyDescent="0.25">
      <c r="I90" s="50"/>
    </row>
    <row r="91" spans="9:9" x14ac:dyDescent="0.25">
      <c r="I91" s="50"/>
    </row>
    <row r="92" spans="9:9" x14ac:dyDescent="0.25">
      <c r="I92" s="50"/>
    </row>
    <row r="93" spans="9:9" x14ac:dyDescent="0.25">
      <c r="I93" s="50"/>
    </row>
    <row r="94" spans="9:9" x14ac:dyDescent="0.25">
      <c r="I94" s="50"/>
    </row>
    <row r="95" spans="9:9" x14ac:dyDescent="0.25">
      <c r="I95" s="50"/>
    </row>
    <row r="96" spans="9:9" x14ac:dyDescent="0.25">
      <c r="I96" s="50"/>
    </row>
    <row r="97" spans="9:9" x14ac:dyDescent="0.25">
      <c r="I97" s="50"/>
    </row>
    <row r="98" spans="9:9" x14ac:dyDescent="0.25">
      <c r="I98" s="50"/>
    </row>
    <row r="99" spans="9:9" x14ac:dyDescent="0.25">
      <c r="I99" s="50"/>
    </row>
    <row r="100" spans="9:9" x14ac:dyDescent="0.25">
      <c r="I100" s="50"/>
    </row>
    <row r="101" spans="9:9" x14ac:dyDescent="0.25">
      <c r="I101" s="50"/>
    </row>
    <row r="102" spans="9:9" x14ac:dyDescent="0.25">
      <c r="I102" s="50"/>
    </row>
    <row r="103" spans="9:9" x14ac:dyDescent="0.25">
      <c r="I103" s="50"/>
    </row>
    <row r="104" spans="9:9" x14ac:dyDescent="0.25">
      <c r="I104" s="50"/>
    </row>
    <row r="105" spans="9:9" x14ac:dyDescent="0.25">
      <c r="I105" s="50"/>
    </row>
  </sheetData>
  <sheetProtection algorithmName="SHA-512" hashValue="m+RhhGkN7kXvajhQhI5Wl9odkjwiJruv/2RdrbW9iIViLmvI7Zr1q4jPE4sxec96Ha0dbDM6DZ2l2AHkWu/G2A==" saltValue="F+9y0STpVzaPm3jFu5MZpQ=="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00FF"/>
  </sheetPr>
  <dimension ref="A1:Q44"/>
  <sheetViews>
    <sheetView showGridLines="0" view="pageBreakPreview" topLeftCell="A7" zoomScaleNormal="115" zoomScaleSheetLayoutView="100" workbookViewId="0">
      <selection activeCell="E6" sqref="E6:J6"/>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527</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1</v>
      </c>
      <c r="C12" t="s">
        <v>467</v>
      </c>
      <c r="G12" s="70" t="b">
        <v>0</v>
      </c>
      <c r="H12" t="s">
        <v>466</v>
      </c>
    </row>
    <row r="13" spans="1:17" x14ac:dyDescent="0.25">
      <c r="B13" s="70" t="b">
        <v>1</v>
      </c>
      <c r="C13" t="s">
        <v>465</v>
      </c>
      <c r="G13" s="70" t="b">
        <v>0</v>
      </c>
      <c r="H13" t="s">
        <v>473</v>
      </c>
      <c r="I13" s="555"/>
      <c r="J13" s="556"/>
      <c r="K13" s="557"/>
    </row>
    <row r="14" spans="1:17" x14ac:dyDescent="0.25">
      <c r="I14" s="51"/>
      <c r="J14" s="51"/>
      <c r="K14" s="51"/>
    </row>
    <row r="15" spans="1:17" x14ac:dyDescent="0.25">
      <c r="A15" s="1" t="s">
        <v>462</v>
      </c>
    </row>
    <row r="16" spans="1:17" x14ac:dyDescent="0.25">
      <c r="B16" s="70" t="b">
        <v>0</v>
      </c>
      <c r="C16" t="s">
        <v>44</v>
      </c>
      <c r="G16" s="70" t="b">
        <v>0</v>
      </c>
      <c r="H16" t="s">
        <v>40</v>
      </c>
      <c r="L16" s="70" t="b">
        <v>0</v>
      </c>
      <c r="M16" t="s">
        <v>489</v>
      </c>
    </row>
    <row r="17" spans="1:16" x14ac:dyDescent="0.25">
      <c r="B17" s="70" t="b">
        <v>0</v>
      </c>
      <c r="C17" t="s">
        <v>464</v>
      </c>
      <c r="G17" s="70" t="b">
        <v>1</v>
      </c>
      <c r="H17" t="s">
        <v>457</v>
      </c>
      <c r="L17" s="70" t="b">
        <v>0</v>
      </c>
      <c r="M17" t="s">
        <v>463</v>
      </c>
    </row>
    <row r="18" spans="1:16" x14ac:dyDescent="0.25">
      <c r="B18" s="70" t="b">
        <v>0</v>
      </c>
      <c r="C18" t="s">
        <v>473</v>
      </c>
      <c r="D18" s="555"/>
      <c r="E18" s="557"/>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540</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D104FSlebUtnaMv0jxOd5YyLfcrUol/hAlR/Tu4Ibcuf/xDOEnlMbessV/9r2szQJ9yU5QmKxbwgwwYEUXgpjw==" saltValue="zglAalx1GG7UDwHLbibTKA==" spinCount="100000" sheet="1" objects="1" scenarios="1" formatColumns="0" formatRows="0" sort="0"/>
  <mergeCells count="11">
    <mergeCell ref="I31:K31"/>
    <mergeCell ref="M30:P30"/>
    <mergeCell ref="E6:J6"/>
    <mergeCell ref="I13:K13"/>
    <mergeCell ref="N25:O25"/>
    <mergeCell ref="D18:E18"/>
    <mergeCell ref="C35:E35"/>
    <mergeCell ref="M36:N36"/>
    <mergeCell ref="M37:N37"/>
    <mergeCell ref="M40:O40"/>
    <mergeCell ref="H34:J34"/>
  </mergeCells>
  <conditionalFormatting sqref="M40:O40">
    <cfRule type="expression" dxfId="10" priority="2">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4754"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4755"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475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475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475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475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476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476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476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476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4764"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476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476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4768"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4770"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4771"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4772"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4773"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4774"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4775"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4776"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4777"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4778"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477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4780"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4781" r:id="rId30" name="Check Box 29">
              <controlPr locked="0" defaultSize="0" autoFill="0" autoLine="0" autoPict="0" macro="[0]!Sheet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4782" r:id="rId31" name="Check Box 30">
              <controlPr locked="0" defaultSize="0" autoFill="0" autoLine="0" autoPict="0" macro="[0]!Sheet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4783"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4784"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4786" r:id="rId34" name="Check Box 34">
              <controlPr locked="0" defaultSize="0" autoFill="0" autoLine="0" autoPict="0" macro="[0]!Sheet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4787"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529</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1</v>
      </c>
      <c r="C12" t="s">
        <v>467</v>
      </c>
      <c r="G12" s="70" t="b">
        <v>0</v>
      </c>
      <c r="H12" t="s">
        <v>466</v>
      </c>
    </row>
    <row r="13" spans="1:17" x14ac:dyDescent="0.25">
      <c r="B13" s="70" t="b">
        <v>1</v>
      </c>
      <c r="C13" t="s">
        <v>465</v>
      </c>
      <c r="G13" s="70" t="b">
        <v>0</v>
      </c>
      <c r="H13" t="s">
        <v>473</v>
      </c>
      <c r="I13" s="555"/>
      <c r="J13" s="556"/>
      <c r="K13" s="557"/>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1</v>
      </c>
      <c r="C17" t="s">
        <v>457</v>
      </c>
      <c r="G17" s="70" t="b">
        <v>0</v>
      </c>
      <c r="H17" t="s">
        <v>463</v>
      </c>
      <c r="L17" s="70" t="b">
        <v>0</v>
      </c>
      <c r="M17" t="s">
        <v>473</v>
      </c>
      <c r="N17" s="555"/>
      <c r="O17" s="557"/>
    </row>
    <row r="18" spans="1:16" x14ac:dyDescent="0.25">
      <c r="B18" s="70" t="b">
        <v>0</v>
      </c>
      <c r="C18" t="s">
        <v>473</v>
      </c>
      <c r="D18" s="555"/>
      <c r="E18" s="557"/>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539</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FlTOT/e3SgujwVwr+QA1LOO1U79JfG2HBqL0n5yOXjcK/7bk7IDMiNk5+jFQrM29mxZinZ9UFiDA9Jql5jpUwg==" saltValue="h/e/jELn9vs6yOpdqBMaRA==" spinCount="100000" sheet="1" objects="1" scenarios="1" formatColumns="0" formatRows="0" sort="0"/>
  <mergeCells count="12">
    <mergeCell ref="H34:J34"/>
    <mergeCell ref="M36:N36"/>
    <mergeCell ref="M37:N37"/>
    <mergeCell ref="M40:O40"/>
    <mergeCell ref="E6:J6"/>
    <mergeCell ref="I13:K13"/>
    <mergeCell ref="N17:O17"/>
    <mergeCell ref="M30:P30"/>
    <mergeCell ref="I31:K31"/>
    <mergeCell ref="C35:E35"/>
    <mergeCell ref="D18:E18"/>
    <mergeCell ref="N25:O25"/>
  </mergeCells>
  <conditionalFormatting sqref="M40:O40">
    <cfRule type="expression" dxfId="9"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5778"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5779"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578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578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578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578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578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578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578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578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5788"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578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579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5792" r:id="rId18" name="Check Box 16">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5794" r:id="rId19" name="Check Box 18">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5795" r:id="rId20" name="Check Box 19">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5796" r:id="rId21" name="Check Box 20">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5797" r:id="rId22" name="Check Box 21">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5798" r:id="rId23" name="Check Box 22">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5799" r:id="rId24" name="Check Box 23">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5800" r:id="rId25" name="Check Box 24">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5801" r:id="rId26" name="Check Box 25">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5802" r:id="rId27" name="Check Box 26">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580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5804" r:id="rId29" name="Check Box 28">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5805" r:id="rId30" name="Check Box 29">
              <controlPr locked="0" defaultSize="0" autoFill="0" autoLine="0" autoPict="0" macro="[0]!Sheet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5806" r:id="rId31" name="Check Box 30">
              <controlPr locked="0" defaultSize="0" autoFill="0" autoLine="0" autoPict="0" macro="[0]!Sheet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5807" r:id="rId32" name="Check Box 31">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5808" r:id="rId33" name="Check Box 32">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5810" r:id="rId34" name="Check Box 34">
              <controlPr locked="0" defaultSize="0" autoFill="0" autoLine="0" autoPict="0" macro="[0]!Sheet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5811" r:id="rId35" name="Check Box 35">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530</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537</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SlebcGcQV72UNkqiXxyerDsDIaDL2SAyn+mmS2U1Tah37vSfhxmAsW6jo/i71KJJUs5HGravT1EvVf6UroVSbg==" saltValue="p4VorfhbO0GaKXGjRBQeI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8"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68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68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680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68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68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68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68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68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68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681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68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68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68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68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68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68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68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681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682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682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682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682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682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682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682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6827" r:id="rId30" name="Check Box 27">
              <controlPr locked="0" defaultSize="0" autoFill="0" autoLine="0" autoPict="0" macro="[0]!Sheet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6828" r:id="rId31" name="Check Box 28">
              <controlPr locked="0" defaultSize="0" autoFill="0" autoLine="0" autoPict="0" macro="[0]!Sheet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682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683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6831" r:id="rId34" name="Check Box 31">
              <controlPr locked="0" defaultSize="0" autoFill="0" autoLine="0" autoPict="0" macro="[0]!Sheet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683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00FF"/>
  </sheetPr>
  <dimension ref="A1:Q44"/>
  <sheetViews>
    <sheetView showGridLines="0" view="pageBreakPreview" zoomScaleNormal="115" zoomScaleSheetLayoutView="100" workbookViewId="0">
      <selection activeCell="M40" sqref="M40:O40"/>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532</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540</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YQ28woGn1o1COgCZI0fRsb1Z0AGwQL3rG/7lQD6Z5Yg3goz96iUM1fCJ/AeFrqGQwt24QAEBJk65+T+lsDgOgQ==" saltValue="Rh2KNQgNoa67uxyaDTYLPQ=="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7"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78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78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782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78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78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78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78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78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78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783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78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78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78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78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78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78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78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784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784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784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784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784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784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784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785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7851" r:id="rId30" name="Check Box 27">
              <controlPr locked="0" defaultSize="0" autoFill="0" autoLine="0" autoPict="0" macro="[0]!Sheet1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7852" r:id="rId31" name="Check Box 28">
              <controlPr locked="0" defaultSize="0" autoFill="0" autoLine="0" autoPict="0" macro="[0]!Sheet1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785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785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7855" r:id="rId34" name="Check Box 31">
              <controlPr locked="0" defaultSize="0" autoFill="0" autoLine="0" autoPict="0" macro="[0]!Sheet1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785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00FF"/>
  </sheetPr>
  <dimension ref="A1:Q44"/>
  <sheetViews>
    <sheetView showGridLines="0" view="pageBreakPreview" zoomScaleNormal="115" zoomScaleSheetLayoutView="100" workbookViewId="0">
      <selection activeCell="N43" sqref="N43"/>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533</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0</v>
      </c>
      <c r="C12" t="s">
        <v>467</v>
      </c>
      <c r="G12" s="70" t="b">
        <v>1</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x14ac:dyDescent="0.25">
      <c r="A20" s="1" t="s">
        <v>462</v>
      </c>
    </row>
    <row r="21" spans="1:16" x14ac:dyDescent="0.25">
      <c r="B21" s="70" t="b">
        <v>0</v>
      </c>
      <c r="C21" t="s">
        <v>40</v>
      </c>
      <c r="G21" s="70" t="b">
        <v>1</v>
      </c>
      <c r="H21" t="s">
        <v>460</v>
      </c>
    </row>
    <row r="22" spans="1:16"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539</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6ta0gfLXLbQ3uT/3iyBuQKMbynKBYxz/HCJ0O4Lwe4pR5xZRrwWxBczlmXgJOM8rkPOL0qjerM+3pmTXsjJtOg==" saltValue="QIU1CCRrwekTRSTOncrFV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6"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8850"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8851"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885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885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885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885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885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885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885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885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8860"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886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886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886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886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886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886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886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886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886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887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887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887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887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887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8875" r:id="rId30" name="Check Box 27">
              <controlPr locked="0" defaultSize="0" autoFill="0" autoLine="0" autoPict="0" macro="[0]!Sheet1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8876" r:id="rId31" name="Check Box 28">
              <controlPr locked="0" defaultSize="0" autoFill="0" autoLine="0" autoPict="0" macro="[0]!Sheet1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887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887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8879" r:id="rId34" name="Check Box 31">
              <controlPr locked="0" defaultSize="0" autoFill="0" autoLine="0" autoPict="0" macro="[0]!Sheet1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888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534</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1</v>
      </c>
      <c r="C12" t="s">
        <v>467</v>
      </c>
      <c r="G12" s="70" t="b">
        <v>0</v>
      </c>
      <c r="H12" t="s">
        <v>466</v>
      </c>
    </row>
    <row r="13" spans="1:17" x14ac:dyDescent="0.25">
      <c r="B13" s="70" t="b">
        <v>1</v>
      </c>
      <c r="C13" t="s">
        <v>465</v>
      </c>
      <c r="G13" s="70" t="b">
        <v>0</v>
      </c>
      <c r="H13" t="s">
        <v>473</v>
      </c>
      <c r="I13" s="555"/>
      <c r="J13" s="556"/>
      <c r="K13" s="557"/>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55"/>
      <c r="O17" s="557"/>
    </row>
    <row r="18" spans="1:16" x14ac:dyDescent="0.25">
      <c r="B18" s="70" t="b">
        <v>1</v>
      </c>
      <c r="C18" t="s">
        <v>473</v>
      </c>
      <c r="D18" s="555" t="s">
        <v>531</v>
      </c>
      <c r="E18" s="557"/>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537</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3dqsXRvHY/ZO5kdsPYH3s3IJNYG+MskMjeIqc/d39T7Eq70TWsywgfqJuFAOG2PcDXgKNlc6NXUxJFkGjZqk7Q==" saltValue="gDRO2Eh12Ld/OkvoUtsa2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5"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79874"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79875"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79876"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7987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7987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7987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7988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7988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7988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79883"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79884"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7988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7988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7988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7988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7988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7989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79891"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79892"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79893"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79894"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79895"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79896"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79897"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79898"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79899" r:id="rId30" name="Check Box 27">
              <controlPr locked="0" defaultSize="0" autoFill="0" autoLine="0" autoPict="0" macro="[0]!Sheet17.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79900" r:id="rId31" name="Check Box 28">
              <controlPr locked="0" defaultSize="0" autoFill="0" autoLine="0" autoPict="0" macro="[0]!Sheet17.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79901"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79902"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79903" r:id="rId34" name="Check Box 31">
              <controlPr locked="0" defaultSize="0" autoFill="0" autoLine="0" autoPict="0" macro="[0]!Sheet17.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79904"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535</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1</v>
      </c>
      <c r="C12" t="s">
        <v>467</v>
      </c>
      <c r="G12" s="70" t="b">
        <v>0</v>
      </c>
      <c r="H12" t="s">
        <v>466</v>
      </c>
    </row>
    <row r="13" spans="1:17" x14ac:dyDescent="0.25">
      <c r="B13" s="70" t="b">
        <v>1</v>
      </c>
      <c r="C13" t="s">
        <v>465</v>
      </c>
      <c r="G13" s="70" t="b">
        <v>0</v>
      </c>
      <c r="H13" t="s">
        <v>473</v>
      </c>
      <c r="I13" s="555"/>
      <c r="J13" s="556"/>
      <c r="K13" s="557"/>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55"/>
      <c r="O17" s="557"/>
    </row>
    <row r="18" spans="1:16" x14ac:dyDescent="0.25">
      <c r="B18" s="70" t="b">
        <v>1</v>
      </c>
      <c r="C18" t="s">
        <v>473</v>
      </c>
      <c r="D18" s="555" t="s">
        <v>531</v>
      </c>
      <c r="E18" s="557"/>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540</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tdmqK3TwV7P3cIwzLep13YTOZyzXEhM3xBE3SwkN2H+hhGzJzKDG3FTXXXYJR057lQkS1Lgg/f1Nor487lTw==" saltValue="tuVOjCcJo1503+wX6KJAd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4"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0898"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0899"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0900"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090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090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090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090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090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090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0907"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0908"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090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091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091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091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091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091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0915"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0916"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0917"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0918"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0919"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0920"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0921"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0922"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0923" r:id="rId30" name="Check Box 27">
              <controlPr locked="0" defaultSize="0" autoFill="0" autoLine="0" autoPict="0" macro="[0]!Sheet18.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0924" r:id="rId31" name="Check Box 28">
              <controlPr locked="0" defaultSize="0" autoFill="0" autoLine="0" autoPict="0" macro="[0]!Sheet18.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0925"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0926"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0927" r:id="rId34" name="Check Box 31">
              <controlPr locked="0" defaultSize="0" autoFill="0" autoLine="0" autoPict="0" macro="[0]!Sheet18.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0928"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536</v>
      </c>
      <c r="F6" s="556"/>
      <c r="G6" s="556"/>
      <c r="H6" s="556"/>
      <c r="I6" s="556"/>
      <c r="J6" s="557"/>
      <c r="Q6" s="452"/>
    </row>
    <row r="8" spans="1:17" x14ac:dyDescent="0.25">
      <c r="A8" s="1" t="s">
        <v>471</v>
      </c>
    </row>
    <row r="9" spans="1:17" x14ac:dyDescent="0.25">
      <c r="B9" s="70" t="b">
        <v>1</v>
      </c>
      <c r="C9" t="s">
        <v>470</v>
      </c>
      <c r="G9" s="70" t="b">
        <v>0</v>
      </c>
      <c r="H9" t="s">
        <v>469</v>
      </c>
    </row>
    <row r="11" spans="1:17" x14ac:dyDescent="0.25">
      <c r="A11" s="1" t="s">
        <v>468</v>
      </c>
    </row>
    <row r="12" spans="1:17" x14ac:dyDescent="0.25">
      <c r="B12" s="70" t="b">
        <v>1</v>
      </c>
      <c r="C12" t="s">
        <v>467</v>
      </c>
      <c r="G12" s="70" t="b">
        <v>0</v>
      </c>
      <c r="H12" t="s">
        <v>466</v>
      </c>
    </row>
    <row r="13" spans="1:17" x14ac:dyDescent="0.25">
      <c r="B13" s="70" t="b">
        <v>1</v>
      </c>
      <c r="C13" t="s">
        <v>465</v>
      </c>
      <c r="G13" s="70" t="b">
        <v>0</v>
      </c>
      <c r="H13" t="s">
        <v>473</v>
      </c>
      <c r="I13" s="555"/>
      <c r="J13" s="556"/>
      <c r="K13" s="557"/>
    </row>
    <row r="14" spans="1:17" x14ac:dyDescent="0.25">
      <c r="I14" s="51"/>
      <c r="J14" s="51"/>
      <c r="K14" s="51"/>
    </row>
    <row r="15" spans="1:17" x14ac:dyDescent="0.25">
      <c r="A15" s="1" t="s">
        <v>462</v>
      </c>
    </row>
    <row r="16" spans="1:17" x14ac:dyDescent="0.25">
      <c r="B16" s="70" t="b">
        <v>0</v>
      </c>
      <c r="C16" t="s">
        <v>44</v>
      </c>
      <c r="G16" s="70" t="b">
        <v>0</v>
      </c>
      <c r="H16" t="s">
        <v>40</v>
      </c>
      <c r="L16" s="70" t="b">
        <v>0</v>
      </c>
      <c r="M16" t="s">
        <v>464</v>
      </c>
    </row>
    <row r="17" spans="1:16" x14ac:dyDescent="0.25">
      <c r="B17" s="70" t="b">
        <v>0</v>
      </c>
      <c r="C17" t="s">
        <v>457</v>
      </c>
      <c r="G17" s="70" t="b">
        <v>0</v>
      </c>
      <c r="H17" t="s">
        <v>463</v>
      </c>
      <c r="L17" s="70" t="b">
        <v>0</v>
      </c>
      <c r="M17" t="s">
        <v>473</v>
      </c>
      <c r="N17" s="555"/>
      <c r="O17" s="557"/>
    </row>
    <row r="18" spans="1:16" x14ac:dyDescent="0.25">
      <c r="B18" s="70" t="b">
        <v>1</v>
      </c>
      <c r="C18" t="s">
        <v>473</v>
      </c>
      <c r="D18" s="555" t="s">
        <v>531</v>
      </c>
      <c r="E18" s="557"/>
      <c r="G18" s="70"/>
      <c r="L18" s="70"/>
      <c r="N18" s="476"/>
      <c r="O18" s="476"/>
    </row>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555" t="s">
        <v>541</v>
      </c>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539</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HEZfelCzpPW4U5B+DaUrgpTF/jXasDoO7R6HwwloPDf4Ucoqbfp2FnXIS7U0Hy372n6grpRffOO+OSQntFR+lA==" saltValue="zi/rPCrflx9nm7ntiWHINg=="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3"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1922"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1923"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1924"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192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192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192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192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192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193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1931"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1932"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193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193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193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193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193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193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1939"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1940"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1941"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1942"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1943"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1944"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1945"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1946"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1947" r:id="rId30" name="Check Box 27">
              <controlPr locked="0" defaultSize="0" autoFill="0" autoLine="0" autoPict="0" macro="[0]!Sheet19.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1948" r:id="rId31" name="Check Box 28">
              <controlPr locked="0" defaultSize="0" autoFill="0" autoLine="0" autoPict="0" macro="[0]!Sheet19.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1949"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1950"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1951" r:id="rId34" name="Check Box 31">
              <controlPr locked="0" defaultSize="0" autoFill="0" autoLine="0" autoPict="0" macro="[0]!Sheet19.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1952"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00FF"/>
  </sheetPr>
  <dimension ref="A1:Q44"/>
  <sheetViews>
    <sheetView showGridLines="0" view="pageBreakPreview" zoomScaleNormal="115" zoomScaleSheetLayoutView="100" workbookViewId="0">
      <selection activeCell="M36" sqref="M36:N37"/>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555" t="s">
        <v>538</v>
      </c>
      <c r="F6" s="556"/>
      <c r="G6" s="556"/>
      <c r="H6" s="556"/>
      <c r="I6" s="556"/>
      <c r="J6" s="557"/>
      <c r="Q6" s="452"/>
    </row>
    <row r="8" spans="1:17" x14ac:dyDescent="0.25">
      <c r="A8" s="1" t="s">
        <v>471</v>
      </c>
    </row>
    <row r="9" spans="1:17" x14ac:dyDescent="0.25">
      <c r="B9" s="70" t="b">
        <v>0</v>
      </c>
      <c r="C9" t="s">
        <v>470</v>
      </c>
      <c r="G9" s="70" t="b">
        <v>1</v>
      </c>
      <c r="H9" t="s">
        <v>469</v>
      </c>
    </row>
    <row r="11" spans="1:17" x14ac:dyDescent="0.25">
      <c r="A11" s="1" t="s">
        <v>468</v>
      </c>
    </row>
    <row r="12" spans="1:17" x14ac:dyDescent="0.25">
      <c r="B12" s="70" t="b">
        <v>0</v>
      </c>
      <c r="C12" t="s">
        <v>467</v>
      </c>
      <c r="G12" s="70" t="b">
        <v>0</v>
      </c>
      <c r="H12" t="s">
        <v>466</v>
      </c>
    </row>
    <row r="13" spans="1:17" x14ac:dyDescent="0.25">
      <c r="B13" s="70" t="b">
        <v>1</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x14ac:dyDescent="0.25">
      <c r="A24" s="1" t="s">
        <v>461</v>
      </c>
    </row>
    <row r="25" spans="1:16" x14ac:dyDescent="0.25">
      <c r="B25" s="70" t="b">
        <v>1</v>
      </c>
      <c r="C25" t="s">
        <v>459</v>
      </c>
      <c r="G25" s="70" t="b">
        <v>1</v>
      </c>
      <c r="H25" t="s">
        <v>458</v>
      </c>
      <c r="L25" s="70" t="b">
        <v>0</v>
      </c>
      <c r="M25" t="s">
        <v>473</v>
      </c>
      <c r="N25" s="555"/>
      <c r="O25" s="557"/>
    </row>
    <row r="26" spans="1:16"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1</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0</v>
      </c>
      <c r="H31" t="s">
        <v>473</v>
      </c>
      <c r="I31" s="555"/>
      <c r="J31" s="556"/>
      <c r="K31" s="557"/>
    </row>
    <row r="33" spans="1:16" x14ac:dyDescent="0.25">
      <c r="A33" s="1" t="s">
        <v>448</v>
      </c>
    </row>
    <row r="34" spans="1:16" x14ac:dyDescent="0.25">
      <c r="B34" s="70" t="b">
        <v>0</v>
      </c>
      <c r="C34" t="s">
        <v>447</v>
      </c>
      <c r="G34" s="70" t="b">
        <v>0</v>
      </c>
      <c r="H34" s="629" t="s">
        <v>446</v>
      </c>
      <c r="I34" s="629"/>
      <c r="J34" s="629"/>
      <c r="L34" s="70" t="b">
        <v>0</v>
      </c>
      <c r="M34" s="50" t="s">
        <v>445</v>
      </c>
      <c r="N34" s="50"/>
      <c r="O34" s="50"/>
      <c r="P34" s="50"/>
    </row>
    <row r="35" spans="1:16" x14ac:dyDescent="0.25">
      <c r="B35" s="70" t="b">
        <v>1</v>
      </c>
      <c r="C35" s="629" t="s">
        <v>488</v>
      </c>
      <c r="D35" s="629"/>
      <c r="E35" s="629"/>
      <c r="G35" s="70" t="b">
        <v>0</v>
      </c>
      <c r="L35" s="70"/>
      <c r="M35" s="50"/>
      <c r="N35" s="50"/>
      <c r="O35" s="50"/>
      <c r="P35" s="50"/>
    </row>
    <row r="36" spans="1:16" x14ac:dyDescent="0.25">
      <c r="I36" s="51"/>
      <c r="K36" s="449" t="s">
        <v>444</v>
      </c>
      <c r="L36" s="51"/>
      <c r="M36" s="555" t="s">
        <v>542</v>
      </c>
      <c r="N36" s="557"/>
    </row>
    <row r="37" spans="1:16" x14ac:dyDescent="0.25">
      <c r="I37" s="51"/>
      <c r="K37" s="449" t="s">
        <v>443</v>
      </c>
      <c r="L37" s="51"/>
      <c r="M37" s="555" t="s">
        <v>543</v>
      </c>
      <c r="N37" s="557"/>
    </row>
    <row r="38" spans="1:16" x14ac:dyDescent="0.25">
      <c r="I38" s="51"/>
      <c r="K38" s="51"/>
      <c r="L38" s="51"/>
      <c r="M38" s="51"/>
    </row>
    <row r="39" spans="1:16" x14ac:dyDescent="0.25">
      <c r="A39" s="1" t="s">
        <v>442</v>
      </c>
      <c r="N39" s="51"/>
    </row>
    <row r="40" spans="1:16" x14ac:dyDescent="0.25">
      <c r="B40" s="70" t="b">
        <v>1</v>
      </c>
      <c r="C40" t="s">
        <v>441</v>
      </c>
      <c r="G40" s="70" t="b">
        <v>0</v>
      </c>
      <c r="H40" t="s">
        <v>440</v>
      </c>
      <c r="K40" s="449" t="str">
        <f>IF(G40=TRUE,"Name of Outside Firm:","")</f>
        <v/>
      </c>
      <c r="M40" s="555"/>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L+Hfh0ZqK2KcXvLMKep2M5vPwkz7wXssUaKzSdrC5U/MnxSyLh6guqmDFYIXgtNgQ2wjTEC2AsYxqSzRgzbPJw==" saltValue="4Cl+e0t3kS62PuFLNWEucw=="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2"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2946"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2947"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2948"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294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295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295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295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295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295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2955"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2956"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295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295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295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296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296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296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2963"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2964"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2965"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2966"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2967"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2968"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2969"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2970"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2971" r:id="rId30" name="Check Box 27">
              <controlPr locked="0" defaultSize="0" autoFill="0" autoLine="0" autoPict="0" macro="[0]!Sheet20.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2972" r:id="rId31" name="Check Box 28">
              <controlPr locked="0" defaultSize="0" autoFill="0" autoLine="0" autoPict="0" macro="[0]!Sheet20.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2973"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2974"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2975" r:id="rId34" name="Check Box 31">
              <controlPr locked="0" defaultSize="0" autoFill="0" autoLine="0" autoPict="0" macro="[0]!Sheet20.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2976"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00FF"/>
  </sheetPr>
  <dimension ref="A1:Q44"/>
  <sheetViews>
    <sheetView showGridLines="0" view="pageBreakPreview" topLeftCell="A7" zoomScaleNormal="115" zoomScaleSheetLayoutView="100" workbookViewId="0">
      <selection activeCell="M40" sqref="M40:O40"/>
    </sheetView>
  </sheetViews>
  <sheetFormatPr defaultRowHeight="15" x14ac:dyDescent="0.25"/>
  <cols>
    <col min="1" max="1" width="9.140625" customWidth="1"/>
    <col min="2" max="2" width="9.140625" hidden="1" customWidth="1"/>
    <col min="7" max="7" width="9.5703125" hidden="1" customWidth="1"/>
    <col min="12" max="12" width="8.140625" hidden="1" customWidth="1"/>
  </cols>
  <sheetData>
    <row r="1" spans="1:17" x14ac:dyDescent="0.25">
      <c r="A1" s="10" t="s">
        <v>68</v>
      </c>
      <c r="J1" s="159" t="s">
        <v>70</v>
      </c>
      <c r="P1" s="449" t="str">
        <f>Co_Name</f>
        <v>State Farm General Insurance Company</v>
      </c>
    </row>
    <row r="2" spans="1:17" x14ac:dyDescent="0.25">
      <c r="A2" s="10" t="s">
        <v>69</v>
      </c>
      <c r="J2" s="159" t="s">
        <v>71</v>
      </c>
      <c r="P2" s="449" t="str">
        <f>General_Line</f>
        <v>Homeowners</v>
      </c>
    </row>
    <row r="4" spans="1:17" ht="23.25" x14ac:dyDescent="0.35">
      <c r="A4" s="450" t="s">
        <v>474</v>
      </c>
      <c r="B4" s="3"/>
      <c r="C4" s="3"/>
      <c r="D4" s="3"/>
      <c r="E4" s="3"/>
      <c r="F4" s="3"/>
      <c r="G4" s="3"/>
      <c r="H4" s="3"/>
      <c r="I4" s="3"/>
      <c r="J4" s="3"/>
      <c r="K4" s="3"/>
      <c r="L4" s="3"/>
      <c r="M4" s="3"/>
      <c r="N4" s="3"/>
      <c r="O4" s="3"/>
    </row>
    <row r="6" spans="1:17" x14ac:dyDescent="0.25">
      <c r="A6" s="1" t="s">
        <v>472</v>
      </c>
      <c r="E6" s="630" t="s">
        <v>545</v>
      </c>
      <c r="F6" s="556"/>
      <c r="G6" s="556"/>
      <c r="H6" s="556"/>
      <c r="I6" s="556"/>
      <c r="J6" s="557"/>
      <c r="Q6" s="452"/>
    </row>
    <row r="8" spans="1:17" x14ac:dyDescent="0.25">
      <c r="A8" s="1" t="s">
        <v>471</v>
      </c>
    </row>
    <row r="9" spans="1:17" x14ac:dyDescent="0.25">
      <c r="B9" s="70" t="b">
        <v>0</v>
      </c>
      <c r="C9" t="s">
        <v>470</v>
      </c>
      <c r="G9" s="70" t="b">
        <v>1</v>
      </c>
      <c r="H9" t="s">
        <v>469</v>
      </c>
    </row>
    <row r="11" spans="1:17" x14ac:dyDescent="0.25">
      <c r="A11" s="1" t="s">
        <v>468</v>
      </c>
    </row>
    <row r="12" spans="1:17" x14ac:dyDescent="0.25">
      <c r="B12" s="70" t="b">
        <v>1</v>
      </c>
      <c r="C12" t="s">
        <v>467</v>
      </c>
      <c r="G12" s="70" t="b">
        <v>0</v>
      </c>
      <c r="H12" t="s">
        <v>466</v>
      </c>
    </row>
    <row r="13" spans="1:17" x14ac:dyDescent="0.25">
      <c r="B13" s="70" t="b">
        <v>0</v>
      </c>
      <c r="C13" t="s">
        <v>465</v>
      </c>
      <c r="G13" s="70" t="b">
        <v>0</v>
      </c>
      <c r="H13" t="s">
        <v>473</v>
      </c>
      <c r="I13" s="555"/>
      <c r="J13" s="556"/>
      <c r="K13" s="557"/>
    </row>
    <row r="14" spans="1:17" x14ac:dyDescent="0.25">
      <c r="I14" s="51"/>
      <c r="J14" s="51"/>
      <c r="K14" s="51"/>
    </row>
    <row r="15" spans="1:17" hidden="1" x14ac:dyDescent="0.25">
      <c r="A15" s="1" t="s">
        <v>462</v>
      </c>
    </row>
    <row r="16" spans="1:17" hidden="1" x14ac:dyDescent="0.25">
      <c r="B16" s="70" t="b">
        <v>0</v>
      </c>
      <c r="C16" t="s">
        <v>44</v>
      </c>
      <c r="G16" s="70" t="b">
        <v>0</v>
      </c>
      <c r="H16" t="s">
        <v>40</v>
      </c>
      <c r="L16" s="70" t="b">
        <v>0</v>
      </c>
      <c r="M16" t="s">
        <v>464</v>
      </c>
    </row>
    <row r="17" spans="1:16" hidden="1" x14ac:dyDescent="0.25">
      <c r="B17" s="70" t="b">
        <v>0</v>
      </c>
      <c r="C17" t="s">
        <v>457</v>
      </c>
      <c r="G17" s="70" t="b">
        <v>0</v>
      </c>
      <c r="H17" t="s">
        <v>463</v>
      </c>
      <c r="L17" s="70" t="b">
        <v>0</v>
      </c>
      <c r="M17" t="s">
        <v>473</v>
      </c>
      <c r="N17" s="555"/>
      <c r="O17" s="557"/>
    </row>
    <row r="18" spans="1:16" hidden="1" x14ac:dyDescent="0.25">
      <c r="B18" s="70" t="b">
        <v>0</v>
      </c>
      <c r="C18" t="s">
        <v>473</v>
      </c>
      <c r="D18" s="555"/>
      <c r="E18" s="557"/>
      <c r="G18" s="70"/>
      <c r="L18" s="70"/>
      <c r="N18" s="476"/>
      <c r="O18" s="476"/>
    </row>
    <row r="19" spans="1:16" hidden="1" x14ac:dyDescent="0.25"/>
    <row r="20" spans="1:16" hidden="1" x14ac:dyDescent="0.25">
      <c r="A20" s="1" t="s">
        <v>462</v>
      </c>
    </row>
    <row r="21" spans="1:16" hidden="1" x14ac:dyDescent="0.25">
      <c r="B21" s="70" t="b">
        <v>0</v>
      </c>
      <c r="C21" t="s">
        <v>40</v>
      </c>
      <c r="G21" s="70" t="b">
        <v>0</v>
      </c>
      <c r="H21" t="s">
        <v>460</v>
      </c>
    </row>
    <row r="22" spans="1:16" hidden="1" x14ac:dyDescent="0.25">
      <c r="B22" s="70"/>
      <c r="G22" s="70"/>
    </row>
    <row r="23" spans="1:16" hidden="1" x14ac:dyDescent="0.25"/>
    <row r="24" spans="1:16" hidden="1" x14ac:dyDescent="0.25">
      <c r="A24" s="1" t="s">
        <v>461</v>
      </c>
    </row>
    <row r="25" spans="1:16" hidden="1" x14ac:dyDescent="0.25">
      <c r="B25" s="70" t="b">
        <v>0</v>
      </c>
      <c r="C25" t="s">
        <v>459</v>
      </c>
      <c r="G25" s="70" t="b">
        <v>0</v>
      </c>
      <c r="H25" t="s">
        <v>458</v>
      </c>
      <c r="L25" s="70" t="b">
        <v>0</v>
      </c>
      <c r="M25" t="s">
        <v>473</v>
      </c>
      <c r="N25" s="555"/>
      <c r="O25" s="557"/>
    </row>
    <row r="26" spans="1:16" hidden="1" x14ac:dyDescent="0.25">
      <c r="B26" s="70"/>
      <c r="G26" s="70"/>
      <c r="K26" s="51"/>
    </row>
    <row r="27" spans="1:16" hidden="1" x14ac:dyDescent="0.25"/>
    <row r="28" spans="1:16" x14ac:dyDescent="0.25">
      <c r="A28" s="1" t="s">
        <v>456</v>
      </c>
    </row>
    <row r="29" spans="1:16" x14ac:dyDescent="0.25">
      <c r="B29" s="70" t="b">
        <v>0</v>
      </c>
      <c r="C29" t="s">
        <v>455</v>
      </c>
      <c r="G29" s="70" t="b">
        <v>0</v>
      </c>
      <c r="H29" t="s">
        <v>454</v>
      </c>
      <c r="L29" s="70" t="b">
        <v>0</v>
      </c>
      <c r="M29" t="s">
        <v>453</v>
      </c>
    </row>
    <row r="30" spans="1:16" x14ac:dyDescent="0.25">
      <c r="B30" s="70" t="b">
        <v>0</v>
      </c>
      <c r="C30" t="s">
        <v>452</v>
      </c>
      <c r="G30" s="70" t="b">
        <v>0</v>
      </c>
      <c r="H30" t="s">
        <v>451</v>
      </c>
      <c r="L30" s="70" t="b">
        <v>0</v>
      </c>
      <c r="M30" s="629" t="s">
        <v>450</v>
      </c>
      <c r="N30" s="629"/>
      <c r="O30" s="629"/>
      <c r="P30" s="629"/>
    </row>
    <row r="31" spans="1:16" x14ac:dyDescent="0.25">
      <c r="B31" s="70" t="b">
        <v>0</v>
      </c>
      <c r="C31" t="s">
        <v>449</v>
      </c>
      <c r="G31" s="70" t="b">
        <v>1</v>
      </c>
      <c r="H31" t="s">
        <v>473</v>
      </c>
      <c r="I31" s="630" t="s">
        <v>546</v>
      </c>
      <c r="J31" s="556"/>
      <c r="K31" s="557"/>
    </row>
    <row r="33" spans="1:16" x14ac:dyDescent="0.25">
      <c r="A33" s="1" t="s">
        <v>448</v>
      </c>
    </row>
    <row r="34" spans="1:16" x14ac:dyDescent="0.25">
      <c r="B34" s="70" t="b">
        <v>0</v>
      </c>
      <c r="C34" t="s">
        <v>447</v>
      </c>
      <c r="G34" s="70" t="b">
        <v>0</v>
      </c>
      <c r="H34" s="629" t="s">
        <v>446</v>
      </c>
      <c r="I34" s="629"/>
      <c r="J34" s="629"/>
      <c r="L34" s="70" t="b">
        <v>1</v>
      </c>
      <c r="M34" s="50" t="s">
        <v>445</v>
      </c>
      <c r="N34" s="50"/>
      <c r="O34" s="50"/>
      <c r="P34" s="50"/>
    </row>
    <row r="35" spans="1:16" x14ac:dyDescent="0.25">
      <c r="B35" s="70" t="b">
        <v>0</v>
      </c>
      <c r="C35" s="629" t="s">
        <v>488</v>
      </c>
      <c r="D35" s="629"/>
      <c r="E35" s="629"/>
      <c r="G35" s="70" t="b">
        <v>0</v>
      </c>
      <c r="L35" s="70"/>
      <c r="M35" s="50"/>
      <c r="N35" s="50"/>
      <c r="O35" s="50"/>
      <c r="P35" s="50"/>
    </row>
    <row r="36" spans="1:16" x14ac:dyDescent="0.25">
      <c r="I36" s="51"/>
      <c r="K36" s="449" t="s">
        <v>444</v>
      </c>
      <c r="L36" s="51"/>
      <c r="M36" s="555" t="s">
        <v>528</v>
      </c>
      <c r="N36" s="557"/>
    </row>
    <row r="37" spans="1:16" x14ac:dyDescent="0.25">
      <c r="I37" s="51"/>
      <c r="K37" s="449" t="s">
        <v>443</v>
      </c>
      <c r="L37" s="51"/>
      <c r="M37" s="555" t="s">
        <v>528</v>
      </c>
      <c r="N37" s="557"/>
    </row>
    <row r="38" spans="1:16" x14ac:dyDescent="0.25">
      <c r="I38" s="51"/>
      <c r="K38" s="51"/>
      <c r="L38" s="51"/>
      <c r="M38" s="51"/>
    </row>
    <row r="39" spans="1:16" x14ac:dyDescent="0.25">
      <c r="A39" s="1" t="s">
        <v>442</v>
      </c>
      <c r="N39" s="51"/>
    </row>
    <row r="40" spans="1:16" x14ac:dyDescent="0.25">
      <c r="B40" s="70" t="b">
        <v>0</v>
      </c>
      <c r="C40" t="s">
        <v>441</v>
      </c>
      <c r="G40" s="70" t="b">
        <v>1</v>
      </c>
      <c r="H40" t="s">
        <v>440</v>
      </c>
      <c r="K40" s="449" t="str">
        <f>IF(G40=TRUE,"Name of Outside Firm:","")</f>
        <v>Name of Outside Firm:</v>
      </c>
      <c r="M40" s="555" t="s">
        <v>540</v>
      </c>
      <c r="N40" s="556"/>
      <c r="O40" s="557"/>
    </row>
    <row r="41" spans="1:16" x14ac:dyDescent="0.25">
      <c r="N41" s="51"/>
    </row>
    <row r="43" spans="1:16" ht="15.75" x14ac:dyDescent="0.25">
      <c r="A43" s="50"/>
      <c r="B43" s="50"/>
      <c r="C43" s="50"/>
      <c r="D43" s="50"/>
      <c r="E43" s="50"/>
      <c r="H43" s="451" t="s">
        <v>475</v>
      </c>
      <c r="I43" s="453" t="e">
        <f>'4.Proposed Impact'!D6</f>
        <v>#DIV/0!</v>
      </c>
    </row>
    <row r="44" spans="1:16" x14ac:dyDescent="0.25">
      <c r="H44" s="451" t="s">
        <v>486</v>
      </c>
      <c r="I44" s="200" t="s">
        <v>528</v>
      </c>
    </row>
  </sheetData>
  <sheetProtection algorithmName="SHA-512" hashValue="y9LOLrXh2AqOq6Ij2x2pBbCcPYlObw07P+YWrOUjdIizXevU82zaak2hA8weszTQ/HImb0B3x0AekzDgutaVhg==" saltValue="PsLnDUGHE2Dh1ceLe3j5NA==" spinCount="100000" sheet="1" objects="1" scenarios="1" formatColumns="0" formatRows="0" sort="0"/>
  <mergeCells count="12">
    <mergeCell ref="M40:O40"/>
    <mergeCell ref="E6:J6"/>
    <mergeCell ref="I13:K13"/>
    <mergeCell ref="N17:O17"/>
    <mergeCell ref="D18:E18"/>
    <mergeCell ref="N25:O25"/>
    <mergeCell ref="M30:P30"/>
    <mergeCell ref="I31:K31"/>
    <mergeCell ref="H34:J34"/>
    <mergeCell ref="C35:E35"/>
    <mergeCell ref="M36:N36"/>
    <mergeCell ref="M37:N37"/>
  </mergeCells>
  <conditionalFormatting sqref="M40:O40">
    <cfRule type="expression" dxfId="0" priority="1">
      <formula>NOT(G40)</formula>
    </cfRule>
  </conditionalFormatting>
  <pageMargins left="0.7" right="0.7" top="0.75" bottom="0.75" header="0.3" footer="0.05"/>
  <pageSetup scale="71" orientation="portrait" horizontalDpi="90" verticalDpi="90" r:id="rId1"/>
  <headerFooter>
    <oddFooter>&amp;L1/11/2022 Edition
&amp;CPortions of the material contained in this document are protected by copyright owned by the State Farm Mutual Automobile Insurance Company, 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83970"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83971"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83972" r:id="rId7" name="Check Box 4">
              <controlPr locked="0" defaultSize="0" autoFill="0" autoLine="0" autoPict="0"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8397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8397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8397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8397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8397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8397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83979" r:id="rId14" name="Check Box 11">
              <controlPr locked="0" defaultSize="0" autoFill="0" autoLine="0" autoPict="0"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83980"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8398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8398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8398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8398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8398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8398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83987" r:id="rId22" name="Check Box 19">
              <controlPr locked="0" defaultSize="0" autoFill="0" autoLine="0" autoPict="0" altText="Logistic Regression">
                <anchor moveWithCells="1" sizeWithCells="1">
                  <from>
                    <xdr:col>0</xdr:col>
                    <xdr:colOff>400050</xdr:colOff>
                    <xdr:row>29</xdr:row>
                    <xdr:rowOff>19050</xdr:rowOff>
                  </from>
                  <to>
                    <xdr:col>0</xdr:col>
                    <xdr:colOff>581025</xdr:colOff>
                    <xdr:row>29</xdr:row>
                    <xdr:rowOff>180975</xdr:rowOff>
                  </to>
                </anchor>
              </controlPr>
            </control>
          </mc:Choice>
        </mc:AlternateContent>
        <mc:AlternateContent xmlns:mc="http://schemas.openxmlformats.org/markup-compatibility/2006">
          <mc:Choice Requires="x14">
            <control shapeId="83988" r:id="rId23" name="Check Box 20">
              <controlPr locked="0" defaultSize="0" autoFill="0" autoLine="0" autoPict="0" altText="Neural Network">
                <anchor moveWithCells="1" sizeWithCells="1">
                  <from>
                    <xdr:col>0</xdr:col>
                    <xdr:colOff>400050</xdr:colOff>
                    <xdr:row>30</xdr:row>
                    <xdr:rowOff>19050</xdr:rowOff>
                  </from>
                  <to>
                    <xdr:col>0</xdr:col>
                    <xdr:colOff>581025</xdr:colOff>
                    <xdr:row>30</xdr:row>
                    <xdr:rowOff>180975</xdr:rowOff>
                  </to>
                </anchor>
              </controlPr>
            </control>
          </mc:Choice>
        </mc:AlternateContent>
        <mc:AlternateContent xmlns:mc="http://schemas.openxmlformats.org/markup-compatibility/2006">
          <mc:Choice Requires="x14">
            <control shapeId="83989" r:id="rId24"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83990" r:id="rId25" name="Check Box 22">
              <controlPr locked="0" defaultSize="0" autoFill="0" autoLine="0" autoPict="0" altText="Machine Learning">
                <anchor moveWithCells="1" sizeWithCells="1">
                  <from>
                    <xdr:col>5</xdr:col>
                    <xdr:colOff>400050</xdr:colOff>
                    <xdr:row>29</xdr:row>
                    <xdr:rowOff>19050</xdr:rowOff>
                  </from>
                  <to>
                    <xdr:col>5</xdr:col>
                    <xdr:colOff>581025</xdr:colOff>
                    <xdr:row>29</xdr:row>
                    <xdr:rowOff>180975</xdr:rowOff>
                  </to>
                </anchor>
              </controlPr>
            </control>
          </mc:Choice>
        </mc:AlternateContent>
        <mc:AlternateContent xmlns:mc="http://schemas.openxmlformats.org/markup-compatibility/2006">
          <mc:Choice Requires="x14">
            <control shapeId="83991" r:id="rId26" name="Check Box 23">
              <controlPr locked="0" defaultSize="0" autoFill="0" autoLine="0" autoPict="0">
                <anchor moveWithCells="1" sizeWithCells="1">
                  <from>
                    <xdr:col>5</xdr:col>
                    <xdr:colOff>400050</xdr:colOff>
                    <xdr:row>30</xdr:row>
                    <xdr:rowOff>19050</xdr:rowOff>
                  </from>
                  <to>
                    <xdr:col>5</xdr:col>
                    <xdr:colOff>581025</xdr:colOff>
                    <xdr:row>30</xdr:row>
                    <xdr:rowOff>180975</xdr:rowOff>
                  </to>
                </anchor>
              </controlPr>
            </control>
          </mc:Choice>
        </mc:AlternateContent>
        <mc:AlternateContent xmlns:mc="http://schemas.openxmlformats.org/markup-compatibility/2006">
          <mc:Choice Requires="x14">
            <control shapeId="83992" r:id="rId27"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83993" r:id="rId28" name="Check Box 27">
              <controlPr locked="0" defaultSize="0" autoFill="0" autoLine="0" autoPict="0" altText="Multivariate Adaptive Regression Splines">
                <anchor moveWithCells="1" sizeWithCells="1">
                  <from>
                    <xdr:col>10</xdr:col>
                    <xdr:colOff>400050</xdr:colOff>
                    <xdr:row>29</xdr:row>
                    <xdr:rowOff>19050</xdr:rowOff>
                  </from>
                  <to>
                    <xdr:col>10</xdr:col>
                    <xdr:colOff>581025</xdr:colOff>
                    <xdr:row>29</xdr:row>
                    <xdr:rowOff>180975</xdr:rowOff>
                  </to>
                </anchor>
              </controlPr>
            </control>
          </mc:Choice>
        </mc:AlternateContent>
        <mc:AlternateContent xmlns:mc="http://schemas.openxmlformats.org/markup-compatibility/2006">
          <mc:Choice Requires="x14">
            <control shapeId="83994" r:id="rId29" name="Check Box 26">
              <controlPr locked="0" defaultSize="0" autoFill="0" autoLine="0" autoPict="0" altText="New/Initial">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83995" r:id="rId30" name="Check Box 27">
              <controlPr locked="0" defaultSize="0" autoFill="0" autoLine="0" autoPict="0" macro="[0]!Sheet21.Model_CheckBox_Click" altText="Revision to Existing Model">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83996" r:id="rId31" name="Check Box 28">
              <controlPr locked="0" defaultSize="0" autoFill="0" autoLine="0" autoPict="0" macro="[0]!Sheet21.Model_CheckBox_Click" altText="Refresh of Data to Existing Model">
                <anchor moveWithCells="1" sizeWithCells="1">
                  <from>
                    <xdr:col>10</xdr:col>
                    <xdr:colOff>400050</xdr:colOff>
                    <xdr:row>33</xdr:row>
                    <xdr:rowOff>19050</xdr:rowOff>
                  </from>
                  <to>
                    <xdr:col>10</xdr:col>
                    <xdr:colOff>581025</xdr:colOff>
                    <xdr:row>33</xdr:row>
                    <xdr:rowOff>180975</xdr:rowOff>
                  </to>
                </anchor>
              </controlPr>
            </control>
          </mc:Choice>
        </mc:AlternateContent>
        <mc:AlternateContent xmlns:mc="http://schemas.openxmlformats.org/markup-compatibility/2006">
          <mc:Choice Requires="x14">
            <control shapeId="83997" r:id="rId32" name="Check Box 29">
              <controlPr locked="0" defaultSize="0" autoFill="0" autoLine="0" autoPict="0" altText="Company Developed (&quot;In-House&quot;)">
                <anchor moveWithCells="1" sizeWithCells="1">
                  <from>
                    <xdr:col>0</xdr:col>
                    <xdr:colOff>400050</xdr:colOff>
                    <xdr:row>39</xdr:row>
                    <xdr:rowOff>19050</xdr:rowOff>
                  </from>
                  <to>
                    <xdr:col>0</xdr:col>
                    <xdr:colOff>581025</xdr:colOff>
                    <xdr:row>39</xdr:row>
                    <xdr:rowOff>180975</xdr:rowOff>
                  </to>
                </anchor>
              </controlPr>
            </control>
          </mc:Choice>
        </mc:AlternateContent>
        <mc:AlternateContent xmlns:mc="http://schemas.openxmlformats.org/markup-compatibility/2006">
          <mc:Choice Requires="x14">
            <control shapeId="83998" r:id="rId33" name="Check Box 30">
              <controlPr locked="0" defaultSize="0" autoFill="0" autoLine="0" autoPict="0" altText="Outside Firm">
                <anchor moveWithCells="1" sizeWithCells="1">
                  <from>
                    <xdr:col>5</xdr:col>
                    <xdr:colOff>400050</xdr:colOff>
                    <xdr:row>39</xdr:row>
                    <xdr:rowOff>19050</xdr:rowOff>
                  </from>
                  <to>
                    <xdr:col>5</xdr:col>
                    <xdr:colOff>581025</xdr:colOff>
                    <xdr:row>39</xdr:row>
                    <xdr:rowOff>180975</xdr:rowOff>
                  </to>
                </anchor>
              </controlPr>
            </control>
          </mc:Choice>
        </mc:AlternateContent>
        <mc:AlternateContent xmlns:mc="http://schemas.openxmlformats.org/markup-compatibility/2006">
          <mc:Choice Requires="x14">
            <control shapeId="83999" r:id="rId34" name="Check Box 31">
              <controlPr locked="0" defaultSize="0" autoFill="0" autoLine="0" autoPict="0" macro="[0]!Sheet21.Model_CheckBox_Click" altText="No Revision to Existing Model">
                <anchor moveWithCells="1" sizeWithCells="1">
                  <from>
                    <xdr:col>0</xdr:col>
                    <xdr:colOff>400050</xdr:colOff>
                    <xdr:row>34</xdr:row>
                    <xdr:rowOff>19050</xdr:rowOff>
                  </from>
                  <to>
                    <xdr:col>0</xdr:col>
                    <xdr:colOff>581025</xdr:colOff>
                    <xdr:row>34</xdr:row>
                    <xdr:rowOff>180975</xdr:rowOff>
                  </to>
                </anchor>
              </controlPr>
            </control>
          </mc:Choice>
        </mc:AlternateContent>
        <mc:AlternateContent xmlns:mc="http://schemas.openxmlformats.org/markup-compatibility/2006">
          <mc:Choice Requires="x14">
            <control shapeId="84000" r:id="rId35"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118</vt:i4>
      </vt:variant>
    </vt:vector>
  </HeadingPairs>
  <TitlesOfParts>
    <vt:vector size="140" baseType="lpstr">
      <vt:lpstr>Instructions</vt:lpstr>
      <vt:lpstr>1.General</vt:lpstr>
      <vt:lpstr>2.Group</vt:lpstr>
      <vt:lpstr>3.Filing Type and Checklist</vt:lpstr>
      <vt:lpstr>4.Proposed Impact</vt:lpstr>
      <vt:lpstr>5.Reconciliation</vt:lpstr>
      <vt:lpstr>6.Program Detail</vt:lpstr>
      <vt:lpstr>7.Statutory Data</vt:lpstr>
      <vt:lpstr>8.Miscellaneous Fees</vt:lpstr>
      <vt:lpstr>9.Forms</vt:lpstr>
      <vt:lpstr>10.Rules</vt:lpstr>
      <vt:lpstr>11.Variance Request</vt:lpstr>
      <vt:lpstr>12.1Model Disclosure</vt:lpstr>
      <vt:lpstr>12.2Model Disclosure</vt:lpstr>
      <vt:lpstr>12.3Model Disclosure</vt:lpstr>
      <vt:lpstr>12.4Model Disclosure</vt:lpstr>
      <vt:lpstr>12.5Model Disclosure</vt:lpstr>
      <vt:lpstr>12.6Model Disclosure</vt:lpstr>
      <vt:lpstr>12.7Model Disclosure</vt:lpstr>
      <vt:lpstr>12.8Model Disclosure</vt:lpstr>
      <vt:lpstr>12.9Model Disclosure</vt:lpstr>
      <vt:lpstr>12.10Model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vector>
  </TitlesOfParts>
  <Company>California Department of Insurance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Emily Gaertner</cp:lastModifiedBy>
  <cp:lastPrinted>2022-02-03T21:08:20Z</cp:lastPrinted>
  <dcterms:created xsi:type="dcterms:W3CDTF">2014-04-24T17:59:28Z</dcterms:created>
  <dcterms:modified xsi:type="dcterms:W3CDTF">2022-02-03T21:08:40Z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2022-01-26T13:10:27Z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3bf6e57e-c8b2-49f5-ab19-be8850023304</vt:lpwstr>
  </property>
  <property fmtid="{D5CDD505-2E9C-101B-9397-08002B2CF9AE}" pid="8" name="MSIP_Label_261ecbe3-7ba9-4124-b9d7-ffd820687beb_ContentBits">
    <vt:lpwstr>0</vt:lpwstr>
  </property>
</Properties>
</file>