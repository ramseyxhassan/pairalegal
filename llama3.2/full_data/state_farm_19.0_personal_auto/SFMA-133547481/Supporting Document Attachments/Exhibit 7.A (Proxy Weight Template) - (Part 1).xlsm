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W:\P-C ACTUARIAL\AUTO\STATE FILES\California\REVISIONS\2020\1-1-2020 PP Symbol Filing\Exhibits\from previous filing\"/>
    </mc:Choice>
  </mc:AlternateContent>
  <bookViews>
    <workbookView xWindow="0" yWindow="2520" windowWidth="12000" windowHeight="5240" tabRatio="835"/>
  </bookViews>
  <sheets>
    <sheet name="cover page" sheetId="100" r:id="rId1"/>
    <sheet name="RatingFactors- BIPD" sheetId="99" r:id="rId2"/>
    <sheet name="RatingFactors- MPC" sheetId="98" r:id="rId3"/>
    <sheet name="BIPD Driving Safety Record" sheetId="40" r:id="rId4"/>
    <sheet name="BIPD Annual Mileage" sheetId="45" r:id="rId5"/>
    <sheet name="BIPD Usage" sheetId="46" r:id="rId6"/>
    <sheet name="BIPD Percent Use" sheetId="47" r:id="rId7"/>
    <sheet name="BIPD Multi-Car" sheetId="48" r:id="rId8"/>
    <sheet name="BIPD Multi-Line" sheetId="49" r:id="rId9"/>
    <sheet name="BIPD Loyalty" sheetId="50" r:id="rId10"/>
    <sheet name="BIPD IDSED" sheetId="51" r:id="rId11"/>
    <sheet name="BIPD Mature Driving" sheetId="52" r:id="rId12"/>
    <sheet name="BIPD LRG" sheetId="53" r:id="rId13"/>
    <sheet name="BIPD Frequency" sheetId="54" r:id="rId14"/>
    <sheet name="BIPD Severity" sheetId="55" r:id="rId15"/>
    <sheet name="MPC Driving Safety Record" sheetId="43" r:id="rId16"/>
    <sheet name="MPC Mileage" sheetId="76" r:id="rId17"/>
    <sheet name="MPC Usage" sheetId="77" r:id="rId18"/>
    <sheet name="MPC Percent Use" sheetId="78" r:id="rId19"/>
    <sheet name="MPC Multi-Car" sheetId="79" r:id="rId20"/>
    <sheet name="MPC Multi-Line" sheetId="80" r:id="rId21"/>
    <sheet name="MPC Loyalty" sheetId="81" r:id="rId22"/>
    <sheet name="MPC IDSED" sheetId="82" r:id="rId23"/>
    <sheet name="MPC Mature Driving" sheetId="83" r:id="rId24"/>
    <sheet name="MPC VSD" sheetId="84" r:id="rId25"/>
    <sheet name="MPC Frequency" sheetId="86" r:id="rId26"/>
    <sheet name="MPC Severity" sheetId="85" r:id="rId27"/>
  </sheets>
  <definedNames>
    <definedName name="_xlnm._FilterDatabase" localSheetId="1" hidden="1">'RatingFactors- BIPD'!$A$10:$I$13</definedName>
    <definedName name="_xlnm._FilterDatabase" localSheetId="2" hidden="1">'RatingFactors- MPC'!$A$10:$I$13</definedName>
    <definedName name="ExternalData1" localSheetId="1">'RatingFactors- BIPD'!$J$10:$N$10</definedName>
    <definedName name="ExternalData1" localSheetId="2">'RatingFactors- MPC'!$J$10:$N$10</definedName>
    <definedName name="ExternalData3" localSheetId="1">'RatingFactors- BIPD'!$L$8:$P$10</definedName>
    <definedName name="ExternalData3" localSheetId="2">'RatingFactors- MPC'!$L$8:$P$10</definedName>
    <definedName name="_xlnm.Print_Area" localSheetId="4">'BIPD Annual Mileage'!$A$8:$J$52</definedName>
    <definedName name="_xlnm.Print_Area" localSheetId="3">'BIPD Driving Safety Record'!$A$8:$J$86</definedName>
    <definedName name="_xlnm.Print_Area" localSheetId="13">'BIPD Frequency'!$A$8:$J$64</definedName>
    <definedName name="_xlnm.Print_Area" localSheetId="10">'BIPD IDSED'!$A$8:$J$64</definedName>
    <definedName name="_xlnm.Print_Area" localSheetId="9">'BIPD Loyalty'!$A$8:$J$64</definedName>
    <definedName name="_xlnm.Print_Area" localSheetId="12">'BIPD LRG'!$A$8:$J$64</definedName>
    <definedName name="_xlnm.Print_Area" localSheetId="11">'BIPD Mature Driving'!$A$8:$J$64</definedName>
    <definedName name="_xlnm.Print_Area" localSheetId="7">'BIPD Multi-Car'!$A$8:$J$64</definedName>
    <definedName name="_xlnm.Print_Area" localSheetId="8">'BIPD Multi-Line'!$A$8:$J$64</definedName>
    <definedName name="_xlnm.Print_Area" localSheetId="6">'BIPD Percent Use'!$A$8:$J$64</definedName>
    <definedName name="_xlnm.Print_Area" localSheetId="14">'BIPD Severity'!$A$8:$J$64</definedName>
    <definedName name="_xlnm.Print_Area" localSheetId="5">'BIPD Usage'!$A$8:$J$64</definedName>
    <definedName name="_xlnm.Print_Area" localSheetId="15">'MPC Driving Safety Record'!$A$8:$J$86</definedName>
    <definedName name="_xlnm.Print_Area" localSheetId="25">'MPC Frequency'!$A$8:$J$64</definedName>
    <definedName name="_xlnm.Print_Area" localSheetId="22">'MPC IDSED'!$A$8:$J$64</definedName>
    <definedName name="_xlnm.Print_Area" localSheetId="21">'MPC Loyalty'!$A$8:$J$64</definedName>
    <definedName name="_xlnm.Print_Area" localSheetId="23">'MPC Mature Driving'!$A$8:$J$64</definedName>
    <definedName name="_xlnm.Print_Area" localSheetId="16">'MPC Mileage'!$A$8:$J$64</definedName>
    <definedName name="_xlnm.Print_Area" localSheetId="19">'MPC Multi-Car'!$A$8:$J$64</definedName>
    <definedName name="_xlnm.Print_Area" localSheetId="20">'MPC Multi-Line'!$A$8:$J$64</definedName>
    <definedName name="_xlnm.Print_Area" localSheetId="18">'MPC Percent Use'!$A$8:$J$64</definedName>
    <definedName name="_xlnm.Print_Area" localSheetId="26">'MPC Severity'!$A$8:$J$64</definedName>
    <definedName name="_xlnm.Print_Area" localSheetId="17">'MPC Usage'!$A$8:$J$64</definedName>
    <definedName name="_xlnm.Print_Area" localSheetId="24">'MPC VSD'!$A$8:$J$64</definedName>
    <definedName name="_xlnm.Print_Area" localSheetId="1">'RatingFactors- BIPD'!$A$7:$Q$38</definedName>
    <definedName name="_xlnm.Print_Area" localSheetId="2">'RatingFactors- MPC'!$A$7:$Q$38</definedName>
    <definedName name="_xlnm.Print_Titles" localSheetId="1">'RatingFactors- BIPD'!$8:$14</definedName>
    <definedName name="_xlnm.Print_Titles" localSheetId="2">'RatingFactors- MPC'!$8:$14</definedName>
  </definedNames>
  <calcPr calcId="152511" fullCalcOnLoad="1"/>
</workbook>
</file>

<file path=xl/calcChain.xml><?xml version="1.0" encoding="utf-8"?>
<calcChain xmlns="http://schemas.openxmlformats.org/spreadsheetml/2006/main">
  <c r="I33" i="98" l="1"/>
  <c r="I31" i="98"/>
  <c r="I28" i="98"/>
  <c r="I24" i="98"/>
  <c r="I23" i="98"/>
  <c r="I21" i="98"/>
  <c r="I19" i="98"/>
  <c r="I24" i="99"/>
  <c r="I31" i="99"/>
  <c r="I28" i="99"/>
  <c r="I23" i="99"/>
  <c r="I21" i="99"/>
  <c r="I19" i="99"/>
  <c r="E18" i="99"/>
  <c r="I13" i="99"/>
  <c r="I13" i="98"/>
  <c r="F412" i="86"/>
  <c r="F411" i="86"/>
  <c r="I410" i="86"/>
  <c r="F410" i="86"/>
  <c r="F409" i="86"/>
  <c r="H408" i="86"/>
  <c r="F408" i="86"/>
  <c r="F407" i="86"/>
  <c r="F406" i="86"/>
  <c r="F405" i="86"/>
  <c r="H405" i="86"/>
  <c r="F404" i="86"/>
  <c r="H403" i="86"/>
  <c r="F403" i="86"/>
  <c r="I403" i="86"/>
  <c r="F402" i="86"/>
  <c r="F401" i="86"/>
  <c r="I400" i="86"/>
  <c r="G400" i="86"/>
  <c r="F400" i="86"/>
  <c r="J400" i="86"/>
  <c r="I399" i="86"/>
  <c r="F399" i="86"/>
  <c r="I398" i="86"/>
  <c r="F398" i="86"/>
  <c r="G398" i="86"/>
  <c r="F397" i="86"/>
  <c r="I396" i="86"/>
  <c r="G396" i="86"/>
  <c r="F396" i="86"/>
  <c r="J396" i="86"/>
  <c r="F395" i="86"/>
  <c r="F394" i="86"/>
  <c r="I394" i="86"/>
  <c r="H393" i="86"/>
  <c r="G393" i="86"/>
  <c r="F393" i="86"/>
  <c r="I392" i="86"/>
  <c r="H392" i="86"/>
  <c r="G392" i="86"/>
  <c r="F392" i="86"/>
  <c r="J392" i="86"/>
  <c r="F391" i="86"/>
  <c r="F390" i="86"/>
  <c r="H389" i="86"/>
  <c r="F389" i="86"/>
  <c r="I388" i="86"/>
  <c r="H388" i="86"/>
  <c r="G388" i="86"/>
  <c r="F388" i="86"/>
  <c r="J388" i="86"/>
  <c r="I387" i="86"/>
  <c r="F387" i="86"/>
  <c r="H387" i="86"/>
  <c r="F386" i="86"/>
  <c r="F385" i="86"/>
  <c r="H384" i="86"/>
  <c r="F384" i="86"/>
  <c r="F383" i="86"/>
  <c r="I383" i="86"/>
  <c r="G382" i="86"/>
  <c r="F382" i="86"/>
  <c r="I382" i="86"/>
  <c r="F381" i="86"/>
  <c r="F380" i="86"/>
  <c r="F379" i="86"/>
  <c r="I378" i="86"/>
  <c r="F378" i="86"/>
  <c r="F377" i="86"/>
  <c r="H376" i="86"/>
  <c r="F376" i="86"/>
  <c r="F375" i="86"/>
  <c r="F374" i="86"/>
  <c r="F373" i="86"/>
  <c r="H373" i="86"/>
  <c r="F372" i="86"/>
  <c r="I371" i="86"/>
  <c r="H371" i="86"/>
  <c r="F371" i="86"/>
  <c r="F370" i="86"/>
  <c r="F369" i="86"/>
  <c r="I368" i="86"/>
  <c r="G368" i="86"/>
  <c r="F368" i="86"/>
  <c r="J368" i="86"/>
  <c r="I367" i="86"/>
  <c r="F367" i="86"/>
  <c r="F366" i="86"/>
  <c r="G366" i="86"/>
  <c r="F365" i="86"/>
  <c r="I364" i="86"/>
  <c r="H364" i="86"/>
  <c r="G364" i="86"/>
  <c r="F364" i="86"/>
  <c r="J364" i="86"/>
  <c r="F363" i="86"/>
  <c r="F362" i="86"/>
  <c r="I362" i="86"/>
  <c r="G361" i="86"/>
  <c r="F361" i="86"/>
  <c r="H361" i="86"/>
  <c r="I360" i="86"/>
  <c r="G360" i="86"/>
  <c r="F360" i="86"/>
  <c r="J360" i="86"/>
  <c r="I359" i="86"/>
  <c r="F359" i="86"/>
  <c r="H359" i="86"/>
  <c r="F358" i="86"/>
  <c r="G358" i="86"/>
  <c r="F357" i="86"/>
  <c r="H357" i="86"/>
  <c r="H356" i="86"/>
  <c r="F356" i="86"/>
  <c r="I355" i="86"/>
  <c r="H355" i="86"/>
  <c r="F355" i="86"/>
  <c r="G354" i="86"/>
  <c r="F354" i="86"/>
  <c r="G353" i="86"/>
  <c r="F353" i="86"/>
  <c r="I352" i="86"/>
  <c r="H352" i="86"/>
  <c r="G352" i="86"/>
  <c r="F352" i="86"/>
  <c r="J352" i="86"/>
  <c r="I351" i="86"/>
  <c r="F351" i="86"/>
  <c r="F350" i="86"/>
  <c r="H349" i="86"/>
  <c r="G349" i="86"/>
  <c r="F349" i="86"/>
  <c r="I348" i="86"/>
  <c r="H348" i="86"/>
  <c r="G348" i="86"/>
  <c r="F348" i="86"/>
  <c r="J348" i="86"/>
  <c r="H347" i="86"/>
  <c r="F347" i="86"/>
  <c r="I346" i="86"/>
  <c r="F346" i="86"/>
  <c r="H345" i="86"/>
  <c r="F345" i="86"/>
  <c r="G345" i="86"/>
  <c r="F344" i="86"/>
  <c r="F343" i="86"/>
  <c r="H343" i="86"/>
  <c r="F342" i="86"/>
  <c r="G342" i="86"/>
  <c r="F341" i="86"/>
  <c r="H341" i="86"/>
  <c r="F340" i="86"/>
  <c r="I339" i="86"/>
  <c r="H339" i="86"/>
  <c r="F339" i="86"/>
  <c r="I338" i="86"/>
  <c r="F338" i="86"/>
  <c r="G338" i="86"/>
  <c r="F337" i="86"/>
  <c r="G337" i="86"/>
  <c r="F336" i="86"/>
  <c r="F335" i="86"/>
  <c r="I335" i="86"/>
  <c r="G334" i="86"/>
  <c r="F334" i="86"/>
  <c r="I334" i="86"/>
  <c r="G333" i="86"/>
  <c r="F333" i="86"/>
  <c r="I332" i="86"/>
  <c r="H332" i="86"/>
  <c r="G332" i="86"/>
  <c r="F332" i="86"/>
  <c r="J332" i="86"/>
  <c r="H331" i="86"/>
  <c r="F331" i="86"/>
  <c r="I330" i="86"/>
  <c r="F330" i="86"/>
  <c r="F329" i="86"/>
  <c r="G329" i="86"/>
  <c r="G328" i="86"/>
  <c r="F328" i="86"/>
  <c r="H328" i="86"/>
  <c r="I327" i="86"/>
  <c r="G327" i="86"/>
  <c r="F327" i="86"/>
  <c r="J327" i="86"/>
  <c r="I326" i="86"/>
  <c r="F326" i="86"/>
  <c r="G325" i="86"/>
  <c r="F325" i="86"/>
  <c r="H324" i="86"/>
  <c r="F324" i="86"/>
  <c r="I323" i="86"/>
  <c r="H323" i="86"/>
  <c r="G323" i="86"/>
  <c r="F323" i="86"/>
  <c r="J323" i="86"/>
  <c r="F322" i="86"/>
  <c r="F321" i="86"/>
  <c r="G320" i="86"/>
  <c r="F320" i="86"/>
  <c r="I319" i="86"/>
  <c r="G319" i="86"/>
  <c r="F319" i="86"/>
  <c r="J319" i="86"/>
  <c r="F318" i="86"/>
  <c r="G317" i="86"/>
  <c r="F317" i="86"/>
  <c r="I317" i="86"/>
  <c r="H316" i="86"/>
  <c r="F316" i="86"/>
  <c r="I315" i="86"/>
  <c r="H315" i="86"/>
  <c r="G315" i="86"/>
  <c r="F315" i="86"/>
  <c r="J315" i="86"/>
  <c r="H314" i="86"/>
  <c r="F314" i="86"/>
  <c r="I313" i="86"/>
  <c r="F313" i="86"/>
  <c r="H312" i="86"/>
  <c r="F312" i="86"/>
  <c r="G312" i="86"/>
  <c r="F311" i="86"/>
  <c r="F310" i="86"/>
  <c r="G309" i="86"/>
  <c r="F309" i="86"/>
  <c r="F308" i="86"/>
  <c r="H307" i="86"/>
  <c r="F307" i="86"/>
  <c r="H306" i="86"/>
  <c r="F306" i="86"/>
  <c r="I306" i="86"/>
  <c r="I305" i="86"/>
  <c r="F305" i="86"/>
  <c r="G304" i="86"/>
  <c r="F304" i="86"/>
  <c r="I303" i="86"/>
  <c r="G303" i="86"/>
  <c r="F303" i="86"/>
  <c r="J303" i="86"/>
  <c r="I302" i="86"/>
  <c r="F302" i="86"/>
  <c r="I301" i="86"/>
  <c r="F301" i="86"/>
  <c r="G301" i="86"/>
  <c r="F300" i="86"/>
  <c r="I299" i="86"/>
  <c r="H299" i="86"/>
  <c r="G299" i="86"/>
  <c r="F299" i="86"/>
  <c r="J299" i="86"/>
  <c r="H298" i="86"/>
  <c r="F298" i="86"/>
  <c r="F297" i="86"/>
  <c r="G296" i="86"/>
  <c r="F296" i="86"/>
  <c r="H296" i="86"/>
  <c r="I295" i="86"/>
  <c r="G295" i="86"/>
  <c r="F295" i="86"/>
  <c r="J295" i="86"/>
  <c r="I294" i="86"/>
  <c r="F294" i="86"/>
  <c r="G293" i="86"/>
  <c r="F293" i="86"/>
  <c r="H292" i="86"/>
  <c r="F292" i="86"/>
  <c r="I291" i="86"/>
  <c r="H291" i="86"/>
  <c r="G291" i="86"/>
  <c r="F291" i="86"/>
  <c r="J291" i="86"/>
  <c r="F290" i="86"/>
  <c r="H290" i="86"/>
  <c r="F289" i="86"/>
  <c r="G288" i="86"/>
  <c r="F288" i="86"/>
  <c r="I287" i="86"/>
  <c r="G287" i="86"/>
  <c r="F287" i="86"/>
  <c r="J287" i="86"/>
  <c r="F286" i="86"/>
  <c r="G285" i="86"/>
  <c r="F285" i="86"/>
  <c r="I285" i="86"/>
  <c r="H284" i="86"/>
  <c r="F284" i="86"/>
  <c r="I283" i="86"/>
  <c r="H283" i="86"/>
  <c r="G283" i="86"/>
  <c r="F283" i="86"/>
  <c r="J283" i="86"/>
  <c r="H282" i="86"/>
  <c r="F282" i="86"/>
  <c r="I281" i="86"/>
  <c r="F281" i="86"/>
  <c r="F280" i="86"/>
  <c r="H279" i="86"/>
  <c r="F279" i="86"/>
  <c r="F278" i="86"/>
  <c r="G277" i="86"/>
  <c r="F277" i="86"/>
  <c r="F276" i="86"/>
  <c r="F275" i="86"/>
  <c r="H274" i="86"/>
  <c r="F274" i="86"/>
  <c r="I274" i="86"/>
  <c r="I273" i="86"/>
  <c r="F273" i="86"/>
  <c r="G272" i="86"/>
  <c r="F272" i="86"/>
  <c r="I271" i="86"/>
  <c r="G271" i="86"/>
  <c r="F271" i="86"/>
  <c r="J271" i="86"/>
  <c r="I270" i="86"/>
  <c r="F270" i="86"/>
  <c r="I269" i="86"/>
  <c r="F269" i="86"/>
  <c r="G269" i="86"/>
  <c r="F268" i="86"/>
  <c r="I267" i="86"/>
  <c r="H267" i="86"/>
  <c r="G267" i="86"/>
  <c r="F267" i="86"/>
  <c r="J267" i="86"/>
  <c r="H266" i="86"/>
  <c r="F266" i="86"/>
  <c r="F265" i="86"/>
  <c r="G264" i="86"/>
  <c r="F264" i="86"/>
  <c r="H264" i="86"/>
  <c r="I263" i="86"/>
  <c r="G263" i="86"/>
  <c r="F263" i="86"/>
  <c r="J263" i="86"/>
  <c r="I262" i="86"/>
  <c r="F262" i="86"/>
  <c r="G261" i="86"/>
  <c r="F261" i="86"/>
  <c r="H260" i="86"/>
  <c r="F260" i="86"/>
  <c r="I259" i="86"/>
  <c r="H259" i="86"/>
  <c r="G259" i="86"/>
  <c r="F259" i="86"/>
  <c r="J259" i="86"/>
  <c r="I258" i="86"/>
  <c r="F258" i="86"/>
  <c r="H258" i="86"/>
  <c r="F257" i="86"/>
  <c r="G256" i="86"/>
  <c r="F256" i="86"/>
  <c r="I255" i="86"/>
  <c r="G255" i="86"/>
  <c r="F255" i="86"/>
  <c r="J255" i="86"/>
  <c r="F254" i="86"/>
  <c r="G253" i="86"/>
  <c r="F253" i="86"/>
  <c r="I253" i="86"/>
  <c r="H252" i="86"/>
  <c r="F252" i="86"/>
  <c r="I251" i="86"/>
  <c r="H251" i="86"/>
  <c r="G251" i="86"/>
  <c r="F251" i="86"/>
  <c r="J251" i="86"/>
  <c r="H250" i="86"/>
  <c r="F250" i="86"/>
  <c r="I249" i="86"/>
  <c r="F249" i="86"/>
  <c r="F248" i="86"/>
  <c r="G248" i="86"/>
  <c r="H247" i="86"/>
  <c r="F247" i="86"/>
  <c r="F246" i="86"/>
  <c r="G245" i="86"/>
  <c r="F245" i="86"/>
  <c r="F244" i="86"/>
  <c r="F243" i="86"/>
  <c r="H242" i="86"/>
  <c r="F242" i="86"/>
  <c r="I242" i="86"/>
  <c r="I241" i="86"/>
  <c r="F241" i="86"/>
  <c r="G240" i="86"/>
  <c r="F240" i="86"/>
  <c r="I239" i="86"/>
  <c r="G239" i="86"/>
  <c r="F239" i="86"/>
  <c r="J239" i="86"/>
  <c r="I238" i="86"/>
  <c r="F238" i="86"/>
  <c r="F237" i="86"/>
  <c r="F236" i="86"/>
  <c r="I235" i="86"/>
  <c r="H235" i="86"/>
  <c r="G235" i="86"/>
  <c r="F235" i="86"/>
  <c r="J235" i="86"/>
  <c r="H234" i="86"/>
  <c r="F234" i="86"/>
  <c r="F233" i="86"/>
  <c r="G232" i="86"/>
  <c r="F232" i="86"/>
  <c r="H232" i="86"/>
  <c r="I231" i="86"/>
  <c r="G231" i="86"/>
  <c r="F231" i="86"/>
  <c r="J231" i="86"/>
  <c r="I230" i="86"/>
  <c r="F230" i="86"/>
  <c r="G229" i="86"/>
  <c r="F229" i="86"/>
  <c r="H228" i="86"/>
  <c r="F228" i="86"/>
  <c r="I227" i="86"/>
  <c r="H227" i="86"/>
  <c r="G227" i="86"/>
  <c r="F227" i="86"/>
  <c r="J227" i="86"/>
  <c r="I226" i="86"/>
  <c r="H226" i="86"/>
  <c r="F226" i="86"/>
  <c r="F225" i="86"/>
  <c r="G224" i="86"/>
  <c r="F224" i="86"/>
  <c r="F223" i="86"/>
  <c r="F222" i="86"/>
  <c r="F221" i="86"/>
  <c r="F220" i="86"/>
  <c r="F219" i="86"/>
  <c r="F218" i="86"/>
  <c r="I217" i="86"/>
  <c r="G217" i="86"/>
  <c r="F217" i="86"/>
  <c r="F216" i="86"/>
  <c r="F215" i="86"/>
  <c r="F214" i="86"/>
  <c r="F213" i="86"/>
  <c r="F212" i="86"/>
  <c r="F211" i="86"/>
  <c r="F210" i="86"/>
  <c r="I209" i="86"/>
  <c r="H209" i="86"/>
  <c r="G209" i="86"/>
  <c r="F209" i="86"/>
  <c r="J209" i="86"/>
  <c r="F208" i="86"/>
  <c r="F207" i="86"/>
  <c r="F206" i="86"/>
  <c r="H205" i="86"/>
  <c r="G205" i="86"/>
  <c r="F205" i="86"/>
  <c r="F204" i="86"/>
  <c r="F203" i="86"/>
  <c r="F202" i="86"/>
  <c r="F201" i="86"/>
  <c r="F200" i="86"/>
  <c r="F199" i="86"/>
  <c r="F198" i="86"/>
  <c r="I197" i="86"/>
  <c r="H197" i="86"/>
  <c r="F197" i="86"/>
  <c r="F196" i="86"/>
  <c r="F195" i="86"/>
  <c r="F194" i="86"/>
  <c r="I193" i="86"/>
  <c r="H193" i="86"/>
  <c r="G193" i="86"/>
  <c r="F193" i="86"/>
  <c r="J193" i="86"/>
  <c r="F192" i="86"/>
  <c r="F191" i="86"/>
  <c r="F190" i="86"/>
  <c r="H189" i="86"/>
  <c r="G189" i="86"/>
  <c r="F189" i="86"/>
  <c r="F188" i="86"/>
  <c r="F187" i="86"/>
  <c r="F186" i="86"/>
  <c r="F185" i="86"/>
  <c r="F184" i="86"/>
  <c r="F183" i="86"/>
  <c r="F182" i="86"/>
  <c r="I181" i="86"/>
  <c r="H181" i="86"/>
  <c r="F181" i="86"/>
  <c r="F180" i="86"/>
  <c r="F179" i="86"/>
  <c r="F178" i="86"/>
  <c r="I177" i="86"/>
  <c r="H177" i="86"/>
  <c r="G177" i="86"/>
  <c r="F177" i="86"/>
  <c r="J177" i="86"/>
  <c r="F176" i="86"/>
  <c r="F175" i="86"/>
  <c r="F174" i="86"/>
  <c r="F173" i="86"/>
  <c r="F172" i="86"/>
  <c r="F171" i="86"/>
  <c r="F170" i="86"/>
  <c r="I169" i="86"/>
  <c r="G169" i="86"/>
  <c r="F169" i="86"/>
  <c r="F168" i="86"/>
  <c r="F167" i="86"/>
  <c r="F166" i="86"/>
  <c r="F165" i="86"/>
  <c r="F164" i="86"/>
  <c r="F163" i="86"/>
  <c r="F162" i="86"/>
  <c r="I161" i="86"/>
  <c r="H161" i="86"/>
  <c r="G161" i="86"/>
  <c r="F161" i="86"/>
  <c r="J161" i="86"/>
  <c r="F160" i="86"/>
  <c r="I159" i="86"/>
  <c r="F159" i="86"/>
  <c r="J159" i="86"/>
  <c r="F158" i="86"/>
  <c r="J158" i="86"/>
  <c r="I157" i="86"/>
  <c r="H157" i="86"/>
  <c r="F157" i="86"/>
  <c r="J156" i="86"/>
  <c r="I156" i="86"/>
  <c r="F156" i="86"/>
  <c r="F155" i="86"/>
  <c r="J155" i="86"/>
  <c r="F154" i="86"/>
  <c r="H153" i="86"/>
  <c r="G153" i="86"/>
  <c r="F153" i="86"/>
  <c r="F152" i="86"/>
  <c r="J152" i="86"/>
  <c r="J151" i="86"/>
  <c r="I151" i="86"/>
  <c r="F151" i="86"/>
  <c r="F150" i="86"/>
  <c r="J150" i="86"/>
  <c r="I149" i="86"/>
  <c r="H149" i="86"/>
  <c r="F149" i="86"/>
  <c r="F148" i="86"/>
  <c r="J148" i="86"/>
  <c r="F147" i="86"/>
  <c r="J147" i="86"/>
  <c r="J146" i="86"/>
  <c r="H146" i="86"/>
  <c r="F146" i="86"/>
  <c r="I145" i="86"/>
  <c r="H145" i="86"/>
  <c r="G145" i="86"/>
  <c r="F145" i="86"/>
  <c r="J145" i="86"/>
  <c r="F144" i="86"/>
  <c r="J144" i="86"/>
  <c r="F143" i="86"/>
  <c r="F142" i="86"/>
  <c r="J142" i="86"/>
  <c r="F141" i="86"/>
  <c r="J140" i="86"/>
  <c r="I140" i="86"/>
  <c r="F140" i="86"/>
  <c r="F139" i="86"/>
  <c r="J139" i="86"/>
  <c r="H138" i="86"/>
  <c r="F138" i="86"/>
  <c r="J138" i="86"/>
  <c r="F137" i="86"/>
  <c r="F136" i="86"/>
  <c r="J136" i="86"/>
  <c r="J135" i="86"/>
  <c r="I135" i="86"/>
  <c r="F135" i="86"/>
  <c r="F134" i="86"/>
  <c r="J134" i="86"/>
  <c r="H133" i="86"/>
  <c r="F133" i="86"/>
  <c r="I132" i="86"/>
  <c r="F132" i="86"/>
  <c r="J132" i="86"/>
  <c r="F131" i="86"/>
  <c r="J131" i="86"/>
  <c r="J130" i="86"/>
  <c r="H130" i="86"/>
  <c r="F130" i="86"/>
  <c r="I129" i="86"/>
  <c r="H129" i="86"/>
  <c r="G129" i="86"/>
  <c r="F129" i="86"/>
  <c r="J129" i="86"/>
  <c r="F128" i="86"/>
  <c r="J128" i="86"/>
  <c r="I127" i="86"/>
  <c r="F127" i="86"/>
  <c r="J127" i="86"/>
  <c r="F126" i="86"/>
  <c r="J126" i="86"/>
  <c r="I125" i="86"/>
  <c r="H125" i="86"/>
  <c r="F125" i="86"/>
  <c r="J124" i="86"/>
  <c r="I124" i="86"/>
  <c r="F124" i="86"/>
  <c r="F123" i="86"/>
  <c r="J123" i="86"/>
  <c r="F122" i="86"/>
  <c r="H121" i="86"/>
  <c r="G121" i="86"/>
  <c r="F121" i="86"/>
  <c r="F120" i="86"/>
  <c r="J120" i="86"/>
  <c r="J119" i="86"/>
  <c r="I119" i="86"/>
  <c r="F119" i="86"/>
  <c r="F118" i="86"/>
  <c r="J118" i="86"/>
  <c r="I117" i="86"/>
  <c r="H117" i="86"/>
  <c r="F117" i="86"/>
  <c r="I116" i="86"/>
  <c r="F116" i="86"/>
  <c r="J116" i="86"/>
  <c r="F115" i="86"/>
  <c r="J115" i="86"/>
  <c r="F114" i="86"/>
  <c r="J114" i="86"/>
  <c r="G113" i="86"/>
  <c r="F113" i="86"/>
  <c r="F112" i="86"/>
  <c r="J112" i="86"/>
  <c r="F111" i="86"/>
  <c r="J110" i="86"/>
  <c r="F110" i="86"/>
  <c r="H109" i="86"/>
  <c r="G109" i="86"/>
  <c r="F109" i="86"/>
  <c r="J109" i="86"/>
  <c r="F108" i="86"/>
  <c r="J108" i="86"/>
  <c r="F107" i="86"/>
  <c r="J107" i="86"/>
  <c r="F106" i="86"/>
  <c r="F105" i="86"/>
  <c r="J104" i="86"/>
  <c r="F104" i="86"/>
  <c r="F103" i="86"/>
  <c r="J103" i="86"/>
  <c r="F102" i="86"/>
  <c r="J102" i="86"/>
  <c r="H101" i="86"/>
  <c r="G101" i="86"/>
  <c r="F101" i="86"/>
  <c r="J101" i="86"/>
  <c r="F100" i="86"/>
  <c r="J99" i="86"/>
  <c r="F99" i="86"/>
  <c r="F98" i="86"/>
  <c r="J98" i="86"/>
  <c r="G97" i="86"/>
  <c r="F97" i="86"/>
  <c r="F96" i="86"/>
  <c r="J96" i="86"/>
  <c r="F95" i="86"/>
  <c r="J94" i="86"/>
  <c r="F94" i="86"/>
  <c r="H93" i="86"/>
  <c r="G93" i="86"/>
  <c r="F93" i="86"/>
  <c r="J93" i="86"/>
  <c r="F92" i="86"/>
  <c r="J92" i="86"/>
  <c r="F91" i="86"/>
  <c r="J91" i="86"/>
  <c r="F90" i="86"/>
  <c r="F89" i="86"/>
  <c r="J88" i="86"/>
  <c r="F88" i="86"/>
  <c r="F87" i="86"/>
  <c r="J87" i="86"/>
  <c r="F86" i="86"/>
  <c r="J86" i="86"/>
  <c r="H85" i="86"/>
  <c r="G85" i="86"/>
  <c r="F85" i="86"/>
  <c r="J85" i="86"/>
  <c r="F84" i="86"/>
  <c r="J83" i="86"/>
  <c r="F83" i="86"/>
  <c r="F82" i="86"/>
  <c r="J82" i="86"/>
  <c r="G81" i="86"/>
  <c r="F81" i="86"/>
  <c r="F80" i="86"/>
  <c r="J80" i="86"/>
  <c r="F79" i="86"/>
  <c r="J78" i="86"/>
  <c r="F78" i="86"/>
  <c r="H77" i="86"/>
  <c r="G77" i="86"/>
  <c r="F77" i="86"/>
  <c r="J77" i="86"/>
  <c r="F76" i="86"/>
  <c r="J76" i="86"/>
  <c r="F75" i="86"/>
  <c r="J75" i="86"/>
  <c r="F74" i="86"/>
  <c r="F73" i="86"/>
  <c r="J72" i="86"/>
  <c r="F72" i="86"/>
  <c r="F71" i="86"/>
  <c r="J71" i="86"/>
  <c r="F70" i="86"/>
  <c r="J70" i="86"/>
  <c r="H69" i="86"/>
  <c r="G69" i="86"/>
  <c r="F69" i="86"/>
  <c r="J69" i="86"/>
  <c r="F68" i="86"/>
  <c r="J67" i="86"/>
  <c r="F67" i="86"/>
  <c r="F66" i="86"/>
  <c r="J66" i="86"/>
  <c r="G65" i="86"/>
  <c r="F65" i="86"/>
  <c r="F64" i="86"/>
  <c r="J64" i="86"/>
  <c r="F63" i="86"/>
  <c r="J62" i="86"/>
  <c r="F62" i="86"/>
  <c r="H61" i="86"/>
  <c r="G61" i="86"/>
  <c r="F61" i="86"/>
  <c r="J61" i="86"/>
  <c r="F60" i="86"/>
  <c r="J60" i="86"/>
  <c r="F59" i="86"/>
  <c r="J59" i="86"/>
  <c r="F58" i="86"/>
  <c r="F57" i="86"/>
  <c r="J56" i="86"/>
  <c r="F56" i="86"/>
  <c r="F55" i="86"/>
  <c r="J55" i="86"/>
  <c r="F54" i="86"/>
  <c r="J54" i="86"/>
  <c r="H53" i="86"/>
  <c r="G53" i="86"/>
  <c r="F53" i="86"/>
  <c r="J53" i="86"/>
  <c r="F52" i="86"/>
  <c r="J51" i="86"/>
  <c r="F51" i="86"/>
  <c r="F50" i="86"/>
  <c r="J50" i="86"/>
  <c r="G49" i="86"/>
  <c r="F49" i="86"/>
  <c r="F48" i="86"/>
  <c r="J48" i="86"/>
  <c r="F47" i="86"/>
  <c r="J46" i="86"/>
  <c r="F46" i="86"/>
  <c r="H45" i="86"/>
  <c r="G45" i="86"/>
  <c r="F45" i="86"/>
  <c r="J45" i="86"/>
  <c r="F42" i="86"/>
  <c r="J18" i="86"/>
  <c r="J412" i="85"/>
  <c r="I412" i="85"/>
  <c r="F412" i="85"/>
  <c r="H411" i="85"/>
  <c r="F411" i="85"/>
  <c r="I410" i="85"/>
  <c r="F410" i="85"/>
  <c r="F409" i="85"/>
  <c r="F408" i="85"/>
  <c r="J408" i="85"/>
  <c r="J407" i="85"/>
  <c r="H407" i="85"/>
  <c r="F407" i="85"/>
  <c r="I406" i="85"/>
  <c r="H406" i="85"/>
  <c r="G406" i="85"/>
  <c r="F406" i="85"/>
  <c r="J406" i="85"/>
  <c r="I405" i="85"/>
  <c r="F405" i="85"/>
  <c r="F404" i="85"/>
  <c r="F403" i="85"/>
  <c r="J403" i="85"/>
  <c r="I402" i="85"/>
  <c r="F402" i="85"/>
  <c r="J401" i="85"/>
  <c r="I401" i="85"/>
  <c r="F401" i="85"/>
  <c r="I400" i="85"/>
  <c r="F400" i="85"/>
  <c r="F399" i="85"/>
  <c r="G398" i="85"/>
  <c r="F398" i="85"/>
  <c r="H398" i="85"/>
  <c r="F397" i="85"/>
  <c r="J397" i="85"/>
  <c r="J396" i="85"/>
  <c r="I396" i="85"/>
  <c r="F396" i="85"/>
  <c r="H395" i="85"/>
  <c r="F395" i="85"/>
  <c r="F394" i="85"/>
  <c r="I394" i="85"/>
  <c r="F393" i="85"/>
  <c r="F392" i="85"/>
  <c r="J392" i="85"/>
  <c r="J391" i="85"/>
  <c r="H391" i="85"/>
  <c r="F391" i="85"/>
  <c r="I390" i="85"/>
  <c r="H390" i="85"/>
  <c r="G390" i="85"/>
  <c r="F390" i="85"/>
  <c r="J390" i="85"/>
  <c r="I389" i="85"/>
  <c r="F389" i="85"/>
  <c r="F388" i="85"/>
  <c r="F387" i="85"/>
  <c r="J387" i="85"/>
  <c r="F386" i="85"/>
  <c r="I386" i="85"/>
  <c r="J385" i="85"/>
  <c r="I385" i="85"/>
  <c r="F385" i="85"/>
  <c r="I384" i="85"/>
  <c r="F384" i="85"/>
  <c r="F383" i="85"/>
  <c r="H382" i="85"/>
  <c r="G382" i="85"/>
  <c r="F382" i="85"/>
  <c r="F381" i="85"/>
  <c r="J381" i="85"/>
  <c r="J380" i="85"/>
  <c r="I380" i="85"/>
  <c r="F380" i="85"/>
  <c r="H379" i="85"/>
  <c r="F379" i="85"/>
  <c r="I378" i="85"/>
  <c r="F378" i="85"/>
  <c r="F377" i="85"/>
  <c r="F376" i="85"/>
  <c r="J376" i="85"/>
  <c r="J375" i="85"/>
  <c r="H375" i="85"/>
  <c r="F375" i="85"/>
  <c r="I374" i="85"/>
  <c r="H374" i="85"/>
  <c r="G374" i="85"/>
  <c r="F374" i="85"/>
  <c r="J374" i="85"/>
  <c r="I373" i="85"/>
  <c r="F373" i="85"/>
  <c r="F372" i="85"/>
  <c r="F371" i="85"/>
  <c r="J371" i="85"/>
  <c r="I370" i="85"/>
  <c r="F370" i="85"/>
  <c r="J369" i="85"/>
  <c r="I369" i="85"/>
  <c r="F369" i="85"/>
  <c r="I368" i="85"/>
  <c r="F368" i="85"/>
  <c r="F367" i="85"/>
  <c r="G366" i="85"/>
  <c r="F366" i="85"/>
  <c r="H366" i="85"/>
  <c r="F365" i="85"/>
  <c r="J365" i="85"/>
  <c r="J364" i="85"/>
  <c r="I364" i="85"/>
  <c r="F364" i="85"/>
  <c r="H363" i="85"/>
  <c r="F363" i="85"/>
  <c r="F362" i="85"/>
  <c r="I362" i="85"/>
  <c r="F361" i="85"/>
  <c r="F360" i="85"/>
  <c r="J360" i="85"/>
  <c r="J359" i="85"/>
  <c r="H359" i="85"/>
  <c r="F359" i="85"/>
  <c r="I358" i="85"/>
  <c r="H358" i="85"/>
  <c r="G358" i="85"/>
  <c r="F358" i="85"/>
  <c r="J358" i="85"/>
  <c r="I357" i="85"/>
  <c r="F357" i="85"/>
  <c r="F356" i="85"/>
  <c r="F355" i="85"/>
  <c r="I354" i="85"/>
  <c r="H354" i="85"/>
  <c r="G354" i="85"/>
  <c r="F354" i="85"/>
  <c r="J354" i="85"/>
  <c r="F353" i="85"/>
  <c r="I353" i="85"/>
  <c r="F352" i="85"/>
  <c r="F351" i="85"/>
  <c r="I350" i="85"/>
  <c r="H350" i="85"/>
  <c r="F350" i="85"/>
  <c r="F349" i="85"/>
  <c r="F348" i="85"/>
  <c r="I348" i="85"/>
  <c r="F347" i="85"/>
  <c r="J347" i="85"/>
  <c r="H346" i="85"/>
  <c r="G346" i="85"/>
  <c r="F346" i="85"/>
  <c r="F345" i="85"/>
  <c r="F344" i="85"/>
  <c r="J343" i="85"/>
  <c r="H343" i="85"/>
  <c r="F343" i="85"/>
  <c r="I342" i="85"/>
  <c r="H342" i="85"/>
  <c r="G342" i="85"/>
  <c r="F342" i="85"/>
  <c r="J342" i="85"/>
  <c r="F341" i="85"/>
  <c r="F340" i="85"/>
  <c r="F339" i="85"/>
  <c r="F338" i="85"/>
  <c r="H338" i="85"/>
  <c r="F337" i="85"/>
  <c r="J337" i="85"/>
  <c r="J336" i="85"/>
  <c r="F336" i="85"/>
  <c r="F335" i="85"/>
  <c r="F334" i="85"/>
  <c r="I334" i="85"/>
  <c r="F333" i="85"/>
  <c r="J332" i="85"/>
  <c r="F332" i="85"/>
  <c r="I332" i="85"/>
  <c r="F331" i="85"/>
  <c r="G330" i="85"/>
  <c r="F330" i="85"/>
  <c r="I330" i="85"/>
  <c r="F329" i="85"/>
  <c r="F328" i="85"/>
  <c r="I327" i="85"/>
  <c r="F327" i="85"/>
  <c r="J327" i="85"/>
  <c r="F326" i="85"/>
  <c r="G325" i="85"/>
  <c r="F325" i="85"/>
  <c r="H325" i="85"/>
  <c r="I324" i="85"/>
  <c r="F324" i="85"/>
  <c r="J324" i="85"/>
  <c r="J323" i="85"/>
  <c r="F323" i="85"/>
  <c r="H322" i="85"/>
  <c r="F322" i="85"/>
  <c r="J322" i="85"/>
  <c r="F321" i="85"/>
  <c r="I321" i="85"/>
  <c r="J320" i="85"/>
  <c r="F320" i="85"/>
  <c r="J319" i="85"/>
  <c r="I319" i="85"/>
  <c r="F319" i="85"/>
  <c r="F318" i="85"/>
  <c r="I317" i="85"/>
  <c r="H317" i="85"/>
  <c r="G317" i="85"/>
  <c r="F317" i="85"/>
  <c r="J317" i="85"/>
  <c r="F316" i="85"/>
  <c r="J316" i="85"/>
  <c r="F315" i="85"/>
  <c r="H314" i="85"/>
  <c r="F314" i="85"/>
  <c r="J314" i="85"/>
  <c r="I313" i="85"/>
  <c r="F313" i="85"/>
  <c r="J312" i="85"/>
  <c r="F312" i="85"/>
  <c r="F311" i="85"/>
  <c r="J311" i="85"/>
  <c r="J310" i="85"/>
  <c r="F310" i="85"/>
  <c r="I309" i="85"/>
  <c r="H309" i="85"/>
  <c r="G309" i="85"/>
  <c r="F309" i="85"/>
  <c r="J309" i="85"/>
  <c r="I308" i="85"/>
  <c r="F308" i="85"/>
  <c r="J308" i="85"/>
  <c r="F307" i="85"/>
  <c r="F306" i="85"/>
  <c r="J306" i="85"/>
  <c r="I305" i="85"/>
  <c r="G305" i="85"/>
  <c r="F305" i="85"/>
  <c r="F304" i="85"/>
  <c r="F303" i="85"/>
  <c r="J303" i="85"/>
  <c r="J302" i="85"/>
  <c r="F302" i="85"/>
  <c r="I301" i="85"/>
  <c r="H301" i="85"/>
  <c r="G301" i="85"/>
  <c r="F301" i="85"/>
  <c r="J301" i="85"/>
  <c r="F300" i="85"/>
  <c r="J300" i="85"/>
  <c r="J299" i="85"/>
  <c r="F299" i="85"/>
  <c r="J298" i="85"/>
  <c r="H298" i="85"/>
  <c r="F298" i="85"/>
  <c r="F297" i="85"/>
  <c r="H297" i="85"/>
  <c r="F296" i="85"/>
  <c r="I295" i="85"/>
  <c r="F295" i="85"/>
  <c r="J295" i="85"/>
  <c r="F294" i="85"/>
  <c r="G293" i="85"/>
  <c r="F293" i="85"/>
  <c r="H293" i="85"/>
  <c r="I292" i="85"/>
  <c r="F292" i="85"/>
  <c r="J292" i="85"/>
  <c r="J291" i="85"/>
  <c r="F291" i="85"/>
  <c r="H290" i="85"/>
  <c r="F290" i="85"/>
  <c r="J290" i="85"/>
  <c r="F289" i="85"/>
  <c r="I289" i="85"/>
  <c r="J288" i="85"/>
  <c r="F288" i="85"/>
  <c r="J287" i="85"/>
  <c r="I287" i="85"/>
  <c r="F287" i="85"/>
  <c r="F286" i="85"/>
  <c r="I285" i="85"/>
  <c r="H285" i="85"/>
  <c r="G285" i="85"/>
  <c r="F285" i="85"/>
  <c r="J285" i="85"/>
  <c r="F284" i="85"/>
  <c r="J284" i="85"/>
  <c r="F283" i="85"/>
  <c r="H282" i="85"/>
  <c r="F282" i="85"/>
  <c r="J282" i="85"/>
  <c r="I281" i="85"/>
  <c r="F281" i="85"/>
  <c r="J280" i="85"/>
  <c r="F280" i="85"/>
  <c r="F279" i="85"/>
  <c r="J279" i="85"/>
  <c r="J278" i="85"/>
  <c r="F278" i="85"/>
  <c r="I277" i="85"/>
  <c r="H277" i="85"/>
  <c r="G277" i="85"/>
  <c r="F277" i="85"/>
  <c r="J277" i="85"/>
  <c r="I276" i="85"/>
  <c r="F276" i="85"/>
  <c r="J276" i="85"/>
  <c r="F275" i="85"/>
  <c r="J275" i="85"/>
  <c r="F274" i="85"/>
  <c r="J274" i="85"/>
  <c r="I273" i="85"/>
  <c r="G273" i="85"/>
  <c r="F273" i="85"/>
  <c r="F272" i="85"/>
  <c r="F271" i="85"/>
  <c r="J271" i="85"/>
  <c r="J270" i="85"/>
  <c r="F270" i="85"/>
  <c r="I269" i="85"/>
  <c r="H269" i="85"/>
  <c r="G269" i="85"/>
  <c r="F269" i="85"/>
  <c r="J269" i="85"/>
  <c r="F268" i="85"/>
  <c r="J268" i="85"/>
  <c r="J267" i="85"/>
  <c r="F267" i="85"/>
  <c r="J266" i="85"/>
  <c r="H266" i="85"/>
  <c r="F266" i="85"/>
  <c r="F265" i="85"/>
  <c r="H265" i="85"/>
  <c r="F264" i="85"/>
  <c r="I263" i="85"/>
  <c r="F263" i="85"/>
  <c r="J263" i="85"/>
  <c r="F262" i="85"/>
  <c r="G261" i="85"/>
  <c r="F261" i="85"/>
  <c r="H261" i="85"/>
  <c r="I260" i="85"/>
  <c r="F260" i="85"/>
  <c r="J260" i="85"/>
  <c r="J259" i="85"/>
  <c r="F259" i="85"/>
  <c r="H258" i="85"/>
  <c r="F258" i="85"/>
  <c r="J258" i="85"/>
  <c r="F257" i="85"/>
  <c r="I257" i="85"/>
  <c r="J256" i="85"/>
  <c r="F256" i="85"/>
  <c r="J255" i="85"/>
  <c r="I255" i="85"/>
  <c r="F255" i="85"/>
  <c r="F254" i="85"/>
  <c r="J254" i="85"/>
  <c r="I253" i="85"/>
  <c r="H253" i="85"/>
  <c r="G253" i="85"/>
  <c r="F253" i="85"/>
  <c r="J253" i="85"/>
  <c r="F252" i="85"/>
  <c r="J252" i="85"/>
  <c r="F251" i="85"/>
  <c r="J251" i="85"/>
  <c r="H250" i="85"/>
  <c r="F250" i="85"/>
  <c r="J250" i="85"/>
  <c r="I249" i="85"/>
  <c r="F249" i="85"/>
  <c r="J248" i="85"/>
  <c r="F248" i="85"/>
  <c r="F247" i="85"/>
  <c r="J247" i="85"/>
  <c r="J246" i="85"/>
  <c r="F246" i="85"/>
  <c r="I245" i="85"/>
  <c r="H245" i="85"/>
  <c r="G245" i="85"/>
  <c r="F245" i="85"/>
  <c r="J245" i="85"/>
  <c r="I244" i="85"/>
  <c r="F244" i="85"/>
  <c r="J244" i="85"/>
  <c r="F243" i="85"/>
  <c r="F242" i="85"/>
  <c r="J242" i="85"/>
  <c r="I241" i="85"/>
  <c r="G241" i="85"/>
  <c r="F241" i="85"/>
  <c r="F240" i="85"/>
  <c r="F239" i="85"/>
  <c r="J239" i="85"/>
  <c r="J238" i="85"/>
  <c r="F238" i="85"/>
  <c r="I237" i="85"/>
  <c r="H237" i="85"/>
  <c r="G237" i="85"/>
  <c r="F237" i="85"/>
  <c r="J237" i="85"/>
  <c r="F236" i="85"/>
  <c r="J236" i="85"/>
  <c r="J235" i="85"/>
  <c r="F235" i="85"/>
  <c r="J234" i="85"/>
  <c r="H234" i="85"/>
  <c r="F234" i="85"/>
  <c r="F233" i="85"/>
  <c r="H233" i="85"/>
  <c r="F232" i="85"/>
  <c r="J232" i="85"/>
  <c r="I231" i="85"/>
  <c r="F231" i="85"/>
  <c r="J231" i="85"/>
  <c r="F230" i="85"/>
  <c r="G229" i="85"/>
  <c r="F229" i="85"/>
  <c r="H229" i="85"/>
  <c r="I228" i="85"/>
  <c r="F228" i="85"/>
  <c r="J228" i="85"/>
  <c r="J227" i="85"/>
  <c r="F227" i="85"/>
  <c r="H226" i="85"/>
  <c r="F226" i="85"/>
  <c r="J226" i="85"/>
  <c r="F225" i="85"/>
  <c r="I225" i="85"/>
  <c r="J224" i="85"/>
  <c r="F224" i="85"/>
  <c r="J223" i="85"/>
  <c r="I223" i="85"/>
  <c r="F223" i="85"/>
  <c r="F222" i="85"/>
  <c r="F221" i="85"/>
  <c r="F220" i="85"/>
  <c r="G219" i="85"/>
  <c r="F219" i="85"/>
  <c r="I219" i="85"/>
  <c r="F218" i="85"/>
  <c r="F217" i="85"/>
  <c r="F216" i="85"/>
  <c r="H216" i="85"/>
  <c r="I215" i="85"/>
  <c r="H215" i="85"/>
  <c r="F215" i="85"/>
  <c r="F214" i="85"/>
  <c r="F213" i="85"/>
  <c r="I213" i="85"/>
  <c r="F212" i="85"/>
  <c r="I211" i="85"/>
  <c r="H211" i="85"/>
  <c r="G211" i="85"/>
  <c r="F211" i="85"/>
  <c r="J211" i="85"/>
  <c r="F210" i="85"/>
  <c r="F209" i="85"/>
  <c r="F208" i="85"/>
  <c r="H208" i="85"/>
  <c r="H207" i="85"/>
  <c r="F207" i="85"/>
  <c r="F206" i="85"/>
  <c r="F205" i="85"/>
  <c r="I205" i="85"/>
  <c r="F204" i="85"/>
  <c r="F203" i="85"/>
  <c r="I203" i="85"/>
  <c r="F202" i="85"/>
  <c r="I202" i="85"/>
  <c r="F201" i="85"/>
  <c r="F200" i="85"/>
  <c r="H200" i="85"/>
  <c r="I199" i="85"/>
  <c r="F199" i="85"/>
  <c r="F198" i="85"/>
  <c r="F197" i="85"/>
  <c r="I197" i="85"/>
  <c r="F196" i="85"/>
  <c r="I195" i="85"/>
  <c r="H195" i="85"/>
  <c r="G195" i="85"/>
  <c r="F195" i="85"/>
  <c r="J195" i="85"/>
  <c r="F194" i="85"/>
  <c r="I194" i="85"/>
  <c r="F193" i="85"/>
  <c r="F192" i="85"/>
  <c r="G191" i="85"/>
  <c r="F191" i="85"/>
  <c r="H191" i="85"/>
  <c r="F190" i="85"/>
  <c r="F189" i="85"/>
  <c r="F188" i="85"/>
  <c r="I187" i="85"/>
  <c r="G187" i="85"/>
  <c r="F187" i="85"/>
  <c r="F186" i="85"/>
  <c r="I186" i="85"/>
  <c r="F185" i="85"/>
  <c r="F184" i="85"/>
  <c r="H183" i="85"/>
  <c r="F183" i="85"/>
  <c r="I183" i="85"/>
  <c r="F182" i="85"/>
  <c r="F181" i="85"/>
  <c r="F180" i="85"/>
  <c r="I179" i="85"/>
  <c r="H179" i="85"/>
  <c r="G179" i="85"/>
  <c r="F179" i="85"/>
  <c r="J179" i="85"/>
  <c r="F178" i="85"/>
  <c r="I178" i="85"/>
  <c r="F177" i="85"/>
  <c r="F176" i="85"/>
  <c r="F175" i="85"/>
  <c r="H175" i="85"/>
  <c r="F174" i="85"/>
  <c r="F173" i="85"/>
  <c r="F172" i="85"/>
  <c r="I171" i="85"/>
  <c r="F171" i="85"/>
  <c r="F170" i="85"/>
  <c r="F169" i="85"/>
  <c r="F168" i="85"/>
  <c r="H168" i="85"/>
  <c r="F167" i="85"/>
  <c r="I167" i="85"/>
  <c r="F166" i="85"/>
  <c r="F165" i="85"/>
  <c r="I165" i="85"/>
  <c r="F164" i="85"/>
  <c r="I163" i="85"/>
  <c r="H163" i="85"/>
  <c r="G163" i="85"/>
  <c r="F163" i="85"/>
  <c r="J163" i="85"/>
  <c r="F162" i="85"/>
  <c r="I162" i="85"/>
  <c r="F161" i="85"/>
  <c r="F160" i="85"/>
  <c r="H160" i="85"/>
  <c r="H159" i="85"/>
  <c r="G159" i="85"/>
  <c r="F159" i="85"/>
  <c r="F158" i="85"/>
  <c r="H158" i="85"/>
  <c r="F157" i="85"/>
  <c r="I157" i="85"/>
  <c r="F156" i="85"/>
  <c r="H156" i="85"/>
  <c r="I155" i="85"/>
  <c r="G155" i="85"/>
  <c r="F155" i="85"/>
  <c r="F154" i="85"/>
  <c r="H154" i="85"/>
  <c r="F153" i="85"/>
  <c r="G153" i="85"/>
  <c r="H152" i="85"/>
  <c r="F152" i="85"/>
  <c r="F151" i="85"/>
  <c r="H151" i="85"/>
  <c r="F150" i="85"/>
  <c r="I150" i="85"/>
  <c r="F149" i="85"/>
  <c r="F148" i="85"/>
  <c r="G148" i="85"/>
  <c r="H147" i="85"/>
  <c r="F147" i="85"/>
  <c r="I147" i="85"/>
  <c r="I146" i="85"/>
  <c r="F146" i="85"/>
  <c r="G145" i="85"/>
  <c r="F145" i="85"/>
  <c r="I145" i="85"/>
  <c r="F144" i="85"/>
  <c r="G144" i="85"/>
  <c r="G143" i="85"/>
  <c r="F143" i="85"/>
  <c r="H143" i="85"/>
  <c r="F142" i="85"/>
  <c r="H142" i="85"/>
  <c r="F141" i="85"/>
  <c r="I141" i="85"/>
  <c r="F140" i="85"/>
  <c r="H140" i="85"/>
  <c r="G139" i="85"/>
  <c r="F139" i="85"/>
  <c r="I139" i="85"/>
  <c r="F138" i="85"/>
  <c r="F137" i="85"/>
  <c r="G137" i="85"/>
  <c r="H136" i="85"/>
  <c r="F136" i="85"/>
  <c r="H135" i="85"/>
  <c r="F135" i="85"/>
  <c r="F134" i="85"/>
  <c r="I134" i="85"/>
  <c r="F133" i="85"/>
  <c r="G133" i="85"/>
  <c r="F132" i="85"/>
  <c r="G132" i="85"/>
  <c r="I131" i="85"/>
  <c r="H131" i="85"/>
  <c r="F131" i="85"/>
  <c r="I130" i="85"/>
  <c r="F130" i="85"/>
  <c r="I129" i="85"/>
  <c r="F129" i="85"/>
  <c r="G129" i="85"/>
  <c r="F128" i="85"/>
  <c r="I127" i="85"/>
  <c r="G127" i="85"/>
  <c r="F127" i="85"/>
  <c r="J127" i="85"/>
  <c r="H126" i="85"/>
  <c r="F126" i="85"/>
  <c r="I125" i="85"/>
  <c r="F125" i="85"/>
  <c r="H124" i="85"/>
  <c r="F124" i="85"/>
  <c r="G124" i="85"/>
  <c r="H123" i="85"/>
  <c r="F123" i="85"/>
  <c r="J123" i="85"/>
  <c r="F122" i="85"/>
  <c r="H122" i="85"/>
  <c r="G121" i="85"/>
  <c r="F121" i="85"/>
  <c r="H120" i="85"/>
  <c r="F120" i="85"/>
  <c r="I119" i="85"/>
  <c r="G119" i="85"/>
  <c r="F119" i="85"/>
  <c r="J119" i="85"/>
  <c r="I118" i="85"/>
  <c r="F118" i="85"/>
  <c r="H118" i="85"/>
  <c r="F117" i="85"/>
  <c r="G117" i="85"/>
  <c r="G116" i="85"/>
  <c r="F116" i="85"/>
  <c r="I115" i="85"/>
  <c r="H115" i="85"/>
  <c r="G115" i="85"/>
  <c r="F115" i="85"/>
  <c r="J115" i="85"/>
  <c r="I114" i="85"/>
  <c r="F114" i="85"/>
  <c r="I113" i="85"/>
  <c r="F113" i="85"/>
  <c r="G113" i="85"/>
  <c r="F112" i="85"/>
  <c r="G112" i="85"/>
  <c r="I111" i="85"/>
  <c r="G111" i="85"/>
  <c r="F111" i="85"/>
  <c r="J111" i="85"/>
  <c r="H110" i="85"/>
  <c r="F110" i="85"/>
  <c r="I109" i="85"/>
  <c r="F109" i="85"/>
  <c r="H108" i="85"/>
  <c r="F108" i="85"/>
  <c r="G108" i="85"/>
  <c r="H107" i="85"/>
  <c r="F107" i="85"/>
  <c r="J107" i="85"/>
  <c r="F106" i="85"/>
  <c r="G105" i="85"/>
  <c r="F105" i="85"/>
  <c r="H104" i="85"/>
  <c r="F104" i="85"/>
  <c r="I103" i="85"/>
  <c r="G103" i="85"/>
  <c r="F103" i="85"/>
  <c r="J103" i="85"/>
  <c r="I102" i="85"/>
  <c r="F102" i="85"/>
  <c r="H102" i="85"/>
  <c r="F101" i="85"/>
  <c r="G101" i="85"/>
  <c r="G100" i="85"/>
  <c r="F100" i="85"/>
  <c r="I99" i="85"/>
  <c r="H99" i="85"/>
  <c r="G99" i="85"/>
  <c r="F99" i="85"/>
  <c r="J99" i="85"/>
  <c r="I98" i="85"/>
  <c r="F98" i="85"/>
  <c r="I97" i="85"/>
  <c r="F97" i="85"/>
  <c r="G97" i="85"/>
  <c r="F96" i="85"/>
  <c r="G96" i="85"/>
  <c r="I95" i="85"/>
  <c r="G95" i="85"/>
  <c r="F95" i="85"/>
  <c r="J95" i="85"/>
  <c r="H94" i="85"/>
  <c r="F94" i="85"/>
  <c r="I93" i="85"/>
  <c r="F93" i="85"/>
  <c r="H92" i="85"/>
  <c r="F92" i="85"/>
  <c r="G92" i="85"/>
  <c r="H91" i="85"/>
  <c r="F91" i="85"/>
  <c r="J91" i="85"/>
  <c r="F90" i="85"/>
  <c r="G89" i="85"/>
  <c r="F89" i="85"/>
  <c r="H88" i="85"/>
  <c r="F88" i="85"/>
  <c r="I87" i="85"/>
  <c r="G87" i="85"/>
  <c r="F87" i="85"/>
  <c r="J87" i="85"/>
  <c r="I86" i="85"/>
  <c r="F86" i="85"/>
  <c r="H86" i="85"/>
  <c r="F85" i="85"/>
  <c r="G84" i="85"/>
  <c r="F84" i="85"/>
  <c r="I83" i="85"/>
  <c r="H83" i="85"/>
  <c r="G83" i="85"/>
  <c r="F83" i="85"/>
  <c r="J83" i="85"/>
  <c r="I82" i="85"/>
  <c r="F82" i="85"/>
  <c r="I81" i="85"/>
  <c r="F81" i="85"/>
  <c r="G81" i="85"/>
  <c r="F80" i="85"/>
  <c r="G80" i="85"/>
  <c r="I79" i="85"/>
  <c r="G79" i="85"/>
  <c r="F79" i="85"/>
  <c r="J79" i="85"/>
  <c r="H78" i="85"/>
  <c r="F78" i="85"/>
  <c r="I77" i="85"/>
  <c r="F77" i="85"/>
  <c r="H76" i="85"/>
  <c r="F76" i="85"/>
  <c r="G76" i="85"/>
  <c r="H75" i="85"/>
  <c r="F75" i="85"/>
  <c r="J75" i="85"/>
  <c r="F74" i="85"/>
  <c r="H74" i="85"/>
  <c r="G73" i="85"/>
  <c r="F73" i="85"/>
  <c r="H72" i="85"/>
  <c r="F72" i="85"/>
  <c r="I71" i="85"/>
  <c r="G71" i="85"/>
  <c r="F71" i="85"/>
  <c r="J71" i="85"/>
  <c r="I70" i="85"/>
  <c r="F70" i="85"/>
  <c r="H70" i="85"/>
  <c r="F69" i="85"/>
  <c r="G69" i="85"/>
  <c r="G68" i="85"/>
  <c r="F68" i="85"/>
  <c r="I67" i="85"/>
  <c r="H67" i="85"/>
  <c r="G67" i="85"/>
  <c r="F67" i="85"/>
  <c r="J67" i="85"/>
  <c r="I66" i="85"/>
  <c r="F66" i="85"/>
  <c r="I65" i="85"/>
  <c r="F65" i="85"/>
  <c r="G65" i="85"/>
  <c r="F64" i="85"/>
  <c r="G64" i="85"/>
  <c r="I63" i="85"/>
  <c r="G63" i="85"/>
  <c r="F63" i="85"/>
  <c r="J63" i="85"/>
  <c r="H62" i="85"/>
  <c r="F62" i="85"/>
  <c r="I61" i="85"/>
  <c r="F61" i="85"/>
  <c r="H60" i="85"/>
  <c r="F60" i="85"/>
  <c r="G60" i="85"/>
  <c r="H59" i="85"/>
  <c r="F59" i="85"/>
  <c r="J59" i="85"/>
  <c r="F58" i="85"/>
  <c r="G57" i="85"/>
  <c r="F57" i="85"/>
  <c r="H56" i="85"/>
  <c r="F56" i="85"/>
  <c r="I55" i="85"/>
  <c r="G55" i="85"/>
  <c r="F55" i="85"/>
  <c r="J55" i="85"/>
  <c r="I54" i="85"/>
  <c r="F54" i="85"/>
  <c r="H54" i="85"/>
  <c r="F53" i="85"/>
  <c r="G52" i="85"/>
  <c r="F52" i="85"/>
  <c r="I51" i="85"/>
  <c r="H51" i="85"/>
  <c r="G51" i="85"/>
  <c r="F51" i="85"/>
  <c r="J51" i="85"/>
  <c r="I50" i="85"/>
  <c r="F50" i="85"/>
  <c r="I49" i="85"/>
  <c r="F49" i="85"/>
  <c r="G49" i="85"/>
  <c r="F48" i="85"/>
  <c r="G48" i="85"/>
  <c r="I47" i="85"/>
  <c r="G47" i="85"/>
  <c r="F47" i="85"/>
  <c r="J47" i="85"/>
  <c r="H46" i="85"/>
  <c r="F46" i="85"/>
  <c r="I45" i="85"/>
  <c r="F45" i="85"/>
  <c r="H44" i="85"/>
  <c r="F44" i="85"/>
  <c r="G44" i="85"/>
  <c r="H43" i="85"/>
  <c r="F43" i="85"/>
  <c r="J43" i="85"/>
  <c r="F42" i="85"/>
  <c r="G41" i="85"/>
  <c r="F41" i="85"/>
  <c r="H40" i="85"/>
  <c r="F40" i="85"/>
  <c r="I39" i="85"/>
  <c r="G39" i="85"/>
  <c r="F39" i="85"/>
  <c r="J39" i="85"/>
  <c r="F26" i="85"/>
  <c r="J18" i="85"/>
  <c r="F27" i="85"/>
  <c r="F412" i="84"/>
  <c r="F411" i="84"/>
  <c r="J411" i="84"/>
  <c r="F410" i="84"/>
  <c r="F409" i="84"/>
  <c r="F408" i="84"/>
  <c r="F407" i="84"/>
  <c r="H407" i="84"/>
  <c r="F406" i="84"/>
  <c r="F405" i="84"/>
  <c r="H405" i="84"/>
  <c r="F404" i="84"/>
  <c r="I403" i="84"/>
  <c r="F403" i="84"/>
  <c r="H403" i="84"/>
  <c r="F402" i="84"/>
  <c r="F401" i="84"/>
  <c r="F400" i="84"/>
  <c r="F399" i="84"/>
  <c r="I399" i="84"/>
  <c r="F398" i="84"/>
  <c r="G398" i="84"/>
  <c r="F397" i="84"/>
  <c r="F396" i="84"/>
  <c r="F395" i="84"/>
  <c r="H395" i="84"/>
  <c r="F394" i="84"/>
  <c r="G394" i="84"/>
  <c r="F393" i="84"/>
  <c r="F392" i="84"/>
  <c r="I392" i="84"/>
  <c r="F391" i="84"/>
  <c r="F390" i="84"/>
  <c r="H390" i="84"/>
  <c r="F389" i="84"/>
  <c r="F388" i="84"/>
  <c r="I388" i="84"/>
  <c r="F387" i="84"/>
  <c r="H387" i="84"/>
  <c r="I387" i="84"/>
  <c r="G386" i="84"/>
  <c r="F386" i="84"/>
  <c r="F385" i="84"/>
  <c r="F384" i="84"/>
  <c r="I383" i="84"/>
  <c r="F383" i="84"/>
  <c r="H383" i="84"/>
  <c r="F382" i="84"/>
  <c r="F381" i="84"/>
  <c r="F380" i="84"/>
  <c r="F379" i="84"/>
  <c r="G379" i="84"/>
  <c r="F378" i="84"/>
  <c r="I378" i="84"/>
  <c r="F377" i="84"/>
  <c r="F376" i="84"/>
  <c r="F375" i="84"/>
  <c r="H375" i="84"/>
  <c r="F374" i="84"/>
  <c r="F373" i="84"/>
  <c r="G373" i="84"/>
  <c r="F372" i="84"/>
  <c r="F371" i="84"/>
  <c r="F370" i="84"/>
  <c r="G370" i="84"/>
  <c r="F369" i="84"/>
  <c r="I368" i="84"/>
  <c r="F368" i="84"/>
  <c r="F367" i="84"/>
  <c r="G367" i="84"/>
  <c r="G366" i="84"/>
  <c r="F366" i="84"/>
  <c r="I366" i="84"/>
  <c r="F365" i="84"/>
  <c r="G365" i="84"/>
  <c r="G364" i="84"/>
  <c r="F364" i="84"/>
  <c r="H364" i="84"/>
  <c r="F363" i="84"/>
  <c r="J363" i="84"/>
  <c r="I362" i="84"/>
  <c r="F362" i="84"/>
  <c r="G362" i="84"/>
  <c r="F361" i="84"/>
  <c r="H360" i="84"/>
  <c r="F360" i="84"/>
  <c r="G360" i="84"/>
  <c r="F359" i="84"/>
  <c r="F358" i="84"/>
  <c r="F357" i="84"/>
  <c r="G357" i="84"/>
  <c r="F356" i="84"/>
  <c r="F355" i="84"/>
  <c r="H355" i="84"/>
  <c r="F354" i="84"/>
  <c r="G354" i="84"/>
  <c r="F353" i="84"/>
  <c r="F352" i="84"/>
  <c r="G352" i="84"/>
  <c r="H351" i="84"/>
  <c r="F351" i="84"/>
  <c r="I351" i="84"/>
  <c r="F350" i="84"/>
  <c r="F349" i="84"/>
  <c r="G348" i="84"/>
  <c r="F348" i="84"/>
  <c r="F347" i="84"/>
  <c r="G347" i="84"/>
  <c r="F346" i="84"/>
  <c r="F345" i="84"/>
  <c r="H345" i="84"/>
  <c r="F344" i="84"/>
  <c r="F343" i="84"/>
  <c r="H343" i="84"/>
  <c r="F342" i="84"/>
  <c r="F341" i="84"/>
  <c r="F340" i="84"/>
  <c r="H339" i="84"/>
  <c r="F339" i="84"/>
  <c r="I339" i="84"/>
  <c r="F338" i="84"/>
  <c r="H338" i="84"/>
  <c r="F337" i="84"/>
  <c r="G337" i="84"/>
  <c r="F336" i="84"/>
  <c r="F335" i="84"/>
  <c r="H335" i="84"/>
  <c r="F334" i="84"/>
  <c r="I334" i="84"/>
  <c r="F333" i="84"/>
  <c r="I333" i="84"/>
  <c r="F332" i="84"/>
  <c r="F331" i="84"/>
  <c r="F330" i="84"/>
  <c r="G329" i="84"/>
  <c r="F329" i="84"/>
  <c r="H329" i="84"/>
  <c r="F328" i="84"/>
  <c r="I328" i="84"/>
  <c r="H327" i="84"/>
  <c r="F327" i="84"/>
  <c r="I327" i="84"/>
  <c r="F326" i="84"/>
  <c r="F325" i="84"/>
  <c r="H325" i="84"/>
  <c r="F324" i="84"/>
  <c r="F323" i="84"/>
  <c r="F322" i="84"/>
  <c r="F321" i="84"/>
  <c r="H321" i="84"/>
  <c r="G320" i="84"/>
  <c r="F320" i="84"/>
  <c r="I319" i="84"/>
  <c r="G319" i="84"/>
  <c r="F319" i="84"/>
  <c r="H319" i="84"/>
  <c r="J319" i="84"/>
  <c r="F318" i="84"/>
  <c r="H318" i="84"/>
  <c r="F317" i="84"/>
  <c r="F316" i="84"/>
  <c r="F315" i="84"/>
  <c r="F314" i="84"/>
  <c r="G314" i="84"/>
  <c r="F313" i="84"/>
  <c r="F312" i="84"/>
  <c r="F311" i="84"/>
  <c r="H311" i="84"/>
  <c r="F310" i="84"/>
  <c r="F309" i="84"/>
  <c r="G309" i="84"/>
  <c r="F308" i="84"/>
  <c r="G308" i="84"/>
  <c r="F307" i="84"/>
  <c r="F306" i="84"/>
  <c r="F305" i="84"/>
  <c r="F304" i="84"/>
  <c r="I304" i="84"/>
  <c r="F303" i="84"/>
  <c r="F302" i="84"/>
  <c r="F301" i="84"/>
  <c r="J301" i="84"/>
  <c r="F300" i="84"/>
  <c r="I299" i="84"/>
  <c r="G299" i="84"/>
  <c r="F299" i="84"/>
  <c r="H299" i="84"/>
  <c r="J299" i="84"/>
  <c r="F298" i="84"/>
  <c r="F297" i="84"/>
  <c r="F296" i="84"/>
  <c r="I295" i="84"/>
  <c r="F295" i="84"/>
  <c r="H295" i="84"/>
  <c r="J295" i="84"/>
  <c r="F294" i="84"/>
  <c r="F293" i="84"/>
  <c r="F292" i="84"/>
  <c r="H291" i="84"/>
  <c r="F291" i="84"/>
  <c r="G291" i="84"/>
  <c r="F290" i="84"/>
  <c r="F289" i="84"/>
  <c r="H289" i="84"/>
  <c r="G288" i="84"/>
  <c r="F288" i="84"/>
  <c r="G287" i="84"/>
  <c r="F287" i="84"/>
  <c r="H287" i="84"/>
  <c r="F286" i="84"/>
  <c r="F285" i="84"/>
  <c r="F284" i="84"/>
  <c r="H284" i="84"/>
  <c r="F283" i="84"/>
  <c r="F282" i="84"/>
  <c r="F281" i="84"/>
  <c r="F280" i="84"/>
  <c r="J280" i="84"/>
  <c r="F279" i="84"/>
  <c r="F278" i="84"/>
  <c r="F277" i="84"/>
  <c r="F276" i="84"/>
  <c r="F275" i="84"/>
  <c r="H275" i="84"/>
  <c r="F274" i="84"/>
  <c r="F273" i="84"/>
  <c r="I273" i="84"/>
  <c r="F272" i="84"/>
  <c r="F271" i="84"/>
  <c r="F270" i="84"/>
  <c r="F269" i="84"/>
  <c r="J269" i="84"/>
  <c r="F268" i="84"/>
  <c r="F267" i="84"/>
  <c r="F266" i="84"/>
  <c r="H266" i="84"/>
  <c r="F265" i="84"/>
  <c r="F264" i="84"/>
  <c r="F263" i="84"/>
  <c r="F262" i="84"/>
  <c r="G262" i="84"/>
  <c r="I261" i="84"/>
  <c r="F261" i="84"/>
  <c r="F260" i="84"/>
  <c r="F259" i="84"/>
  <c r="F258" i="84"/>
  <c r="F257" i="84"/>
  <c r="H257" i="84"/>
  <c r="F256" i="84"/>
  <c r="H256" i="84"/>
  <c r="F255" i="84"/>
  <c r="I255" i="84"/>
  <c r="F254" i="84"/>
  <c r="F253" i="84"/>
  <c r="F252" i="84"/>
  <c r="G251" i="84"/>
  <c r="F251" i="84"/>
  <c r="I251" i="84"/>
  <c r="F250" i="84"/>
  <c r="I249" i="84"/>
  <c r="F249" i="84"/>
  <c r="G249" i="84"/>
  <c r="F248" i="84"/>
  <c r="H247" i="84"/>
  <c r="F247" i="84"/>
  <c r="G247" i="84"/>
  <c r="J247" i="84"/>
  <c r="F246" i="84"/>
  <c r="J246" i="84"/>
  <c r="F245" i="84"/>
  <c r="I245" i="84"/>
  <c r="F244" i="84"/>
  <c r="H244" i="84"/>
  <c r="F243" i="84"/>
  <c r="F242" i="84"/>
  <c r="G242" i="84"/>
  <c r="F241" i="84"/>
  <c r="F240" i="84"/>
  <c r="G239" i="84"/>
  <c r="F239" i="84"/>
  <c r="I239" i="84"/>
  <c r="F238" i="84"/>
  <c r="H238" i="84"/>
  <c r="F237" i="84"/>
  <c r="F236" i="84"/>
  <c r="F235" i="84"/>
  <c r="F234" i="84"/>
  <c r="F233" i="84"/>
  <c r="J233" i="84"/>
  <c r="F232" i="84"/>
  <c r="F231" i="84"/>
  <c r="F230" i="84"/>
  <c r="J230" i="84"/>
  <c r="F229" i="84"/>
  <c r="J229" i="84"/>
  <c r="F228" i="84"/>
  <c r="H227" i="84"/>
  <c r="F227" i="84"/>
  <c r="G227" i="84"/>
  <c r="F226" i="84"/>
  <c r="H226" i="84"/>
  <c r="F225" i="84"/>
  <c r="J225" i="84"/>
  <c r="F224" i="84"/>
  <c r="I223" i="84"/>
  <c r="G223" i="84"/>
  <c r="F223" i="84"/>
  <c r="H223" i="84"/>
  <c r="J223" i="84"/>
  <c r="F222" i="84"/>
  <c r="J222" i="84"/>
  <c r="F221" i="84"/>
  <c r="F220" i="84"/>
  <c r="G220" i="84"/>
  <c r="F219" i="84"/>
  <c r="F218" i="84"/>
  <c r="J218" i="84"/>
  <c r="F217" i="84"/>
  <c r="J217" i="84"/>
  <c r="F216" i="84"/>
  <c r="F215" i="84"/>
  <c r="H215" i="84"/>
  <c r="F214" i="84"/>
  <c r="F213" i="84"/>
  <c r="I213" i="84"/>
  <c r="F212" i="84"/>
  <c r="I212" i="84"/>
  <c r="H211" i="84"/>
  <c r="F211" i="84"/>
  <c r="I211" i="84"/>
  <c r="G211" i="84"/>
  <c r="F210" i="84"/>
  <c r="F209" i="84"/>
  <c r="F208" i="84"/>
  <c r="F207" i="84"/>
  <c r="I206" i="84"/>
  <c r="F206" i="84"/>
  <c r="J206" i="84"/>
  <c r="F205" i="84"/>
  <c r="F204" i="84"/>
  <c r="I203" i="84"/>
  <c r="F203" i="84"/>
  <c r="G203" i="84"/>
  <c r="H203" i="84"/>
  <c r="J202" i="84"/>
  <c r="F202" i="84"/>
  <c r="F201" i="84"/>
  <c r="H200" i="84"/>
  <c r="F200" i="84"/>
  <c r="I200" i="84"/>
  <c r="F199" i="84"/>
  <c r="F198" i="84"/>
  <c r="F197" i="84"/>
  <c r="J197" i="84"/>
  <c r="F196" i="84"/>
  <c r="H196" i="84"/>
  <c r="F195" i="84"/>
  <c r="F194" i="84"/>
  <c r="F193" i="84"/>
  <c r="I192" i="84"/>
  <c r="G192" i="84"/>
  <c r="F192" i="84"/>
  <c r="H192" i="84"/>
  <c r="J192" i="84"/>
  <c r="H191" i="84"/>
  <c r="F191" i="84"/>
  <c r="I191" i="84"/>
  <c r="G191" i="84"/>
  <c r="F190" i="84"/>
  <c r="F189" i="84"/>
  <c r="F188" i="84"/>
  <c r="G188" i="84"/>
  <c r="F187" i="84"/>
  <c r="H187" i="84"/>
  <c r="F186" i="84"/>
  <c r="F185" i="84"/>
  <c r="G185" i="84"/>
  <c r="H184" i="84"/>
  <c r="F184" i="84"/>
  <c r="G184" i="84"/>
  <c r="F183" i="84"/>
  <c r="F182" i="84"/>
  <c r="F181" i="84"/>
  <c r="J181" i="84"/>
  <c r="F180" i="84"/>
  <c r="F179" i="84"/>
  <c r="F178" i="84"/>
  <c r="I178" i="84"/>
  <c r="F177" i="84"/>
  <c r="I176" i="84"/>
  <c r="F176" i="84"/>
  <c r="G176" i="84"/>
  <c r="F175" i="84"/>
  <c r="F174" i="84"/>
  <c r="I174" i="84"/>
  <c r="F173" i="84"/>
  <c r="F172" i="84"/>
  <c r="I172" i="84"/>
  <c r="F171" i="84"/>
  <c r="F170" i="84"/>
  <c r="J170" i="84"/>
  <c r="F169" i="84"/>
  <c r="F168" i="84"/>
  <c r="H167" i="84"/>
  <c r="F167" i="84"/>
  <c r="I167" i="84"/>
  <c r="G167" i="84"/>
  <c r="F166" i="84"/>
  <c r="J165" i="84"/>
  <c r="F165" i="84"/>
  <c r="H164" i="84"/>
  <c r="F164" i="84"/>
  <c r="F163" i="84"/>
  <c r="I163" i="84"/>
  <c r="F162" i="84"/>
  <c r="F161" i="84"/>
  <c r="H161" i="84"/>
  <c r="F160" i="84"/>
  <c r="F159" i="84"/>
  <c r="I159" i="84"/>
  <c r="F158" i="84"/>
  <c r="I158" i="84"/>
  <c r="F157" i="84"/>
  <c r="F156" i="84"/>
  <c r="J156" i="84"/>
  <c r="F155" i="84"/>
  <c r="G155" i="84"/>
  <c r="F154" i="84"/>
  <c r="F153" i="84"/>
  <c r="J153" i="84"/>
  <c r="I152" i="84"/>
  <c r="F152" i="84"/>
  <c r="G152" i="84"/>
  <c r="F151" i="84"/>
  <c r="F150" i="84"/>
  <c r="H150" i="84"/>
  <c r="F149" i="84"/>
  <c r="J149" i="84"/>
  <c r="F148" i="84"/>
  <c r="F147" i="84"/>
  <c r="F146" i="84"/>
  <c r="J145" i="84"/>
  <c r="F145" i="84"/>
  <c r="I144" i="84"/>
  <c r="F144" i="84"/>
  <c r="G144" i="84"/>
  <c r="F143" i="84"/>
  <c r="F142" i="84"/>
  <c r="F141" i="84"/>
  <c r="I140" i="84"/>
  <c r="F140" i="84"/>
  <c r="G140" i="84"/>
  <c r="F139" i="84"/>
  <c r="F138" i="84"/>
  <c r="H138" i="84"/>
  <c r="F137" i="84"/>
  <c r="J137" i="84"/>
  <c r="F136" i="84"/>
  <c r="F135" i="84"/>
  <c r="F134" i="84"/>
  <c r="H134" i="84"/>
  <c r="F133" i="84"/>
  <c r="F132" i="84"/>
  <c r="H132" i="84"/>
  <c r="F131" i="84"/>
  <c r="F130" i="84"/>
  <c r="F129" i="84"/>
  <c r="F128" i="84"/>
  <c r="H128" i="84"/>
  <c r="F127" i="84"/>
  <c r="G127" i="84"/>
  <c r="F126" i="84"/>
  <c r="H126" i="84"/>
  <c r="F125" i="84"/>
  <c r="J125" i="84"/>
  <c r="G124" i="84"/>
  <c r="F124" i="84"/>
  <c r="I124" i="84"/>
  <c r="F123" i="84"/>
  <c r="F122" i="84"/>
  <c r="I122" i="84"/>
  <c r="F121" i="84"/>
  <c r="J121" i="84"/>
  <c r="F120" i="84"/>
  <c r="F119" i="84"/>
  <c r="F118" i="84"/>
  <c r="J117" i="84"/>
  <c r="F117" i="84"/>
  <c r="G116" i="84"/>
  <c r="F116" i="84"/>
  <c r="I116" i="84"/>
  <c r="F115" i="84"/>
  <c r="F114" i="84"/>
  <c r="F113" i="84"/>
  <c r="F112" i="84"/>
  <c r="I112" i="84"/>
  <c r="F111" i="84"/>
  <c r="I111" i="84"/>
  <c r="F110" i="84"/>
  <c r="F109" i="84"/>
  <c r="G108" i="84"/>
  <c r="F108" i="84"/>
  <c r="I108" i="84"/>
  <c r="F107" i="84"/>
  <c r="F106" i="84"/>
  <c r="J105" i="84"/>
  <c r="F105" i="84"/>
  <c r="F104" i="84"/>
  <c r="F103" i="84"/>
  <c r="F102" i="84"/>
  <c r="F101" i="84"/>
  <c r="F100" i="84"/>
  <c r="F99" i="84"/>
  <c r="F98" i="84"/>
  <c r="F97" i="84"/>
  <c r="F96" i="84"/>
  <c r="F95" i="84"/>
  <c r="F94" i="84"/>
  <c r="H94" i="84"/>
  <c r="F93" i="84"/>
  <c r="H93" i="84"/>
  <c r="F92" i="84"/>
  <c r="F91" i="84"/>
  <c r="I91" i="84"/>
  <c r="F90" i="84"/>
  <c r="I90" i="84"/>
  <c r="F89" i="84"/>
  <c r="J89" i="84"/>
  <c r="G88" i="84"/>
  <c r="F88" i="84"/>
  <c r="I88" i="84"/>
  <c r="F87" i="84"/>
  <c r="F86" i="84"/>
  <c r="J85" i="84"/>
  <c r="F85" i="84"/>
  <c r="G84" i="84"/>
  <c r="F84" i="84"/>
  <c r="I84" i="84"/>
  <c r="F83" i="84"/>
  <c r="F82" i="84"/>
  <c r="F81" i="84"/>
  <c r="F80" i="84"/>
  <c r="I80" i="84"/>
  <c r="F79" i="84"/>
  <c r="G79" i="84"/>
  <c r="F78" i="84"/>
  <c r="F77" i="84"/>
  <c r="G76" i="84"/>
  <c r="F76" i="84"/>
  <c r="I76" i="84"/>
  <c r="F75" i="84"/>
  <c r="F74" i="84"/>
  <c r="J73" i="84"/>
  <c r="F73" i="84"/>
  <c r="I72" i="84"/>
  <c r="F72" i="84"/>
  <c r="F71" i="84"/>
  <c r="F70" i="84"/>
  <c r="H70" i="84"/>
  <c r="F69" i="84"/>
  <c r="F68" i="84"/>
  <c r="H68" i="84"/>
  <c r="F67" i="84"/>
  <c r="I67" i="84"/>
  <c r="F66" i="84"/>
  <c r="F65" i="84"/>
  <c r="I65" i="84"/>
  <c r="F64" i="84"/>
  <c r="F63" i="84"/>
  <c r="F62" i="84"/>
  <c r="H62" i="84"/>
  <c r="F61" i="84"/>
  <c r="J61" i="84"/>
  <c r="G60" i="84"/>
  <c r="F60" i="84"/>
  <c r="I60" i="84"/>
  <c r="F59" i="84"/>
  <c r="I59" i="84"/>
  <c r="F58" i="84"/>
  <c r="J57" i="84"/>
  <c r="F57" i="84"/>
  <c r="G56" i="84"/>
  <c r="F56" i="84"/>
  <c r="I56" i="84"/>
  <c r="F55" i="84"/>
  <c r="F54" i="84"/>
  <c r="F53" i="84"/>
  <c r="J53" i="84"/>
  <c r="F52" i="84"/>
  <c r="F51" i="84"/>
  <c r="F50" i="84"/>
  <c r="J49" i="84"/>
  <c r="F49" i="84"/>
  <c r="I48" i="84"/>
  <c r="F48" i="84"/>
  <c r="G48" i="84"/>
  <c r="F47" i="84"/>
  <c r="F46" i="84"/>
  <c r="F45" i="84"/>
  <c r="I44" i="84"/>
  <c r="F44" i="84"/>
  <c r="G44" i="84"/>
  <c r="F43" i="84"/>
  <c r="F42" i="84"/>
  <c r="J42" i="84"/>
  <c r="F41" i="84"/>
  <c r="J41" i="84"/>
  <c r="F40" i="84"/>
  <c r="F39" i="84"/>
  <c r="F38" i="84"/>
  <c r="H38" i="84"/>
  <c r="F37" i="84"/>
  <c r="F36" i="84"/>
  <c r="F35" i="84"/>
  <c r="I35" i="84"/>
  <c r="F34" i="84"/>
  <c r="F33" i="84"/>
  <c r="F32" i="84"/>
  <c r="F31" i="84"/>
  <c r="F30" i="84"/>
  <c r="J18" i="84"/>
  <c r="F26" i="84"/>
  <c r="F412" i="83"/>
  <c r="F411" i="83"/>
  <c r="F410" i="83"/>
  <c r="I410" i="83"/>
  <c r="H409" i="83"/>
  <c r="F409" i="83"/>
  <c r="G409" i="83"/>
  <c r="F408" i="83"/>
  <c r="F407" i="83"/>
  <c r="F406" i="83"/>
  <c r="F405" i="83"/>
  <c r="H405" i="83"/>
  <c r="I404" i="83"/>
  <c r="H404" i="83"/>
  <c r="F404" i="83"/>
  <c r="I403" i="83"/>
  <c r="H403" i="83"/>
  <c r="F403" i="83"/>
  <c r="F402" i="83"/>
  <c r="F401" i="83"/>
  <c r="I400" i="83"/>
  <c r="G400" i="83"/>
  <c r="F400" i="83"/>
  <c r="I399" i="83"/>
  <c r="F399" i="83"/>
  <c r="I398" i="83"/>
  <c r="F398" i="83"/>
  <c r="G398" i="83"/>
  <c r="F397" i="83"/>
  <c r="I396" i="83"/>
  <c r="H396" i="83"/>
  <c r="G396" i="83"/>
  <c r="F396" i="83"/>
  <c r="J396" i="83"/>
  <c r="F395" i="83"/>
  <c r="F394" i="83"/>
  <c r="I394" i="83"/>
  <c r="G393" i="83"/>
  <c r="F393" i="83"/>
  <c r="H393" i="83"/>
  <c r="F392" i="83"/>
  <c r="F391" i="83"/>
  <c r="F390" i="83"/>
  <c r="F389" i="83"/>
  <c r="H389" i="83"/>
  <c r="I388" i="83"/>
  <c r="F388" i="83"/>
  <c r="I387" i="83"/>
  <c r="F387" i="83"/>
  <c r="H387" i="83"/>
  <c r="F386" i="83"/>
  <c r="F385" i="83"/>
  <c r="H384" i="83"/>
  <c r="G384" i="83"/>
  <c r="F384" i="83"/>
  <c r="F383" i="83"/>
  <c r="I383" i="83"/>
  <c r="I382" i="83"/>
  <c r="G382" i="83"/>
  <c r="F382" i="83"/>
  <c r="F381" i="83"/>
  <c r="I380" i="83"/>
  <c r="H380" i="83"/>
  <c r="F380" i="83"/>
  <c r="F379" i="83"/>
  <c r="I378" i="83"/>
  <c r="F378" i="83"/>
  <c r="F377" i="83"/>
  <c r="H376" i="83"/>
  <c r="F376" i="83"/>
  <c r="F375" i="83"/>
  <c r="F374" i="83"/>
  <c r="F373" i="83"/>
  <c r="H373" i="83"/>
  <c r="H372" i="83"/>
  <c r="G372" i="83"/>
  <c r="F372" i="83"/>
  <c r="F371" i="83"/>
  <c r="F370" i="83"/>
  <c r="F369" i="83"/>
  <c r="I368" i="83"/>
  <c r="H368" i="83"/>
  <c r="G368" i="83"/>
  <c r="F368" i="83"/>
  <c r="J368" i="83"/>
  <c r="F367" i="83"/>
  <c r="I367" i="83"/>
  <c r="I366" i="83"/>
  <c r="F366" i="83"/>
  <c r="G366" i="83"/>
  <c r="F365" i="83"/>
  <c r="I364" i="83"/>
  <c r="G364" i="83"/>
  <c r="F364" i="83"/>
  <c r="F363" i="83"/>
  <c r="F362" i="83"/>
  <c r="I362" i="83"/>
  <c r="H361" i="83"/>
  <c r="G361" i="83"/>
  <c r="F361" i="83"/>
  <c r="I360" i="83"/>
  <c r="H360" i="83"/>
  <c r="G360" i="83"/>
  <c r="F360" i="83"/>
  <c r="J360" i="83"/>
  <c r="F359" i="83"/>
  <c r="F358" i="83"/>
  <c r="H357" i="83"/>
  <c r="F357" i="83"/>
  <c r="I356" i="83"/>
  <c r="H356" i="83"/>
  <c r="G356" i="83"/>
  <c r="F356" i="83"/>
  <c r="J356" i="83"/>
  <c r="I355" i="83"/>
  <c r="H355" i="83"/>
  <c r="F355" i="83"/>
  <c r="F354" i="83"/>
  <c r="F353" i="83"/>
  <c r="I352" i="83"/>
  <c r="F352" i="83"/>
  <c r="F351" i="83"/>
  <c r="I350" i="83"/>
  <c r="F350" i="83"/>
  <c r="G350" i="83"/>
  <c r="F349" i="83"/>
  <c r="H349" i="83"/>
  <c r="H348" i="83"/>
  <c r="F348" i="83"/>
  <c r="F347" i="83"/>
  <c r="F346" i="83"/>
  <c r="H345" i="83"/>
  <c r="G345" i="83"/>
  <c r="F345" i="83"/>
  <c r="I344" i="83"/>
  <c r="H344" i="83"/>
  <c r="G344" i="83"/>
  <c r="F344" i="83"/>
  <c r="J344" i="83"/>
  <c r="F343" i="83"/>
  <c r="F342" i="83"/>
  <c r="F341" i="83"/>
  <c r="H340" i="83"/>
  <c r="G340" i="83"/>
  <c r="F340" i="83"/>
  <c r="F339" i="83"/>
  <c r="I338" i="83"/>
  <c r="F338" i="83"/>
  <c r="F337" i="83"/>
  <c r="I336" i="83"/>
  <c r="H336" i="83"/>
  <c r="F336" i="83"/>
  <c r="F335" i="83"/>
  <c r="F334" i="83"/>
  <c r="G334" i="83"/>
  <c r="F333" i="83"/>
  <c r="F332" i="83"/>
  <c r="F331" i="83"/>
  <c r="F330" i="83"/>
  <c r="H329" i="83"/>
  <c r="G329" i="83"/>
  <c r="F329" i="83"/>
  <c r="F328" i="83"/>
  <c r="H328" i="83"/>
  <c r="I327" i="83"/>
  <c r="H327" i="83"/>
  <c r="F327" i="83"/>
  <c r="I326" i="83"/>
  <c r="H326" i="83"/>
  <c r="F326" i="83"/>
  <c r="F325" i="83"/>
  <c r="F324" i="83"/>
  <c r="G324" i="83"/>
  <c r="H323" i="83"/>
  <c r="F323" i="83"/>
  <c r="F322" i="83"/>
  <c r="I322" i="83"/>
  <c r="I321" i="83"/>
  <c r="G321" i="83"/>
  <c r="F321" i="83"/>
  <c r="F320" i="83"/>
  <c r="I319" i="83"/>
  <c r="F319" i="83"/>
  <c r="F318" i="83"/>
  <c r="H318" i="83"/>
  <c r="F317" i="83"/>
  <c r="I317" i="83"/>
  <c r="H316" i="83"/>
  <c r="G316" i="83"/>
  <c r="F316" i="83"/>
  <c r="I315" i="83"/>
  <c r="H315" i="83"/>
  <c r="G315" i="83"/>
  <c r="F315" i="83"/>
  <c r="J315" i="83"/>
  <c r="F314" i="83"/>
  <c r="F313" i="83"/>
  <c r="G313" i="83"/>
  <c r="F312" i="83"/>
  <c r="H312" i="83"/>
  <c r="F311" i="83"/>
  <c r="I310" i="83"/>
  <c r="H310" i="83"/>
  <c r="F310" i="83"/>
  <c r="F309" i="83"/>
  <c r="G308" i="83"/>
  <c r="F308" i="83"/>
  <c r="F307" i="83"/>
  <c r="F306" i="83"/>
  <c r="I306" i="83"/>
  <c r="I305" i="83"/>
  <c r="G305" i="83"/>
  <c r="F305" i="83"/>
  <c r="F304" i="83"/>
  <c r="F303" i="83"/>
  <c r="F302" i="83"/>
  <c r="H302" i="83"/>
  <c r="F301" i="83"/>
  <c r="I301" i="83"/>
  <c r="H300" i="83"/>
  <c r="G300" i="83"/>
  <c r="F300" i="83"/>
  <c r="I299" i="83"/>
  <c r="H299" i="83"/>
  <c r="G299" i="83"/>
  <c r="F299" i="83"/>
  <c r="J299" i="83"/>
  <c r="F298" i="83"/>
  <c r="G297" i="83"/>
  <c r="F297" i="83"/>
  <c r="F296" i="83"/>
  <c r="H296" i="83"/>
  <c r="I295" i="83"/>
  <c r="H295" i="83"/>
  <c r="F295" i="83"/>
  <c r="I294" i="83"/>
  <c r="H294" i="83"/>
  <c r="F294" i="83"/>
  <c r="F293" i="83"/>
  <c r="F292" i="83"/>
  <c r="G292" i="83"/>
  <c r="H291" i="83"/>
  <c r="F291" i="83"/>
  <c r="F290" i="83"/>
  <c r="I290" i="83"/>
  <c r="I289" i="83"/>
  <c r="G289" i="83"/>
  <c r="F289" i="83"/>
  <c r="F288" i="83"/>
  <c r="I287" i="83"/>
  <c r="F287" i="83"/>
  <c r="F286" i="83"/>
  <c r="H286" i="83"/>
  <c r="F285" i="83"/>
  <c r="I285" i="83"/>
  <c r="H284" i="83"/>
  <c r="G284" i="83"/>
  <c r="F284" i="83"/>
  <c r="I283" i="83"/>
  <c r="H283" i="83"/>
  <c r="G283" i="83"/>
  <c r="F283" i="83"/>
  <c r="J283" i="83"/>
  <c r="F282" i="83"/>
  <c r="F281" i="83"/>
  <c r="G281" i="83"/>
  <c r="F280" i="83"/>
  <c r="H280" i="83"/>
  <c r="F279" i="83"/>
  <c r="I278" i="83"/>
  <c r="H278" i="83"/>
  <c r="F278" i="83"/>
  <c r="F277" i="83"/>
  <c r="G276" i="83"/>
  <c r="F276" i="83"/>
  <c r="F275" i="83"/>
  <c r="F274" i="83"/>
  <c r="I274" i="83"/>
  <c r="I273" i="83"/>
  <c r="G273" i="83"/>
  <c r="F273" i="83"/>
  <c r="F272" i="83"/>
  <c r="H271" i="83"/>
  <c r="F271" i="83"/>
  <c r="F270" i="83"/>
  <c r="H270" i="83"/>
  <c r="F269" i="83"/>
  <c r="I269" i="83"/>
  <c r="H268" i="83"/>
  <c r="G268" i="83"/>
  <c r="F268" i="83"/>
  <c r="I267" i="83"/>
  <c r="H267" i="83"/>
  <c r="G267" i="83"/>
  <c r="F267" i="83"/>
  <c r="J267" i="83"/>
  <c r="F266" i="83"/>
  <c r="G265" i="83"/>
  <c r="F265" i="83"/>
  <c r="F264" i="83"/>
  <c r="H264" i="83"/>
  <c r="I263" i="83"/>
  <c r="H263" i="83"/>
  <c r="F263" i="83"/>
  <c r="I262" i="83"/>
  <c r="H262" i="83"/>
  <c r="F262" i="83"/>
  <c r="F261" i="83"/>
  <c r="F260" i="83"/>
  <c r="G260" i="83"/>
  <c r="H259" i="83"/>
  <c r="F259" i="83"/>
  <c r="F258" i="83"/>
  <c r="I258" i="83"/>
  <c r="I257" i="83"/>
  <c r="G257" i="83"/>
  <c r="F257" i="83"/>
  <c r="F256" i="83"/>
  <c r="I255" i="83"/>
  <c r="F255" i="83"/>
  <c r="H254" i="83"/>
  <c r="F254" i="83"/>
  <c r="F253" i="83"/>
  <c r="I253" i="83"/>
  <c r="H252" i="83"/>
  <c r="G252" i="83"/>
  <c r="F252" i="83"/>
  <c r="I251" i="83"/>
  <c r="H251" i="83"/>
  <c r="G251" i="83"/>
  <c r="F251" i="83"/>
  <c r="J251" i="83"/>
  <c r="F250" i="83"/>
  <c r="F249" i="83"/>
  <c r="G249" i="83"/>
  <c r="F248" i="83"/>
  <c r="H248" i="83"/>
  <c r="F247" i="83"/>
  <c r="I246" i="83"/>
  <c r="H246" i="83"/>
  <c r="F246" i="83"/>
  <c r="F245" i="83"/>
  <c r="G244" i="83"/>
  <c r="F244" i="83"/>
  <c r="G243" i="83"/>
  <c r="F243" i="83"/>
  <c r="F242" i="83"/>
  <c r="I242" i="83"/>
  <c r="I241" i="83"/>
  <c r="G241" i="83"/>
  <c r="F241" i="83"/>
  <c r="F240" i="83"/>
  <c r="F239" i="83"/>
  <c r="F238" i="83"/>
  <c r="H238" i="83"/>
  <c r="F237" i="83"/>
  <c r="I237" i="83"/>
  <c r="H236" i="83"/>
  <c r="G236" i="83"/>
  <c r="F236" i="83"/>
  <c r="I235" i="83"/>
  <c r="H235" i="83"/>
  <c r="G235" i="83"/>
  <c r="F235" i="83"/>
  <c r="J235" i="83"/>
  <c r="F234" i="83"/>
  <c r="G233" i="83"/>
  <c r="F233" i="83"/>
  <c r="F232" i="83"/>
  <c r="H232" i="83"/>
  <c r="I231" i="83"/>
  <c r="H231" i="83"/>
  <c r="F231" i="83"/>
  <c r="I230" i="83"/>
  <c r="H230" i="83"/>
  <c r="F230" i="83"/>
  <c r="F229" i="83"/>
  <c r="F228" i="83"/>
  <c r="G228" i="83"/>
  <c r="H227" i="83"/>
  <c r="F227" i="83"/>
  <c r="F226" i="83"/>
  <c r="I226" i="83"/>
  <c r="I225" i="83"/>
  <c r="G225" i="83"/>
  <c r="F225" i="83"/>
  <c r="F224" i="83"/>
  <c r="I223" i="83"/>
  <c r="F223" i="83"/>
  <c r="F222" i="83"/>
  <c r="H222" i="83"/>
  <c r="F221" i="83"/>
  <c r="H220" i="83"/>
  <c r="F220" i="83"/>
  <c r="F219" i="83"/>
  <c r="J218" i="83"/>
  <c r="G218" i="83"/>
  <c r="F218" i="83"/>
  <c r="I218" i="83"/>
  <c r="I217" i="83"/>
  <c r="H217" i="83"/>
  <c r="G217" i="83"/>
  <c r="F217" i="83"/>
  <c r="J217" i="83"/>
  <c r="J216" i="83"/>
  <c r="H216" i="83"/>
  <c r="F216" i="83"/>
  <c r="G216" i="83"/>
  <c r="F215" i="83"/>
  <c r="J214" i="83"/>
  <c r="F214" i="83"/>
  <c r="F213" i="83"/>
  <c r="J212" i="83"/>
  <c r="H212" i="83"/>
  <c r="F212" i="83"/>
  <c r="G212" i="83"/>
  <c r="J211" i="83"/>
  <c r="F211" i="83"/>
  <c r="H211" i="83"/>
  <c r="F210" i="83"/>
  <c r="F209" i="83"/>
  <c r="J208" i="83"/>
  <c r="F208" i="83"/>
  <c r="J207" i="83"/>
  <c r="G207" i="83"/>
  <c r="F207" i="83"/>
  <c r="H207" i="83"/>
  <c r="F206" i="83"/>
  <c r="H205" i="83"/>
  <c r="F205" i="83"/>
  <c r="H204" i="83"/>
  <c r="F204" i="83"/>
  <c r="F203" i="83"/>
  <c r="J202" i="83"/>
  <c r="G202" i="83"/>
  <c r="F202" i="83"/>
  <c r="I202" i="83"/>
  <c r="I201" i="83"/>
  <c r="H201" i="83"/>
  <c r="G201" i="83"/>
  <c r="F201" i="83"/>
  <c r="J201" i="83"/>
  <c r="F200" i="83"/>
  <c r="F199" i="83"/>
  <c r="F198" i="83"/>
  <c r="F197" i="83"/>
  <c r="J196" i="83"/>
  <c r="H196" i="83"/>
  <c r="F196" i="83"/>
  <c r="G196" i="83"/>
  <c r="J195" i="83"/>
  <c r="G195" i="83"/>
  <c r="F195" i="83"/>
  <c r="H195" i="83"/>
  <c r="F194" i="83"/>
  <c r="F193" i="83"/>
  <c r="J192" i="83"/>
  <c r="H192" i="83"/>
  <c r="F192" i="83"/>
  <c r="G192" i="83"/>
  <c r="F191" i="83"/>
  <c r="H191" i="83"/>
  <c r="F190" i="83"/>
  <c r="I189" i="83"/>
  <c r="G189" i="83"/>
  <c r="F189" i="83"/>
  <c r="F188" i="83"/>
  <c r="J187" i="83"/>
  <c r="G187" i="83"/>
  <c r="F187" i="83"/>
  <c r="H187" i="83"/>
  <c r="J186" i="83"/>
  <c r="G186" i="83"/>
  <c r="F186" i="83"/>
  <c r="I186" i="83"/>
  <c r="F185" i="83"/>
  <c r="F184" i="83"/>
  <c r="F183" i="83"/>
  <c r="J182" i="83"/>
  <c r="G182" i="83"/>
  <c r="F182" i="83"/>
  <c r="I182" i="83"/>
  <c r="I181" i="83"/>
  <c r="H181" i="83"/>
  <c r="G181" i="83"/>
  <c r="F181" i="83"/>
  <c r="J181" i="83"/>
  <c r="J180" i="83"/>
  <c r="F180" i="83"/>
  <c r="G180" i="83"/>
  <c r="F179" i="83"/>
  <c r="F178" i="83"/>
  <c r="I177" i="83"/>
  <c r="H177" i="83"/>
  <c r="F177" i="83"/>
  <c r="J176" i="83"/>
  <c r="H176" i="83"/>
  <c r="F176" i="83"/>
  <c r="G176" i="83"/>
  <c r="F175" i="83"/>
  <c r="H175" i="83"/>
  <c r="G174" i="83"/>
  <c r="F174" i="83"/>
  <c r="F173" i="83"/>
  <c r="F172" i="83"/>
  <c r="J171" i="83"/>
  <c r="G171" i="83"/>
  <c r="F171" i="83"/>
  <c r="H171" i="83"/>
  <c r="F170" i="83"/>
  <c r="I170" i="83"/>
  <c r="F169" i="83"/>
  <c r="H168" i="83"/>
  <c r="F168" i="83"/>
  <c r="F167" i="83"/>
  <c r="J166" i="83"/>
  <c r="G166" i="83"/>
  <c r="F166" i="83"/>
  <c r="I166" i="83"/>
  <c r="I165" i="83"/>
  <c r="H165" i="83"/>
  <c r="G165" i="83"/>
  <c r="F165" i="83"/>
  <c r="J165" i="83"/>
  <c r="J164" i="83"/>
  <c r="H164" i="83"/>
  <c r="F164" i="83"/>
  <c r="G164" i="83"/>
  <c r="F163" i="83"/>
  <c r="J162" i="83"/>
  <c r="F162" i="83"/>
  <c r="F161" i="83"/>
  <c r="J160" i="83"/>
  <c r="H160" i="83"/>
  <c r="F160" i="83"/>
  <c r="G160" i="83"/>
  <c r="J159" i="83"/>
  <c r="F159" i="83"/>
  <c r="H159" i="83"/>
  <c r="F158" i="83"/>
  <c r="F157" i="83"/>
  <c r="J156" i="83"/>
  <c r="F156" i="83"/>
  <c r="J155" i="83"/>
  <c r="G155" i="83"/>
  <c r="F155" i="83"/>
  <c r="H155" i="83"/>
  <c r="F154" i="83"/>
  <c r="I154" i="83"/>
  <c r="H153" i="83"/>
  <c r="F153" i="83"/>
  <c r="F152" i="83"/>
  <c r="F151" i="83"/>
  <c r="J150" i="83"/>
  <c r="G150" i="83"/>
  <c r="F150" i="83"/>
  <c r="I150" i="83"/>
  <c r="I149" i="83"/>
  <c r="H149" i="83"/>
  <c r="G149" i="83"/>
  <c r="F149" i="83"/>
  <c r="J149" i="83"/>
  <c r="F148" i="83"/>
  <c r="G148" i="83"/>
  <c r="F147" i="83"/>
  <c r="F146" i="83"/>
  <c r="F145" i="83"/>
  <c r="J144" i="83"/>
  <c r="H144" i="83"/>
  <c r="F144" i="83"/>
  <c r="G144" i="83"/>
  <c r="J143" i="83"/>
  <c r="G143" i="83"/>
  <c r="F143" i="83"/>
  <c r="H143" i="83"/>
  <c r="F142" i="83"/>
  <c r="I141" i="83"/>
  <c r="F141" i="83"/>
  <c r="F140" i="83"/>
  <c r="J139" i="83"/>
  <c r="G139" i="83"/>
  <c r="F139" i="83"/>
  <c r="H139" i="83"/>
  <c r="J138" i="83"/>
  <c r="F138" i="83"/>
  <c r="I138" i="83"/>
  <c r="H137" i="83"/>
  <c r="G137" i="83"/>
  <c r="F137" i="83"/>
  <c r="F136" i="83"/>
  <c r="J135" i="83"/>
  <c r="F135" i="83"/>
  <c r="J134" i="83"/>
  <c r="G134" i="83"/>
  <c r="F134" i="83"/>
  <c r="I134" i="83"/>
  <c r="I133" i="83"/>
  <c r="H133" i="83"/>
  <c r="G133" i="83"/>
  <c r="F133" i="83"/>
  <c r="J133" i="83"/>
  <c r="F132" i="83"/>
  <c r="G132" i="83"/>
  <c r="G131" i="83"/>
  <c r="F131" i="83"/>
  <c r="F130" i="83"/>
  <c r="I129" i="83"/>
  <c r="F129" i="83"/>
  <c r="J128" i="83"/>
  <c r="H128" i="83"/>
  <c r="F128" i="83"/>
  <c r="G128" i="83"/>
  <c r="F127" i="83"/>
  <c r="H127" i="83"/>
  <c r="F126" i="83"/>
  <c r="I125" i="83"/>
  <c r="G125" i="83"/>
  <c r="F125" i="83"/>
  <c r="F124" i="83"/>
  <c r="J123" i="83"/>
  <c r="G123" i="83"/>
  <c r="F123" i="83"/>
  <c r="H123" i="83"/>
  <c r="J122" i="83"/>
  <c r="G122" i="83"/>
  <c r="F122" i="83"/>
  <c r="I122" i="83"/>
  <c r="F121" i="83"/>
  <c r="F120" i="83"/>
  <c r="F119" i="83"/>
  <c r="J118" i="83"/>
  <c r="G118" i="83"/>
  <c r="F118" i="83"/>
  <c r="I118" i="83"/>
  <c r="I117" i="83"/>
  <c r="H117" i="83"/>
  <c r="G117" i="83"/>
  <c r="F117" i="83"/>
  <c r="J117" i="83"/>
  <c r="J116" i="83"/>
  <c r="F116" i="83"/>
  <c r="G116" i="83"/>
  <c r="F115" i="83"/>
  <c r="F114" i="83"/>
  <c r="I113" i="83"/>
  <c r="H113" i="83"/>
  <c r="F113" i="83"/>
  <c r="J112" i="83"/>
  <c r="H112" i="83"/>
  <c r="F112" i="83"/>
  <c r="G112" i="83"/>
  <c r="F111" i="83"/>
  <c r="H111" i="83"/>
  <c r="G110" i="83"/>
  <c r="F110" i="83"/>
  <c r="F109" i="83"/>
  <c r="F108" i="83"/>
  <c r="J107" i="83"/>
  <c r="G107" i="83"/>
  <c r="F107" i="83"/>
  <c r="H107" i="83"/>
  <c r="F106" i="83"/>
  <c r="I106" i="83"/>
  <c r="F105" i="83"/>
  <c r="H104" i="83"/>
  <c r="F104" i="83"/>
  <c r="F103" i="83"/>
  <c r="J102" i="83"/>
  <c r="G102" i="83"/>
  <c r="F102" i="83"/>
  <c r="I102" i="83"/>
  <c r="I101" i="83"/>
  <c r="H101" i="83"/>
  <c r="G101" i="83"/>
  <c r="F101" i="83"/>
  <c r="J101" i="83"/>
  <c r="J100" i="83"/>
  <c r="H100" i="83"/>
  <c r="F100" i="83"/>
  <c r="G100" i="83"/>
  <c r="F99" i="83"/>
  <c r="J98" i="83"/>
  <c r="F98" i="83"/>
  <c r="F97" i="83"/>
  <c r="J96" i="83"/>
  <c r="H96" i="83"/>
  <c r="F96" i="83"/>
  <c r="G96" i="83"/>
  <c r="J95" i="83"/>
  <c r="F95" i="83"/>
  <c r="H95" i="83"/>
  <c r="F94" i="83"/>
  <c r="F93" i="83"/>
  <c r="J92" i="83"/>
  <c r="F92" i="83"/>
  <c r="J91" i="83"/>
  <c r="G91" i="83"/>
  <c r="F91" i="83"/>
  <c r="H91" i="83"/>
  <c r="F90" i="83"/>
  <c r="I90" i="83"/>
  <c r="H89" i="83"/>
  <c r="F89" i="83"/>
  <c r="F88" i="83"/>
  <c r="F87" i="83"/>
  <c r="J86" i="83"/>
  <c r="G86" i="83"/>
  <c r="F86" i="83"/>
  <c r="I86" i="83"/>
  <c r="I85" i="83"/>
  <c r="H85" i="83"/>
  <c r="G85" i="83"/>
  <c r="F85" i="83"/>
  <c r="J85" i="83"/>
  <c r="F84" i="83"/>
  <c r="G84" i="83"/>
  <c r="F83" i="83"/>
  <c r="F82" i="83"/>
  <c r="F81" i="83"/>
  <c r="J80" i="83"/>
  <c r="H80" i="83"/>
  <c r="F80" i="83"/>
  <c r="G80" i="83"/>
  <c r="J79" i="83"/>
  <c r="G79" i="83"/>
  <c r="F79" i="83"/>
  <c r="H79" i="83"/>
  <c r="F78" i="83"/>
  <c r="I77" i="83"/>
  <c r="F77" i="83"/>
  <c r="F76" i="83"/>
  <c r="J75" i="83"/>
  <c r="G75" i="83"/>
  <c r="F75" i="83"/>
  <c r="H75" i="83"/>
  <c r="J74" i="83"/>
  <c r="F74" i="83"/>
  <c r="I74" i="83"/>
  <c r="H73" i="83"/>
  <c r="G73" i="83"/>
  <c r="F73" i="83"/>
  <c r="F72" i="83"/>
  <c r="J71" i="83"/>
  <c r="F71" i="83"/>
  <c r="J70" i="83"/>
  <c r="G70" i="83"/>
  <c r="F70" i="83"/>
  <c r="I70" i="83"/>
  <c r="I69" i="83"/>
  <c r="H69" i="83"/>
  <c r="G69" i="83"/>
  <c r="F69" i="83"/>
  <c r="J69" i="83"/>
  <c r="F68" i="83"/>
  <c r="G68" i="83"/>
  <c r="G67" i="83"/>
  <c r="F67" i="83"/>
  <c r="F66" i="83"/>
  <c r="I65" i="83"/>
  <c r="F65" i="83"/>
  <c r="J64" i="83"/>
  <c r="H64" i="83"/>
  <c r="F64" i="83"/>
  <c r="G64" i="83"/>
  <c r="F63" i="83"/>
  <c r="H63" i="83"/>
  <c r="F62" i="83"/>
  <c r="I61" i="83"/>
  <c r="G61" i="83"/>
  <c r="F61" i="83"/>
  <c r="F60" i="83"/>
  <c r="J59" i="83"/>
  <c r="G59" i="83"/>
  <c r="F59" i="83"/>
  <c r="H59" i="83"/>
  <c r="J58" i="83"/>
  <c r="G58" i="83"/>
  <c r="F58" i="83"/>
  <c r="I58" i="83"/>
  <c r="F57" i="83"/>
  <c r="F56" i="83"/>
  <c r="F55" i="83"/>
  <c r="J54" i="83"/>
  <c r="G54" i="83"/>
  <c r="F54" i="83"/>
  <c r="I54" i="83"/>
  <c r="I53" i="83"/>
  <c r="H53" i="83"/>
  <c r="G53" i="83"/>
  <c r="F53" i="83"/>
  <c r="J53" i="83"/>
  <c r="J52" i="83"/>
  <c r="F52" i="83"/>
  <c r="G52" i="83"/>
  <c r="F51" i="83"/>
  <c r="F50" i="83"/>
  <c r="I49" i="83"/>
  <c r="H49" i="83"/>
  <c r="F49" i="83"/>
  <c r="J48" i="83"/>
  <c r="H48" i="83"/>
  <c r="F48" i="83"/>
  <c r="G48" i="83"/>
  <c r="F47" i="83"/>
  <c r="H47" i="83"/>
  <c r="G46" i="83"/>
  <c r="F46" i="83"/>
  <c r="F45" i="83"/>
  <c r="F44" i="83"/>
  <c r="J43" i="83"/>
  <c r="G43" i="83"/>
  <c r="F43" i="83"/>
  <c r="H43" i="83"/>
  <c r="F42" i="83"/>
  <c r="I42" i="83"/>
  <c r="F41" i="83"/>
  <c r="H40" i="83"/>
  <c r="F40" i="83"/>
  <c r="F39" i="83"/>
  <c r="J38" i="83"/>
  <c r="G38" i="83"/>
  <c r="F38" i="83"/>
  <c r="I38" i="83"/>
  <c r="I37" i="83"/>
  <c r="H37" i="83"/>
  <c r="G37" i="83"/>
  <c r="F37" i="83"/>
  <c r="J37" i="83"/>
  <c r="J36" i="83"/>
  <c r="H36" i="83"/>
  <c r="F36" i="83"/>
  <c r="G36" i="83"/>
  <c r="F35" i="83"/>
  <c r="J34" i="83"/>
  <c r="F34" i="83"/>
  <c r="F33" i="83"/>
  <c r="J32" i="83"/>
  <c r="H32" i="83"/>
  <c r="F32" i="83"/>
  <c r="G32" i="83"/>
  <c r="J31" i="83"/>
  <c r="F31" i="83"/>
  <c r="H31" i="83"/>
  <c r="F30" i="83"/>
  <c r="F29" i="83"/>
  <c r="J28" i="83"/>
  <c r="F28" i="83"/>
  <c r="J27" i="83"/>
  <c r="G27" i="83"/>
  <c r="F27" i="83"/>
  <c r="H27" i="83"/>
  <c r="J18" i="83"/>
  <c r="F25" i="83"/>
  <c r="F412" i="82"/>
  <c r="F411" i="82"/>
  <c r="F410" i="82"/>
  <c r="F409" i="82"/>
  <c r="F408" i="82"/>
  <c r="F407" i="82"/>
  <c r="H407" i="82"/>
  <c r="I406" i="82"/>
  <c r="H406" i="82"/>
  <c r="F406" i="82"/>
  <c r="J406" i="82"/>
  <c r="F405" i="82"/>
  <c r="I404" i="82"/>
  <c r="F404" i="82"/>
  <c r="J404" i="82"/>
  <c r="F403" i="82"/>
  <c r="J403" i="82"/>
  <c r="F402" i="82"/>
  <c r="F401" i="82"/>
  <c r="H401" i="82"/>
  <c r="G400" i="82"/>
  <c r="F400" i="82"/>
  <c r="F399" i="82"/>
  <c r="H399" i="82"/>
  <c r="F398" i="82"/>
  <c r="F397" i="82"/>
  <c r="F396" i="82"/>
  <c r="F395" i="82"/>
  <c r="F394" i="82"/>
  <c r="J393" i="82"/>
  <c r="F393" i="82"/>
  <c r="H393" i="82"/>
  <c r="F392" i="82"/>
  <c r="G392" i="82"/>
  <c r="H391" i="82"/>
  <c r="F391" i="82"/>
  <c r="I390" i="82"/>
  <c r="H390" i="82"/>
  <c r="G390" i="82"/>
  <c r="F390" i="82"/>
  <c r="J390" i="82"/>
  <c r="F389" i="82"/>
  <c r="I388" i="82"/>
  <c r="G388" i="82"/>
  <c r="F388" i="82"/>
  <c r="J388" i="82"/>
  <c r="F387" i="82"/>
  <c r="H386" i="82"/>
  <c r="G386" i="82"/>
  <c r="F386" i="82"/>
  <c r="F385" i="82"/>
  <c r="H385" i="82"/>
  <c r="I384" i="82"/>
  <c r="G384" i="82"/>
  <c r="F384" i="82"/>
  <c r="J384" i="82"/>
  <c r="F383" i="82"/>
  <c r="H383" i="82"/>
  <c r="F382" i="82"/>
  <c r="J381" i="82"/>
  <c r="F381" i="82"/>
  <c r="H381" i="82"/>
  <c r="F380" i="82"/>
  <c r="F379" i="82"/>
  <c r="F378" i="82"/>
  <c r="F377" i="82"/>
  <c r="H377" i="82"/>
  <c r="F376" i="82"/>
  <c r="F375" i="82"/>
  <c r="H375" i="82"/>
  <c r="F374" i="82"/>
  <c r="F373" i="82"/>
  <c r="F372" i="82"/>
  <c r="F371" i="82"/>
  <c r="F370" i="82"/>
  <c r="G370" i="82"/>
  <c r="F369" i="82"/>
  <c r="H369" i="82"/>
  <c r="I368" i="82"/>
  <c r="F368" i="82"/>
  <c r="J368" i="82"/>
  <c r="F367" i="82"/>
  <c r="H367" i="82"/>
  <c r="F366" i="82"/>
  <c r="F365" i="82"/>
  <c r="I364" i="82"/>
  <c r="G364" i="82"/>
  <c r="F364" i="82"/>
  <c r="J364" i="82"/>
  <c r="F363" i="82"/>
  <c r="I362" i="82"/>
  <c r="H362" i="82"/>
  <c r="F362" i="82"/>
  <c r="F361" i="82"/>
  <c r="F360" i="82"/>
  <c r="J360" i="82"/>
  <c r="F359" i="82"/>
  <c r="F358" i="82"/>
  <c r="I358" i="82"/>
  <c r="F357" i="82"/>
  <c r="J357" i="82"/>
  <c r="F356" i="82"/>
  <c r="F355" i="82"/>
  <c r="J355" i="82"/>
  <c r="F354" i="82"/>
  <c r="F353" i="82"/>
  <c r="F352" i="82"/>
  <c r="J352" i="82"/>
  <c r="F351" i="82"/>
  <c r="F350" i="82"/>
  <c r="I350" i="82"/>
  <c r="J349" i="82"/>
  <c r="F349" i="82"/>
  <c r="F348" i="82"/>
  <c r="F347" i="82"/>
  <c r="J347" i="82"/>
  <c r="F346" i="82"/>
  <c r="F345" i="82"/>
  <c r="F344" i="82"/>
  <c r="J344" i="82"/>
  <c r="F343" i="82"/>
  <c r="H342" i="82"/>
  <c r="F342" i="82"/>
  <c r="G342" i="82"/>
  <c r="F341" i="82"/>
  <c r="J341" i="82"/>
  <c r="F340" i="82"/>
  <c r="F339" i="82"/>
  <c r="J339" i="82"/>
  <c r="I338" i="82"/>
  <c r="H338" i="82"/>
  <c r="F338" i="82"/>
  <c r="J338" i="82"/>
  <c r="F337" i="82"/>
  <c r="F336" i="82"/>
  <c r="J336" i="82"/>
  <c r="F335" i="82"/>
  <c r="I334" i="82"/>
  <c r="H334" i="82"/>
  <c r="G334" i="82"/>
  <c r="F334" i="82"/>
  <c r="J334" i="82"/>
  <c r="F333" i="82"/>
  <c r="J333" i="82"/>
  <c r="F332" i="82"/>
  <c r="F331" i="82"/>
  <c r="J331" i="82"/>
  <c r="F330" i="82"/>
  <c r="F329" i="82"/>
  <c r="J328" i="82"/>
  <c r="F328" i="82"/>
  <c r="F327" i="82"/>
  <c r="G327" i="82"/>
  <c r="F326" i="82"/>
  <c r="F325" i="82"/>
  <c r="F324" i="82"/>
  <c r="F323" i="82"/>
  <c r="F322" i="82"/>
  <c r="F321" i="82"/>
  <c r="F320" i="82"/>
  <c r="F319" i="82"/>
  <c r="G319" i="82"/>
  <c r="I318" i="82"/>
  <c r="F318" i="82"/>
  <c r="F317" i="82"/>
  <c r="F316" i="82"/>
  <c r="F315" i="82"/>
  <c r="F314" i="82"/>
  <c r="I314" i="82"/>
  <c r="I313" i="82"/>
  <c r="H313" i="82"/>
  <c r="F313" i="82"/>
  <c r="J313" i="82"/>
  <c r="F312" i="82"/>
  <c r="J312" i="82"/>
  <c r="F311" i="82"/>
  <c r="G311" i="82"/>
  <c r="H310" i="82"/>
  <c r="F310" i="82"/>
  <c r="I309" i="82"/>
  <c r="H309" i="82"/>
  <c r="F309" i="82"/>
  <c r="J309" i="82"/>
  <c r="F308" i="82"/>
  <c r="F307" i="82"/>
  <c r="H306" i="82"/>
  <c r="F306" i="82"/>
  <c r="I305" i="82"/>
  <c r="H305" i="82"/>
  <c r="F305" i="82"/>
  <c r="J305" i="82"/>
  <c r="F304" i="82"/>
  <c r="J303" i="82"/>
  <c r="G303" i="82"/>
  <c r="F303" i="82"/>
  <c r="F302" i="82"/>
  <c r="F301" i="82"/>
  <c r="J300" i="82"/>
  <c r="F300" i="82"/>
  <c r="I300" i="82"/>
  <c r="F299" i="82"/>
  <c r="J299" i="82"/>
  <c r="F298" i="82"/>
  <c r="G298" i="82"/>
  <c r="G297" i="82"/>
  <c r="F297" i="82"/>
  <c r="I297" i="82"/>
  <c r="F296" i="82"/>
  <c r="F295" i="82"/>
  <c r="H294" i="82"/>
  <c r="F294" i="82"/>
  <c r="I294" i="82"/>
  <c r="H293" i="82"/>
  <c r="G293" i="82"/>
  <c r="F293" i="82"/>
  <c r="F292" i="82"/>
  <c r="F291" i="82"/>
  <c r="H290" i="82"/>
  <c r="F290" i="82"/>
  <c r="F289" i="82"/>
  <c r="I289" i="82"/>
  <c r="J288" i="82"/>
  <c r="F288" i="82"/>
  <c r="I288" i="82"/>
  <c r="F287" i="82"/>
  <c r="G287" i="82"/>
  <c r="F286" i="82"/>
  <c r="F285" i="82"/>
  <c r="F284" i="82"/>
  <c r="F283" i="82"/>
  <c r="F282" i="82"/>
  <c r="I281" i="82"/>
  <c r="H281" i="82"/>
  <c r="G281" i="82"/>
  <c r="F281" i="82"/>
  <c r="J281" i="82"/>
  <c r="F280" i="82"/>
  <c r="F279" i="82"/>
  <c r="J278" i="82"/>
  <c r="F278" i="82"/>
  <c r="G278" i="82"/>
  <c r="F277" i="82"/>
  <c r="I277" i="82"/>
  <c r="H276" i="82"/>
  <c r="F276" i="82"/>
  <c r="F275" i="82"/>
  <c r="F274" i="82"/>
  <c r="J274" i="82"/>
  <c r="F273" i="82"/>
  <c r="G273" i="82"/>
  <c r="F272" i="82"/>
  <c r="G272" i="82"/>
  <c r="J271" i="82"/>
  <c r="F271" i="82"/>
  <c r="F270" i="82"/>
  <c r="F269" i="82"/>
  <c r="I268" i="82"/>
  <c r="F268" i="82"/>
  <c r="H268" i="82"/>
  <c r="J267" i="82"/>
  <c r="I267" i="82"/>
  <c r="F267" i="82"/>
  <c r="F266" i="82"/>
  <c r="H265" i="82"/>
  <c r="G265" i="82"/>
  <c r="F265" i="82"/>
  <c r="I265" i="82"/>
  <c r="I264" i="82"/>
  <c r="H264" i="82"/>
  <c r="G264" i="82"/>
  <c r="F264" i="82"/>
  <c r="J264" i="82"/>
  <c r="F263" i="82"/>
  <c r="J262" i="82"/>
  <c r="G262" i="82"/>
  <c r="F262" i="82"/>
  <c r="F261" i="82"/>
  <c r="F260" i="82"/>
  <c r="F259" i="82"/>
  <c r="F258" i="82"/>
  <c r="J258" i="82"/>
  <c r="F257" i="82"/>
  <c r="I256" i="82"/>
  <c r="H256" i="82"/>
  <c r="F256" i="82"/>
  <c r="F255" i="82"/>
  <c r="F254" i="82"/>
  <c r="J254" i="82"/>
  <c r="F253" i="82"/>
  <c r="G253" i="82"/>
  <c r="F252" i="82"/>
  <c r="I251" i="82"/>
  <c r="F251" i="82"/>
  <c r="J251" i="82"/>
  <c r="J250" i="82"/>
  <c r="F250" i="82"/>
  <c r="F249" i="82"/>
  <c r="H248" i="82"/>
  <c r="G248" i="82"/>
  <c r="F248" i="82"/>
  <c r="F247" i="82"/>
  <c r="J247" i="82"/>
  <c r="J246" i="82"/>
  <c r="G246" i="82"/>
  <c r="F246" i="82"/>
  <c r="F245" i="82"/>
  <c r="I244" i="82"/>
  <c r="G244" i="82"/>
  <c r="F244" i="82"/>
  <c r="F243" i="82"/>
  <c r="J243" i="82"/>
  <c r="F242" i="82"/>
  <c r="J242" i="82"/>
  <c r="F241" i="82"/>
  <c r="I240" i="82"/>
  <c r="F240" i="82"/>
  <c r="J239" i="82"/>
  <c r="F239" i="82"/>
  <c r="F238" i="82"/>
  <c r="J238" i="82"/>
  <c r="H237" i="82"/>
  <c r="F237" i="82"/>
  <c r="F236" i="82"/>
  <c r="H236" i="82"/>
  <c r="F235" i="82"/>
  <c r="F234" i="82"/>
  <c r="F233" i="82"/>
  <c r="F232" i="82"/>
  <c r="G232" i="82"/>
  <c r="F231" i="82"/>
  <c r="J231" i="82"/>
  <c r="F230" i="82"/>
  <c r="F229" i="82"/>
  <c r="I228" i="82"/>
  <c r="F228" i="82"/>
  <c r="H228" i="82"/>
  <c r="F227" i="82"/>
  <c r="J227" i="82"/>
  <c r="F226" i="82"/>
  <c r="J226" i="82"/>
  <c r="F225" i="82"/>
  <c r="H224" i="82"/>
  <c r="F224" i="82"/>
  <c r="F223" i="82"/>
  <c r="F222" i="82"/>
  <c r="J222" i="82"/>
  <c r="F221" i="82"/>
  <c r="F220" i="82"/>
  <c r="J219" i="82"/>
  <c r="I219" i="82"/>
  <c r="F219" i="82"/>
  <c r="J218" i="82"/>
  <c r="F218" i="82"/>
  <c r="H217" i="82"/>
  <c r="F217" i="82"/>
  <c r="F216" i="82"/>
  <c r="F215" i="82"/>
  <c r="J215" i="82"/>
  <c r="J214" i="82"/>
  <c r="F214" i="82"/>
  <c r="G214" i="82"/>
  <c r="H213" i="82"/>
  <c r="F213" i="82"/>
  <c r="I213" i="82"/>
  <c r="H212" i="82"/>
  <c r="G212" i="82"/>
  <c r="F212" i="82"/>
  <c r="F211" i="82"/>
  <c r="F210" i="82"/>
  <c r="J210" i="82"/>
  <c r="G209" i="82"/>
  <c r="F209" i="82"/>
  <c r="F208" i="82"/>
  <c r="F207" i="82"/>
  <c r="J207" i="82"/>
  <c r="F206" i="82"/>
  <c r="F205" i="82"/>
  <c r="F204" i="82"/>
  <c r="J203" i="82"/>
  <c r="I203" i="82"/>
  <c r="F203" i="82"/>
  <c r="F202" i="82"/>
  <c r="H201" i="82"/>
  <c r="G201" i="82"/>
  <c r="F201" i="82"/>
  <c r="I201" i="82"/>
  <c r="I200" i="82"/>
  <c r="H200" i="82"/>
  <c r="G200" i="82"/>
  <c r="F200" i="82"/>
  <c r="J200" i="82"/>
  <c r="F199" i="82"/>
  <c r="F198" i="82"/>
  <c r="I198" i="82"/>
  <c r="F197" i="82"/>
  <c r="H197" i="82"/>
  <c r="F196" i="82"/>
  <c r="G196" i="82"/>
  <c r="F195" i="82"/>
  <c r="I195" i="82"/>
  <c r="F194" i="82"/>
  <c r="F193" i="82"/>
  <c r="H193" i="82"/>
  <c r="F192" i="82"/>
  <c r="F191" i="82"/>
  <c r="F190" i="82"/>
  <c r="I190" i="82"/>
  <c r="F189" i="82"/>
  <c r="F188" i="82"/>
  <c r="F187" i="82"/>
  <c r="I187" i="82"/>
  <c r="F186" i="82"/>
  <c r="F185" i="82"/>
  <c r="H185" i="82"/>
  <c r="I184" i="82"/>
  <c r="H184" i="82"/>
  <c r="G184" i="82"/>
  <c r="F184" i="82"/>
  <c r="J184" i="82"/>
  <c r="F183" i="82"/>
  <c r="F182" i="82"/>
  <c r="I182" i="82"/>
  <c r="F181" i="82"/>
  <c r="H181" i="82"/>
  <c r="F180" i="82"/>
  <c r="H180" i="82"/>
  <c r="F179" i="82"/>
  <c r="I179" i="82"/>
  <c r="F178" i="82"/>
  <c r="F177" i="82"/>
  <c r="H177" i="82"/>
  <c r="F176" i="82"/>
  <c r="G176" i="82"/>
  <c r="F175" i="82"/>
  <c r="F174" i="82"/>
  <c r="I174" i="82"/>
  <c r="F173" i="82"/>
  <c r="H173" i="82"/>
  <c r="F172" i="82"/>
  <c r="H172" i="82"/>
  <c r="F171" i="82"/>
  <c r="I171" i="82"/>
  <c r="F170" i="82"/>
  <c r="F169" i="82"/>
  <c r="H169" i="82"/>
  <c r="I168" i="82"/>
  <c r="H168" i="82"/>
  <c r="G168" i="82"/>
  <c r="F168" i="82"/>
  <c r="J168" i="82"/>
  <c r="F167" i="82"/>
  <c r="F166" i="82"/>
  <c r="I166" i="82"/>
  <c r="F165" i="82"/>
  <c r="F164" i="82"/>
  <c r="F163" i="82"/>
  <c r="I163" i="82"/>
  <c r="F162" i="82"/>
  <c r="F161" i="82"/>
  <c r="H161" i="82"/>
  <c r="F160" i="82"/>
  <c r="F159" i="82"/>
  <c r="F158" i="82"/>
  <c r="I158" i="82"/>
  <c r="F157" i="82"/>
  <c r="H157" i="82"/>
  <c r="F156" i="82"/>
  <c r="I156" i="82"/>
  <c r="F155" i="82"/>
  <c r="I155" i="82"/>
  <c r="F154" i="82"/>
  <c r="F153" i="82"/>
  <c r="H153" i="82"/>
  <c r="F152" i="82"/>
  <c r="F151" i="82"/>
  <c r="F150" i="82"/>
  <c r="I150" i="82"/>
  <c r="F149" i="82"/>
  <c r="I148" i="82"/>
  <c r="H148" i="82"/>
  <c r="G148" i="82"/>
  <c r="F148" i="82"/>
  <c r="J148" i="82"/>
  <c r="F147" i="82"/>
  <c r="I147" i="82"/>
  <c r="F146" i="82"/>
  <c r="F145" i="82"/>
  <c r="H145" i="82"/>
  <c r="F144" i="82"/>
  <c r="H144" i="82"/>
  <c r="F143" i="82"/>
  <c r="F142" i="82"/>
  <c r="F141" i="82"/>
  <c r="F140" i="82"/>
  <c r="J139" i="82"/>
  <c r="F139" i="82"/>
  <c r="F138" i="82"/>
  <c r="F137" i="82"/>
  <c r="G137" i="82"/>
  <c r="F136" i="82"/>
  <c r="F135" i="82"/>
  <c r="J134" i="82"/>
  <c r="H134" i="82"/>
  <c r="F134" i="82"/>
  <c r="I134" i="82"/>
  <c r="F133" i="82"/>
  <c r="F132" i="82"/>
  <c r="F131" i="82"/>
  <c r="F130" i="82"/>
  <c r="I129" i="82"/>
  <c r="F129" i="82"/>
  <c r="F128" i="82"/>
  <c r="F127" i="82"/>
  <c r="F126" i="82"/>
  <c r="I125" i="82"/>
  <c r="H125" i="82"/>
  <c r="F125" i="82"/>
  <c r="F124" i="82"/>
  <c r="G124" i="82"/>
  <c r="F123" i="82"/>
  <c r="F122" i="82"/>
  <c r="H122" i="82"/>
  <c r="F121" i="82"/>
  <c r="F120" i="82"/>
  <c r="F119" i="82"/>
  <c r="H119" i="82"/>
  <c r="F118" i="82"/>
  <c r="I118" i="82"/>
  <c r="F117" i="82"/>
  <c r="G117" i="82"/>
  <c r="I116" i="82"/>
  <c r="F116" i="82"/>
  <c r="F115" i="82"/>
  <c r="J115" i="82"/>
  <c r="F114" i="82"/>
  <c r="F113" i="82"/>
  <c r="J112" i="82"/>
  <c r="I112" i="82"/>
  <c r="F112" i="82"/>
  <c r="G112" i="82"/>
  <c r="F111" i="82"/>
  <c r="I111" i="82"/>
  <c r="J110" i="82"/>
  <c r="F110" i="82"/>
  <c r="F109" i="82"/>
  <c r="I109" i="82"/>
  <c r="F108" i="82"/>
  <c r="F107" i="82"/>
  <c r="H106" i="82"/>
  <c r="F106" i="82"/>
  <c r="F105" i="82"/>
  <c r="F104" i="82"/>
  <c r="J104" i="82"/>
  <c r="F103" i="82"/>
  <c r="F102" i="82"/>
  <c r="F101" i="82"/>
  <c r="F100" i="82"/>
  <c r="F99" i="82"/>
  <c r="F98" i="82"/>
  <c r="F97" i="82"/>
  <c r="J96" i="82"/>
  <c r="I96" i="82"/>
  <c r="F96" i="82"/>
  <c r="G96" i="82"/>
  <c r="F95" i="82"/>
  <c r="F94" i="82"/>
  <c r="F93" i="82"/>
  <c r="F92" i="82"/>
  <c r="J91" i="82"/>
  <c r="F91" i="82"/>
  <c r="F90" i="82"/>
  <c r="F89" i="82"/>
  <c r="F88" i="82"/>
  <c r="F87" i="82"/>
  <c r="H87" i="82"/>
  <c r="F86" i="82"/>
  <c r="F85" i="82"/>
  <c r="H85" i="82"/>
  <c r="F84" i="82"/>
  <c r="F83" i="82"/>
  <c r="J83" i="82"/>
  <c r="F82" i="82"/>
  <c r="F81" i="82"/>
  <c r="F80" i="82"/>
  <c r="I79" i="82"/>
  <c r="F79" i="82"/>
  <c r="F78" i="82"/>
  <c r="I77" i="82"/>
  <c r="F77" i="82"/>
  <c r="F76" i="82"/>
  <c r="F75" i="82"/>
  <c r="H75" i="82"/>
  <c r="F74" i="82"/>
  <c r="F73" i="82"/>
  <c r="I73" i="82"/>
  <c r="F72" i="82"/>
  <c r="F71" i="82"/>
  <c r="F70" i="82"/>
  <c r="H69" i="82"/>
  <c r="F69" i="82"/>
  <c r="I69" i="82"/>
  <c r="F68" i="82"/>
  <c r="F67" i="82"/>
  <c r="H67" i="82"/>
  <c r="H66" i="82"/>
  <c r="F66" i="82"/>
  <c r="F65" i="82"/>
  <c r="F64" i="82"/>
  <c r="F63" i="82"/>
  <c r="F62" i="82"/>
  <c r="I62" i="82"/>
  <c r="F61" i="82"/>
  <c r="F60" i="82"/>
  <c r="I60" i="82"/>
  <c r="F59" i="82"/>
  <c r="F58" i="82"/>
  <c r="J58" i="82"/>
  <c r="F57" i="82"/>
  <c r="J56" i="82"/>
  <c r="I56" i="82"/>
  <c r="F56" i="82"/>
  <c r="G56" i="82"/>
  <c r="F55" i="82"/>
  <c r="J54" i="82"/>
  <c r="F54" i="82"/>
  <c r="F53" i="82"/>
  <c r="J52" i="82"/>
  <c r="I52" i="82"/>
  <c r="F52" i="82"/>
  <c r="G52" i="82"/>
  <c r="F51" i="82"/>
  <c r="F50" i="82"/>
  <c r="F49" i="82"/>
  <c r="F48" i="82"/>
  <c r="J48" i="82"/>
  <c r="J47" i="82"/>
  <c r="I47" i="82"/>
  <c r="F47" i="82"/>
  <c r="H47" i="82"/>
  <c r="F46" i="82"/>
  <c r="I46" i="82"/>
  <c r="F45" i="82"/>
  <c r="F44" i="82"/>
  <c r="H44" i="82"/>
  <c r="F43" i="82"/>
  <c r="F42" i="82"/>
  <c r="F41" i="82"/>
  <c r="G41" i="82"/>
  <c r="F40" i="82"/>
  <c r="H40" i="82"/>
  <c r="H39" i="82"/>
  <c r="F39" i="82"/>
  <c r="F38" i="82"/>
  <c r="J38" i="82"/>
  <c r="F37" i="82"/>
  <c r="F36" i="82"/>
  <c r="H36" i="82"/>
  <c r="F35" i="82"/>
  <c r="G35" i="82"/>
  <c r="F34" i="82"/>
  <c r="I33" i="82"/>
  <c r="F33" i="82"/>
  <c r="G33" i="82"/>
  <c r="F32" i="82"/>
  <c r="H32" i="82"/>
  <c r="I31" i="82"/>
  <c r="F31" i="82"/>
  <c r="I30" i="82"/>
  <c r="H30" i="82"/>
  <c r="F30" i="82"/>
  <c r="J30" i="82"/>
  <c r="F29" i="82"/>
  <c r="F28" i="82"/>
  <c r="F26" i="82"/>
  <c r="J18" i="82"/>
  <c r="F412" i="81"/>
  <c r="F411" i="81"/>
  <c r="F410" i="81"/>
  <c r="I410" i="81"/>
  <c r="F409" i="81"/>
  <c r="G409" i="81"/>
  <c r="F408" i="81"/>
  <c r="J408" i="81"/>
  <c r="F407" i="81"/>
  <c r="F406" i="81"/>
  <c r="F405" i="81"/>
  <c r="H405" i="81"/>
  <c r="I404" i="81"/>
  <c r="F404" i="81"/>
  <c r="J404" i="81"/>
  <c r="I403" i="81"/>
  <c r="H403" i="81"/>
  <c r="F403" i="81"/>
  <c r="F402" i="81"/>
  <c r="F401" i="81"/>
  <c r="I400" i="81"/>
  <c r="F400" i="81"/>
  <c r="I399" i="81"/>
  <c r="F399" i="81"/>
  <c r="G398" i="81"/>
  <c r="F398" i="81"/>
  <c r="I398" i="81"/>
  <c r="F397" i="81"/>
  <c r="H396" i="81"/>
  <c r="G396" i="81"/>
  <c r="F396" i="81"/>
  <c r="J396" i="81"/>
  <c r="F395" i="81"/>
  <c r="F394" i="81"/>
  <c r="I394" i="81"/>
  <c r="F393" i="81"/>
  <c r="F392" i="81"/>
  <c r="F391" i="81"/>
  <c r="F390" i="81"/>
  <c r="F389" i="81"/>
  <c r="H389" i="81"/>
  <c r="I388" i="81"/>
  <c r="F388" i="81"/>
  <c r="I387" i="81"/>
  <c r="F387" i="81"/>
  <c r="H387" i="81"/>
  <c r="F386" i="81"/>
  <c r="F385" i="81"/>
  <c r="F384" i="81"/>
  <c r="F383" i="81"/>
  <c r="I383" i="81"/>
  <c r="I382" i="81"/>
  <c r="G382" i="81"/>
  <c r="F382" i="81"/>
  <c r="F381" i="81"/>
  <c r="I380" i="81"/>
  <c r="H380" i="81"/>
  <c r="F380" i="81"/>
  <c r="J380" i="81"/>
  <c r="F379" i="81"/>
  <c r="F378" i="81"/>
  <c r="I378" i="81"/>
  <c r="F377" i="81"/>
  <c r="H377" i="81"/>
  <c r="F376" i="81"/>
  <c r="G376" i="81"/>
  <c r="F375" i="81"/>
  <c r="F374" i="81"/>
  <c r="F373" i="81"/>
  <c r="H373" i="81"/>
  <c r="F372" i="81"/>
  <c r="G372" i="81"/>
  <c r="F371" i="81"/>
  <c r="F370" i="81"/>
  <c r="F369" i="81"/>
  <c r="F368" i="81"/>
  <c r="J368" i="81"/>
  <c r="F367" i="81"/>
  <c r="I367" i="81"/>
  <c r="I366" i="81"/>
  <c r="F366" i="81"/>
  <c r="G366" i="81"/>
  <c r="F365" i="81"/>
  <c r="F364" i="81"/>
  <c r="I364" i="81"/>
  <c r="F363" i="81"/>
  <c r="F362" i="81"/>
  <c r="I362" i="81"/>
  <c r="G361" i="81"/>
  <c r="F361" i="81"/>
  <c r="H361" i="81"/>
  <c r="H360" i="81"/>
  <c r="F360" i="81"/>
  <c r="J360" i="81"/>
  <c r="F359" i="81"/>
  <c r="F358" i="81"/>
  <c r="F357" i="81"/>
  <c r="G356" i="81"/>
  <c r="F356" i="81"/>
  <c r="F355" i="81"/>
  <c r="F354" i="81"/>
  <c r="G354" i="81"/>
  <c r="F353" i="81"/>
  <c r="F352" i="81"/>
  <c r="F351" i="81"/>
  <c r="I351" i="81"/>
  <c r="F350" i="81"/>
  <c r="I350" i="81"/>
  <c r="F349" i="81"/>
  <c r="G348" i="81"/>
  <c r="F348" i="81"/>
  <c r="J348" i="81"/>
  <c r="F347" i="81"/>
  <c r="H347" i="81"/>
  <c r="F346" i="81"/>
  <c r="F345" i="81"/>
  <c r="F344" i="81"/>
  <c r="I344" i="81"/>
  <c r="F343" i="81"/>
  <c r="H343" i="81"/>
  <c r="F342" i="81"/>
  <c r="H341" i="81"/>
  <c r="F341" i="81"/>
  <c r="F340" i="81"/>
  <c r="J340" i="81"/>
  <c r="F339" i="81"/>
  <c r="I339" i="81"/>
  <c r="F338" i="81"/>
  <c r="F337" i="81"/>
  <c r="G337" i="81"/>
  <c r="F336" i="81"/>
  <c r="I336" i="81"/>
  <c r="F335" i="81"/>
  <c r="F334" i="81"/>
  <c r="H333" i="81"/>
  <c r="F333" i="81"/>
  <c r="G333" i="81"/>
  <c r="F332" i="81"/>
  <c r="J332" i="81"/>
  <c r="F331" i="81"/>
  <c r="I330" i="81"/>
  <c r="F330" i="81"/>
  <c r="F329" i="81"/>
  <c r="H329" i="81"/>
  <c r="F328" i="81"/>
  <c r="F327" i="81"/>
  <c r="J327" i="81"/>
  <c r="F326" i="81"/>
  <c r="I326" i="81"/>
  <c r="I325" i="81"/>
  <c r="F325" i="81"/>
  <c r="G325" i="81"/>
  <c r="F324" i="81"/>
  <c r="F323" i="81"/>
  <c r="I323" i="81"/>
  <c r="F322" i="81"/>
  <c r="F321" i="81"/>
  <c r="I321" i="81"/>
  <c r="G320" i="81"/>
  <c r="F320" i="81"/>
  <c r="H320" i="81"/>
  <c r="H319" i="81"/>
  <c r="F319" i="81"/>
  <c r="J319" i="81"/>
  <c r="F318" i="81"/>
  <c r="F317" i="81"/>
  <c r="F316" i="81"/>
  <c r="H316" i="81"/>
  <c r="H315" i="81"/>
  <c r="G315" i="81"/>
  <c r="F315" i="81"/>
  <c r="J315" i="81"/>
  <c r="H314" i="81"/>
  <c r="F314" i="81"/>
  <c r="I314" i="81"/>
  <c r="F313" i="81"/>
  <c r="F312" i="81"/>
  <c r="F311" i="81"/>
  <c r="J311" i="81"/>
  <c r="F310" i="81"/>
  <c r="I310" i="81"/>
  <c r="F309" i="81"/>
  <c r="F308" i="81"/>
  <c r="F307" i="81"/>
  <c r="G307" i="81"/>
  <c r="F306" i="81"/>
  <c r="F305" i="81"/>
  <c r="I305" i="81"/>
  <c r="F304" i="81"/>
  <c r="G304" i="81"/>
  <c r="I303" i="81"/>
  <c r="H303" i="81"/>
  <c r="F303" i="81"/>
  <c r="J303" i="81"/>
  <c r="F302" i="81"/>
  <c r="F301" i="81"/>
  <c r="F300" i="81"/>
  <c r="H300" i="81"/>
  <c r="H299" i="81"/>
  <c r="F299" i="81"/>
  <c r="J299" i="81"/>
  <c r="I298" i="81"/>
  <c r="F298" i="81"/>
  <c r="H298" i="81"/>
  <c r="F297" i="81"/>
  <c r="F296" i="81"/>
  <c r="F295" i="81"/>
  <c r="I295" i="81"/>
  <c r="F294" i="81"/>
  <c r="I294" i="81"/>
  <c r="F293" i="81"/>
  <c r="I293" i="81"/>
  <c r="F292" i="81"/>
  <c r="H291" i="81"/>
  <c r="F291" i="81"/>
  <c r="J291" i="81"/>
  <c r="F290" i="81"/>
  <c r="F289" i="81"/>
  <c r="I289" i="81"/>
  <c r="F288" i="81"/>
  <c r="F287" i="81"/>
  <c r="I287" i="81"/>
  <c r="F286" i="81"/>
  <c r="F285" i="81"/>
  <c r="F284" i="81"/>
  <c r="H284" i="81"/>
  <c r="F283" i="81"/>
  <c r="F282" i="81"/>
  <c r="H282" i="81"/>
  <c r="F281" i="81"/>
  <c r="F280" i="81"/>
  <c r="F279" i="81"/>
  <c r="G279" i="81"/>
  <c r="F278" i="81"/>
  <c r="I278" i="81"/>
  <c r="F277" i="81"/>
  <c r="G277" i="81"/>
  <c r="F276" i="81"/>
  <c r="F275" i="81"/>
  <c r="J275" i="81"/>
  <c r="F274" i="81"/>
  <c r="I273" i="81"/>
  <c r="F273" i="81"/>
  <c r="F272" i="81"/>
  <c r="H272" i="81"/>
  <c r="F271" i="81"/>
  <c r="G271" i="81"/>
  <c r="F270" i="81"/>
  <c r="F269" i="81"/>
  <c r="F268" i="81"/>
  <c r="H268" i="81"/>
  <c r="F267" i="81"/>
  <c r="G267" i="81"/>
  <c r="F266" i="81"/>
  <c r="F265" i="81"/>
  <c r="F264" i="81"/>
  <c r="H263" i="81"/>
  <c r="G263" i="81"/>
  <c r="F263" i="81"/>
  <c r="J263" i="81"/>
  <c r="F262" i="81"/>
  <c r="I262" i="81"/>
  <c r="F261" i="81"/>
  <c r="G261" i="81"/>
  <c r="F260" i="81"/>
  <c r="F259" i="81"/>
  <c r="I259" i="81"/>
  <c r="F258" i="81"/>
  <c r="F257" i="81"/>
  <c r="I257" i="81"/>
  <c r="G256" i="81"/>
  <c r="F256" i="81"/>
  <c r="H256" i="81"/>
  <c r="H255" i="81"/>
  <c r="F255" i="81"/>
  <c r="J255" i="81"/>
  <c r="F254" i="81"/>
  <c r="F253" i="81"/>
  <c r="F252" i="81"/>
  <c r="H252" i="81"/>
  <c r="H251" i="81"/>
  <c r="G251" i="81"/>
  <c r="F251" i="81"/>
  <c r="J251" i="81"/>
  <c r="F250" i="81"/>
  <c r="I250" i="81"/>
  <c r="F249" i="81"/>
  <c r="F248" i="81"/>
  <c r="H247" i="81"/>
  <c r="F247" i="81"/>
  <c r="J247" i="81"/>
  <c r="F246" i="81"/>
  <c r="I246" i="81"/>
  <c r="F245" i="81"/>
  <c r="F244" i="81"/>
  <c r="F243" i="81"/>
  <c r="G243" i="81"/>
  <c r="F242" i="81"/>
  <c r="F241" i="81"/>
  <c r="I241" i="81"/>
  <c r="H240" i="81"/>
  <c r="F240" i="81"/>
  <c r="G240" i="81"/>
  <c r="I239" i="81"/>
  <c r="F239" i="81"/>
  <c r="J239" i="81"/>
  <c r="F238" i="81"/>
  <c r="F237" i="81"/>
  <c r="F236" i="81"/>
  <c r="H236" i="81"/>
  <c r="F235" i="81"/>
  <c r="J235" i="81"/>
  <c r="H234" i="81"/>
  <c r="F234" i="81"/>
  <c r="I234" i="81"/>
  <c r="F233" i="81"/>
  <c r="F232" i="81"/>
  <c r="F231" i="81"/>
  <c r="I231" i="81"/>
  <c r="F230" i="81"/>
  <c r="I230" i="81"/>
  <c r="F229" i="81"/>
  <c r="I229" i="81"/>
  <c r="F228" i="81"/>
  <c r="H227" i="81"/>
  <c r="G227" i="81"/>
  <c r="F227" i="81"/>
  <c r="J227" i="81"/>
  <c r="F226" i="81"/>
  <c r="F225" i="81"/>
  <c r="I225" i="81"/>
  <c r="F224" i="81"/>
  <c r="I223" i="81"/>
  <c r="F223" i="81"/>
  <c r="F222" i="81"/>
  <c r="F221" i="81"/>
  <c r="F220" i="81"/>
  <c r="G220" i="81"/>
  <c r="F219" i="81"/>
  <c r="H219" i="81"/>
  <c r="F218" i="81"/>
  <c r="I218" i="81"/>
  <c r="F217" i="81"/>
  <c r="I217" i="81"/>
  <c r="F216" i="81"/>
  <c r="G216" i="81"/>
  <c r="F215" i="81"/>
  <c r="H215" i="81"/>
  <c r="F214" i="81"/>
  <c r="I214" i="81"/>
  <c r="F213" i="81"/>
  <c r="J213" i="81"/>
  <c r="F212" i="81"/>
  <c r="G212" i="81"/>
  <c r="F211" i="81"/>
  <c r="H211" i="81"/>
  <c r="F210" i="81"/>
  <c r="I210" i="81"/>
  <c r="H209" i="81"/>
  <c r="F209" i="81"/>
  <c r="J209" i="81"/>
  <c r="F208" i="81"/>
  <c r="G208" i="81"/>
  <c r="F207" i="81"/>
  <c r="H207" i="81"/>
  <c r="F206" i="81"/>
  <c r="I206" i="81"/>
  <c r="G205" i="81"/>
  <c r="F205" i="81"/>
  <c r="F204" i="81"/>
  <c r="G204" i="81"/>
  <c r="F203" i="81"/>
  <c r="H203" i="81"/>
  <c r="F202" i="81"/>
  <c r="I202" i="81"/>
  <c r="F201" i="81"/>
  <c r="I201" i="81"/>
  <c r="F200" i="81"/>
  <c r="G200" i="81"/>
  <c r="F199" i="81"/>
  <c r="H199" i="81"/>
  <c r="F198" i="81"/>
  <c r="I198" i="81"/>
  <c r="I197" i="81"/>
  <c r="H197" i="81"/>
  <c r="F197" i="81"/>
  <c r="J197" i="81"/>
  <c r="F196" i="81"/>
  <c r="G196" i="81"/>
  <c r="F195" i="81"/>
  <c r="H195" i="81"/>
  <c r="F194" i="81"/>
  <c r="I194" i="81"/>
  <c r="G193" i="81"/>
  <c r="F193" i="81"/>
  <c r="J193" i="81"/>
  <c r="F192" i="81"/>
  <c r="G192" i="81"/>
  <c r="F191" i="81"/>
  <c r="H191" i="81"/>
  <c r="F190" i="81"/>
  <c r="I190" i="81"/>
  <c r="F189" i="81"/>
  <c r="F188" i="81"/>
  <c r="G188" i="81"/>
  <c r="F187" i="81"/>
  <c r="H187" i="81"/>
  <c r="F186" i="81"/>
  <c r="I186" i="81"/>
  <c r="F185" i="81"/>
  <c r="I185" i="81"/>
  <c r="F184" i="81"/>
  <c r="G184" i="81"/>
  <c r="F183" i="81"/>
  <c r="H183" i="81"/>
  <c r="F182" i="81"/>
  <c r="I182" i="81"/>
  <c r="I181" i="81"/>
  <c r="F181" i="81"/>
  <c r="J181" i="81"/>
  <c r="F180" i="81"/>
  <c r="G180" i="81"/>
  <c r="F179" i="81"/>
  <c r="H179" i="81"/>
  <c r="F178" i="81"/>
  <c r="I178" i="81"/>
  <c r="F177" i="81"/>
  <c r="J177" i="81"/>
  <c r="F176" i="81"/>
  <c r="G176" i="81"/>
  <c r="F175" i="81"/>
  <c r="H175" i="81"/>
  <c r="F174" i="81"/>
  <c r="I174" i="81"/>
  <c r="G173" i="81"/>
  <c r="F173" i="81"/>
  <c r="F172" i="81"/>
  <c r="G172" i="81"/>
  <c r="F171" i="81"/>
  <c r="H171" i="81"/>
  <c r="F170" i="81"/>
  <c r="I170" i="81"/>
  <c r="F169" i="81"/>
  <c r="I169" i="81"/>
  <c r="F168" i="81"/>
  <c r="G168" i="81"/>
  <c r="F167" i="81"/>
  <c r="H167" i="81"/>
  <c r="F166" i="81"/>
  <c r="I166" i="81"/>
  <c r="H165" i="81"/>
  <c r="F165" i="81"/>
  <c r="J165" i="81"/>
  <c r="F164" i="81"/>
  <c r="G164" i="81"/>
  <c r="F163" i="81"/>
  <c r="H163" i="81"/>
  <c r="F162" i="81"/>
  <c r="I162" i="81"/>
  <c r="H161" i="81"/>
  <c r="G161" i="81"/>
  <c r="F161" i="81"/>
  <c r="J161" i="81"/>
  <c r="F160" i="81"/>
  <c r="G160" i="81"/>
  <c r="F159" i="81"/>
  <c r="H159" i="81"/>
  <c r="F158" i="81"/>
  <c r="I158" i="81"/>
  <c r="F157" i="81"/>
  <c r="F156" i="81"/>
  <c r="G156" i="81"/>
  <c r="F155" i="81"/>
  <c r="H155" i="81"/>
  <c r="F154" i="81"/>
  <c r="I154" i="81"/>
  <c r="F153" i="81"/>
  <c r="I153" i="81"/>
  <c r="F152" i="81"/>
  <c r="G152" i="81"/>
  <c r="F151" i="81"/>
  <c r="H151" i="81"/>
  <c r="F150" i="81"/>
  <c r="I150" i="81"/>
  <c r="I149" i="81"/>
  <c r="H149" i="81"/>
  <c r="G149" i="81"/>
  <c r="F149" i="81"/>
  <c r="J149" i="81"/>
  <c r="F148" i="81"/>
  <c r="G148" i="81"/>
  <c r="F147" i="81"/>
  <c r="H147" i="81"/>
  <c r="F146" i="81"/>
  <c r="I146" i="81"/>
  <c r="G145" i="81"/>
  <c r="F145" i="81"/>
  <c r="J145" i="81"/>
  <c r="F144" i="81"/>
  <c r="G144" i="81"/>
  <c r="F143" i="81"/>
  <c r="H143" i="81"/>
  <c r="F142" i="81"/>
  <c r="I142" i="81"/>
  <c r="F141" i="81"/>
  <c r="G141" i="81"/>
  <c r="F140" i="81"/>
  <c r="G140" i="81"/>
  <c r="F139" i="81"/>
  <c r="H139" i="81"/>
  <c r="F138" i="81"/>
  <c r="I138" i="81"/>
  <c r="F137" i="81"/>
  <c r="F136" i="81"/>
  <c r="G136" i="81"/>
  <c r="F135" i="81"/>
  <c r="H135" i="81"/>
  <c r="F134" i="81"/>
  <c r="I134" i="81"/>
  <c r="I133" i="81"/>
  <c r="F133" i="81"/>
  <c r="J133" i="81"/>
  <c r="F132" i="81"/>
  <c r="G132" i="81"/>
  <c r="F131" i="81"/>
  <c r="H131" i="81"/>
  <c r="F130" i="81"/>
  <c r="I130" i="81"/>
  <c r="F129" i="81"/>
  <c r="J129" i="81"/>
  <c r="F128" i="81"/>
  <c r="G128" i="81"/>
  <c r="F127" i="81"/>
  <c r="H127" i="81"/>
  <c r="F126" i="81"/>
  <c r="I126" i="81"/>
  <c r="I125" i="81"/>
  <c r="G125" i="81"/>
  <c r="F125" i="81"/>
  <c r="J125" i="81"/>
  <c r="F124" i="81"/>
  <c r="G124" i="81"/>
  <c r="F123" i="81"/>
  <c r="H123" i="81"/>
  <c r="F122" i="81"/>
  <c r="I122" i="81"/>
  <c r="H121" i="81"/>
  <c r="G121" i="81"/>
  <c r="F121" i="81"/>
  <c r="J121" i="81"/>
  <c r="F120" i="81"/>
  <c r="G120" i="81"/>
  <c r="F119" i="81"/>
  <c r="H119" i="81"/>
  <c r="F118" i="81"/>
  <c r="I118" i="81"/>
  <c r="F117" i="81"/>
  <c r="J117" i="81"/>
  <c r="F116" i="81"/>
  <c r="G116" i="81"/>
  <c r="F115" i="81"/>
  <c r="H115" i="81"/>
  <c r="F114" i="81"/>
  <c r="I114" i="81"/>
  <c r="F113" i="81"/>
  <c r="J113" i="81"/>
  <c r="F112" i="81"/>
  <c r="G112" i="81"/>
  <c r="F111" i="81"/>
  <c r="H111" i="81"/>
  <c r="F110" i="81"/>
  <c r="I110" i="81"/>
  <c r="F109" i="81"/>
  <c r="J109" i="81"/>
  <c r="F108" i="81"/>
  <c r="G108" i="81"/>
  <c r="F107" i="81"/>
  <c r="H107" i="81"/>
  <c r="F106" i="81"/>
  <c r="I106" i="81"/>
  <c r="H105" i="81"/>
  <c r="F105" i="81"/>
  <c r="J105" i="81"/>
  <c r="F104" i="81"/>
  <c r="G104" i="81"/>
  <c r="F103" i="81"/>
  <c r="H103" i="81"/>
  <c r="F102" i="81"/>
  <c r="I102" i="81"/>
  <c r="G101" i="81"/>
  <c r="F101" i="81"/>
  <c r="J101" i="81"/>
  <c r="F100" i="81"/>
  <c r="G100" i="81"/>
  <c r="F99" i="81"/>
  <c r="H99" i="81"/>
  <c r="F98" i="81"/>
  <c r="I98" i="81"/>
  <c r="F97" i="81"/>
  <c r="J97" i="81"/>
  <c r="F96" i="81"/>
  <c r="G96" i="81"/>
  <c r="F95" i="81"/>
  <c r="H95" i="81"/>
  <c r="F94" i="81"/>
  <c r="I94" i="81"/>
  <c r="I93" i="81"/>
  <c r="H93" i="81"/>
  <c r="F93" i="81"/>
  <c r="J93" i="81"/>
  <c r="F92" i="81"/>
  <c r="G92" i="81"/>
  <c r="F91" i="81"/>
  <c r="H91" i="81"/>
  <c r="F90" i="81"/>
  <c r="I90" i="81"/>
  <c r="G89" i="81"/>
  <c r="F89" i="81"/>
  <c r="J89" i="81"/>
  <c r="F88" i="81"/>
  <c r="G88" i="81"/>
  <c r="F87" i="81"/>
  <c r="H87" i="81"/>
  <c r="F86" i="81"/>
  <c r="I86" i="81"/>
  <c r="F85" i="81"/>
  <c r="J85" i="81"/>
  <c r="F84" i="81"/>
  <c r="G84" i="81"/>
  <c r="F83" i="81"/>
  <c r="H83" i="81"/>
  <c r="F82" i="81"/>
  <c r="I82" i="81"/>
  <c r="F81" i="81"/>
  <c r="J81" i="81"/>
  <c r="F80" i="81"/>
  <c r="G80" i="81"/>
  <c r="F79" i="81"/>
  <c r="H79" i="81"/>
  <c r="F78" i="81"/>
  <c r="I78" i="81"/>
  <c r="I77" i="81"/>
  <c r="F77" i="81"/>
  <c r="J77" i="81"/>
  <c r="F76" i="81"/>
  <c r="G76" i="81"/>
  <c r="F75" i="81"/>
  <c r="H75" i="81"/>
  <c r="F74" i="81"/>
  <c r="I74" i="81"/>
  <c r="F73" i="81"/>
  <c r="J73" i="81"/>
  <c r="F72" i="81"/>
  <c r="G72" i="81"/>
  <c r="F71" i="81"/>
  <c r="H71" i="81"/>
  <c r="F70" i="81"/>
  <c r="I70" i="81"/>
  <c r="G69" i="81"/>
  <c r="F69" i="81"/>
  <c r="J69" i="81"/>
  <c r="F68" i="81"/>
  <c r="G68" i="81"/>
  <c r="F67" i="81"/>
  <c r="H67" i="81"/>
  <c r="F66" i="81"/>
  <c r="I66" i="81"/>
  <c r="F65" i="81"/>
  <c r="J65" i="81"/>
  <c r="F64" i="81"/>
  <c r="G64" i="81"/>
  <c r="F63" i="81"/>
  <c r="H63" i="81"/>
  <c r="F62" i="81"/>
  <c r="I62" i="81"/>
  <c r="H61" i="81"/>
  <c r="F61" i="81"/>
  <c r="J61" i="81"/>
  <c r="F60" i="81"/>
  <c r="G60" i="81"/>
  <c r="F59" i="81"/>
  <c r="H59" i="81"/>
  <c r="F58" i="81"/>
  <c r="I58" i="81"/>
  <c r="H57" i="81"/>
  <c r="G57" i="81"/>
  <c r="F57" i="81"/>
  <c r="J57" i="81"/>
  <c r="F56" i="81"/>
  <c r="G56" i="81"/>
  <c r="F55" i="81"/>
  <c r="H55" i="81"/>
  <c r="F54" i="81"/>
  <c r="I54" i="81"/>
  <c r="F53" i="81"/>
  <c r="J53" i="81"/>
  <c r="F52" i="81"/>
  <c r="G52" i="81"/>
  <c r="F51" i="81"/>
  <c r="H51" i="81"/>
  <c r="F50" i="81"/>
  <c r="I50" i="81"/>
  <c r="F49" i="81"/>
  <c r="J49" i="81"/>
  <c r="F48" i="81"/>
  <c r="G48" i="81"/>
  <c r="F47" i="81"/>
  <c r="H47" i="81"/>
  <c r="F46" i="81"/>
  <c r="I46" i="81"/>
  <c r="F45" i="81"/>
  <c r="J45" i="81"/>
  <c r="F44" i="81"/>
  <c r="G44" i="81"/>
  <c r="F43" i="81"/>
  <c r="H43" i="81"/>
  <c r="F42" i="81"/>
  <c r="I42" i="81"/>
  <c r="H41" i="81"/>
  <c r="F41" i="81"/>
  <c r="J41" i="81"/>
  <c r="F40" i="81"/>
  <c r="G40" i="81"/>
  <c r="F39" i="81"/>
  <c r="H39" i="81"/>
  <c r="F38" i="81"/>
  <c r="I38" i="81"/>
  <c r="G37" i="81"/>
  <c r="F37" i="81"/>
  <c r="J37" i="81"/>
  <c r="F36" i="81"/>
  <c r="G36" i="81"/>
  <c r="F35" i="81"/>
  <c r="H35" i="81"/>
  <c r="F34" i="81"/>
  <c r="I34" i="81"/>
  <c r="F33" i="81"/>
  <c r="J33" i="81"/>
  <c r="F32" i="81"/>
  <c r="G32" i="81"/>
  <c r="F31" i="81"/>
  <c r="H31" i="81"/>
  <c r="J18" i="81"/>
  <c r="F412" i="80"/>
  <c r="F411" i="80"/>
  <c r="F410" i="80"/>
  <c r="I410" i="80"/>
  <c r="H409" i="80"/>
  <c r="F409" i="80"/>
  <c r="G409" i="80"/>
  <c r="F408" i="80"/>
  <c r="F407" i="80"/>
  <c r="H407" i="80"/>
  <c r="F406" i="80"/>
  <c r="F405" i="80"/>
  <c r="H405" i="80"/>
  <c r="I404" i="80"/>
  <c r="H404" i="80"/>
  <c r="F404" i="80"/>
  <c r="I403" i="80"/>
  <c r="H403" i="80"/>
  <c r="F403" i="80"/>
  <c r="F402" i="80"/>
  <c r="G402" i="80"/>
  <c r="F401" i="80"/>
  <c r="I400" i="80"/>
  <c r="G400" i="80"/>
  <c r="F400" i="80"/>
  <c r="I399" i="80"/>
  <c r="F399" i="80"/>
  <c r="I398" i="80"/>
  <c r="F398" i="80"/>
  <c r="G398" i="80"/>
  <c r="F397" i="80"/>
  <c r="G397" i="80"/>
  <c r="I396" i="80"/>
  <c r="H396" i="80"/>
  <c r="G396" i="80"/>
  <c r="F396" i="80"/>
  <c r="J396" i="80"/>
  <c r="F395" i="80"/>
  <c r="F394" i="80"/>
  <c r="I394" i="80"/>
  <c r="G393" i="80"/>
  <c r="F393" i="80"/>
  <c r="H393" i="80"/>
  <c r="F392" i="80"/>
  <c r="F391" i="80"/>
  <c r="H391" i="80"/>
  <c r="F390" i="80"/>
  <c r="F389" i="80"/>
  <c r="H389" i="80"/>
  <c r="I388" i="80"/>
  <c r="F388" i="80"/>
  <c r="I387" i="80"/>
  <c r="F387" i="80"/>
  <c r="H387" i="80"/>
  <c r="F386" i="80"/>
  <c r="G386" i="80"/>
  <c r="F385" i="80"/>
  <c r="H384" i="80"/>
  <c r="G384" i="80"/>
  <c r="F384" i="80"/>
  <c r="F383" i="80"/>
  <c r="I383" i="80"/>
  <c r="I382" i="80"/>
  <c r="G382" i="80"/>
  <c r="F382" i="80"/>
  <c r="F381" i="80"/>
  <c r="G381" i="80"/>
  <c r="I380" i="80"/>
  <c r="H380" i="80"/>
  <c r="F380" i="80"/>
  <c r="F379" i="80"/>
  <c r="I378" i="80"/>
  <c r="F378" i="80"/>
  <c r="F377" i="80"/>
  <c r="H376" i="80"/>
  <c r="F376" i="80"/>
  <c r="F375" i="80"/>
  <c r="H375" i="80"/>
  <c r="F374" i="80"/>
  <c r="F373" i="80"/>
  <c r="H373" i="80"/>
  <c r="H372" i="80"/>
  <c r="G372" i="80"/>
  <c r="F372" i="80"/>
  <c r="F371" i="80"/>
  <c r="F370" i="80"/>
  <c r="G370" i="80"/>
  <c r="F369" i="80"/>
  <c r="I368" i="80"/>
  <c r="H368" i="80"/>
  <c r="G368" i="80"/>
  <c r="F368" i="80"/>
  <c r="J368" i="80"/>
  <c r="F367" i="80"/>
  <c r="I367" i="80"/>
  <c r="I366" i="80"/>
  <c r="F366" i="80"/>
  <c r="G366" i="80"/>
  <c r="F365" i="80"/>
  <c r="G365" i="80"/>
  <c r="I364" i="80"/>
  <c r="G364" i="80"/>
  <c r="F364" i="80"/>
  <c r="F363" i="80"/>
  <c r="F362" i="80"/>
  <c r="I362" i="80"/>
  <c r="H361" i="80"/>
  <c r="G361" i="80"/>
  <c r="F361" i="80"/>
  <c r="I360" i="80"/>
  <c r="H360" i="80"/>
  <c r="G360" i="80"/>
  <c r="F360" i="80"/>
  <c r="J360" i="80"/>
  <c r="F359" i="80"/>
  <c r="H359" i="80"/>
  <c r="F358" i="80"/>
  <c r="H357" i="80"/>
  <c r="F357" i="80"/>
  <c r="I356" i="80"/>
  <c r="H356" i="80"/>
  <c r="G356" i="80"/>
  <c r="F356" i="80"/>
  <c r="J356" i="80"/>
  <c r="I355" i="80"/>
  <c r="H355" i="80"/>
  <c r="F355" i="80"/>
  <c r="F354" i="80"/>
  <c r="G354" i="80"/>
  <c r="F353" i="80"/>
  <c r="I352" i="80"/>
  <c r="F352" i="80"/>
  <c r="F351" i="80"/>
  <c r="I351" i="80"/>
  <c r="I350" i="80"/>
  <c r="F350" i="80"/>
  <c r="G350" i="80"/>
  <c r="F349" i="80"/>
  <c r="H349" i="80"/>
  <c r="H348" i="80"/>
  <c r="F348" i="80"/>
  <c r="F347" i="80"/>
  <c r="H347" i="80"/>
  <c r="F346" i="80"/>
  <c r="H345" i="80"/>
  <c r="G345" i="80"/>
  <c r="F345" i="80"/>
  <c r="I344" i="80"/>
  <c r="H344" i="80"/>
  <c r="G344" i="80"/>
  <c r="F344" i="80"/>
  <c r="J344" i="80"/>
  <c r="F343" i="80"/>
  <c r="H343" i="80"/>
  <c r="F342" i="80"/>
  <c r="F341" i="80"/>
  <c r="H341" i="80"/>
  <c r="H340" i="80"/>
  <c r="G340" i="80"/>
  <c r="F340" i="80"/>
  <c r="F339" i="80"/>
  <c r="I338" i="80"/>
  <c r="F338" i="80"/>
  <c r="F337" i="80"/>
  <c r="G337" i="80"/>
  <c r="I336" i="80"/>
  <c r="H336" i="80"/>
  <c r="F336" i="80"/>
  <c r="F335" i="80"/>
  <c r="F334" i="80"/>
  <c r="G334" i="80"/>
  <c r="F333" i="80"/>
  <c r="G333" i="80"/>
  <c r="F332" i="80"/>
  <c r="F331" i="80"/>
  <c r="F330" i="80"/>
  <c r="I330" i="80"/>
  <c r="H329" i="80"/>
  <c r="G329" i="80"/>
  <c r="F329" i="80"/>
  <c r="F328" i="80"/>
  <c r="H328" i="80"/>
  <c r="I327" i="80"/>
  <c r="H327" i="80"/>
  <c r="F327" i="80"/>
  <c r="I326" i="80"/>
  <c r="H326" i="80"/>
  <c r="F326" i="80"/>
  <c r="F325" i="80"/>
  <c r="G325" i="80"/>
  <c r="F324" i="80"/>
  <c r="I323" i="80"/>
  <c r="G323" i="80"/>
  <c r="F323" i="80"/>
  <c r="I322" i="80"/>
  <c r="F322" i="80"/>
  <c r="I321" i="80"/>
  <c r="F321" i="80"/>
  <c r="G321" i="80"/>
  <c r="F320" i="80"/>
  <c r="G320" i="80"/>
  <c r="I319" i="80"/>
  <c r="H319" i="80"/>
  <c r="G319" i="80"/>
  <c r="F319" i="80"/>
  <c r="J319" i="80"/>
  <c r="F318" i="80"/>
  <c r="F317" i="80"/>
  <c r="I317" i="80"/>
  <c r="F316" i="80"/>
  <c r="H316" i="80"/>
  <c r="F315" i="80"/>
  <c r="F314" i="80"/>
  <c r="H314" i="80"/>
  <c r="F313" i="80"/>
  <c r="F312" i="80"/>
  <c r="H312" i="80"/>
  <c r="I311" i="80"/>
  <c r="F311" i="80"/>
  <c r="F310" i="80"/>
  <c r="H310" i="80"/>
  <c r="F309" i="80"/>
  <c r="G309" i="80"/>
  <c r="F308" i="80"/>
  <c r="H307" i="80"/>
  <c r="G307" i="80"/>
  <c r="F307" i="80"/>
  <c r="F306" i="80"/>
  <c r="I306" i="80"/>
  <c r="I305" i="80"/>
  <c r="G305" i="80"/>
  <c r="F305" i="80"/>
  <c r="F304" i="80"/>
  <c r="G304" i="80"/>
  <c r="I303" i="80"/>
  <c r="H303" i="80"/>
  <c r="F303" i="80"/>
  <c r="F302" i="80"/>
  <c r="I301" i="80"/>
  <c r="F301" i="80"/>
  <c r="F300" i="80"/>
  <c r="H299" i="80"/>
  <c r="F299" i="80"/>
  <c r="F298" i="80"/>
  <c r="H298" i="80"/>
  <c r="F297" i="80"/>
  <c r="F296" i="80"/>
  <c r="H296" i="80"/>
  <c r="H295" i="80"/>
  <c r="G295" i="80"/>
  <c r="F295" i="80"/>
  <c r="F294" i="80"/>
  <c r="F293" i="80"/>
  <c r="G293" i="80"/>
  <c r="F292" i="80"/>
  <c r="I291" i="80"/>
  <c r="H291" i="80"/>
  <c r="G291" i="80"/>
  <c r="F291" i="80"/>
  <c r="J291" i="80"/>
  <c r="F290" i="80"/>
  <c r="I290" i="80"/>
  <c r="I289" i="80"/>
  <c r="F289" i="80"/>
  <c r="G289" i="80"/>
  <c r="F288" i="80"/>
  <c r="G288" i="80"/>
  <c r="I287" i="80"/>
  <c r="G287" i="80"/>
  <c r="F287" i="80"/>
  <c r="F286" i="80"/>
  <c r="F285" i="80"/>
  <c r="I285" i="80"/>
  <c r="H284" i="80"/>
  <c r="G284" i="80"/>
  <c r="F284" i="80"/>
  <c r="I283" i="80"/>
  <c r="H283" i="80"/>
  <c r="G283" i="80"/>
  <c r="F283" i="80"/>
  <c r="J283" i="80"/>
  <c r="F282" i="80"/>
  <c r="H282" i="80"/>
  <c r="F281" i="80"/>
  <c r="H280" i="80"/>
  <c r="F280" i="80"/>
  <c r="I279" i="80"/>
  <c r="H279" i="80"/>
  <c r="G279" i="80"/>
  <c r="F279" i="80"/>
  <c r="J279" i="80"/>
  <c r="I278" i="80"/>
  <c r="H278" i="80"/>
  <c r="F278" i="80"/>
  <c r="F277" i="80"/>
  <c r="G277" i="80"/>
  <c r="F276" i="80"/>
  <c r="I275" i="80"/>
  <c r="F275" i="80"/>
  <c r="I274" i="80"/>
  <c r="F274" i="80"/>
  <c r="F273" i="80"/>
  <c r="I273" i="80"/>
  <c r="F272" i="80"/>
  <c r="G272" i="80"/>
  <c r="H271" i="80"/>
  <c r="F271" i="80"/>
  <c r="F270" i="80"/>
  <c r="I269" i="80"/>
  <c r="F269" i="80"/>
  <c r="F268" i="80"/>
  <c r="I267" i="80"/>
  <c r="F267" i="80"/>
  <c r="F266" i="80"/>
  <c r="H266" i="80"/>
  <c r="F265" i="80"/>
  <c r="F264" i="80"/>
  <c r="H264" i="80"/>
  <c r="F263" i="80"/>
  <c r="I262" i="80"/>
  <c r="H262" i="80"/>
  <c r="F262" i="80"/>
  <c r="F261" i="80"/>
  <c r="G261" i="80"/>
  <c r="F260" i="80"/>
  <c r="F259" i="80"/>
  <c r="I258" i="80"/>
  <c r="F258" i="80"/>
  <c r="I257" i="80"/>
  <c r="G257" i="80"/>
  <c r="F257" i="80"/>
  <c r="F256" i="80"/>
  <c r="G256" i="80"/>
  <c r="I255" i="80"/>
  <c r="H255" i="80"/>
  <c r="G255" i="80"/>
  <c r="F255" i="80"/>
  <c r="J255" i="80"/>
  <c r="F254" i="80"/>
  <c r="I253" i="80"/>
  <c r="F253" i="80"/>
  <c r="F252" i="80"/>
  <c r="I251" i="80"/>
  <c r="F251" i="80"/>
  <c r="F250" i="80"/>
  <c r="H250" i="80"/>
  <c r="F249" i="80"/>
  <c r="F248" i="80"/>
  <c r="H248" i="80"/>
  <c r="I247" i="80"/>
  <c r="G247" i="80"/>
  <c r="F247" i="80"/>
  <c r="F246" i="80"/>
  <c r="F245" i="80"/>
  <c r="G245" i="80"/>
  <c r="F244" i="80"/>
  <c r="F243" i="80"/>
  <c r="F242" i="80"/>
  <c r="I242" i="80"/>
  <c r="I241" i="80"/>
  <c r="G241" i="80"/>
  <c r="F241" i="80"/>
  <c r="F240" i="80"/>
  <c r="G240" i="80"/>
  <c r="H239" i="80"/>
  <c r="F239" i="80"/>
  <c r="F238" i="80"/>
  <c r="I237" i="80"/>
  <c r="F237" i="80"/>
  <c r="H236" i="80"/>
  <c r="F236" i="80"/>
  <c r="G236" i="80"/>
  <c r="H235" i="80"/>
  <c r="G235" i="80"/>
  <c r="F235" i="80"/>
  <c r="F234" i="80"/>
  <c r="H234" i="80"/>
  <c r="F233" i="80"/>
  <c r="H232" i="80"/>
  <c r="F232" i="80"/>
  <c r="F231" i="80"/>
  <c r="F230" i="80"/>
  <c r="I230" i="80"/>
  <c r="F229" i="80"/>
  <c r="G229" i="80"/>
  <c r="F228" i="80"/>
  <c r="I227" i="80"/>
  <c r="H227" i="80"/>
  <c r="G227" i="80"/>
  <c r="F227" i="80"/>
  <c r="J227" i="80"/>
  <c r="F226" i="80"/>
  <c r="I226" i="80"/>
  <c r="I225" i="80"/>
  <c r="F225" i="80"/>
  <c r="G225" i="80"/>
  <c r="F224" i="80"/>
  <c r="G224" i="80"/>
  <c r="F223" i="80"/>
  <c r="F222" i="80"/>
  <c r="F221" i="80"/>
  <c r="F220" i="80"/>
  <c r="F219" i="80"/>
  <c r="F218" i="80"/>
  <c r="F217" i="80"/>
  <c r="J216" i="80"/>
  <c r="F216" i="80"/>
  <c r="G216" i="80"/>
  <c r="F215" i="80"/>
  <c r="F214" i="80"/>
  <c r="I214" i="80"/>
  <c r="F213" i="80"/>
  <c r="F212" i="80"/>
  <c r="F211" i="80"/>
  <c r="H211" i="80"/>
  <c r="F210" i="80"/>
  <c r="I209" i="80"/>
  <c r="F209" i="80"/>
  <c r="F208" i="80"/>
  <c r="G208" i="80"/>
  <c r="F207" i="80"/>
  <c r="F206" i="80"/>
  <c r="H205" i="80"/>
  <c r="F205" i="80"/>
  <c r="F204" i="80"/>
  <c r="J203" i="80"/>
  <c r="F203" i="80"/>
  <c r="H203" i="80"/>
  <c r="F202" i="80"/>
  <c r="I201" i="80"/>
  <c r="H201" i="80"/>
  <c r="F201" i="80"/>
  <c r="F200" i="80"/>
  <c r="F199" i="80"/>
  <c r="F198" i="80"/>
  <c r="I198" i="80"/>
  <c r="H197" i="80"/>
  <c r="G197" i="80"/>
  <c r="F197" i="80"/>
  <c r="F196" i="80"/>
  <c r="F195" i="80"/>
  <c r="H195" i="80"/>
  <c r="F194" i="80"/>
  <c r="F193" i="80"/>
  <c r="F192" i="80"/>
  <c r="G192" i="80"/>
  <c r="F191" i="80"/>
  <c r="J190" i="80"/>
  <c r="F190" i="80"/>
  <c r="I190" i="80"/>
  <c r="G189" i="80"/>
  <c r="F189" i="80"/>
  <c r="F188" i="80"/>
  <c r="F187" i="80"/>
  <c r="J186" i="80"/>
  <c r="F186" i="80"/>
  <c r="I186" i="80"/>
  <c r="I185" i="80"/>
  <c r="H185" i="80"/>
  <c r="G185" i="80"/>
  <c r="F185" i="80"/>
  <c r="J185" i="80"/>
  <c r="F184" i="80"/>
  <c r="J183" i="80"/>
  <c r="F183" i="80"/>
  <c r="H183" i="80"/>
  <c r="F182" i="80"/>
  <c r="F181" i="80"/>
  <c r="J180" i="80"/>
  <c r="F180" i="80"/>
  <c r="G180" i="80"/>
  <c r="F179" i="80"/>
  <c r="J178" i="80"/>
  <c r="F178" i="80"/>
  <c r="I178" i="80"/>
  <c r="I177" i="80"/>
  <c r="H177" i="80"/>
  <c r="G177" i="80"/>
  <c r="F177" i="80"/>
  <c r="J177" i="80"/>
  <c r="F176" i="80"/>
  <c r="J175" i="80"/>
  <c r="F175" i="80"/>
  <c r="H175" i="80"/>
  <c r="F174" i="80"/>
  <c r="F173" i="80"/>
  <c r="J172" i="80"/>
  <c r="F172" i="80"/>
  <c r="G172" i="80"/>
  <c r="F171" i="80"/>
  <c r="J170" i="80"/>
  <c r="F170" i="80"/>
  <c r="I170" i="80"/>
  <c r="I169" i="80"/>
  <c r="H169" i="80"/>
  <c r="G169" i="80"/>
  <c r="F169" i="80"/>
  <c r="J169" i="80"/>
  <c r="F168" i="80"/>
  <c r="J167" i="80"/>
  <c r="F167" i="80"/>
  <c r="H167" i="80"/>
  <c r="F166" i="80"/>
  <c r="I165" i="80"/>
  <c r="F165" i="80"/>
  <c r="J164" i="80"/>
  <c r="F164" i="80"/>
  <c r="G164" i="80"/>
  <c r="F163" i="80"/>
  <c r="J162" i="80"/>
  <c r="F162" i="80"/>
  <c r="I162" i="80"/>
  <c r="I161" i="80"/>
  <c r="H161" i="80"/>
  <c r="G161" i="80"/>
  <c r="F161" i="80"/>
  <c r="J161" i="80"/>
  <c r="F160" i="80"/>
  <c r="J159" i="80"/>
  <c r="F159" i="80"/>
  <c r="H159" i="80"/>
  <c r="F158" i="80"/>
  <c r="F157" i="80"/>
  <c r="J156" i="80"/>
  <c r="F156" i="80"/>
  <c r="G156" i="80"/>
  <c r="F155" i="80"/>
  <c r="J154" i="80"/>
  <c r="F154" i="80"/>
  <c r="I154" i="80"/>
  <c r="I153" i="80"/>
  <c r="H153" i="80"/>
  <c r="G153" i="80"/>
  <c r="F153" i="80"/>
  <c r="J153" i="80"/>
  <c r="F152" i="80"/>
  <c r="J151" i="80"/>
  <c r="F151" i="80"/>
  <c r="H151" i="80"/>
  <c r="F150" i="80"/>
  <c r="F149" i="80"/>
  <c r="J148" i="80"/>
  <c r="F148" i="80"/>
  <c r="G148" i="80"/>
  <c r="F147" i="80"/>
  <c r="J146" i="80"/>
  <c r="F146" i="80"/>
  <c r="I146" i="80"/>
  <c r="I145" i="80"/>
  <c r="H145" i="80"/>
  <c r="G145" i="80"/>
  <c r="F145" i="80"/>
  <c r="J145" i="80"/>
  <c r="F144" i="80"/>
  <c r="J143" i="80"/>
  <c r="F143" i="80"/>
  <c r="H143" i="80"/>
  <c r="F142" i="80"/>
  <c r="F141" i="80"/>
  <c r="J140" i="80"/>
  <c r="F140" i="80"/>
  <c r="G140" i="80"/>
  <c r="F139" i="80"/>
  <c r="J138" i="80"/>
  <c r="F138" i="80"/>
  <c r="I138" i="80"/>
  <c r="I137" i="80"/>
  <c r="H137" i="80"/>
  <c r="G137" i="80"/>
  <c r="F137" i="80"/>
  <c r="J137" i="80"/>
  <c r="F136" i="80"/>
  <c r="J135" i="80"/>
  <c r="F135" i="80"/>
  <c r="H135" i="80"/>
  <c r="F134" i="80"/>
  <c r="I133" i="80"/>
  <c r="F133" i="80"/>
  <c r="J132" i="80"/>
  <c r="F132" i="80"/>
  <c r="G132" i="80"/>
  <c r="F131" i="80"/>
  <c r="J130" i="80"/>
  <c r="F130" i="80"/>
  <c r="I130" i="80"/>
  <c r="I129" i="80"/>
  <c r="H129" i="80"/>
  <c r="G129" i="80"/>
  <c r="F129" i="80"/>
  <c r="J129" i="80"/>
  <c r="F128" i="80"/>
  <c r="J127" i="80"/>
  <c r="F127" i="80"/>
  <c r="H127" i="80"/>
  <c r="F126" i="80"/>
  <c r="F125" i="80"/>
  <c r="J124" i="80"/>
  <c r="F124" i="80"/>
  <c r="G124" i="80"/>
  <c r="F123" i="80"/>
  <c r="J122" i="80"/>
  <c r="F122" i="80"/>
  <c r="I122" i="80"/>
  <c r="I121" i="80"/>
  <c r="H121" i="80"/>
  <c r="G121" i="80"/>
  <c r="F121" i="80"/>
  <c r="J121" i="80"/>
  <c r="F120" i="80"/>
  <c r="J119" i="80"/>
  <c r="F119" i="80"/>
  <c r="H119" i="80"/>
  <c r="F118" i="80"/>
  <c r="F117" i="80"/>
  <c r="J116" i="80"/>
  <c r="F116" i="80"/>
  <c r="G116" i="80"/>
  <c r="F115" i="80"/>
  <c r="J114" i="80"/>
  <c r="F114" i="80"/>
  <c r="I114" i="80"/>
  <c r="I113" i="80"/>
  <c r="H113" i="80"/>
  <c r="G113" i="80"/>
  <c r="F113" i="80"/>
  <c r="J113" i="80"/>
  <c r="F112" i="80"/>
  <c r="J111" i="80"/>
  <c r="F111" i="80"/>
  <c r="H111" i="80"/>
  <c r="F110" i="80"/>
  <c r="F109" i="80"/>
  <c r="J108" i="80"/>
  <c r="F108" i="80"/>
  <c r="G108" i="80"/>
  <c r="F107" i="80"/>
  <c r="J106" i="80"/>
  <c r="F106" i="80"/>
  <c r="I106" i="80"/>
  <c r="I105" i="80"/>
  <c r="H105" i="80"/>
  <c r="G105" i="80"/>
  <c r="F105" i="80"/>
  <c r="J105" i="80"/>
  <c r="F104" i="80"/>
  <c r="J103" i="80"/>
  <c r="F103" i="80"/>
  <c r="H103" i="80"/>
  <c r="F102" i="80"/>
  <c r="I101" i="80"/>
  <c r="F101" i="80"/>
  <c r="J100" i="80"/>
  <c r="F100" i="80"/>
  <c r="G100" i="80"/>
  <c r="F99" i="80"/>
  <c r="J98" i="80"/>
  <c r="F98" i="80"/>
  <c r="I98" i="80"/>
  <c r="I97" i="80"/>
  <c r="H97" i="80"/>
  <c r="G97" i="80"/>
  <c r="F97" i="80"/>
  <c r="J97" i="80"/>
  <c r="F96" i="80"/>
  <c r="J95" i="80"/>
  <c r="F95" i="80"/>
  <c r="H95" i="80"/>
  <c r="F94" i="80"/>
  <c r="F93" i="80"/>
  <c r="J92" i="80"/>
  <c r="F92" i="80"/>
  <c r="G92" i="80"/>
  <c r="F91" i="80"/>
  <c r="J90" i="80"/>
  <c r="F90" i="80"/>
  <c r="I90" i="80"/>
  <c r="I89" i="80"/>
  <c r="H89" i="80"/>
  <c r="G89" i="80"/>
  <c r="F89" i="80"/>
  <c r="J89" i="80"/>
  <c r="F88" i="80"/>
  <c r="J87" i="80"/>
  <c r="F87" i="80"/>
  <c r="H87" i="80"/>
  <c r="F86" i="80"/>
  <c r="F85" i="80"/>
  <c r="J84" i="80"/>
  <c r="F84" i="80"/>
  <c r="G84" i="80"/>
  <c r="F83" i="80"/>
  <c r="J82" i="80"/>
  <c r="F82" i="80"/>
  <c r="I82" i="80"/>
  <c r="I81" i="80"/>
  <c r="H81" i="80"/>
  <c r="G81" i="80"/>
  <c r="F81" i="80"/>
  <c r="J81" i="80"/>
  <c r="F80" i="80"/>
  <c r="J79" i="80"/>
  <c r="F79" i="80"/>
  <c r="H79" i="80"/>
  <c r="F78" i="80"/>
  <c r="F77" i="80"/>
  <c r="J76" i="80"/>
  <c r="F76" i="80"/>
  <c r="G76" i="80"/>
  <c r="F75" i="80"/>
  <c r="J74" i="80"/>
  <c r="F74" i="80"/>
  <c r="I74" i="80"/>
  <c r="I73" i="80"/>
  <c r="H73" i="80"/>
  <c r="G73" i="80"/>
  <c r="F73" i="80"/>
  <c r="J73" i="80"/>
  <c r="F72" i="80"/>
  <c r="J71" i="80"/>
  <c r="F71" i="80"/>
  <c r="H71" i="80"/>
  <c r="F70" i="80"/>
  <c r="I69" i="80"/>
  <c r="F69" i="80"/>
  <c r="J68" i="80"/>
  <c r="F68" i="80"/>
  <c r="G68" i="80"/>
  <c r="F67" i="80"/>
  <c r="J66" i="80"/>
  <c r="F66" i="80"/>
  <c r="I66" i="80"/>
  <c r="I65" i="80"/>
  <c r="H65" i="80"/>
  <c r="G65" i="80"/>
  <c r="F65" i="80"/>
  <c r="J65" i="80"/>
  <c r="F64" i="80"/>
  <c r="J63" i="80"/>
  <c r="F63" i="80"/>
  <c r="H63" i="80"/>
  <c r="F62" i="80"/>
  <c r="F61" i="80"/>
  <c r="J60" i="80"/>
  <c r="F60" i="80"/>
  <c r="G60" i="80"/>
  <c r="F59" i="80"/>
  <c r="J58" i="80"/>
  <c r="F58" i="80"/>
  <c r="I58" i="80"/>
  <c r="I57" i="80"/>
  <c r="H57" i="80"/>
  <c r="G57" i="80"/>
  <c r="F57" i="80"/>
  <c r="J57" i="80"/>
  <c r="F56" i="80"/>
  <c r="J55" i="80"/>
  <c r="F55" i="80"/>
  <c r="H55" i="80"/>
  <c r="F54" i="80"/>
  <c r="F53" i="80"/>
  <c r="J52" i="80"/>
  <c r="F52" i="80"/>
  <c r="G52" i="80"/>
  <c r="F51" i="80"/>
  <c r="J50" i="80"/>
  <c r="F50" i="80"/>
  <c r="I50" i="80"/>
  <c r="I49" i="80"/>
  <c r="H49" i="80"/>
  <c r="G49" i="80"/>
  <c r="F49" i="80"/>
  <c r="J49" i="80"/>
  <c r="F48" i="80"/>
  <c r="J47" i="80"/>
  <c r="F47" i="80"/>
  <c r="H47" i="80"/>
  <c r="J46" i="80"/>
  <c r="F46" i="80"/>
  <c r="I46" i="80"/>
  <c r="F45" i="80"/>
  <c r="J44" i="80"/>
  <c r="F44" i="80"/>
  <c r="G44" i="80"/>
  <c r="F43" i="80"/>
  <c r="H43" i="80"/>
  <c r="J42" i="80"/>
  <c r="F42" i="80"/>
  <c r="I42" i="80"/>
  <c r="I41" i="80"/>
  <c r="H41" i="80"/>
  <c r="G41" i="80"/>
  <c r="F41" i="80"/>
  <c r="J41" i="80"/>
  <c r="F40" i="80"/>
  <c r="G40" i="80"/>
  <c r="J39" i="80"/>
  <c r="F39" i="80"/>
  <c r="H39" i="80"/>
  <c r="F38" i="80"/>
  <c r="I38" i="80"/>
  <c r="F37" i="80"/>
  <c r="J36" i="80"/>
  <c r="F36" i="80"/>
  <c r="G36" i="80"/>
  <c r="F35" i="80"/>
  <c r="H35" i="80"/>
  <c r="J34" i="80"/>
  <c r="F34" i="80"/>
  <c r="I34" i="80"/>
  <c r="I33" i="80"/>
  <c r="H33" i="80"/>
  <c r="G33" i="80"/>
  <c r="F33" i="80"/>
  <c r="J33" i="80"/>
  <c r="F32" i="80"/>
  <c r="G32" i="80"/>
  <c r="J31" i="80"/>
  <c r="F31" i="80"/>
  <c r="H31" i="80"/>
  <c r="F30" i="80"/>
  <c r="J18" i="80"/>
  <c r="J412" i="79"/>
  <c r="I412" i="79"/>
  <c r="F412" i="79"/>
  <c r="F411" i="79"/>
  <c r="H411" i="79"/>
  <c r="F410" i="79"/>
  <c r="I410" i="79"/>
  <c r="F409" i="79"/>
  <c r="F408" i="79"/>
  <c r="J408" i="79"/>
  <c r="J407" i="79"/>
  <c r="H407" i="79"/>
  <c r="F407" i="79"/>
  <c r="I406" i="79"/>
  <c r="H406" i="79"/>
  <c r="G406" i="79"/>
  <c r="F406" i="79"/>
  <c r="J406" i="79"/>
  <c r="F405" i="79"/>
  <c r="I405" i="79"/>
  <c r="F404" i="79"/>
  <c r="F403" i="79"/>
  <c r="J403" i="79"/>
  <c r="F402" i="79"/>
  <c r="I402" i="79"/>
  <c r="J401" i="79"/>
  <c r="F401" i="79"/>
  <c r="I401" i="79"/>
  <c r="F400" i="79"/>
  <c r="I400" i="79"/>
  <c r="F399" i="79"/>
  <c r="F398" i="79"/>
  <c r="F397" i="79"/>
  <c r="J397" i="79"/>
  <c r="J396" i="79"/>
  <c r="I396" i="79"/>
  <c r="F396" i="79"/>
  <c r="F395" i="79"/>
  <c r="H395" i="79"/>
  <c r="G394" i="79"/>
  <c r="F394" i="79"/>
  <c r="F393" i="79"/>
  <c r="F392" i="79"/>
  <c r="J392" i="79"/>
  <c r="J391" i="79"/>
  <c r="F391" i="79"/>
  <c r="H391" i="79"/>
  <c r="I390" i="79"/>
  <c r="H390" i="79"/>
  <c r="F390" i="79"/>
  <c r="J390" i="79"/>
  <c r="F389" i="79"/>
  <c r="I389" i="79"/>
  <c r="F388" i="79"/>
  <c r="F387" i="79"/>
  <c r="J387" i="79"/>
  <c r="F386" i="79"/>
  <c r="H386" i="79"/>
  <c r="J385" i="79"/>
  <c r="I385" i="79"/>
  <c r="F385" i="79"/>
  <c r="F384" i="79"/>
  <c r="I384" i="79"/>
  <c r="F383" i="79"/>
  <c r="F382" i="79"/>
  <c r="H382" i="79"/>
  <c r="F381" i="79"/>
  <c r="J381" i="79"/>
  <c r="F380" i="79"/>
  <c r="J380" i="79"/>
  <c r="F379" i="79"/>
  <c r="H379" i="79"/>
  <c r="F378" i="79"/>
  <c r="I378" i="79"/>
  <c r="F377" i="79"/>
  <c r="F376" i="79"/>
  <c r="J376" i="79"/>
  <c r="F375" i="79"/>
  <c r="J375" i="79"/>
  <c r="I374" i="79"/>
  <c r="F374" i="79"/>
  <c r="J374" i="79"/>
  <c r="I373" i="79"/>
  <c r="F373" i="79"/>
  <c r="F372" i="79"/>
  <c r="F371" i="79"/>
  <c r="J371" i="79"/>
  <c r="I370" i="79"/>
  <c r="F370" i="79"/>
  <c r="F369" i="79"/>
  <c r="I369" i="79"/>
  <c r="F368" i="79"/>
  <c r="I368" i="79"/>
  <c r="F367" i="79"/>
  <c r="F366" i="79"/>
  <c r="F365" i="79"/>
  <c r="J365" i="79"/>
  <c r="F364" i="79"/>
  <c r="J364" i="79"/>
  <c r="H363" i="79"/>
  <c r="F363" i="79"/>
  <c r="F362" i="79"/>
  <c r="F361" i="79"/>
  <c r="F360" i="79"/>
  <c r="J360" i="79"/>
  <c r="F359" i="79"/>
  <c r="J359" i="79"/>
  <c r="I358" i="79"/>
  <c r="F358" i="79"/>
  <c r="J358" i="79"/>
  <c r="F357" i="79"/>
  <c r="I357" i="79"/>
  <c r="F356" i="79"/>
  <c r="F355" i="79"/>
  <c r="I354" i="79"/>
  <c r="H354" i="79"/>
  <c r="F354" i="79"/>
  <c r="J354" i="79"/>
  <c r="F353" i="79"/>
  <c r="J353" i="79"/>
  <c r="F352" i="79"/>
  <c r="F351" i="79"/>
  <c r="F350" i="79"/>
  <c r="I350" i="79"/>
  <c r="F349" i="79"/>
  <c r="F348" i="79"/>
  <c r="I348" i="79"/>
  <c r="F347" i="79"/>
  <c r="J347" i="79"/>
  <c r="H346" i="79"/>
  <c r="F346" i="79"/>
  <c r="G346" i="79"/>
  <c r="F345" i="79"/>
  <c r="F344" i="79"/>
  <c r="F343" i="79"/>
  <c r="J343" i="79"/>
  <c r="I342" i="79"/>
  <c r="F342" i="79"/>
  <c r="J342" i="79"/>
  <c r="F341" i="79"/>
  <c r="F340" i="79"/>
  <c r="F339" i="79"/>
  <c r="F338" i="79"/>
  <c r="F337" i="79"/>
  <c r="J337" i="79"/>
  <c r="F336" i="79"/>
  <c r="J336" i="79"/>
  <c r="F335" i="79"/>
  <c r="F334" i="79"/>
  <c r="F333" i="79"/>
  <c r="F332" i="79"/>
  <c r="F331" i="79"/>
  <c r="F330" i="79"/>
  <c r="F329" i="79"/>
  <c r="F328" i="79"/>
  <c r="F327" i="79"/>
  <c r="F326" i="79"/>
  <c r="F325" i="79"/>
  <c r="F324" i="79"/>
  <c r="J324" i="79"/>
  <c r="J323" i="79"/>
  <c r="F323" i="79"/>
  <c r="F322" i="79"/>
  <c r="J322" i="79"/>
  <c r="F321" i="79"/>
  <c r="G321" i="79"/>
  <c r="F320" i="79"/>
  <c r="J320" i="79"/>
  <c r="J319" i="79"/>
  <c r="I319" i="79"/>
  <c r="F319" i="79"/>
  <c r="F318" i="79"/>
  <c r="I317" i="79"/>
  <c r="H317" i="79"/>
  <c r="F317" i="79"/>
  <c r="J317" i="79"/>
  <c r="F316" i="79"/>
  <c r="J316" i="79"/>
  <c r="F315" i="79"/>
  <c r="F314" i="79"/>
  <c r="F313" i="79"/>
  <c r="I313" i="79"/>
  <c r="J312" i="79"/>
  <c r="F312" i="79"/>
  <c r="F311" i="79"/>
  <c r="J311" i="79"/>
  <c r="F310" i="79"/>
  <c r="J310" i="79"/>
  <c r="F309" i="79"/>
  <c r="J309" i="79"/>
  <c r="F308" i="79"/>
  <c r="F307" i="79"/>
  <c r="F306" i="79"/>
  <c r="J306" i="79"/>
  <c r="I305" i="79"/>
  <c r="F305" i="79"/>
  <c r="G305" i="79"/>
  <c r="F304" i="79"/>
  <c r="I303" i="79"/>
  <c r="F303" i="79"/>
  <c r="J303" i="79"/>
  <c r="F302" i="79"/>
  <c r="J302" i="79"/>
  <c r="I301" i="79"/>
  <c r="F301" i="79"/>
  <c r="J301" i="79"/>
  <c r="I300" i="79"/>
  <c r="F300" i="79"/>
  <c r="J300" i="79"/>
  <c r="F299" i="79"/>
  <c r="J299" i="79"/>
  <c r="J298" i="79"/>
  <c r="F298" i="79"/>
  <c r="H298" i="79"/>
  <c r="F297" i="79"/>
  <c r="F296" i="79"/>
  <c r="F295" i="79"/>
  <c r="F294" i="79"/>
  <c r="F293" i="79"/>
  <c r="I292" i="79"/>
  <c r="F292" i="79"/>
  <c r="J292" i="79"/>
  <c r="F291" i="79"/>
  <c r="J291" i="79"/>
  <c r="H290" i="79"/>
  <c r="F290" i="79"/>
  <c r="J290" i="79"/>
  <c r="F289" i="79"/>
  <c r="F288" i="79"/>
  <c r="J288" i="79"/>
  <c r="F287" i="79"/>
  <c r="J287" i="79"/>
  <c r="F286" i="79"/>
  <c r="F285" i="79"/>
  <c r="J285" i="79"/>
  <c r="F284" i="79"/>
  <c r="J284" i="79"/>
  <c r="F283" i="79"/>
  <c r="F282" i="79"/>
  <c r="I281" i="79"/>
  <c r="F281" i="79"/>
  <c r="F280" i="79"/>
  <c r="J280" i="79"/>
  <c r="F279" i="79"/>
  <c r="J279" i="79"/>
  <c r="F278" i="79"/>
  <c r="J278" i="79"/>
  <c r="I277" i="79"/>
  <c r="H277" i="79"/>
  <c r="F277" i="79"/>
  <c r="J277" i="79"/>
  <c r="F276" i="79"/>
  <c r="F275" i="79"/>
  <c r="F274" i="79"/>
  <c r="J274" i="79"/>
  <c r="F273" i="79"/>
  <c r="G273" i="79"/>
  <c r="F272" i="79"/>
  <c r="F271" i="79"/>
  <c r="J271" i="79"/>
  <c r="F270" i="79"/>
  <c r="J270" i="79"/>
  <c r="F269" i="79"/>
  <c r="J269" i="79"/>
  <c r="F268" i="79"/>
  <c r="J268" i="79"/>
  <c r="F267" i="79"/>
  <c r="J267" i="79"/>
  <c r="J266" i="79"/>
  <c r="F266" i="79"/>
  <c r="H266" i="79"/>
  <c r="F265" i="79"/>
  <c r="G265" i="79"/>
  <c r="F264" i="79"/>
  <c r="F263" i="79"/>
  <c r="F262" i="79"/>
  <c r="F261" i="79"/>
  <c r="F260" i="79"/>
  <c r="J260" i="79"/>
  <c r="F259" i="79"/>
  <c r="J259" i="79"/>
  <c r="F258" i="79"/>
  <c r="J258" i="79"/>
  <c r="F257" i="79"/>
  <c r="G257" i="79"/>
  <c r="F256" i="79"/>
  <c r="J256" i="79"/>
  <c r="J255" i="79"/>
  <c r="I255" i="79"/>
  <c r="F255" i="79"/>
  <c r="F254" i="79"/>
  <c r="I253" i="79"/>
  <c r="H253" i="79"/>
  <c r="F253" i="79"/>
  <c r="J253" i="79"/>
  <c r="F252" i="79"/>
  <c r="J252" i="79"/>
  <c r="F251" i="79"/>
  <c r="F250" i="79"/>
  <c r="F249" i="79"/>
  <c r="I249" i="79"/>
  <c r="F248" i="79"/>
  <c r="J248" i="79"/>
  <c r="F247" i="79"/>
  <c r="J247" i="79"/>
  <c r="J246" i="79"/>
  <c r="F246" i="79"/>
  <c r="I245" i="79"/>
  <c r="H245" i="79"/>
  <c r="G245" i="79"/>
  <c r="F245" i="79"/>
  <c r="J245" i="79"/>
  <c r="F244" i="79"/>
  <c r="F243" i="79"/>
  <c r="F242" i="79"/>
  <c r="J242" i="79"/>
  <c r="F241" i="79"/>
  <c r="I241" i="79"/>
  <c r="F240" i="79"/>
  <c r="F239" i="79"/>
  <c r="J239" i="79"/>
  <c r="F238" i="79"/>
  <c r="J238" i="79"/>
  <c r="I237" i="79"/>
  <c r="F237" i="79"/>
  <c r="J237" i="79"/>
  <c r="F236" i="79"/>
  <c r="J236" i="79"/>
  <c r="F235" i="79"/>
  <c r="J235" i="79"/>
  <c r="J234" i="79"/>
  <c r="H234" i="79"/>
  <c r="F234" i="79"/>
  <c r="F233" i="79"/>
  <c r="F232" i="79"/>
  <c r="F231" i="79"/>
  <c r="F230" i="79"/>
  <c r="F229" i="79"/>
  <c r="F228" i="79"/>
  <c r="J228" i="79"/>
  <c r="F227" i="79"/>
  <c r="J227" i="79"/>
  <c r="F226" i="79"/>
  <c r="J226" i="79"/>
  <c r="F225" i="79"/>
  <c r="F224" i="79"/>
  <c r="J224" i="79"/>
  <c r="J223" i="79"/>
  <c r="F223" i="79"/>
  <c r="I223" i="79"/>
  <c r="F222" i="79"/>
  <c r="F221" i="79"/>
  <c r="F220" i="79"/>
  <c r="F219" i="79"/>
  <c r="F218" i="79"/>
  <c r="F217" i="79"/>
  <c r="F216" i="79"/>
  <c r="F215" i="79"/>
  <c r="I215" i="79"/>
  <c r="F214" i="79"/>
  <c r="F213" i="79"/>
  <c r="F212" i="79"/>
  <c r="I211" i="79"/>
  <c r="F211" i="79"/>
  <c r="J211" i="79"/>
  <c r="F210" i="79"/>
  <c r="F209" i="79"/>
  <c r="F208" i="79"/>
  <c r="F207" i="79"/>
  <c r="H207" i="79"/>
  <c r="F206" i="79"/>
  <c r="F205" i="79"/>
  <c r="F204" i="79"/>
  <c r="F203" i="79"/>
  <c r="F202" i="79"/>
  <c r="F201" i="79"/>
  <c r="F200" i="79"/>
  <c r="I199" i="79"/>
  <c r="F199" i="79"/>
  <c r="F198" i="79"/>
  <c r="F197" i="79"/>
  <c r="F196" i="79"/>
  <c r="F195" i="79"/>
  <c r="J195" i="79"/>
  <c r="F194" i="79"/>
  <c r="F193" i="79"/>
  <c r="F192" i="79"/>
  <c r="F191" i="79"/>
  <c r="F190" i="79"/>
  <c r="F189" i="79"/>
  <c r="F188" i="79"/>
  <c r="I187" i="79"/>
  <c r="F187" i="79"/>
  <c r="G187" i="79"/>
  <c r="F186" i="79"/>
  <c r="F185" i="79"/>
  <c r="F184" i="79"/>
  <c r="F183" i="79"/>
  <c r="F182" i="79"/>
  <c r="F181" i="79"/>
  <c r="F180" i="79"/>
  <c r="I179" i="79"/>
  <c r="H179" i="79"/>
  <c r="G179" i="79"/>
  <c r="F179" i="79"/>
  <c r="J179" i="79"/>
  <c r="F178" i="79"/>
  <c r="F177" i="79"/>
  <c r="F176" i="79"/>
  <c r="F175" i="79"/>
  <c r="F174" i="79"/>
  <c r="F173" i="79"/>
  <c r="F172" i="79"/>
  <c r="F171" i="79"/>
  <c r="I171" i="79"/>
  <c r="F170" i="79"/>
  <c r="F169" i="79"/>
  <c r="F168" i="79"/>
  <c r="F167" i="79"/>
  <c r="F166" i="79"/>
  <c r="F165" i="79"/>
  <c r="F164" i="79"/>
  <c r="I163" i="79"/>
  <c r="H163" i="79"/>
  <c r="G163" i="79"/>
  <c r="F163" i="79"/>
  <c r="J163" i="79"/>
  <c r="F162" i="79"/>
  <c r="F161" i="79"/>
  <c r="F160" i="79"/>
  <c r="F159" i="79"/>
  <c r="H159" i="79"/>
  <c r="F158" i="79"/>
  <c r="F157" i="79"/>
  <c r="I157" i="79"/>
  <c r="F156" i="79"/>
  <c r="F155" i="79"/>
  <c r="F154" i="79"/>
  <c r="I154" i="79"/>
  <c r="F153" i="79"/>
  <c r="I153" i="79"/>
  <c r="F152" i="79"/>
  <c r="H152" i="79"/>
  <c r="F151" i="79"/>
  <c r="F150" i="79"/>
  <c r="F149" i="79"/>
  <c r="I149" i="79"/>
  <c r="F148" i="79"/>
  <c r="H148" i="79"/>
  <c r="F147" i="79"/>
  <c r="F146" i="79"/>
  <c r="I146" i="79"/>
  <c r="F145" i="79"/>
  <c r="F144" i="79"/>
  <c r="H144" i="79"/>
  <c r="F143" i="79"/>
  <c r="F142" i="79"/>
  <c r="I142" i="79"/>
  <c r="F141" i="79"/>
  <c r="I141" i="79"/>
  <c r="F140" i="79"/>
  <c r="F139" i="79"/>
  <c r="I139" i="79"/>
  <c r="F138" i="79"/>
  <c r="I138" i="79"/>
  <c r="F137" i="79"/>
  <c r="I137" i="79"/>
  <c r="F136" i="79"/>
  <c r="H136" i="79"/>
  <c r="F135" i="79"/>
  <c r="H135" i="79"/>
  <c r="F134" i="79"/>
  <c r="F133" i="79"/>
  <c r="I133" i="79"/>
  <c r="F132" i="79"/>
  <c r="F131" i="79"/>
  <c r="I131" i="79"/>
  <c r="F130" i="79"/>
  <c r="I130" i="79"/>
  <c r="G129" i="79"/>
  <c r="F129" i="79"/>
  <c r="I129" i="79"/>
  <c r="F128" i="79"/>
  <c r="H128" i="79"/>
  <c r="F127" i="79"/>
  <c r="I127" i="79"/>
  <c r="F126" i="79"/>
  <c r="H126" i="79"/>
  <c r="F125" i="79"/>
  <c r="I125" i="79"/>
  <c r="G124" i="79"/>
  <c r="F124" i="79"/>
  <c r="H124" i="79"/>
  <c r="I123" i="79"/>
  <c r="H123" i="79"/>
  <c r="G123" i="79"/>
  <c r="F123" i="79"/>
  <c r="J123" i="79"/>
  <c r="F122" i="79"/>
  <c r="I122" i="79"/>
  <c r="F121" i="79"/>
  <c r="G121" i="79"/>
  <c r="F120" i="79"/>
  <c r="H120" i="79"/>
  <c r="F119" i="79"/>
  <c r="F118" i="79"/>
  <c r="I118" i="79"/>
  <c r="F117" i="79"/>
  <c r="I117" i="79"/>
  <c r="F116" i="79"/>
  <c r="G116" i="79"/>
  <c r="I115" i="79"/>
  <c r="F115" i="79"/>
  <c r="J115" i="79"/>
  <c r="F114" i="79"/>
  <c r="I114" i="79"/>
  <c r="G113" i="79"/>
  <c r="F113" i="79"/>
  <c r="I113" i="79"/>
  <c r="F112" i="79"/>
  <c r="H112" i="79"/>
  <c r="F111" i="79"/>
  <c r="I110" i="79"/>
  <c r="F110" i="79"/>
  <c r="H110" i="79"/>
  <c r="F109" i="79"/>
  <c r="I109" i="79"/>
  <c r="F108" i="79"/>
  <c r="H108" i="79"/>
  <c r="F107" i="79"/>
  <c r="J107" i="79"/>
  <c r="F106" i="79"/>
  <c r="I106" i="79"/>
  <c r="F105" i="79"/>
  <c r="G105" i="79"/>
  <c r="F104" i="79"/>
  <c r="H104" i="79"/>
  <c r="F103" i="79"/>
  <c r="I103" i="79"/>
  <c r="F102" i="79"/>
  <c r="I102" i="79"/>
  <c r="F101" i="79"/>
  <c r="I101" i="79"/>
  <c r="F100" i="79"/>
  <c r="G100" i="79"/>
  <c r="I99" i="79"/>
  <c r="F99" i="79"/>
  <c r="J99" i="79"/>
  <c r="F98" i="79"/>
  <c r="I98" i="79"/>
  <c r="G97" i="79"/>
  <c r="F97" i="79"/>
  <c r="I97" i="79"/>
  <c r="F96" i="79"/>
  <c r="H96" i="79"/>
  <c r="F95" i="79"/>
  <c r="I95" i="79"/>
  <c r="I94" i="79"/>
  <c r="F94" i="79"/>
  <c r="H94" i="79"/>
  <c r="F93" i="79"/>
  <c r="I93" i="79"/>
  <c r="F92" i="79"/>
  <c r="H92" i="79"/>
  <c r="F91" i="79"/>
  <c r="J91" i="79"/>
  <c r="F90" i="79"/>
  <c r="I90" i="79"/>
  <c r="F89" i="79"/>
  <c r="G89" i="79"/>
  <c r="F88" i="79"/>
  <c r="H88" i="79"/>
  <c r="F87" i="79"/>
  <c r="F86" i="79"/>
  <c r="I86" i="79"/>
  <c r="F85" i="79"/>
  <c r="I85" i="79"/>
  <c r="F84" i="79"/>
  <c r="G84" i="79"/>
  <c r="I83" i="79"/>
  <c r="H83" i="79"/>
  <c r="F83" i="79"/>
  <c r="J83" i="79"/>
  <c r="F82" i="79"/>
  <c r="I82" i="79"/>
  <c r="F81" i="79"/>
  <c r="I81" i="79"/>
  <c r="F80" i="79"/>
  <c r="H80" i="79"/>
  <c r="F79" i="79"/>
  <c r="F78" i="79"/>
  <c r="H78" i="79"/>
  <c r="F77" i="79"/>
  <c r="I77" i="79"/>
  <c r="F76" i="79"/>
  <c r="H76" i="79"/>
  <c r="I75" i="79"/>
  <c r="F75" i="79"/>
  <c r="J75" i="79"/>
  <c r="F74" i="79"/>
  <c r="I74" i="79"/>
  <c r="F73" i="79"/>
  <c r="G73" i="79"/>
  <c r="F72" i="79"/>
  <c r="H72" i="79"/>
  <c r="F71" i="79"/>
  <c r="I71" i="79"/>
  <c r="F70" i="79"/>
  <c r="I70" i="79"/>
  <c r="F69" i="79"/>
  <c r="I69" i="79"/>
  <c r="H68" i="79"/>
  <c r="F68" i="79"/>
  <c r="G68" i="79"/>
  <c r="F67" i="79"/>
  <c r="J67" i="79"/>
  <c r="F66" i="79"/>
  <c r="I66" i="79"/>
  <c r="F65" i="79"/>
  <c r="I65" i="79"/>
  <c r="F64" i="79"/>
  <c r="H64" i="79"/>
  <c r="F63" i="79"/>
  <c r="I63" i="79"/>
  <c r="F62" i="79"/>
  <c r="H62" i="79"/>
  <c r="F61" i="79"/>
  <c r="I61" i="79"/>
  <c r="F60" i="79"/>
  <c r="H60" i="79"/>
  <c r="I59" i="79"/>
  <c r="H59" i="79"/>
  <c r="F59" i="79"/>
  <c r="J59" i="79"/>
  <c r="F58" i="79"/>
  <c r="I58" i="79"/>
  <c r="F57" i="79"/>
  <c r="G57" i="79"/>
  <c r="F56" i="79"/>
  <c r="H56" i="79"/>
  <c r="F55" i="79"/>
  <c r="I55" i="79"/>
  <c r="H54" i="79"/>
  <c r="F54" i="79"/>
  <c r="I54" i="79"/>
  <c r="F53" i="79"/>
  <c r="I53" i="79"/>
  <c r="F52" i="79"/>
  <c r="G52" i="79"/>
  <c r="F51" i="79"/>
  <c r="I51" i="79"/>
  <c r="F50" i="79"/>
  <c r="J50" i="79"/>
  <c r="J49" i="79"/>
  <c r="I49" i="79"/>
  <c r="F49" i="79"/>
  <c r="F48" i="79"/>
  <c r="F47" i="79"/>
  <c r="I47" i="79"/>
  <c r="J46" i="79"/>
  <c r="F46" i="79"/>
  <c r="F45" i="79"/>
  <c r="J45" i="79"/>
  <c r="F44" i="79"/>
  <c r="F43" i="79"/>
  <c r="I43" i="79"/>
  <c r="F42" i="79"/>
  <c r="J42" i="79"/>
  <c r="F41" i="79"/>
  <c r="J41" i="79"/>
  <c r="F40" i="79"/>
  <c r="F39" i="79"/>
  <c r="I39" i="79"/>
  <c r="F38" i="79"/>
  <c r="J38" i="79"/>
  <c r="J37" i="79"/>
  <c r="F37" i="79"/>
  <c r="I37" i="79"/>
  <c r="F36" i="79"/>
  <c r="F35" i="79"/>
  <c r="I35" i="79"/>
  <c r="F34" i="79"/>
  <c r="J34" i="79"/>
  <c r="J33" i="79"/>
  <c r="I33" i="79"/>
  <c r="F33" i="79"/>
  <c r="F32" i="79"/>
  <c r="J32" i="79"/>
  <c r="F31" i="79"/>
  <c r="I31" i="79"/>
  <c r="J30" i="79"/>
  <c r="F30" i="79"/>
  <c r="F29" i="79"/>
  <c r="J29" i="79"/>
  <c r="F28" i="79"/>
  <c r="J28" i="79"/>
  <c r="J18" i="79"/>
  <c r="F27" i="79"/>
  <c r="F412" i="78"/>
  <c r="J412" i="78"/>
  <c r="F411" i="78"/>
  <c r="H411" i="78"/>
  <c r="F410" i="78"/>
  <c r="H410" i="78"/>
  <c r="F409" i="78"/>
  <c r="F408" i="78"/>
  <c r="J408" i="78"/>
  <c r="H407" i="78"/>
  <c r="F407" i="78"/>
  <c r="J407" i="78"/>
  <c r="I406" i="78"/>
  <c r="G406" i="78"/>
  <c r="F406" i="78"/>
  <c r="H406" i="78"/>
  <c r="J406" i="78"/>
  <c r="F405" i="78"/>
  <c r="I405" i="78"/>
  <c r="F404" i="78"/>
  <c r="F403" i="78"/>
  <c r="J403" i="78"/>
  <c r="G402" i="78"/>
  <c r="F402" i="78"/>
  <c r="F401" i="78"/>
  <c r="F400" i="78"/>
  <c r="I400" i="78"/>
  <c r="F399" i="78"/>
  <c r="F398" i="78"/>
  <c r="H398" i="78"/>
  <c r="F397" i="78"/>
  <c r="J397" i="78"/>
  <c r="F396" i="78"/>
  <c r="J396" i="78"/>
  <c r="F395" i="78"/>
  <c r="H395" i="78"/>
  <c r="F394" i="78"/>
  <c r="H394" i="78"/>
  <c r="F393" i="78"/>
  <c r="F392" i="78"/>
  <c r="J392" i="78"/>
  <c r="F391" i="78"/>
  <c r="F390" i="78"/>
  <c r="J390" i="78"/>
  <c r="F389" i="78"/>
  <c r="I389" i="78"/>
  <c r="F388" i="78"/>
  <c r="F387" i="78"/>
  <c r="H387" i="78"/>
  <c r="G386" i="78"/>
  <c r="F386" i="78"/>
  <c r="F385" i="78"/>
  <c r="J385" i="78"/>
  <c r="F384" i="78"/>
  <c r="I384" i="78"/>
  <c r="F383" i="78"/>
  <c r="F382" i="78"/>
  <c r="H382" i="78"/>
  <c r="F381" i="78"/>
  <c r="J381" i="78"/>
  <c r="F380" i="78"/>
  <c r="J380" i="78"/>
  <c r="F379" i="78"/>
  <c r="H379" i="78"/>
  <c r="F378" i="78"/>
  <c r="H378" i="78"/>
  <c r="F377" i="78"/>
  <c r="F376" i="78"/>
  <c r="J376" i="78"/>
  <c r="F375" i="78"/>
  <c r="F374" i="78"/>
  <c r="H374" i="78"/>
  <c r="F373" i="78"/>
  <c r="I373" i="78"/>
  <c r="F372" i="78"/>
  <c r="F371" i="78"/>
  <c r="J371" i="78"/>
  <c r="F370" i="78"/>
  <c r="F369" i="78"/>
  <c r="J369" i="78"/>
  <c r="I369" i="78"/>
  <c r="F368" i="78"/>
  <c r="I368" i="78"/>
  <c r="F367" i="78"/>
  <c r="F366" i="78"/>
  <c r="H366" i="78"/>
  <c r="F365" i="78"/>
  <c r="J365" i="78"/>
  <c r="F364" i="78"/>
  <c r="J364" i="78"/>
  <c r="F363" i="78"/>
  <c r="H363" i="78"/>
  <c r="F362" i="78"/>
  <c r="H362" i="78"/>
  <c r="F361" i="78"/>
  <c r="F360" i="78"/>
  <c r="J360" i="78"/>
  <c r="F359" i="78"/>
  <c r="H359" i="78"/>
  <c r="J359" i="78"/>
  <c r="G358" i="78"/>
  <c r="F358" i="78"/>
  <c r="F357" i="78"/>
  <c r="I357" i="78"/>
  <c r="F356" i="78"/>
  <c r="F355" i="78"/>
  <c r="F354" i="78"/>
  <c r="H354" i="78"/>
  <c r="F353" i="78"/>
  <c r="J353" i="78"/>
  <c r="F352" i="78"/>
  <c r="F351" i="78"/>
  <c r="F350" i="78"/>
  <c r="F349" i="78"/>
  <c r="F348" i="78"/>
  <c r="F347" i="78"/>
  <c r="H347" i="78"/>
  <c r="G346" i="78"/>
  <c r="F346" i="78"/>
  <c r="F345" i="78"/>
  <c r="F344" i="78"/>
  <c r="G344" i="78"/>
  <c r="F343" i="78"/>
  <c r="F342" i="78"/>
  <c r="J342" i="78"/>
  <c r="F341" i="78"/>
  <c r="F340" i="78"/>
  <c r="F339" i="78"/>
  <c r="I338" i="78"/>
  <c r="F338" i="78"/>
  <c r="J338" i="78"/>
  <c r="F337" i="78"/>
  <c r="J336" i="78"/>
  <c r="F336" i="78"/>
  <c r="F335" i="78"/>
  <c r="F334" i="78"/>
  <c r="I334" i="78"/>
  <c r="F333" i="78"/>
  <c r="F332" i="78"/>
  <c r="I332" i="78"/>
  <c r="J332" i="78"/>
  <c r="F331" i="78"/>
  <c r="I331" i="78"/>
  <c r="F330" i="78"/>
  <c r="H330" i="78"/>
  <c r="F329" i="78"/>
  <c r="F328" i="78"/>
  <c r="F327" i="78"/>
  <c r="I327" i="78"/>
  <c r="F326" i="78"/>
  <c r="G325" i="78"/>
  <c r="F325" i="78"/>
  <c r="F324" i="78"/>
  <c r="F323" i="78"/>
  <c r="J323" i="78"/>
  <c r="H322" i="78"/>
  <c r="F322" i="78"/>
  <c r="J322" i="78"/>
  <c r="F321" i="78"/>
  <c r="H321" i="78"/>
  <c r="F320" i="78"/>
  <c r="J320" i="78"/>
  <c r="F319" i="78"/>
  <c r="J319" i="78"/>
  <c r="F318" i="78"/>
  <c r="F317" i="78"/>
  <c r="F316" i="78"/>
  <c r="J316" i="78"/>
  <c r="F315" i="78"/>
  <c r="F314" i="78"/>
  <c r="H314" i="78"/>
  <c r="F313" i="78"/>
  <c r="H313" i="78"/>
  <c r="F312" i="78"/>
  <c r="J312" i="78"/>
  <c r="F311" i="78"/>
  <c r="I311" i="78"/>
  <c r="F310" i="78"/>
  <c r="J310" i="78"/>
  <c r="F309" i="78"/>
  <c r="I309" i="78"/>
  <c r="G309" i="78"/>
  <c r="H309" i="78"/>
  <c r="F308" i="78"/>
  <c r="I308" i="78"/>
  <c r="J308" i="78"/>
  <c r="F307" i="78"/>
  <c r="F306" i="78"/>
  <c r="F305" i="78"/>
  <c r="G305" i="78"/>
  <c r="F304" i="78"/>
  <c r="F303" i="78"/>
  <c r="I303" i="78"/>
  <c r="F302" i="78"/>
  <c r="J302" i="78"/>
  <c r="F301" i="78"/>
  <c r="H301" i="78"/>
  <c r="F300" i="78"/>
  <c r="I300" i="78"/>
  <c r="F299" i="78"/>
  <c r="J299" i="78"/>
  <c r="H298" i="78"/>
  <c r="F298" i="78"/>
  <c r="J298" i="78"/>
  <c r="F297" i="78"/>
  <c r="H297" i="78"/>
  <c r="F296" i="78"/>
  <c r="F295" i="78"/>
  <c r="I295" i="78"/>
  <c r="J295" i="78"/>
  <c r="F294" i="78"/>
  <c r="F293" i="78"/>
  <c r="I293" i="78"/>
  <c r="F292" i="78"/>
  <c r="F291" i="78"/>
  <c r="J291" i="78"/>
  <c r="F290" i="78"/>
  <c r="F289" i="78"/>
  <c r="F288" i="78"/>
  <c r="J288" i="78"/>
  <c r="F287" i="78"/>
  <c r="I287" i="78"/>
  <c r="F286" i="78"/>
  <c r="F285" i="78"/>
  <c r="G285" i="78"/>
  <c r="F284" i="78"/>
  <c r="H284" i="78"/>
  <c r="F283" i="78"/>
  <c r="F282" i="78"/>
  <c r="F281" i="78"/>
  <c r="G281" i="78"/>
  <c r="F280" i="78"/>
  <c r="J280" i="78"/>
  <c r="F279" i="78"/>
  <c r="F278" i="78"/>
  <c r="J278" i="78"/>
  <c r="F277" i="78"/>
  <c r="G277" i="78"/>
  <c r="F276" i="78"/>
  <c r="J276" i="78"/>
  <c r="F275" i="78"/>
  <c r="I275" i="78"/>
  <c r="F274" i="78"/>
  <c r="H274" i="78"/>
  <c r="F273" i="78"/>
  <c r="F272" i="78"/>
  <c r="F271" i="78"/>
  <c r="I271" i="78"/>
  <c r="F270" i="78"/>
  <c r="J270" i="78"/>
  <c r="F269" i="78"/>
  <c r="G269" i="78"/>
  <c r="H269" i="78"/>
  <c r="F268" i="78"/>
  <c r="I268" i="78"/>
  <c r="F267" i="78"/>
  <c r="J267" i="78"/>
  <c r="F266" i="78"/>
  <c r="I265" i="78"/>
  <c r="F265" i="78"/>
  <c r="J265" i="78"/>
  <c r="F264" i="78"/>
  <c r="I264" i="78"/>
  <c r="I263" i="78"/>
  <c r="F263" i="78"/>
  <c r="J263" i="78"/>
  <c r="F262" i="78"/>
  <c r="G262" i="78"/>
  <c r="G261" i="78"/>
  <c r="F261" i="78"/>
  <c r="H261" i="78"/>
  <c r="J261" i="78"/>
  <c r="F260" i="78"/>
  <c r="J260" i="78"/>
  <c r="F259" i="78"/>
  <c r="J259" i="78"/>
  <c r="F258" i="78"/>
  <c r="J258" i="78"/>
  <c r="F257" i="78"/>
  <c r="H257" i="78"/>
  <c r="F256" i="78"/>
  <c r="J256" i="78"/>
  <c r="F255" i="78"/>
  <c r="I255" i="78"/>
  <c r="F254" i="78"/>
  <c r="F253" i="78"/>
  <c r="H253" i="78"/>
  <c r="F252" i="78"/>
  <c r="I252" i="78"/>
  <c r="F251" i="78"/>
  <c r="F250" i="78"/>
  <c r="J250" i="78"/>
  <c r="G249" i="78"/>
  <c r="F249" i="78"/>
  <c r="H249" i="78"/>
  <c r="J249" i="78"/>
  <c r="F248" i="78"/>
  <c r="J248" i="78"/>
  <c r="F247" i="78"/>
  <c r="I247" i="78"/>
  <c r="F246" i="78"/>
  <c r="J246" i="78"/>
  <c r="F245" i="78"/>
  <c r="H245" i="78"/>
  <c r="F244" i="78"/>
  <c r="F243" i="78"/>
  <c r="G243" i="78"/>
  <c r="F242" i="78"/>
  <c r="F241" i="78"/>
  <c r="J241" i="78"/>
  <c r="F240" i="78"/>
  <c r="F239" i="78"/>
  <c r="J239" i="78"/>
  <c r="F238" i="78"/>
  <c r="I238" i="78"/>
  <c r="G237" i="78"/>
  <c r="F237" i="78"/>
  <c r="F236" i="78"/>
  <c r="J236" i="78"/>
  <c r="F235" i="78"/>
  <c r="J235" i="78"/>
  <c r="F234" i="78"/>
  <c r="J234" i="78"/>
  <c r="F233" i="78"/>
  <c r="H233" i="78"/>
  <c r="F232" i="78"/>
  <c r="F231" i="78"/>
  <c r="I231" i="78"/>
  <c r="F230" i="78"/>
  <c r="F229" i="78"/>
  <c r="I229" i="78"/>
  <c r="F228" i="78"/>
  <c r="J228" i="78"/>
  <c r="F227" i="78"/>
  <c r="J227" i="78"/>
  <c r="F226" i="78"/>
  <c r="J226" i="78"/>
  <c r="F225" i="78"/>
  <c r="G225" i="78"/>
  <c r="F224" i="78"/>
  <c r="J224" i="78"/>
  <c r="F223" i="78"/>
  <c r="F222" i="78"/>
  <c r="F221" i="78"/>
  <c r="F220" i="78"/>
  <c r="F219" i="78"/>
  <c r="H219" i="78"/>
  <c r="G219" i="78"/>
  <c r="F218" i="78"/>
  <c r="F217" i="78"/>
  <c r="F216" i="78"/>
  <c r="F215" i="78"/>
  <c r="H215" i="78"/>
  <c r="F214" i="78"/>
  <c r="F213" i="78"/>
  <c r="F212" i="78"/>
  <c r="I212" i="78"/>
  <c r="H211" i="78"/>
  <c r="F211" i="78"/>
  <c r="G211" i="78"/>
  <c r="F210" i="78"/>
  <c r="H210" i="78"/>
  <c r="F209" i="78"/>
  <c r="F208" i="78"/>
  <c r="F207" i="78"/>
  <c r="F206" i="78"/>
  <c r="H206" i="78"/>
  <c r="F205" i="78"/>
  <c r="F204" i="78"/>
  <c r="F203" i="78"/>
  <c r="H203" i="78"/>
  <c r="G203" i="78"/>
  <c r="F202" i="78"/>
  <c r="F201" i="78"/>
  <c r="F200" i="78"/>
  <c r="F199" i="78"/>
  <c r="H199" i="78"/>
  <c r="F198" i="78"/>
  <c r="F197" i="78"/>
  <c r="F196" i="78"/>
  <c r="I196" i="78"/>
  <c r="F195" i="78"/>
  <c r="H195" i="78"/>
  <c r="F194" i="78"/>
  <c r="J194" i="78"/>
  <c r="F193" i="78"/>
  <c r="F192" i="78"/>
  <c r="G192" i="78"/>
  <c r="F191" i="78"/>
  <c r="H191" i="78"/>
  <c r="G191" i="78"/>
  <c r="F190" i="78"/>
  <c r="F189" i="78"/>
  <c r="F188" i="78"/>
  <c r="F187" i="78"/>
  <c r="G187" i="78"/>
  <c r="F186" i="78"/>
  <c r="F185" i="78"/>
  <c r="H185" i="78"/>
  <c r="F184" i="78"/>
  <c r="F183" i="78"/>
  <c r="H183" i="78"/>
  <c r="F182" i="78"/>
  <c r="F181" i="78"/>
  <c r="F180" i="78"/>
  <c r="G180" i="78"/>
  <c r="H179" i="78"/>
  <c r="F179" i="78"/>
  <c r="G179" i="78"/>
  <c r="F178" i="78"/>
  <c r="F177" i="78"/>
  <c r="G177" i="78"/>
  <c r="F176" i="78"/>
  <c r="F175" i="78"/>
  <c r="G175" i="78"/>
  <c r="F174" i="78"/>
  <c r="F173" i="78"/>
  <c r="F172" i="78"/>
  <c r="F171" i="78"/>
  <c r="H171" i="78"/>
  <c r="G171" i="78"/>
  <c r="F170" i="78"/>
  <c r="F169" i="78"/>
  <c r="J169" i="78"/>
  <c r="F168" i="78"/>
  <c r="I168" i="78"/>
  <c r="H167" i="78"/>
  <c r="F167" i="78"/>
  <c r="G167" i="78"/>
  <c r="F166" i="78"/>
  <c r="F165" i="78"/>
  <c r="H165" i="78"/>
  <c r="F164" i="78"/>
  <c r="F163" i="78"/>
  <c r="H163" i="78"/>
  <c r="G163" i="78"/>
  <c r="F162" i="78"/>
  <c r="F161" i="78"/>
  <c r="H161" i="78"/>
  <c r="F160" i="78"/>
  <c r="F159" i="78"/>
  <c r="H159" i="78"/>
  <c r="G159" i="78"/>
  <c r="F158" i="78"/>
  <c r="F157" i="78"/>
  <c r="I157" i="78"/>
  <c r="F156" i="78"/>
  <c r="G156" i="78"/>
  <c r="F155" i="78"/>
  <c r="J155" i="78"/>
  <c r="F154" i="78"/>
  <c r="I154" i="78"/>
  <c r="G153" i="78"/>
  <c r="F153" i="78"/>
  <c r="F152" i="78"/>
  <c r="H152" i="78"/>
  <c r="F151" i="78"/>
  <c r="H151" i="78"/>
  <c r="F150" i="78"/>
  <c r="H150" i="78"/>
  <c r="I149" i="78"/>
  <c r="F149" i="78"/>
  <c r="F148" i="78"/>
  <c r="F147" i="78"/>
  <c r="I147" i="78"/>
  <c r="F146" i="78"/>
  <c r="I146" i="78"/>
  <c r="F145" i="78"/>
  <c r="G145" i="78"/>
  <c r="I145" i="78"/>
  <c r="F144" i="78"/>
  <c r="H144" i="78"/>
  <c r="F143" i="78"/>
  <c r="F142" i="78"/>
  <c r="F141" i="78"/>
  <c r="I141" i="78"/>
  <c r="F140" i="78"/>
  <c r="I139" i="78"/>
  <c r="G139" i="78"/>
  <c r="F139" i="78"/>
  <c r="H139" i="78"/>
  <c r="J139" i="78"/>
  <c r="F138" i="78"/>
  <c r="G137" i="78"/>
  <c r="F137" i="78"/>
  <c r="I137" i="78"/>
  <c r="F136" i="78"/>
  <c r="H136" i="78"/>
  <c r="I135" i="78"/>
  <c r="G135" i="78"/>
  <c r="F135" i="78"/>
  <c r="H135" i="78"/>
  <c r="J135" i="78"/>
  <c r="F134" i="78"/>
  <c r="F133" i="78"/>
  <c r="F132" i="78"/>
  <c r="H132" i="78"/>
  <c r="F131" i="78"/>
  <c r="H131" i="78"/>
  <c r="F130" i="78"/>
  <c r="I130" i="78"/>
  <c r="G129" i="78"/>
  <c r="F129" i="78"/>
  <c r="I129" i="78"/>
  <c r="F128" i="78"/>
  <c r="H128" i="78"/>
  <c r="F127" i="78"/>
  <c r="H127" i="78"/>
  <c r="G127" i="78"/>
  <c r="F126" i="78"/>
  <c r="F125" i="78"/>
  <c r="I125" i="78"/>
  <c r="F124" i="78"/>
  <c r="G124" i="78"/>
  <c r="H123" i="78"/>
  <c r="G123" i="78"/>
  <c r="F123" i="78"/>
  <c r="I123" i="78"/>
  <c r="F122" i="78"/>
  <c r="F121" i="78"/>
  <c r="F120" i="78"/>
  <c r="H120" i="78"/>
  <c r="F119" i="78"/>
  <c r="F118" i="78"/>
  <c r="F117" i="78"/>
  <c r="I117" i="78"/>
  <c r="F116" i="78"/>
  <c r="G116" i="78"/>
  <c r="F115" i="78"/>
  <c r="G115" i="78"/>
  <c r="F114" i="78"/>
  <c r="I114" i="78"/>
  <c r="F113" i="78"/>
  <c r="I113" i="78"/>
  <c r="F112" i="78"/>
  <c r="H111" i="78"/>
  <c r="F111" i="78"/>
  <c r="I110" i="78"/>
  <c r="F110" i="78"/>
  <c r="H110" i="78"/>
  <c r="F109" i="78"/>
  <c r="I109" i="78"/>
  <c r="F108" i="78"/>
  <c r="J108" i="78"/>
  <c r="F107" i="78"/>
  <c r="F106" i="78"/>
  <c r="I106" i="78"/>
  <c r="I105" i="78"/>
  <c r="F105" i="78"/>
  <c r="G105" i="78"/>
  <c r="F104" i="78"/>
  <c r="H104" i="78"/>
  <c r="F103" i="78"/>
  <c r="I103" i="78"/>
  <c r="G103" i="78"/>
  <c r="H103" i="78"/>
  <c r="F102" i="78"/>
  <c r="F101" i="78"/>
  <c r="G101" i="78"/>
  <c r="F100" i="78"/>
  <c r="G100" i="78"/>
  <c r="F99" i="78"/>
  <c r="F98" i="78"/>
  <c r="I98" i="78"/>
  <c r="F97" i="78"/>
  <c r="F96" i="78"/>
  <c r="H96" i="78"/>
  <c r="H95" i="78"/>
  <c r="F95" i="78"/>
  <c r="F94" i="78"/>
  <c r="I94" i="78"/>
  <c r="H94" i="78"/>
  <c r="F93" i="78"/>
  <c r="I93" i="78"/>
  <c r="F92" i="78"/>
  <c r="F91" i="78"/>
  <c r="J91" i="78"/>
  <c r="F90" i="78"/>
  <c r="F89" i="78"/>
  <c r="G89" i="78"/>
  <c r="I89" i="78"/>
  <c r="F88" i="78"/>
  <c r="F87" i="78"/>
  <c r="G87" i="78"/>
  <c r="F86" i="78"/>
  <c r="F85" i="78"/>
  <c r="I85" i="78"/>
  <c r="J85" i="78"/>
  <c r="H84" i="78"/>
  <c r="F84" i="78"/>
  <c r="G84" i="78"/>
  <c r="H83" i="78"/>
  <c r="F83" i="78"/>
  <c r="F82" i="78"/>
  <c r="I82" i="78"/>
  <c r="F81" i="78"/>
  <c r="I81" i="78"/>
  <c r="F80" i="78"/>
  <c r="H80" i="78"/>
  <c r="F79" i="78"/>
  <c r="F78" i="78"/>
  <c r="H78" i="78"/>
  <c r="F77" i="78"/>
  <c r="F76" i="78"/>
  <c r="F75" i="78"/>
  <c r="H75" i="78"/>
  <c r="F74" i="78"/>
  <c r="F73" i="78"/>
  <c r="G73" i="78"/>
  <c r="F72" i="78"/>
  <c r="H72" i="78"/>
  <c r="I71" i="78"/>
  <c r="G71" i="78"/>
  <c r="F71" i="78"/>
  <c r="H71" i="78"/>
  <c r="J71" i="78"/>
  <c r="F70" i="78"/>
  <c r="I69" i="78"/>
  <c r="F69" i="78"/>
  <c r="H68" i="78"/>
  <c r="F68" i="78"/>
  <c r="F67" i="78"/>
  <c r="H67" i="78"/>
  <c r="F66" i="78"/>
  <c r="H66" i="78"/>
  <c r="F65" i="78"/>
  <c r="G65" i="78"/>
  <c r="F64" i="78"/>
  <c r="H64" i="78"/>
  <c r="F63" i="78"/>
  <c r="G63" i="78"/>
  <c r="F62" i="78"/>
  <c r="F61" i="78"/>
  <c r="I61" i="78"/>
  <c r="F60" i="78"/>
  <c r="G60" i="78"/>
  <c r="F59" i="78"/>
  <c r="G59" i="78"/>
  <c r="F58" i="78"/>
  <c r="I58" i="78"/>
  <c r="F57" i="78"/>
  <c r="I57" i="78"/>
  <c r="F56" i="78"/>
  <c r="J56" i="78"/>
  <c r="F55" i="78"/>
  <c r="I55" i="78"/>
  <c r="F54" i="78"/>
  <c r="F53" i="78"/>
  <c r="F52" i="78"/>
  <c r="G52" i="78"/>
  <c r="F51" i="78"/>
  <c r="I51" i="78"/>
  <c r="G51" i="78"/>
  <c r="F50" i="78"/>
  <c r="I50" i="78"/>
  <c r="F49" i="78"/>
  <c r="G49" i="78"/>
  <c r="F48" i="78"/>
  <c r="H48" i="78"/>
  <c r="F47" i="78"/>
  <c r="G47" i="78"/>
  <c r="F46" i="78"/>
  <c r="H46" i="78"/>
  <c r="F45" i="78"/>
  <c r="I45" i="78"/>
  <c r="F44" i="78"/>
  <c r="G44" i="78"/>
  <c r="F43" i="78"/>
  <c r="H43" i="78"/>
  <c r="F42" i="78"/>
  <c r="J42" i="78"/>
  <c r="I42" i="78"/>
  <c r="F41" i="78"/>
  <c r="F40" i="78"/>
  <c r="H40" i="78"/>
  <c r="F39" i="78"/>
  <c r="I39" i="78"/>
  <c r="F38" i="78"/>
  <c r="H38" i="78"/>
  <c r="F37" i="78"/>
  <c r="F36" i="78"/>
  <c r="H36" i="78"/>
  <c r="G36" i="78"/>
  <c r="F35" i="78"/>
  <c r="H35" i="78"/>
  <c r="F34" i="78"/>
  <c r="J34" i="78"/>
  <c r="F33" i="78"/>
  <c r="I33" i="78"/>
  <c r="F32" i="78"/>
  <c r="F31" i="78"/>
  <c r="G31" i="78"/>
  <c r="F30" i="78"/>
  <c r="I30" i="78"/>
  <c r="H30" i="78"/>
  <c r="F29" i="78"/>
  <c r="I29" i="78"/>
  <c r="F28" i="78"/>
  <c r="H28" i="78"/>
  <c r="F25" i="78"/>
  <c r="J18" i="78"/>
  <c r="F27" i="78"/>
  <c r="F412" i="77"/>
  <c r="F411" i="77"/>
  <c r="J411" i="77"/>
  <c r="F410" i="77"/>
  <c r="I410" i="77"/>
  <c r="F409" i="77"/>
  <c r="F408" i="77"/>
  <c r="I408" i="77"/>
  <c r="F407" i="77"/>
  <c r="F406" i="77"/>
  <c r="F405" i="77"/>
  <c r="J405" i="77"/>
  <c r="H404" i="77"/>
  <c r="F404" i="77"/>
  <c r="J404" i="77"/>
  <c r="F403" i="77"/>
  <c r="F402" i="77"/>
  <c r="F401" i="77"/>
  <c r="H401" i="77"/>
  <c r="I400" i="77"/>
  <c r="F400" i="77"/>
  <c r="J400" i="77"/>
  <c r="I399" i="77"/>
  <c r="F399" i="77"/>
  <c r="F398" i="77"/>
  <c r="F397" i="77"/>
  <c r="I396" i="77"/>
  <c r="F396" i="77"/>
  <c r="J396" i="77"/>
  <c r="J395" i="77"/>
  <c r="F395" i="77"/>
  <c r="I395" i="77"/>
  <c r="F394" i="77"/>
  <c r="J394" i="77"/>
  <c r="F393" i="77"/>
  <c r="F392" i="77"/>
  <c r="G392" i="77"/>
  <c r="F391" i="77"/>
  <c r="I390" i="77"/>
  <c r="F390" i="77"/>
  <c r="J390" i="77"/>
  <c r="F389" i="77"/>
  <c r="H389" i="77"/>
  <c r="I388" i="77"/>
  <c r="H388" i="77"/>
  <c r="F388" i="77"/>
  <c r="J388" i="77"/>
  <c r="F387" i="77"/>
  <c r="F386" i="77"/>
  <c r="F385" i="77"/>
  <c r="F384" i="77"/>
  <c r="I384" i="77"/>
  <c r="F383" i="77"/>
  <c r="J383" i="77"/>
  <c r="F382" i="77"/>
  <c r="F381" i="77"/>
  <c r="F380" i="77"/>
  <c r="J379" i="77"/>
  <c r="F379" i="77"/>
  <c r="I379" i="77"/>
  <c r="F378" i="77"/>
  <c r="I378" i="77"/>
  <c r="F377" i="77"/>
  <c r="H376" i="77"/>
  <c r="F376" i="77"/>
  <c r="J376" i="77"/>
  <c r="F375" i="77"/>
  <c r="J374" i="77"/>
  <c r="F374" i="77"/>
  <c r="I374" i="77"/>
  <c r="F373" i="77"/>
  <c r="J373" i="77"/>
  <c r="I372" i="77"/>
  <c r="F372" i="77"/>
  <c r="F371" i="77"/>
  <c r="F370" i="77"/>
  <c r="F369" i="77"/>
  <c r="J369" i="77"/>
  <c r="F368" i="77"/>
  <c r="G368" i="77"/>
  <c r="F367" i="77"/>
  <c r="I367" i="77"/>
  <c r="F366" i="77"/>
  <c r="F365" i="77"/>
  <c r="J365" i="77"/>
  <c r="H364" i="77"/>
  <c r="G364" i="77"/>
  <c r="F364" i="77"/>
  <c r="J364" i="77"/>
  <c r="F363" i="77"/>
  <c r="J363" i="77"/>
  <c r="J362" i="77"/>
  <c r="F362" i="77"/>
  <c r="F361" i="77"/>
  <c r="F360" i="77"/>
  <c r="I360" i="77"/>
  <c r="F359" i="77"/>
  <c r="F358" i="77"/>
  <c r="F357" i="77"/>
  <c r="H357" i="77"/>
  <c r="F356" i="77"/>
  <c r="J356" i="77"/>
  <c r="F355" i="77"/>
  <c r="F354" i="77"/>
  <c r="F353" i="77"/>
  <c r="H353" i="77"/>
  <c r="I352" i="77"/>
  <c r="F352" i="77"/>
  <c r="J352" i="77"/>
  <c r="F351" i="77"/>
  <c r="J351" i="77"/>
  <c r="F350" i="77"/>
  <c r="F349" i="77"/>
  <c r="I348" i="77"/>
  <c r="H348" i="77"/>
  <c r="F348" i="77"/>
  <c r="J348" i="77"/>
  <c r="F347" i="77"/>
  <c r="F346" i="77"/>
  <c r="I346" i="77"/>
  <c r="F345" i="77"/>
  <c r="F344" i="77"/>
  <c r="G344" i="77"/>
  <c r="F343" i="77"/>
  <c r="J343" i="77"/>
  <c r="F342" i="77"/>
  <c r="F341" i="77"/>
  <c r="J341" i="77"/>
  <c r="F340" i="77"/>
  <c r="I340" i="77"/>
  <c r="F339" i="77"/>
  <c r="F338" i="77"/>
  <c r="F337" i="77"/>
  <c r="F336" i="77"/>
  <c r="F335" i="77"/>
  <c r="I335" i="77"/>
  <c r="F334" i="77"/>
  <c r="F333" i="77"/>
  <c r="G332" i="77"/>
  <c r="F332" i="77"/>
  <c r="F331" i="77"/>
  <c r="F330" i="77"/>
  <c r="J330" i="77"/>
  <c r="F329" i="77"/>
  <c r="F328" i="77"/>
  <c r="F327" i="77"/>
  <c r="I327" i="77"/>
  <c r="H326" i="77"/>
  <c r="F326" i="77"/>
  <c r="F325" i="77"/>
  <c r="F324" i="77"/>
  <c r="F323" i="77"/>
  <c r="J323" i="77"/>
  <c r="F322" i="77"/>
  <c r="I321" i="77"/>
  <c r="H321" i="77"/>
  <c r="F321" i="77"/>
  <c r="J321" i="77"/>
  <c r="F320" i="77"/>
  <c r="I320" i="77"/>
  <c r="F319" i="77"/>
  <c r="F318" i="77"/>
  <c r="J318" i="77"/>
  <c r="F317" i="77"/>
  <c r="I317" i="77"/>
  <c r="F316" i="77"/>
  <c r="I316" i="77"/>
  <c r="I315" i="77"/>
  <c r="F315" i="77"/>
  <c r="F314" i="77"/>
  <c r="G313" i="77"/>
  <c r="F313" i="77"/>
  <c r="F312" i="77"/>
  <c r="J312" i="77"/>
  <c r="F311" i="77"/>
  <c r="H310" i="77"/>
  <c r="F310" i="77"/>
  <c r="F309" i="77"/>
  <c r="F308" i="77"/>
  <c r="F307" i="77"/>
  <c r="J307" i="77"/>
  <c r="F306" i="77"/>
  <c r="H306" i="77"/>
  <c r="J305" i="77"/>
  <c r="H305" i="77"/>
  <c r="F305" i="77"/>
  <c r="I305" i="77"/>
  <c r="G304" i="77"/>
  <c r="F304" i="77"/>
  <c r="F303" i="77"/>
  <c r="F302" i="77"/>
  <c r="J301" i="77"/>
  <c r="F301" i="77"/>
  <c r="I301" i="77"/>
  <c r="F300" i="77"/>
  <c r="J299" i="77"/>
  <c r="F299" i="77"/>
  <c r="G299" i="77"/>
  <c r="F298" i="77"/>
  <c r="I298" i="77"/>
  <c r="F297" i="77"/>
  <c r="F296" i="77"/>
  <c r="I296" i="77"/>
  <c r="J295" i="77"/>
  <c r="F295" i="77"/>
  <c r="G295" i="77"/>
  <c r="I294" i="77"/>
  <c r="F294" i="77"/>
  <c r="F293" i="77"/>
  <c r="H293" i="77"/>
  <c r="F292" i="77"/>
  <c r="G292" i="77"/>
  <c r="F291" i="77"/>
  <c r="F290" i="77"/>
  <c r="J289" i="77"/>
  <c r="F289" i="77"/>
  <c r="I289" i="77"/>
  <c r="H288" i="77"/>
  <c r="G288" i="77"/>
  <c r="F288" i="77"/>
  <c r="J288" i="77"/>
  <c r="F287" i="77"/>
  <c r="I287" i="77"/>
  <c r="F286" i="77"/>
  <c r="F285" i="77"/>
  <c r="I285" i="77"/>
  <c r="I284" i="77"/>
  <c r="H284" i="77"/>
  <c r="F284" i="77"/>
  <c r="J284" i="77"/>
  <c r="F283" i="77"/>
  <c r="F282" i="77"/>
  <c r="I282" i="77"/>
  <c r="F281" i="77"/>
  <c r="F280" i="77"/>
  <c r="F279" i="77"/>
  <c r="G279" i="77"/>
  <c r="J278" i="77"/>
  <c r="I278" i="77"/>
  <c r="F278" i="77"/>
  <c r="H278" i="77"/>
  <c r="F277" i="77"/>
  <c r="H277" i="77"/>
  <c r="G276" i="77"/>
  <c r="F276" i="77"/>
  <c r="F275" i="77"/>
  <c r="F274" i="77"/>
  <c r="H274" i="77"/>
  <c r="F273" i="77"/>
  <c r="H272" i="77"/>
  <c r="F272" i="77"/>
  <c r="J272" i="77"/>
  <c r="F271" i="77"/>
  <c r="F270" i="77"/>
  <c r="F269" i="77"/>
  <c r="I269" i="77"/>
  <c r="I268" i="77"/>
  <c r="H268" i="77"/>
  <c r="F268" i="77"/>
  <c r="J268" i="77"/>
  <c r="F267" i="77"/>
  <c r="F266" i="77"/>
  <c r="I266" i="77"/>
  <c r="F265" i="77"/>
  <c r="I264" i="77"/>
  <c r="F264" i="77"/>
  <c r="F263" i="77"/>
  <c r="J262" i="77"/>
  <c r="F262" i="77"/>
  <c r="H262" i="77"/>
  <c r="F261" i="77"/>
  <c r="H261" i="77"/>
  <c r="F260" i="77"/>
  <c r="G260" i="77"/>
  <c r="F259" i="77"/>
  <c r="J258" i="77"/>
  <c r="F258" i="77"/>
  <c r="H258" i="77"/>
  <c r="H257" i="77"/>
  <c r="F257" i="77"/>
  <c r="F256" i="77"/>
  <c r="I255" i="77"/>
  <c r="F255" i="77"/>
  <c r="F254" i="77"/>
  <c r="F253" i="77"/>
  <c r="I253" i="77"/>
  <c r="F252" i="77"/>
  <c r="J251" i="77"/>
  <c r="F251" i="77"/>
  <c r="G251" i="77"/>
  <c r="I250" i="77"/>
  <c r="F250" i="77"/>
  <c r="F249" i="77"/>
  <c r="F248" i="77"/>
  <c r="J247" i="77"/>
  <c r="F247" i="77"/>
  <c r="G247" i="77"/>
  <c r="F246" i="77"/>
  <c r="H245" i="77"/>
  <c r="F245" i="77"/>
  <c r="F244" i="77"/>
  <c r="F243" i="77"/>
  <c r="J242" i="77"/>
  <c r="F242" i="77"/>
  <c r="H242" i="77"/>
  <c r="H241" i="77"/>
  <c r="F241" i="77"/>
  <c r="F240" i="77"/>
  <c r="F239" i="77"/>
  <c r="F238" i="77"/>
  <c r="F237" i="77"/>
  <c r="I236" i="77"/>
  <c r="F236" i="77"/>
  <c r="J236" i="77"/>
  <c r="J235" i="77"/>
  <c r="I235" i="77"/>
  <c r="F235" i="77"/>
  <c r="G235" i="77"/>
  <c r="F234" i="77"/>
  <c r="I234" i="77"/>
  <c r="F233" i="77"/>
  <c r="F232" i="77"/>
  <c r="I232" i="77"/>
  <c r="F231" i="77"/>
  <c r="G231" i="77"/>
  <c r="F230" i="77"/>
  <c r="H229" i="77"/>
  <c r="F229" i="77"/>
  <c r="F228" i="77"/>
  <c r="G228" i="77"/>
  <c r="F227" i="77"/>
  <c r="F226" i="77"/>
  <c r="H226" i="77"/>
  <c r="J225" i="77"/>
  <c r="H225" i="77"/>
  <c r="F225" i="77"/>
  <c r="I225" i="77"/>
  <c r="F224" i="77"/>
  <c r="F223" i="77"/>
  <c r="I223" i="77"/>
  <c r="F222" i="77"/>
  <c r="J221" i="77"/>
  <c r="F221" i="77"/>
  <c r="F220" i="77"/>
  <c r="G220" i="77"/>
  <c r="F219" i="77"/>
  <c r="F218" i="77"/>
  <c r="J217" i="77"/>
  <c r="F217" i="77"/>
  <c r="I217" i="77"/>
  <c r="H216" i="77"/>
  <c r="G216" i="77"/>
  <c r="F216" i="77"/>
  <c r="J216" i="77"/>
  <c r="F215" i="77"/>
  <c r="I215" i="77"/>
  <c r="F214" i="77"/>
  <c r="F213" i="77"/>
  <c r="I213" i="77"/>
  <c r="I212" i="77"/>
  <c r="H212" i="77"/>
  <c r="F212" i="77"/>
  <c r="J212" i="77"/>
  <c r="F211" i="77"/>
  <c r="F210" i="77"/>
  <c r="F209" i="77"/>
  <c r="F208" i="77"/>
  <c r="I208" i="77"/>
  <c r="J207" i="77"/>
  <c r="F207" i="77"/>
  <c r="G207" i="77"/>
  <c r="I206" i="77"/>
  <c r="F206" i="77"/>
  <c r="F205" i="77"/>
  <c r="H205" i="77"/>
  <c r="F204" i="77"/>
  <c r="F203" i="77"/>
  <c r="F202" i="77"/>
  <c r="H202" i="77"/>
  <c r="J201" i="77"/>
  <c r="H201" i="77"/>
  <c r="F201" i="77"/>
  <c r="I201" i="77"/>
  <c r="F200" i="77"/>
  <c r="F199" i="77"/>
  <c r="I199" i="77"/>
  <c r="F198" i="77"/>
  <c r="F197" i="77"/>
  <c r="I197" i="77"/>
  <c r="F196" i="77"/>
  <c r="J195" i="77"/>
  <c r="F195" i="77"/>
  <c r="G195" i="77"/>
  <c r="F194" i="77"/>
  <c r="I194" i="77"/>
  <c r="F193" i="77"/>
  <c r="F192" i="77"/>
  <c r="I192" i="77"/>
  <c r="J191" i="77"/>
  <c r="F191" i="77"/>
  <c r="G191" i="77"/>
  <c r="I190" i="77"/>
  <c r="F190" i="77"/>
  <c r="F189" i="77"/>
  <c r="F188" i="77"/>
  <c r="J188" i="77"/>
  <c r="F187" i="77"/>
  <c r="G187" i="77"/>
  <c r="F186" i="77"/>
  <c r="F185" i="77"/>
  <c r="I185" i="77"/>
  <c r="F184" i="77"/>
  <c r="F183" i="77"/>
  <c r="I182" i="77"/>
  <c r="F182" i="77"/>
  <c r="G182" i="77"/>
  <c r="F181" i="77"/>
  <c r="J181" i="77"/>
  <c r="F180" i="77"/>
  <c r="F179" i="77"/>
  <c r="H178" i="77"/>
  <c r="F178" i="77"/>
  <c r="F177" i="77"/>
  <c r="J177" i="77"/>
  <c r="J176" i="77"/>
  <c r="G176" i="77"/>
  <c r="F176" i="77"/>
  <c r="G175" i="77"/>
  <c r="F175" i="77"/>
  <c r="F174" i="77"/>
  <c r="H174" i="77"/>
  <c r="F173" i="77"/>
  <c r="F172" i="77"/>
  <c r="J172" i="77"/>
  <c r="F171" i="77"/>
  <c r="I171" i="77"/>
  <c r="F170" i="77"/>
  <c r="G170" i="77"/>
  <c r="F169" i="77"/>
  <c r="I169" i="77"/>
  <c r="F168" i="77"/>
  <c r="H167" i="77"/>
  <c r="F167" i="77"/>
  <c r="J167" i="77"/>
  <c r="F166" i="77"/>
  <c r="F165" i="77"/>
  <c r="F164" i="77"/>
  <c r="F163" i="77"/>
  <c r="F162" i="77"/>
  <c r="J161" i="77"/>
  <c r="F161" i="77"/>
  <c r="F160" i="77"/>
  <c r="H160" i="77"/>
  <c r="F159" i="77"/>
  <c r="G159" i="77"/>
  <c r="F158" i="77"/>
  <c r="F157" i="77"/>
  <c r="J156" i="77"/>
  <c r="F156" i="77"/>
  <c r="I156" i="77"/>
  <c r="H155" i="77"/>
  <c r="G155" i="77"/>
  <c r="F155" i="77"/>
  <c r="J155" i="77"/>
  <c r="F154" i="77"/>
  <c r="I154" i="77"/>
  <c r="F153" i="77"/>
  <c r="F152" i="77"/>
  <c r="I152" i="77"/>
  <c r="I151" i="77"/>
  <c r="H151" i="77"/>
  <c r="F151" i="77"/>
  <c r="J151" i="77"/>
  <c r="F150" i="77"/>
  <c r="F149" i="77"/>
  <c r="I149" i="77"/>
  <c r="F148" i="77"/>
  <c r="F147" i="77"/>
  <c r="F146" i="77"/>
  <c r="G146" i="77"/>
  <c r="J145" i="77"/>
  <c r="I145" i="77"/>
  <c r="F145" i="77"/>
  <c r="H145" i="77"/>
  <c r="F144" i="77"/>
  <c r="H144" i="77"/>
  <c r="G143" i="77"/>
  <c r="F143" i="77"/>
  <c r="F142" i="77"/>
  <c r="F141" i="77"/>
  <c r="J140" i="77"/>
  <c r="F140" i="77"/>
  <c r="I140" i="77"/>
  <c r="H139" i="77"/>
  <c r="G139" i="77"/>
  <c r="F139" i="77"/>
  <c r="J139" i="77"/>
  <c r="F138" i="77"/>
  <c r="F137" i="77"/>
  <c r="J136" i="77"/>
  <c r="F136" i="77"/>
  <c r="I136" i="77"/>
  <c r="F135" i="77"/>
  <c r="F134" i="77"/>
  <c r="F133" i="77"/>
  <c r="I133" i="77"/>
  <c r="F132" i="77"/>
  <c r="F131" i="77"/>
  <c r="I131" i="77"/>
  <c r="J130" i="77"/>
  <c r="F130" i="77"/>
  <c r="G130" i="77"/>
  <c r="F129" i="77"/>
  <c r="F128" i="77"/>
  <c r="H128" i="77"/>
  <c r="F127" i="77"/>
  <c r="G127" i="77"/>
  <c r="F126" i="77"/>
  <c r="F125" i="77"/>
  <c r="H125" i="77"/>
  <c r="J124" i="77"/>
  <c r="H124" i="77"/>
  <c r="F124" i="77"/>
  <c r="I124" i="77"/>
  <c r="F123" i="77"/>
  <c r="F122" i="77"/>
  <c r="I122" i="77"/>
  <c r="F121" i="77"/>
  <c r="J120" i="77"/>
  <c r="F120" i="77"/>
  <c r="I120" i="77"/>
  <c r="I119" i="77"/>
  <c r="H119" i="77"/>
  <c r="F119" i="77"/>
  <c r="J119" i="77"/>
  <c r="I118" i="77"/>
  <c r="F118" i="77"/>
  <c r="F117" i="77"/>
  <c r="I117" i="77"/>
  <c r="F116" i="77"/>
  <c r="I115" i="77"/>
  <c r="F115" i="77"/>
  <c r="F114" i="77"/>
  <c r="J113" i="77"/>
  <c r="F113" i="77"/>
  <c r="H113" i="77"/>
  <c r="F112" i="77"/>
  <c r="G111" i="77"/>
  <c r="F111" i="77"/>
  <c r="F110" i="77"/>
  <c r="J109" i="77"/>
  <c r="F109" i="77"/>
  <c r="H109" i="77"/>
  <c r="F108" i="77"/>
  <c r="H107" i="77"/>
  <c r="F107" i="77"/>
  <c r="J107" i="77"/>
  <c r="F106" i="77"/>
  <c r="I106" i="77"/>
  <c r="F105" i="77"/>
  <c r="F104" i="77"/>
  <c r="I103" i="77"/>
  <c r="F103" i="77"/>
  <c r="J103" i="77"/>
  <c r="J102" i="77"/>
  <c r="I102" i="77"/>
  <c r="F102" i="77"/>
  <c r="G102" i="77"/>
  <c r="F101" i="77"/>
  <c r="F100" i="77"/>
  <c r="F99" i="77"/>
  <c r="I99" i="77"/>
  <c r="F98" i="77"/>
  <c r="G98" i="77"/>
  <c r="J97" i="77"/>
  <c r="I97" i="77"/>
  <c r="F97" i="77"/>
  <c r="H97" i="77"/>
  <c r="F96" i="77"/>
  <c r="H96" i="77"/>
  <c r="F95" i="77"/>
  <c r="F94" i="77"/>
  <c r="F93" i="77"/>
  <c r="J93" i="77"/>
  <c r="J92" i="77"/>
  <c r="H92" i="77"/>
  <c r="F92" i="77"/>
  <c r="I92" i="77"/>
  <c r="G91" i="77"/>
  <c r="F91" i="77"/>
  <c r="F90" i="77"/>
  <c r="G90" i="77"/>
  <c r="F89" i="77"/>
  <c r="H89" i="77"/>
  <c r="J88" i="77"/>
  <c r="F88" i="77"/>
  <c r="I88" i="77"/>
  <c r="F87" i="77"/>
  <c r="F86" i="77"/>
  <c r="I85" i="77"/>
  <c r="F85" i="77"/>
  <c r="H85" i="77"/>
  <c r="F84" i="77"/>
  <c r="I84" i="77"/>
  <c r="F83" i="77"/>
  <c r="J83" i="77"/>
  <c r="J82" i="77"/>
  <c r="F82" i="77"/>
  <c r="G82" i="77"/>
  <c r="I81" i="77"/>
  <c r="F81" i="77"/>
  <c r="F80" i="77"/>
  <c r="I80" i="77"/>
  <c r="F79" i="77"/>
  <c r="J79" i="77"/>
  <c r="F78" i="77"/>
  <c r="G78" i="77"/>
  <c r="F77" i="77"/>
  <c r="J76" i="77"/>
  <c r="F76" i="77"/>
  <c r="I76" i="77"/>
  <c r="H75" i="77"/>
  <c r="G75" i="77"/>
  <c r="F75" i="77"/>
  <c r="J75" i="77"/>
  <c r="F74" i="77"/>
  <c r="F73" i="77"/>
  <c r="H73" i="77"/>
  <c r="F72" i="77"/>
  <c r="I72" i="77"/>
  <c r="I71" i="77"/>
  <c r="H71" i="77"/>
  <c r="F71" i="77"/>
  <c r="J71" i="77"/>
  <c r="F70" i="77"/>
  <c r="F69" i="77"/>
  <c r="H69" i="77"/>
  <c r="F68" i="77"/>
  <c r="I68" i="77"/>
  <c r="F67" i="77"/>
  <c r="J67" i="77"/>
  <c r="F66" i="77"/>
  <c r="G66" i="77"/>
  <c r="J65" i="77"/>
  <c r="I65" i="77"/>
  <c r="F65" i="77"/>
  <c r="H65" i="77"/>
  <c r="F64" i="77"/>
  <c r="G63" i="77"/>
  <c r="F63" i="77"/>
  <c r="J63" i="77"/>
  <c r="F62" i="77"/>
  <c r="G62" i="77"/>
  <c r="F61" i="77"/>
  <c r="H61" i="77"/>
  <c r="F60" i="77"/>
  <c r="H59" i="77"/>
  <c r="F59" i="77"/>
  <c r="J59" i="77"/>
  <c r="I58" i="77"/>
  <c r="F58" i="77"/>
  <c r="G58" i="77"/>
  <c r="F57" i="77"/>
  <c r="H57" i="77"/>
  <c r="F56" i="77"/>
  <c r="I55" i="77"/>
  <c r="F55" i="77"/>
  <c r="J55" i="77"/>
  <c r="J54" i="77"/>
  <c r="I54" i="77"/>
  <c r="F54" i="77"/>
  <c r="G54" i="77"/>
  <c r="F53" i="77"/>
  <c r="F49" i="77"/>
  <c r="F48" i="77"/>
  <c r="F44" i="77"/>
  <c r="F42" i="77"/>
  <c r="F38" i="77"/>
  <c r="F37" i="77"/>
  <c r="F33" i="77"/>
  <c r="F32" i="77"/>
  <c r="F28" i="77"/>
  <c r="J18" i="77"/>
  <c r="F51" i="77"/>
  <c r="F412" i="76"/>
  <c r="J412" i="76"/>
  <c r="F411" i="76"/>
  <c r="H411" i="76"/>
  <c r="F410" i="76"/>
  <c r="H410" i="76"/>
  <c r="F409" i="76"/>
  <c r="J408" i="76"/>
  <c r="F408" i="76"/>
  <c r="F407" i="76"/>
  <c r="H407" i="76"/>
  <c r="F406" i="76"/>
  <c r="I406" i="76"/>
  <c r="F405" i="76"/>
  <c r="I405" i="76"/>
  <c r="F404" i="76"/>
  <c r="F403" i="76"/>
  <c r="J403" i="76"/>
  <c r="F402" i="76"/>
  <c r="F401" i="76"/>
  <c r="J401" i="76"/>
  <c r="F400" i="76"/>
  <c r="I400" i="76"/>
  <c r="F399" i="76"/>
  <c r="F398" i="76"/>
  <c r="F397" i="76"/>
  <c r="J397" i="76"/>
  <c r="F396" i="76"/>
  <c r="J396" i="76"/>
  <c r="F395" i="76"/>
  <c r="H395" i="76"/>
  <c r="F394" i="76"/>
  <c r="J394" i="76"/>
  <c r="F393" i="76"/>
  <c r="F392" i="76"/>
  <c r="J392" i="76"/>
  <c r="F391" i="76"/>
  <c r="J391" i="76"/>
  <c r="F390" i="76"/>
  <c r="I390" i="76"/>
  <c r="F389" i="76"/>
  <c r="I389" i="76"/>
  <c r="F388" i="76"/>
  <c r="F387" i="76"/>
  <c r="F386" i="76"/>
  <c r="J385" i="76"/>
  <c r="I385" i="76"/>
  <c r="F385" i="76"/>
  <c r="F384" i="76"/>
  <c r="F383" i="76"/>
  <c r="F382" i="76"/>
  <c r="F381" i="76"/>
  <c r="F380" i="76"/>
  <c r="J380" i="76"/>
  <c r="F379" i="76"/>
  <c r="J379" i="76"/>
  <c r="F378" i="76"/>
  <c r="J378" i="76"/>
  <c r="F377" i="76"/>
  <c r="F376" i="76"/>
  <c r="F375" i="76"/>
  <c r="H375" i="76"/>
  <c r="F374" i="76"/>
  <c r="F373" i="76"/>
  <c r="F372" i="76"/>
  <c r="F371" i="76"/>
  <c r="F370" i="76"/>
  <c r="J370" i="76"/>
  <c r="F369" i="76"/>
  <c r="I369" i="76"/>
  <c r="F368" i="76"/>
  <c r="J368" i="76"/>
  <c r="F367" i="76"/>
  <c r="F366" i="76"/>
  <c r="F365" i="76"/>
  <c r="F364" i="76"/>
  <c r="J364" i="76"/>
  <c r="F363" i="76"/>
  <c r="F362" i="76"/>
  <c r="H362" i="76"/>
  <c r="F361" i="76"/>
  <c r="F360" i="76"/>
  <c r="F359" i="76"/>
  <c r="J359" i="76"/>
  <c r="I358" i="76"/>
  <c r="F358" i="76"/>
  <c r="J358" i="76"/>
  <c r="J357" i="76"/>
  <c r="F357" i="76"/>
  <c r="F356" i="76"/>
  <c r="F355" i="76"/>
  <c r="I354" i="76"/>
  <c r="F354" i="76"/>
  <c r="J354" i="76"/>
  <c r="J353" i="76"/>
  <c r="F353" i="76"/>
  <c r="I353" i="76"/>
  <c r="F352" i="76"/>
  <c r="F351" i="76"/>
  <c r="F350" i="76"/>
  <c r="F349" i="76"/>
  <c r="F348" i="76"/>
  <c r="I348" i="76"/>
  <c r="F347" i="76"/>
  <c r="J347" i="76"/>
  <c r="F346" i="76"/>
  <c r="F345" i="76"/>
  <c r="F344" i="76"/>
  <c r="J343" i="76"/>
  <c r="H343" i="76"/>
  <c r="F343" i="76"/>
  <c r="I342" i="76"/>
  <c r="H342" i="76"/>
  <c r="G342" i="76"/>
  <c r="F342" i="76"/>
  <c r="J342" i="76"/>
  <c r="F341" i="76"/>
  <c r="F340" i="76"/>
  <c r="F339" i="76"/>
  <c r="F338" i="76"/>
  <c r="H338" i="76"/>
  <c r="F337" i="76"/>
  <c r="J336" i="76"/>
  <c r="F336" i="76"/>
  <c r="F335" i="76"/>
  <c r="F334" i="76"/>
  <c r="I334" i="76"/>
  <c r="F333" i="76"/>
  <c r="F332" i="76"/>
  <c r="I332" i="76"/>
  <c r="F331" i="76"/>
  <c r="F330" i="76"/>
  <c r="I330" i="76"/>
  <c r="F329" i="76"/>
  <c r="F328" i="76"/>
  <c r="F327" i="76"/>
  <c r="J327" i="76"/>
  <c r="F326" i="76"/>
  <c r="J326" i="76"/>
  <c r="H325" i="76"/>
  <c r="F325" i="76"/>
  <c r="G325" i="76"/>
  <c r="F324" i="76"/>
  <c r="J324" i="76"/>
  <c r="F323" i="76"/>
  <c r="F322" i="76"/>
  <c r="J322" i="76"/>
  <c r="I321" i="76"/>
  <c r="H321" i="76"/>
  <c r="G321" i="76"/>
  <c r="F321" i="76"/>
  <c r="J321" i="76"/>
  <c r="F320" i="76"/>
  <c r="J320" i="76"/>
  <c r="F319" i="76"/>
  <c r="I319" i="76"/>
  <c r="F318" i="76"/>
  <c r="F317" i="76"/>
  <c r="G317" i="76"/>
  <c r="F316" i="76"/>
  <c r="J316" i="76"/>
  <c r="F315" i="76"/>
  <c r="J315" i="76"/>
  <c r="J314" i="76"/>
  <c r="H314" i="76"/>
  <c r="F314" i="76"/>
  <c r="I313" i="76"/>
  <c r="H313" i="76"/>
  <c r="G313" i="76"/>
  <c r="F313" i="76"/>
  <c r="J313" i="76"/>
  <c r="F312" i="76"/>
  <c r="F311" i="76"/>
  <c r="J311" i="76"/>
  <c r="J310" i="76"/>
  <c r="F310" i="76"/>
  <c r="I309" i="76"/>
  <c r="H309" i="76"/>
  <c r="G309" i="76"/>
  <c r="F309" i="76"/>
  <c r="J309" i="76"/>
  <c r="F308" i="76"/>
  <c r="I308" i="76"/>
  <c r="F307" i="76"/>
  <c r="F306" i="76"/>
  <c r="J306" i="76"/>
  <c r="F305" i="76"/>
  <c r="I305" i="76"/>
  <c r="F304" i="76"/>
  <c r="J304" i="76"/>
  <c r="F303" i="76"/>
  <c r="J303" i="76"/>
  <c r="F302" i="76"/>
  <c r="H301" i="76"/>
  <c r="F301" i="76"/>
  <c r="F300" i="76"/>
  <c r="J300" i="76"/>
  <c r="F299" i="76"/>
  <c r="J299" i="76"/>
  <c r="F298" i="76"/>
  <c r="H298" i="76"/>
  <c r="F297" i="76"/>
  <c r="I297" i="76"/>
  <c r="F296" i="76"/>
  <c r="F295" i="76"/>
  <c r="J295" i="76"/>
  <c r="F294" i="76"/>
  <c r="J294" i="76"/>
  <c r="F293" i="76"/>
  <c r="J292" i="76"/>
  <c r="F292" i="76"/>
  <c r="I292" i="76"/>
  <c r="F291" i="76"/>
  <c r="F290" i="76"/>
  <c r="J290" i="76"/>
  <c r="F289" i="76"/>
  <c r="F288" i="76"/>
  <c r="J288" i="76"/>
  <c r="J287" i="76"/>
  <c r="F287" i="76"/>
  <c r="I287" i="76"/>
  <c r="F286" i="76"/>
  <c r="I285" i="76"/>
  <c r="F285" i="76"/>
  <c r="J285" i="76"/>
  <c r="F284" i="76"/>
  <c r="J284" i="76"/>
  <c r="F283" i="76"/>
  <c r="J283" i="76"/>
  <c r="F282" i="76"/>
  <c r="J282" i="76"/>
  <c r="I281" i="76"/>
  <c r="F281" i="76"/>
  <c r="F280" i="76"/>
  <c r="F279" i="76"/>
  <c r="J279" i="76"/>
  <c r="F278" i="76"/>
  <c r="J278" i="76"/>
  <c r="F277" i="76"/>
  <c r="I277" i="76"/>
  <c r="F276" i="76"/>
  <c r="I276" i="76"/>
  <c r="F275" i="76"/>
  <c r="F274" i="76"/>
  <c r="J274" i="76"/>
  <c r="F273" i="76"/>
  <c r="F272" i="76"/>
  <c r="J272" i="76"/>
  <c r="F271" i="76"/>
  <c r="J271" i="76"/>
  <c r="F270" i="76"/>
  <c r="F269" i="76"/>
  <c r="F268" i="76"/>
  <c r="J268" i="76"/>
  <c r="F267" i="76"/>
  <c r="J267" i="76"/>
  <c r="F266" i="76"/>
  <c r="H266" i="76"/>
  <c r="H265" i="76"/>
  <c r="G265" i="76"/>
  <c r="F265" i="76"/>
  <c r="F264" i="76"/>
  <c r="F263" i="76"/>
  <c r="J263" i="76"/>
  <c r="J262" i="76"/>
  <c r="F262" i="76"/>
  <c r="F261" i="76"/>
  <c r="F260" i="76"/>
  <c r="J260" i="76"/>
  <c r="F259" i="76"/>
  <c r="F258" i="76"/>
  <c r="J258" i="76"/>
  <c r="I257" i="76"/>
  <c r="H257" i="76"/>
  <c r="G257" i="76"/>
  <c r="F257" i="76"/>
  <c r="J257" i="76"/>
  <c r="F256" i="76"/>
  <c r="J256" i="76"/>
  <c r="F255" i="76"/>
  <c r="F254" i="76"/>
  <c r="F253" i="76"/>
  <c r="F252" i="76"/>
  <c r="J252" i="76"/>
  <c r="F251" i="76"/>
  <c r="J251" i="76"/>
  <c r="J250" i="76"/>
  <c r="F250" i="76"/>
  <c r="H250" i="76"/>
  <c r="I249" i="76"/>
  <c r="H249" i="76"/>
  <c r="F249" i="76"/>
  <c r="J249" i="76"/>
  <c r="F248" i="76"/>
  <c r="F247" i="76"/>
  <c r="J247" i="76"/>
  <c r="F246" i="76"/>
  <c r="J246" i="76"/>
  <c r="I245" i="76"/>
  <c r="H245" i="76"/>
  <c r="F245" i="76"/>
  <c r="J245" i="76"/>
  <c r="F244" i="76"/>
  <c r="F243" i="76"/>
  <c r="F242" i="76"/>
  <c r="J242" i="76"/>
  <c r="F241" i="76"/>
  <c r="H241" i="76"/>
  <c r="F240" i="76"/>
  <c r="J240" i="76"/>
  <c r="F239" i="76"/>
  <c r="J239" i="76"/>
  <c r="F238" i="76"/>
  <c r="F237" i="76"/>
  <c r="H237" i="76"/>
  <c r="F236" i="76"/>
  <c r="J236" i="76"/>
  <c r="F235" i="76"/>
  <c r="J235" i="76"/>
  <c r="F234" i="76"/>
  <c r="H234" i="76"/>
  <c r="I233" i="76"/>
  <c r="H233" i="76"/>
  <c r="F233" i="76"/>
  <c r="F232" i="76"/>
  <c r="F231" i="76"/>
  <c r="J231" i="76"/>
  <c r="F230" i="76"/>
  <c r="J230" i="76"/>
  <c r="F229" i="76"/>
  <c r="F228" i="76"/>
  <c r="I228" i="76"/>
  <c r="F227" i="76"/>
  <c r="F226" i="76"/>
  <c r="J226" i="76"/>
  <c r="F225" i="76"/>
  <c r="J224" i="76"/>
  <c r="F224" i="76"/>
  <c r="F223" i="76"/>
  <c r="F222" i="76"/>
  <c r="F221" i="76"/>
  <c r="F220" i="76"/>
  <c r="F219" i="76"/>
  <c r="I219" i="76"/>
  <c r="F218" i="76"/>
  <c r="F217" i="76"/>
  <c r="F216" i="76"/>
  <c r="F215" i="76"/>
  <c r="F214" i="76"/>
  <c r="F213" i="76"/>
  <c r="F212" i="76"/>
  <c r="I211" i="76"/>
  <c r="H211" i="76"/>
  <c r="F211" i="76"/>
  <c r="J211" i="76"/>
  <c r="F210" i="76"/>
  <c r="F209" i="76"/>
  <c r="F208" i="76"/>
  <c r="F207" i="76"/>
  <c r="G207" i="76"/>
  <c r="F206" i="76"/>
  <c r="F205" i="76"/>
  <c r="F204" i="76"/>
  <c r="F203" i="76"/>
  <c r="F202" i="76"/>
  <c r="F201" i="76"/>
  <c r="F200" i="76"/>
  <c r="I199" i="76"/>
  <c r="F199" i="76"/>
  <c r="H199" i="76"/>
  <c r="F198" i="76"/>
  <c r="F197" i="76"/>
  <c r="F196" i="76"/>
  <c r="I195" i="76"/>
  <c r="H195" i="76"/>
  <c r="G195" i="76"/>
  <c r="F195" i="76"/>
  <c r="J195" i="76"/>
  <c r="F194" i="76"/>
  <c r="F193" i="76"/>
  <c r="F192" i="76"/>
  <c r="F191" i="76"/>
  <c r="H191" i="76"/>
  <c r="F190" i="76"/>
  <c r="F189" i="76"/>
  <c r="F188" i="76"/>
  <c r="F187" i="76"/>
  <c r="F186" i="76"/>
  <c r="F185" i="76"/>
  <c r="F184" i="76"/>
  <c r="F183" i="76"/>
  <c r="I183" i="76"/>
  <c r="F182" i="76"/>
  <c r="F181" i="76"/>
  <c r="F180" i="76"/>
  <c r="I179" i="76"/>
  <c r="H179" i="76"/>
  <c r="F179" i="76"/>
  <c r="J179" i="76"/>
  <c r="F178" i="76"/>
  <c r="F177" i="76"/>
  <c r="F176" i="76"/>
  <c r="F175" i="76"/>
  <c r="F174" i="76"/>
  <c r="F173" i="76"/>
  <c r="F172" i="76"/>
  <c r="F171" i="76"/>
  <c r="I171" i="76"/>
  <c r="F170" i="76"/>
  <c r="F169" i="76"/>
  <c r="F168" i="76"/>
  <c r="G168" i="76"/>
  <c r="F167" i="76"/>
  <c r="F166" i="76"/>
  <c r="H166" i="76"/>
  <c r="F165" i="76"/>
  <c r="G165" i="76"/>
  <c r="F164" i="76"/>
  <c r="G164" i="76"/>
  <c r="F163" i="76"/>
  <c r="F162" i="76"/>
  <c r="H162" i="76"/>
  <c r="F161" i="76"/>
  <c r="G161" i="76"/>
  <c r="F160" i="76"/>
  <c r="F159" i="76"/>
  <c r="I159" i="76"/>
  <c r="H158" i="76"/>
  <c r="F158" i="76"/>
  <c r="F157" i="76"/>
  <c r="F156" i="76"/>
  <c r="G156" i="76"/>
  <c r="H155" i="76"/>
  <c r="F155" i="76"/>
  <c r="G155" i="76"/>
  <c r="F154" i="76"/>
  <c r="H154" i="76"/>
  <c r="F153" i="76"/>
  <c r="G153" i="76"/>
  <c r="F152" i="76"/>
  <c r="F151" i="76"/>
  <c r="F150" i="76"/>
  <c r="H150" i="76"/>
  <c r="F149" i="76"/>
  <c r="F148" i="76"/>
  <c r="G148" i="76"/>
  <c r="I147" i="76"/>
  <c r="H147" i="76"/>
  <c r="F147" i="76"/>
  <c r="J147" i="76"/>
  <c r="F146" i="76"/>
  <c r="H146" i="76"/>
  <c r="F145" i="76"/>
  <c r="G145" i="76"/>
  <c r="F144" i="76"/>
  <c r="I143" i="76"/>
  <c r="H143" i="76"/>
  <c r="G143" i="76"/>
  <c r="F143" i="76"/>
  <c r="J143" i="76"/>
  <c r="F142" i="76"/>
  <c r="H142" i="76"/>
  <c r="F141" i="76"/>
  <c r="G141" i="76"/>
  <c r="F140" i="76"/>
  <c r="G140" i="76"/>
  <c r="F139" i="76"/>
  <c r="F138" i="76"/>
  <c r="F137" i="76"/>
  <c r="G137" i="76"/>
  <c r="F136" i="76"/>
  <c r="G136" i="76"/>
  <c r="F135" i="76"/>
  <c r="I135" i="76"/>
  <c r="F134" i="76"/>
  <c r="H134" i="76"/>
  <c r="F133" i="76"/>
  <c r="G133" i="76"/>
  <c r="F132" i="76"/>
  <c r="G132" i="76"/>
  <c r="F131" i="76"/>
  <c r="I131" i="76"/>
  <c r="F130" i="76"/>
  <c r="H130" i="76"/>
  <c r="F129" i="76"/>
  <c r="G129" i="76"/>
  <c r="F128" i="76"/>
  <c r="F127" i="76"/>
  <c r="F126" i="76"/>
  <c r="H126" i="76"/>
  <c r="F125" i="76"/>
  <c r="G124" i="76"/>
  <c r="F124" i="76"/>
  <c r="F123" i="76"/>
  <c r="F122" i="76"/>
  <c r="H122" i="76"/>
  <c r="F121" i="76"/>
  <c r="G121" i="76"/>
  <c r="F120" i="76"/>
  <c r="F119" i="76"/>
  <c r="F118" i="76"/>
  <c r="H118" i="76"/>
  <c r="F117" i="76"/>
  <c r="F116" i="76"/>
  <c r="G116" i="76"/>
  <c r="F115" i="76"/>
  <c r="F114" i="76"/>
  <c r="H114" i="76"/>
  <c r="F113" i="76"/>
  <c r="G113" i="76"/>
  <c r="F112" i="76"/>
  <c r="F111" i="76"/>
  <c r="F110" i="76"/>
  <c r="H110" i="76"/>
  <c r="F109" i="76"/>
  <c r="F108" i="76"/>
  <c r="G108" i="76"/>
  <c r="I107" i="76"/>
  <c r="F107" i="76"/>
  <c r="J107" i="76"/>
  <c r="F106" i="76"/>
  <c r="H106" i="76"/>
  <c r="F105" i="76"/>
  <c r="G105" i="76"/>
  <c r="F104" i="76"/>
  <c r="I103" i="76"/>
  <c r="H103" i="76"/>
  <c r="F103" i="76"/>
  <c r="J103" i="76"/>
  <c r="F102" i="76"/>
  <c r="H102" i="76"/>
  <c r="F101" i="76"/>
  <c r="F100" i="76"/>
  <c r="G100" i="76"/>
  <c r="F99" i="76"/>
  <c r="J99" i="76"/>
  <c r="F98" i="76"/>
  <c r="H98" i="76"/>
  <c r="F97" i="76"/>
  <c r="G97" i="76"/>
  <c r="F96" i="76"/>
  <c r="G96" i="76"/>
  <c r="F95" i="76"/>
  <c r="J95" i="76"/>
  <c r="F94" i="76"/>
  <c r="H94" i="76"/>
  <c r="F93" i="76"/>
  <c r="G93" i="76"/>
  <c r="F92" i="76"/>
  <c r="G92" i="76"/>
  <c r="F91" i="76"/>
  <c r="J91" i="76"/>
  <c r="F90" i="76"/>
  <c r="H90" i="76"/>
  <c r="F89" i="76"/>
  <c r="G89" i="76"/>
  <c r="F88" i="76"/>
  <c r="I87" i="76"/>
  <c r="F87" i="76"/>
  <c r="J87" i="76"/>
  <c r="F86" i="76"/>
  <c r="F65" i="76"/>
  <c r="F50" i="76"/>
  <c r="J18" i="76"/>
  <c r="F70" i="76"/>
  <c r="F412" i="55"/>
  <c r="F411" i="55"/>
  <c r="F410" i="55"/>
  <c r="I410" i="55"/>
  <c r="F409" i="55"/>
  <c r="H409" i="55"/>
  <c r="F408" i="55"/>
  <c r="F407" i="55"/>
  <c r="J407" i="55"/>
  <c r="F406" i="55"/>
  <c r="F405" i="55"/>
  <c r="H405" i="55"/>
  <c r="F404" i="55"/>
  <c r="I404" i="55"/>
  <c r="F403" i="55"/>
  <c r="F402" i="55"/>
  <c r="F401" i="55"/>
  <c r="I400" i="55"/>
  <c r="F400" i="55"/>
  <c r="F399" i="55"/>
  <c r="I399" i="55"/>
  <c r="I398" i="55"/>
  <c r="F398" i="55"/>
  <c r="G398" i="55"/>
  <c r="F397" i="55"/>
  <c r="I397" i="55"/>
  <c r="F396" i="55"/>
  <c r="F395" i="55"/>
  <c r="G395" i="55"/>
  <c r="F394" i="55"/>
  <c r="F393" i="55"/>
  <c r="H393" i="55"/>
  <c r="H392" i="55"/>
  <c r="F392" i="55"/>
  <c r="F391" i="55"/>
  <c r="F390" i="55"/>
  <c r="F389" i="55"/>
  <c r="H389" i="55"/>
  <c r="I388" i="55"/>
  <c r="F388" i="55"/>
  <c r="F387" i="55"/>
  <c r="F386" i="55"/>
  <c r="F385" i="55"/>
  <c r="F384" i="55"/>
  <c r="F383" i="55"/>
  <c r="F382" i="55"/>
  <c r="G382" i="55"/>
  <c r="F381" i="55"/>
  <c r="F380" i="55"/>
  <c r="F379" i="55"/>
  <c r="G379" i="55"/>
  <c r="F378" i="55"/>
  <c r="I378" i="55"/>
  <c r="F377" i="55"/>
  <c r="H377" i="55"/>
  <c r="G377" i="55"/>
  <c r="F376" i="55"/>
  <c r="F375" i="55"/>
  <c r="G375" i="55"/>
  <c r="F374" i="55"/>
  <c r="F373" i="55"/>
  <c r="F372" i="55"/>
  <c r="J372" i="55"/>
  <c r="H372" i="55"/>
  <c r="F371" i="55"/>
  <c r="I371" i="55"/>
  <c r="F370" i="55"/>
  <c r="F369" i="55"/>
  <c r="I369" i="55"/>
  <c r="F368" i="55"/>
  <c r="I368" i="55"/>
  <c r="I367" i="55"/>
  <c r="F367" i="55"/>
  <c r="F366" i="55"/>
  <c r="F365" i="55"/>
  <c r="F364" i="55"/>
  <c r="H364" i="55"/>
  <c r="F363" i="55"/>
  <c r="F362" i="55"/>
  <c r="F361" i="55"/>
  <c r="H361" i="55"/>
  <c r="G361" i="55"/>
  <c r="F360" i="55"/>
  <c r="I360" i="55"/>
  <c r="J360" i="55"/>
  <c r="H359" i="55"/>
  <c r="F359" i="55"/>
  <c r="I359" i="55"/>
  <c r="F358" i="55"/>
  <c r="J358" i="55"/>
  <c r="F357" i="55"/>
  <c r="H357" i="55"/>
  <c r="F356" i="55"/>
  <c r="G356" i="55"/>
  <c r="F355" i="55"/>
  <c r="H355" i="55"/>
  <c r="F354" i="55"/>
  <c r="F353" i="55"/>
  <c r="G353" i="55"/>
  <c r="I352" i="55"/>
  <c r="H352" i="55"/>
  <c r="F352" i="55"/>
  <c r="J352" i="55"/>
  <c r="F351" i="55"/>
  <c r="H351" i="55"/>
  <c r="F350" i="55"/>
  <c r="I350" i="55"/>
  <c r="G350" i="55"/>
  <c r="F349" i="55"/>
  <c r="F348" i="55"/>
  <c r="G348" i="55"/>
  <c r="J348" i="55"/>
  <c r="F347" i="55"/>
  <c r="J347" i="55"/>
  <c r="F346" i="55"/>
  <c r="I346" i="55"/>
  <c r="F345" i="55"/>
  <c r="F344" i="55"/>
  <c r="F343" i="55"/>
  <c r="F342" i="55"/>
  <c r="G342" i="55"/>
  <c r="F341" i="55"/>
  <c r="F340" i="55"/>
  <c r="F339" i="55"/>
  <c r="H339" i="55"/>
  <c r="I339" i="55"/>
  <c r="F338" i="55"/>
  <c r="F337" i="55"/>
  <c r="I336" i="55"/>
  <c r="F336" i="55"/>
  <c r="H336" i="55"/>
  <c r="J336" i="55"/>
  <c r="F335" i="55"/>
  <c r="I335" i="55"/>
  <c r="F334" i="55"/>
  <c r="F333" i="55"/>
  <c r="F332" i="55"/>
  <c r="F331" i="55"/>
  <c r="F330" i="55"/>
  <c r="F329" i="55"/>
  <c r="H329" i="55"/>
  <c r="G329" i="55"/>
  <c r="F328" i="55"/>
  <c r="G328" i="55"/>
  <c r="I327" i="55"/>
  <c r="H327" i="55"/>
  <c r="F327" i="55"/>
  <c r="G327" i="55"/>
  <c r="J327" i="55"/>
  <c r="F326" i="55"/>
  <c r="F325" i="55"/>
  <c r="J325" i="55"/>
  <c r="F324" i="55"/>
  <c r="H324" i="55"/>
  <c r="F323" i="55"/>
  <c r="I323" i="55"/>
  <c r="F322" i="55"/>
  <c r="F321" i="55"/>
  <c r="F320" i="55"/>
  <c r="I320" i="55"/>
  <c r="F319" i="55"/>
  <c r="F318" i="55"/>
  <c r="F317" i="55"/>
  <c r="F316" i="55"/>
  <c r="F315" i="55"/>
  <c r="F314" i="55"/>
  <c r="F313" i="55"/>
  <c r="H312" i="55"/>
  <c r="F312" i="55"/>
  <c r="G312" i="55"/>
  <c r="I311" i="55"/>
  <c r="H311" i="55"/>
  <c r="F311" i="55"/>
  <c r="J311" i="55"/>
  <c r="F310" i="55"/>
  <c r="F309" i="55"/>
  <c r="F308" i="55"/>
  <c r="H308" i="55"/>
  <c r="I307" i="55"/>
  <c r="H307" i="55"/>
  <c r="F307" i="55"/>
  <c r="J307" i="55"/>
  <c r="I306" i="55"/>
  <c r="H306" i="55"/>
  <c r="F306" i="55"/>
  <c r="F305" i="55"/>
  <c r="J305" i="55"/>
  <c r="F304" i="55"/>
  <c r="J304" i="55"/>
  <c r="F303" i="55"/>
  <c r="F302" i="55"/>
  <c r="H302" i="55"/>
  <c r="F301" i="55"/>
  <c r="F300" i="55"/>
  <c r="J300" i="55"/>
  <c r="F299" i="55"/>
  <c r="G299" i="55"/>
  <c r="F298" i="55"/>
  <c r="G298" i="55"/>
  <c r="F297" i="55"/>
  <c r="I297" i="55"/>
  <c r="F296" i="55"/>
  <c r="F295" i="55"/>
  <c r="F294" i="55"/>
  <c r="F293" i="55"/>
  <c r="F292" i="55"/>
  <c r="F291" i="55"/>
  <c r="F290" i="55"/>
  <c r="H290" i="55"/>
  <c r="F289" i="55"/>
  <c r="F288" i="55"/>
  <c r="F287" i="55"/>
  <c r="G287" i="55"/>
  <c r="F286" i="55"/>
  <c r="G285" i="55"/>
  <c r="F285" i="55"/>
  <c r="I285" i="55"/>
  <c r="F284" i="55"/>
  <c r="J284" i="55"/>
  <c r="F283" i="55"/>
  <c r="F282" i="55"/>
  <c r="F281" i="55"/>
  <c r="F280" i="55"/>
  <c r="H280" i="55"/>
  <c r="F279" i="55"/>
  <c r="F278" i="55"/>
  <c r="F277" i="55"/>
  <c r="H277" i="55"/>
  <c r="F276" i="55"/>
  <c r="H276" i="55"/>
  <c r="F275" i="55"/>
  <c r="F274" i="55"/>
  <c r="F273" i="55"/>
  <c r="F272" i="55"/>
  <c r="H271" i="55"/>
  <c r="F271" i="55"/>
  <c r="G271" i="55"/>
  <c r="J271" i="55"/>
  <c r="F270" i="55"/>
  <c r="I270" i="55"/>
  <c r="I269" i="55"/>
  <c r="F269" i="55"/>
  <c r="G269" i="55"/>
  <c r="F268" i="55"/>
  <c r="F267" i="55"/>
  <c r="I267" i="55"/>
  <c r="F266" i="55"/>
  <c r="F265" i="55"/>
  <c r="F264" i="55"/>
  <c r="G264" i="55"/>
  <c r="H264" i="55"/>
  <c r="F263" i="55"/>
  <c r="F262" i="55"/>
  <c r="F261" i="55"/>
  <c r="J261" i="55"/>
  <c r="H260" i="55"/>
  <c r="F260" i="55"/>
  <c r="I259" i="55"/>
  <c r="H259" i="55"/>
  <c r="G259" i="55"/>
  <c r="F259" i="55"/>
  <c r="J259" i="55"/>
  <c r="F258" i="55"/>
  <c r="F257" i="55"/>
  <c r="F256" i="55"/>
  <c r="I255" i="55"/>
  <c r="H255" i="55"/>
  <c r="F255" i="55"/>
  <c r="J255" i="55"/>
  <c r="I254" i="55"/>
  <c r="F254" i="55"/>
  <c r="F253" i="55"/>
  <c r="F252" i="55"/>
  <c r="F251" i="55"/>
  <c r="G251" i="55"/>
  <c r="F250" i="55"/>
  <c r="F249" i="55"/>
  <c r="I249" i="55"/>
  <c r="H248" i="55"/>
  <c r="F248" i="55"/>
  <c r="G248" i="55"/>
  <c r="F247" i="55"/>
  <c r="F246" i="55"/>
  <c r="F245" i="55"/>
  <c r="F244" i="55"/>
  <c r="H244" i="55"/>
  <c r="I243" i="55"/>
  <c r="H243" i="55"/>
  <c r="F243" i="55"/>
  <c r="F242" i="55"/>
  <c r="H242" i="55"/>
  <c r="F241" i="55"/>
  <c r="F240" i="55"/>
  <c r="J240" i="55"/>
  <c r="I239" i="55"/>
  <c r="G239" i="55"/>
  <c r="F239" i="55"/>
  <c r="F238" i="55"/>
  <c r="I238" i="55"/>
  <c r="I237" i="55"/>
  <c r="F237" i="55"/>
  <c r="G237" i="55"/>
  <c r="F236" i="55"/>
  <c r="I235" i="55"/>
  <c r="F235" i="55"/>
  <c r="F234" i="55"/>
  <c r="F233" i="55"/>
  <c r="I233" i="55"/>
  <c r="F232" i="55"/>
  <c r="G232" i="55"/>
  <c r="H232" i="55"/>
  <c r="F231" i="55"/>
  <c r="F230" i="55"/>
  <c r="F229" i="55"/>
  <c r="F228" i="55"/>
  <c r="H228" i="55"/>
  <c r="F227" i="55"/>
  <c r="F226" i="55"/>
  <c r="F225" i="55"/>
  <c r="F224" i="55"/>
  <c r="H223" i="55"/>
  <c r="F223" i="55"/>
  <c r="G223" i="55"/>
  <c r="F222" i="55"/>
  <c r="I222" i="55"/>
  <c r="F221" i="55"/>
  <c r="F220" i="55"/>
  <c r="I220" i="55"/>
  <c r="G220" i="55"/>
  <c r="F219" i="55"/>
  <c r="F218" i="55"/>
  <c r="H218" i="55"/>
  <c r="F217" i="55"/>
  <c r="F216" i="55"/>
  <c r="F215" i="55"/>
  <c r="J215" i="55"/>
  <c r="I215" i="55"/>
  <c r="H215" i="55"/>
  <c r="F214" i="55"/>
  <c r="F213" i="55"/>
  <c r="F212" i="55"/>
  <c r="H212" i="55"/>
  <c r="F211" i="55"/>
  <c r="F210" i="55"/>
  <c r="I210" i="55"/>
  <c r="J210" i="55"/>
  <c r="G209" i="55"/>
  <c r="F209" i="55"/>
  <c r="F208" i="55"/>
  <c r="F207" i="55"/>
  <c r="J206" i="55"/>
  <c r="F206" i="55"/>
  <c r="F205" i="55"/>
  <c r="H205" i="55"/>
  <c r="J204" i="55"/>
  <c r="I204" i="55"/>
  <c r="F204" i="55"/>
  <c r="G204" i="55"/>
  <c r="F203" i="55"/>
  <c r="J203" i="55"/>
  <c r="H203" i="55"/>
  <c r="F202" i="55"/>
  <c r="J202" i="55"/>
  <c r="F201" i="55"/>
  <c r="J200" i="55"/>
  <c r="F200" i="55"/>
  <c r="F199" i="55"/>
  <c r="J199" i="55"/>
  <c r="F198" i="55"/>
  <c r="F197" i="55"/>
  <c r="H197" i="55"/>
  <c r="F196" i="55"/>
  <c r="F195" i="55"/>
  <c r="F194" i="55"/>
  <c r="F193" i="55"/>
  <c r="G193" i="55"/>
  <c r="H193" i="55"/>
  <c r="F192" i="55"/>
  <c r="I192" i="55"/>
  <c r="F191" i="55"/>
  <c r="F190" i="55"/>
  <c r="F189" i="55"/>
  <c r="G189" i="55"/>
  <c r="F188" i="55"/>
  <c r="J187" i="55"/>
  <c r="F187" i="55"/>
  <c r="H187" i="55"/>
  <c r="J186" i="55"/>
  <c r="H186" i="55"/>
  <c r="F186" i="55"/>
  <c r="I186" i="55"/>
  <c r="I185" i="55"/>
  <c r="H185" i="55"/>
  <c r="F185" i="55"/>
  <c r="G185" i="55"/>
  <c r="J185" i="55"/>
  <c r="F184" i="55"/>
  <c r="F183" i="55"/>
  <c r="F182" i="55"/>
  <c r="H181" i="55"/>
  <c r="F181" i="55"/>
  <c r="I181" i="55"/>
  <c r="J181" i="55"/>
  <c r="F180" i="55"/>
  <c r="F179" i="55"/>
  <c r="F178" i="55"/>
  <c r="F177" i="55"/>
  <c r="I177" i="55"/>
  <c r="J176" i="55"/>
  <c r="F176" i="55"/>
  <c r="G176" i="55"/>
  <c r="J175" i="55"/>
  <c r="I175" i="55"/>
  <c r="F175" i="55"/>
  <c r="H175" i="55"/>
  <c r="F174" i="55"/>
  <c r="F173" i="55"/>
  <c r="F172" i="55"/>
  <c r="J172" i="55"/>
  <c r="F171" i="55"/>
  <c r="F170" i="55"/>
  <c r="J170" i="55"/>
  <c r="I169" i="55"/>
  <c r="G169" i="55"/>
  <c r="F169" i="55"/>
  <c r="H169" i="55"/>
  <c r="J169" i="55"/>
  <c r="F168" i="55"/>
  <c r="F167" i="55"/>
  <c r="F166" i="55"/>
  <c r="I165" i="55"/>
  <c r="F165" i="55"/>
  <c r="H165" i="55"/>
  <c r="J165" i="55"/>
  <c r="F164" i="55"/>
  <c r="F163" i="55"/>
  <c r="F162" i="55"/>
  <c r="F161" i="55"/>
  <c r="I161" i="55"/>
  <c r="F160" i="55"/>
  <c r="J160" i="55"/>
  <c r="G160" i="55"/>
  <c r="F159" i="55"/>
  <c r="I159" i="55"/>
  <c r="H159" i="55"/>
  <c r="F158" i="55"/>
  <c r="F157" i="55"/>
  <c r="F156" i="55"/>
  <c r="G156" i="55"/>
  <c r="F155" i="55"/>
  <c r="F154" i="55"/>
  <c r="F153" i="55"/>
  <c r="H153" i="55"/>
  <c r="F152" i="55"/>
  <c r="F151" i="55"/>
  <c r="J151" i="55"/>
  <c r="J150" i="55"/>
  <c r="F150" i="55"/>
  <c r="I150" i="55"/>
  <c r="I149" i="55"/>
  <c r="H149" i="55"/>
  <c r="F149" i="55"/>
  <c r="J149" i="55"/>
  <c r="J148" i="55"/>
  <c r="I148" i="55"/>
  <c r="F148" i="55"/>
  <c r="G148" i="55"/>
  <c r="F147" i="55"/>
  <c r="I147" i="55"/>
  <c r="F146" i="55"/>
  <c r="F145" i="55"/>
  <c r="F144" i="55"/>
  <c r="G144" i="55"/>
  <c r="F143" i="55"/>
  <c r="G143" i="55"/>
  <c r="F142" i="55"/>
  <c r="H142" i="55"/>
  <c r="F141" i="55"/>
  <c r="F140" i="55"/>
  <c r="F139" i="55"/>
  <c r="J139" i="55"/>
  <c r="H139" i="55"/>
  <c r="J138" i="55"/>
  <c r="F138" i="55"/>
  <c r="I137" i="55"/>
  <c r="H137" i="55"/>
  <c r="G137" i="55"/>
  <c r="F137" i="55"/>
  <c r="J137" i="55"/>
  <c r="F136" i="55"/>
  <c r="F135" i="55"/>
  <c r="F134" i="55"/>
  <c r="F133" i="55"/>
  <c r="F132" i="55"/>
  <c r="F131" i="55"/>
  <c r="F130" i="55"/>
  <c r="F129" i="55"/>
  <c r="H129" i="55"/>
  <c r="J128" i="55"/>
  <c r="F128" i="55"/>
  <c r="G128" i="55"/>
  <c r="J127" i="55"/>
  <c r="I127" i="55"/>
  <c r="F127" i="55"/>
  <c r="H127" i="55"/>
  <c r="F126" i="55"/>
  <c r="F125" i="55"/>
  <c r="F124" i="55"/>
  <c r="F123" i="55"/>
  <c r="H123" i="55"/>
  <c r="H122" i="55"/>
  <c r="F122" i="55"/>
  <c r="J122" i="55"/>
  <c r="I122" i="55"/>
  <c r="F121" i="55"/>
  <c r="H121" i="55"/>
  <c r="G121" i="55"/>
  <c r="F120" i="55"/>
  <c r="I120" i="55"/>
  <c r="F119" i="55"/>
  <c r="J118" i="55"/>
  <c r="F118" i="55"/>
  <c r="I118" i="55"/>
  <c r="F117" i="55"/>
  <c r="G117" i="55"/>
  <c r="F116" i="55"/>
  <c r="I116" i="55"/>
  <c r="G116" i="55"/>
  <c r="F115" i="55"/>
  <c r="F114" i="55"/>
  <c r="F113" i="55"/>
  <c r="F112" i="55"/>
  <c r="I111" i="55"/>
  <c r="F111" i="55"/>
  <c r="J111" i="55"/>
  <c r="H111" i="55"/>
  <c r="F110" i="55"/>
  <c r="F109" i="55"/>
  <c r="F108" i="55"/>
  <c r="J107" i="55"/>
  <c r="F107" i="55"/>
  <c r="H107" i="55"/>
  <c r="J106" i="55"/>
  <c r="F106" i="55"/>
  <c r="I106" i="55"/>
  <c r="I105" i="55"/>
  <c r="H105" i="55"/>
  <c r="F105" i="55"/>
  <c r="G105" i="55"/>
  <c r="J105" i="55"/>
  <c r="F104" i="55"/>
  <c r="F103" i="55"/>
  <c r="F102" i="55"/>
  <c r="H101" i="55"/>
  <c r="F101" i="55"/>
  <c r="J101" i="55"/>
  <c r="I101" i="55"/>
  <c r="F100" i="55"/>
  <c r="F99" i="55"/>
  <c r="H99" i="55"/>
  <c r="F98" i="55"/>
  <c r="F97" i="55"/>
  <c r="F96" i="55"/>
  <c r="G96" i="55"/>
  <c r="I95" i="55"/>
  <c r="F95" i="55"/>
  <c r="J95" i="55"/>
  <c r="H95" i="55"/>
  <c r="F94" i="55"/>
  <c r="H94" i="55"/>
  <c r="F93" i="55"/>
  <c r="F92" i="55"/>
  <c r="F91" i="55"/>
  <c r="F90" i="55"/>
  <c r="J90" i="55"/>
  <c r="I90" i="55"/>
  <c r="F89" i="55"/>
  <c r="F88" i="55"/>
  <c r="F87" i="55"/>
  <c r="J86" i="55"/>
  <c r="F86" i="55"/>
  <c r="I86" i="55"/>
  <c r="F85" i="55"/>
  <c r="J84" i="55"/>
  <c r="F84" i="55"/>
  <c r="I84" i="55"/>
  <c r="G84" i="55"/>
  <c r="F83" i="55"/>
  <c r="H83" i="55"/>
  <c r="F82" i="55"/>
  <c r="F81" i="55"/>
  <c r="I81" i="55"/>
  <c r="F80" i="55"/>
  <c r="J80" i="55"/>
  <c r="G80" i="55"/>
  <c r="F79" i="55"/>
  <c r="F78" i="55"/>
  <c r="J78" i="55"/>
  <c r="F77" i="55"/>
  <c r="F76" i="55"/>
  <c r="F75" i="55"/>
  <c r="J75" i="55"/>
  <c r="F74" i="55"/>
  <c r="H74" i="55"/>
  <c r="I74" i="55"/>
  <c r="H73" i="55"/>
  <c r="F73" i="55"/>
  <c r="F72" i="55"/>
  <c r="J72" i="55"/>
  <c r="F71" i="55"/>
  <c r="I71" i="55"/>
  <c r="F70" i="55"/>
  <c r="J70" i="55"/>
  <c r="F69" i="55"/>
  <c r="H69" i="55"/>
  <c r="J68" i="55"/>
  <c r="F68" i="55"/>
  <c r="F67" i="55"/>
  <c r="H67" i="55"/>
  <c r="F66" i="55"/>
  <c r="H66" i="55"/>
  <c r="F65" i="55"/>
  <c r="J64" i="55"/>
  <c r="F64" i="55"/>
  <c r="F63" i="55"/>
  <c r="J63" i="55"/>
  <c r="F62" i="55"/>
  <c r="F61" i="55"/>
  <c r="F60" i="55"/>
  <c r="F59" i="55"/>
  <c r="F58" i="55"/>
  <c r="H58" i="55"/>
  <c r="J58" i="55"/>
  <c r="F57" i="55"/>
  <c r="H57" i="55"/>
  <c r="F56" i="55"/>
  <c r="F55" i="55"/>
  <c r="I55" i="55"/>
  <c r="F54" i="55"/>
  <c r="H54" i="55"/>
  <c r="F53" i="55"/>
  <c r="F52" i="55"/>
  <c r="F51" i="55"/>
  <c r="I51" i="55"/>
  <c r="H51" i="55"/>
  <c r="F50" i="55"/>
  <c r="H50" i="55"/>
  <c r="F49" i="55"/>
  <c r="F48" i="55"/>
  <c r="J48" i="55"/>
  <c r="J47" i="55"/>
  <c r="F47" i="55"/>
  <c r="F46" i="55"/>
  <c r="J46" i="55"/>
  <c r="I46" i="55"/>
  <c r="F45" i="55"/>
  <c r="H45" i="55"/>
  <c r="J18" i="55"/>
  <c r="F36" i="55"/>
  <c r="F412" i="54"/>
  <c r="J412" i="54"/>
  <c r="F411" i="54"/>
  <c r="F410" i="54"/>
  <c r="H410" i="54"/>
  <c r="F409" i="54"/>
  <c r="J408" i="54"/>
  <c r="F408" i="54"/>
  <c r="F407" i="54"/>
  <c r="H407" i="54"/>
  <c r="I406" i="54"/>
  <c r="F406" i="54"/>
  <c r="F405" i="54"/>
  <c r="F404" i="54"/>
  <c r="F403" i="54"/>
  <c r="J403" i="54"/>
  <c r="F402" i="54"/>
  <c r="I401" i="54"/>
  <c r="F401" i="54"/>
  <c r="J401" i="54"/>
  <c r="F400" i="54"/>
  <c r="F399" i="54"/>
  <c r="F398" i="54"/>
  <c r="F397" i="54"/>
  <c r="J397" i="54"/>
  <c r="I396" i="54"/>
  <c r="F396" i="54"/>
  <c r="J396" i="54"/>
  <c r="F395" i="54"/>
  <c r="H395" i="54"/>
  <c r="I394" i="54"/>
  <c r="F394" i="54"/>
  <c r="J394" i="54"/>
  <c r="G394" i="54"/>
  <c r="F393" i="54"/>
  <c r="F392" i="54"/>
  <c r="J392" i="54"/>
  <c r="F391" i="54"/>
  <c r="J391" i="54"/>
  <c r="F390" i="54"/>
  <c r="H390" i="54"/>
  <c r="F389" i="54"/>
  <c r="G389" i="54"/>
  <c r="F388" i="54"/>
  <c r="F387" i="54"/>
  <c r="J387" i="54"/>
  <c r="I386" i="54"/>
  <c r="F386" i="54"/>
  <c r="G386" i="54"/>
  <c r="F385" i="54"/>
  <c r="I385" i="54"/>
  <c r="F384" i="54"/>
  <c r="F383" i="54"/>
  <c r="F382" i="54"/>
  <c r="F381" i="54"/>
  <c r="J381" i="54"/>
  <c r="F380" i="54"/>
  <c r="J380" i="54"/>
  <c r="F379" i="54"/>
  <c r="J379" i="54"/>
  <c r="F378" i="54"/>
  <c r="F377" i="54"/>
  <c r="F376" i="54"/>
  <c r="J376" i="54"/>
  <c r="F375" i="54"/>
  <c r="H375" i="54"/>
  <c r="J375" i="54"/>
  <c r="H374" i="54"/>
  <c r="F374" i="54"/>
  <c r="G374" i="54"/>
  <c r="F373" i="54"/>
  <c r="F372" i="54"/>
  <c r="F371" i="54"/>
  <c r="J371" i="54"/>
  <c r="F370" i="54"/>
  <c r="F369" i="54"/>
  <c r="J369" i="54"/>
  <c r="F368" i="54"/>
  <c r="F367" i="54"/>
  <c r="F366" i="54"/>
  <c r="J366" i="54"/>
  <c r="F365" i="54"/>
  <c r="J365" i="54"/>
  <c r="F364" i="54"/>
  <c r="F363" i="54"/>
  <c r="F362" i="54"/>
  <c r="F361" i="54"/>
  <c r="G361" i="54"/>
  <c r="F360" i="54"/>
  <c r="J360" i="54"/>
  <c r="F359" i="54"/>
  <c r="H358" i="54"/>
  <c r="F358" i="54"/>
  <c r="F357" i="54"/>
  <c r="F356" i="54"/>
  <c r="I356" i="54"/>
  <c r="F355" i="54"/>
  <c r="I354" i="54"/>
  <c r="H354" i="54"/>
  <c r="G354" i="54"/>
  <c r="F354" i="54"/>
  <c r="J354" i="54"/>
  <c r="F353" i="54"/>
  <c r="F352" i="54"/>
  <c r="J352" i="54"/>
  <c r="F351" i="54"/>
  <c r="H350" i="54"/>
  <c r="F350" i="54"/>
  <c r="F349" i="54"/>
  <c r="J349" i="54"/>
  <c r="F348" i="54"/>
  <c r="I348" i="54"/>
  <c r="F347" i="54"/>
  <c r="F346" i="54"/>
  <c r="I346" i="54"/>
  <c r="F345" i="54"/>
  <c r="I345" i="54"/>
  <c r="F344" i="54"/>
  <c r="F343" i="54"/>
  <c r="J343" i="54"/>
  <c r="F342" i="54"/>
  <c r="F341" i="54"/>
  <c r="I341" i="54"/>
  <c r="F340" i="54"/>
  <c r="F339" i="54"/>
  <c r="J339" i="54"/>
  <c r="F338" i="54"/>
  <c r="I338" i="54"/>
  <c r="F337" i="54"/>
  <c r="J337" i="54"/>
  <c r="F336" i="54"/>
  <c r="F335" i="54"/>
  <c r="H335" i="54"/>
  <c r="F334" i="54"/>
  <c r="F333" i="54"/>
  <c r="F332" i="54"/>
  <c r="J332" i="54"/>
  <c r="F331" i="54"/>
  <c r="H331" i="54"/>
  <c r="J331" i="54"/>
  <c r="F330" i="54"/>
  <c r="F329" i="54"/>
  <c r="F328" i="54"/>
  <c r="F327" i="54"/>
  <c r="F326" i="54"/>
  <c r="F325" i="54"/>
  <c r="I325" i="54"/>
  <c r="F324" i="54"/>
  <c r="F323" i="54"/>
  <c r="F322" i="54"/>
  <c r="F321" i="54"/>
  <c r="F320" i="54"/>
  <c r="J319" i="54"/>
  <c r="F319" i="54"/>
  <c r="F318" i="54"/>
  <c r="F317" i="54"/>
  <c r="F316" i="54"/>
  <c r="F315" i="54"/>
  <c r="F314" i="54"/>
  <c r="J314" i="54"/>
  <c r="F313" i="54"/>
  <c r="G313" i="54"/>
  <c r="F312" i="54"/>
  <c r="J312" i="54"/>
  <c r="F311" i="54"/>
  <c r="H311" i="54"/>
  <c r="F310" i="54"/>
  <c r="F309" i="54"/>
  <c r="F308" i="54"/>
  <c r="J308" i="54"/>
  <c r="F307" i="54"/>
  <c r="I307" i="54"/>
  <c r="F306" i="54"/>
  <c r="F305" i="54"/>
  <c r="F304" i="54"/>
  <c r="F303" i="54"/>
  <c r="F302" i="54"/>
  <c r="F301" i="54"/>
  <c r="F300" i="54"/>
  <c r="F299" i="54"/>
  <c r="H299" i="54"/>
  <c r="J298" i="54"/>
  <c r="F298" i="54"/>
  <c r="I297" i="54"/>
  <c r="G297" i="54"/>
  <c r="F297" i="54"/>
  <c r="H297" i="54"/>
  <c r="J297" i="54"/>
  <c r="F296" i="54"/>
  <c r="I296" i="54"/>
  <c r="J296" i="54"/>
  <c r="F295" i="54"/>
  <c r="F294" i="54"/>
  <c r="F293" i="54"/>
  <c r="J293" i="54"/>
  <c r="F292" i="54"/>
  <c r="F291" i="54"/>
  <c r="J291" i="54"/>
  <c r="F290" i="54"/>
  <c r="I290" i="54"/>
  <c r="F289" i="54"/>
  <c r="F288" i="54"/>
  <c r="F287" i="54"/>
  <c r="J287" i="54"/>
  <c r="F286" i="54"/>
  <c r="F285" i="54"/>
  <c r="F284" i="54"/>
  <c r="F283" i="54"/>
  <c r="G283" i="54"/>
  <c r="F282" i="54"/>
  <c r="I282" i="54"/>
  <c r="F281" i="54"/>
  <c r="I280" i="54"/>
  <c r="F280" i="54"/>
  <c r="J280" i="54"/>
  <c r="F279" i="54"/>
  <c r="H279" i="54"/>
  <c r="F278" i="54"/>
  <c r="I278" i="54"/>
  <c r="I277" i="54"/>
  <c r="F277" i="54"/>
  <c r="F276" i="54"/>
  <c r="F275" i="54"/>
  <c r="J275" i="54"/>
  <c r="F274" i="54"/>
  <c r="I273" i="54"/>
  <c r="H273" i="54"/>
  <c r="F273" i="54"/>
  <c r="G273" i="54"/>
  <c r="J273" i="54"/>
  <c r="F272" i="54"/>
  <c r="F271" i="54"/>
  <c r="J271" i="54"/>
  <c r="F270" i="54"/>
  <c r="F269" i="54"/>
  <c r="H269" i="54"/>
  <c r="F268" i="54"/>
  <c r="F267" i="54"/>
  <c r="F266" i="54"/>
  <c r="J266" i="54"/>
  <c r="F265" i="54"/>
  <c r="F264" i="54"/>
  <c r="J264" i="54"/>
  <c r="F263" i="54"/>
  <c r="F262" i="54"/>
  <c r="F261" i="54"/>
  <c r="H261" i="54"/>
  <c r="F260" i="54"/>
  <c r="J260" i="54"/>
  <c r="F259" i="54"/>
  <c r="G259" i="54"/>
  <c r="F258" i="54"/>
  <c r="F257" i="54"/>
  <c r="I257" i="54"/>
  <c r="F256" i="54"/>
  <c r="J255" i="54"/>
  <c r="F255" i="54"/>
  <c r="F254" i="54"/>
  <c r="F253" i="54"/>
  <c r="F252" i="54"/>
  <c r="J252" i="54"/>
  <c r="F251" i="54"/>
  <c r="F250" i="54"/>
  <c r="J250" i="54"/>
  <c r="F249" i="54"/>
  <c r="H249" i="54"/>
  <c r="F248" i="54"/>
  <c r="F247" i="54"/>
  <c r="F246" i="54"/>
  <c r="H245" i="54"/>
  <c r="F245" i="54"/>
  <c r="F244" i="54"/>
  <c r="J244" i="54"/>
  <c r="F243" i="54"/>
  <c r="I243" i="54"/>
  <c r="F242" i="54"/>
  <c r="F241" i="54"/>
  <c r="F240" i="54"/>
  <c r="F239" i="54"/>
  <c r="J239" i="54"/>
  <c r="F238" i="54"/>
  <c r="J238" i="54"/>
  <c r="F237" i="54"/>
  <c r="F236" i="54"/>
  <c r="F235" i="54"/>
  <c r="F234" i="54"/>
  <c r="F233" i="54"/>
  <c r="F232" i="54"/>
  <c r="J232" i="54"/>
  <c r="I232" i="54"/>
  <c r="F231" i="54"/>
  <c r="J231" i="54"/>
  <c r="F230" i="54"/>
  <c r="F229" i="54"/>
  <c r="F228" i="54"/>
  <c r="J228" i="54"/>
  <c r="F227" i="54"/>
  <c r="J227" i="54"/>
  <c r="F226" i="54"/>
  <c r="I226" i="54"/>
  <c r="F225" i="54"/>
  <c r="G225" i="54"/>
  <c r="F224" i="54"/>
  <c r="F223" i="54"/>
  <c r="J223" i="54"/>
  <c r="F222" i="54"/>
  <c r="J222" i="54"/>
  <c r="F221" i="54"/>
  <c r="F220" i="54"/>
  <c r="I219" i="54"/>
  <c r="F219" i="54"/>
  <c r="H219" i="54"/>
  <c r="F218" i="54"/>
  <c r="F217" i="54"/>
  <c r="I217" i="54"/>
  <c r="F216" i="54"/>
  <c r="H215" i="54"/>
  <c r="F215" i="54"/>
  <c r="I215" i="54"/>
  <c r="F214" i="54"/>
  <c r="H214" i="54"/>
  <c r="F213" i="54"/>
  <c r="F212" i="54"/>
  <c r="J212" i="54"/>
  <c r="F211" i="54"/>
  <c r="F210" i="54"/>
  <c r="F209" i="54"/>
  <c r="F208" i="54"/>
  <c r="J208" i="54"/>
  <c r="F207" i="54"/>
  <c r="H207" i="54"/>
  <c r="F206" i="54"/>
  <c r="F205" i="54"/>
  <c r="F204" i="54"/>
  <c r="F203" i="54"/>
  <c r="J202" i="54"/>
  <c r="F202" i="54"/>
  <c r="G202" i="54"/>
  <c r="J201" i="54"/>
  <c r="G201" i="54"/>
  <c r="F201" i="54"/>
  <c r="I201" i="54"/>
  <c r="H201" i="54"/>
  <c r="H200" i="54"/>
  <c r="F200" i="54"/>
  <c r="G200" i="54"/>
  <c r="F199" i="54"/>
  <c r="J198" i="54"/>
  <c r="F198" i="54"/>
  <c r="G198" i="54"/>
  <c r="G197" i="54"/>
  <c r="F197" i="54"/>
  <c r="I197" i="54"/>
  <c r="G196" i="54"/>
  <c r="F196" i="54"/>
  <c r="H196" i="54"/>
  <c r="F195" i="54"/>
  <c r="J194" i="54"/>
  <c r="I194" i="54"/>
  <c r="F194" i="54"/>
  <c r="H194" i="54"/>
  <c r="G194" i="54"/>
  <c r="J193" i="54"/>
  <c r="G193" i="54"/>
  <c r="F193" i="54"/>
  <c r="I193" i="54"/>
  <c r="H193" i="54"/>
  <c r="H192" i="54"/>
  <c r="F192" i="54"/>
  <c r="G192" i="54"/>
  <c r="I191" i="54"/>
  <c r="F191" i="54"/>
  <c r="G191" i="54"/>
  <c r="J190" i="54"/>
  <c r="F190" i="54"/>
  <c r="I190" i="54"/>
  <c r="H190" i="54"/>
  <c r="G189" i="54"/>
  <c r="F189" i="54"/>
  <c r="I189" i="54"/>
  <c r="G188" i="54"/>
  <c r="F188" i="54"/>
  <c r="H188" i="54"/>
  <c r="F187" i="54"/>
  <c r="J186" i="54"/>
  <c r="I186" i="54"/>
  <c r="F186" i="54"/>
  <c r="H186" i="54"/>
  <c r="G186" i="54"/>
  <c r="J185" i="54"/>
  <c r="G185" i="54"/>
  <c r="F185" i="54"/>
  <c r="I185" i="54"/>
  <c r="H185" i="54"/>
  <c r="H184" i="54"/>
  <c r="F184" i="54"/>
  <c r="G184" i="54"/>
  <c r="I183" i="54"/>
  <c r="F183" i="54"/>
  <c r="G183" i="54"/>
  <c r="J182" i="54"/>
  <c r="F182" i="54"/>
  <c r="I182" i="54"/>
  <c r="H182" i="54"/>
  <c r="G181" i="54"/>
  <c r="F181" i="54"/>
  <c r="I181" i="54"/>
  <c r="G180" i="54"/>
  <c r="F180" i="54"/>
  <c r="H180" i="54"/>
  <c r="F179" i="54"/>
  <c r="J178" i="54"/>
  <c r="I178" i="54"/>
  <c r="F178" i="54"/>
  <c r="H178" i="54"/>
  <c r="G178" i="54"/>
  <c r="J177" i="54"/>
  <c r="G177" i="54"/>
  <c r="F177" i="54"/>
  <c r="I177" i="54"/>
  <c r="H177" i="54"/>
  <c r="H176" i="54"/>
  <c r="F176" i="54"/>
  <c r="G176" i="54"/>
  <c r="I175" i="54"/>
  <c r="F175" i="54"/>
  <c r="G175" i="54"/>
  <c r="J174" i="54"/>
  <c r="F174" i="54"/>
  <c r="I174" i="54"/>
  <c r="H174" i="54"/>
  <c r="G173" i="54"/>
  <c r="F173" i="54"/>
  <c r="I173" i="54"/>
  <c r="G172" i="54"/>
  <c r="F172" i="54"/>
  <c r="H172" i="54"/>
  <c r="F171" i="54"/>
  <c r="J170" i="54"/>
  <c r="I170" i="54"/>
  <c r="F170" i="54"/>
  <c r="H170" i="54"/>
  <c r="G170" i="54"/>
  <c r="J169" i="54"/>
  <c r="G169" i="54"/>
  <c r="F169" i="54"/>
  <c r="I169" i="54"/>
  <c r="H169" i="54"/>
  <c r="H168" i="54"/>
  <c r="F168" i="54"/>
  <c r="G168" i="54"/>
  <c r="I167" i="54"/>
  <c r="F167" i="54"/>
  <c r="G167" i="54"/>
  <c r="J166" i="54"/>
  <c r="F166" i="54"/>
  <c r="I166" i="54"/>
  <c r="H166" i="54"/>
  <c r="I165" i="54"/>
  <c r="F165" i="54"/>
  <c r="G165" i="54"/>
  <c r="F164" i="54"/>
  <c r="J164" i="54"/>
  <c r="I164" i="54"/>
  <c r="F163" i="54"/>
  <c r="J162" i="54"/>
  <c r="I162" i="54"/>
  <c r="H162" i="54"/>
  <c r="F162" i="54"/>
  <c r="G162" i="54"/>
  <c r="J161" i="54"/>
  <c r="I161" i="54"/>
  <c r="F161" i="54"/>
  <c r="G161" i="54"/>
  <c r="H161" i="54"/>
  <c r="J160" i="54"/>
  <c r="F160" i="54"/>
  <c r="I160" i="54"/>
  <c r="F159" i="54"/>
  <c r="G159" i="54"/>
  <c r="J158" i="54"/>
  <c r="H158" i="54"/>
  <c r="F158" i="54"/>
  <c r="I158" i="54"/>
  <c r="G158" i="54"/>
  <c r="F157" i="54"/>
  <c r="G157" i="54"/>
  <c r="F156" i="54"/>
  <c r="I156" i="54"/>
  <c r="F155" i="54"/>
  <c r="H154" i="54"/>
  <c r="F154" i="54"/>
  <c r="I154" i="54"/>
  <c r="F153" i="54"/>
  <c r="J152" i="54"/>
  <c r="F152" i="54"/>
  <c r="I152" i="54"/>
  <c r="F151" i="54"/>
  <c r="J150" i="54"/>
  <c r="H150" i="54"/>
  <c r="F150" i="54"/>
  <c r="I150" i="54"/>
  <c r="G150" i="54"/>
  <c r="I149" i="54"/>
  <c r="F149" i="54"/>
  <c r="J149" i="54"/>
  <c r="G149" i="54"/>
  <c r="F148" i="54"/>
  <c r="F147" i="54"/>
  <c r="J146" i="54"/>
  <c r="I146" i="54"/>
  <c r="H146" i="54"/>
  <c r="F146" i="54"/>
  <c r="G146" i="54"/>
  <c r="J145" i="54"/>
  <c r="I145" i="54"/>
  <c r="F145" i="54"/>
  <c r="G145" i="54"/>
  <c r="H145" i="54"/>
  <c r="J144" i="54"/>
  <c r="F144" i="54"/>
  <c r="I144" i="54"/>
  <c r="F143" i="54"/>
  <c r="J142" i="54"/>
  <c r="H142" i="54"/>
  <c r="F142" i="54"/>
  <c r="I142" i="54"/>
  <c r="G142" i="54"/>
  <c r="I141" i="54"/>
  <c r="F141" i="54"/>
  <c r="J141" i="54"/>
  <c r="G141" i="54"/>
  <c r="F140" i="54"/>
  <c r="I140" i="54"/>
  <c r="F139" i="54"/>
  <c r="I138" i="54"/>
  <c r="F138" i="54"/>
  <c r="H138" i="54"/>
  <c r="J137" i="54"/>
  <c r="F137" i="54"/>
  <c r="I137" i="54"/>
  <c r="H137" i="54"/>
  <c r="F136" i="54"/>
  <c r="J136" i="54"/>
  <c r="F135" i="54"/>
  <c r="F134" i="54"/>
  <c r="F133" i="54"/>
  <c r="F132" i="54"/>
  <c r="J132" i="54"/>
  <c r="I132" i="54"/>
  <c r="F131" i="54"/>
  <c r="I130" i="54"/>
  <c r="F130" i="54"/>
  <c r="H130" i="54"/>
  <c r="J129" i="54"/>
  <c r="F129" i="54"/>
  <c r="I129" i="54"/>
  <c r="H129" i="54"/>
  <c r="F128" i="54"/>
  <c r="J128" i="54"/>
  <c r="F127" i="54"/>
  <c r="F126" i="54"/>
  <c r="F125" i="54"/>
  <c r="F124" i="54"/>
  <c r="I124" i="54"/>
  <c r="F123" i="54"/>
  <c r="J122" i="54"/>
  <c r="H122" i="54"/>
  <c r="F122" i="54"/>
  <c r="I122" i="54"/>
  <c r="G122" i="54"/>
  <c r="I121" i="54"/>
  <c r="F121" i="54"/>
  <c r="J121" i="54"/>
  <c r="G121" i="54"/>
  <c r="J120" i="54"/>
  <c r="F120" i="54"/>
  <c r="I120" i="54"/>
  <c r="F119" i="54"/>
  <c r="J118" i="54"/>
  <c r="I118" i="54"/>
  <c r="H118" i="54"/>
  <c r="F118" i="54"/>
  <c r="G118" i="54"/>
  <c r="J117" i="54"/>
  <c r="I117" i="54"/>
  <c r="F117" i="54"/>
  <c r="G117" i="54"/>
  <c r="H117" i="54"/>
  <c r="F116" i="54"/>
  <c r="J116" i="54"/>
  <c r="I116" i="54"/>
  <c r="F115" i="54"/>
  <c r="J114" i="54"/>
  <c r="H114" i="54"/>
  <c r="F114" i="54"/>
  <c r="I114" i="54"/>
  <c r="G114" i="54"/>
  <c r="I113" i="54"/>
  <c r="F113" i="54"/>
  <c r="J113" i="54"/>
  <c r="G113" i="54"/>
  <c r="J112" i="54"/>
  <c r="F112" i="54"/>
  <c r="I112" i="54"/>
  <c r="F111" i="54"/>
  <c r="J110" i="54"/>
  <c r="I110" i="54"/>
  <c r="H110" i="54"/>
  <c r="F110" i="54"/>
  <c r="G110" i="54"/>
  <c r="J109" i="54"/>
  <c r="I109" i="54"/>
  <c r="F109" i="54"/>
  <c r="G109" i="54"/>
  <c r="H109" i="54"/>
  <c r="F108" i="54"/>
  <c r="J108" i="54"/>
  <c r="I108" i="54"/>
  <c r="F107" i="54"/>
  <c r="J106" i="54"/>
  <c r="H106" i="54"/>
  <c r="F106" i="54"/>
  <c r="I106" i="54"/>
  <c r="G106" i="54"/>
  <c r="I105" i="54"/>
  <c r="F105" i="54"/>
  <c r="J105" i="54"/>
  <c r="G105" i="54"/>
  <c r="J104" i="54"/>
  <c r="F104" i="54"/>
  <c r="I104" i="54"/>
  <c r="F103" i="54"/>
  <c r="J102" i="54"/>
  <c r="I102" i="54"/>
  <c r="H102" i="54"/>
  <c r="F102" i="54"/>
  <c r="G102" i="54"/>
  <c r="J101" i="54"/>
  <c r="I101" i="54"/>
  <c r="F101" i="54"/>
  <c r="G101" i="54"/>
  <c r="H101" i="54"/>
  <c r="F100" i="54"/>
  <c r="I100" i="54"/>
  <c r="F99" i="54"/>
  <c r="F98" i="54"/>
  <c r="F97" i="54"/>
  <c r="F96" i="54"/>
  <c r="F95" i="54"/>
  <c r="I94" i="54"/>
  <c r="F94" i="54"/>
  <c r="H94" i="54"/>
  <c r="J93" i="54"/>
  <c r="F93" i="54"/>
  <c r="I93" i="54"/>
  <c r="H93" i="54"/>
  <c r="F92" i="54"/>
  <c r="I92" i="54"/>
  <c r="J92" i="54"/>
  <c r="F91" i="54"/>
  <c r="F90" i="54"/>
  <c r="F89" i="54"/>
  <c r="F88" i="54"/>
  <c r="F87" i="54"/>
  <c r="I86" i="54"/>
  <c r="F86" i="54"/>
  <c r="H86" i="54"/>
  <c r="J85" i="54"/>
  <c r="F85" i="54"/>
  <c r="I85" i="54"/>
  <c r="H85" i="54"/>
  <c r="F84" i="54"/>
  <c r="I84" i="54"/>
  <c r="F83" i="54"/>
  <c r="J82" i="54"/>
  <c r="I82" i="54"/>
  <c r="H82" i="54"/>
  <c r="F82" i="54"/>
  <c r="G82" i="54"/>
  <c r="J81" i="54"/>
  <c r="I81" i="54"/>
  <c r="F81" i="54"/>
  <c r="G81" i="54"/>
  <c r="H81" i="54"/>
  <c r="J80" i="54"/>
  <c r="F80" i="54"/>
  <c r="I80" i="54"/>
  <c r="F79" i="54"/>
  <c r="J78" i="54"/>
  <c r="H78" i="54"/>
  <c r="F78" i="54"/>
  <c r="I78" i="54"/>
  <c r="G78" i="54"/>
  <c r="I77" i="54"/>
  <c r="F77" i="54"/>
  <c r="J77" i="54"/>
  <c r="G77" i="54"/>
  <c r="F76" i="54"/>
  <c r="F75" i="54"/>
  <c r="J74" i="54"/>
  <c r="I74" i="54"/>
  <c r="H74" i="54"/>
  <c r="F74" i="54"/>
  <c r="G74" i="54"/>
  <c r="J73" i="54"/>
  <c r="I73" i="54"/>
  <c r="F73" i="54"/>
  <c r="G73" i="54"/>
  <c r="H73" i="54"/>
  <c r="J72" i="54"/>
  <c r="F72" i="54"/>
  <c r="I72" i="54"/>
  <c r="F71" i="54"/>
  <c r="J70" i="54"/>
  <c r="H70" i="54"/>
  <c r="F70" i="54"/>
  <c r="I70" i="54"/>
  <c r="G70" i="54"/>
  <c r="I69" i="54"/>
  <c r="F69" i="54"/>
  <c r="J69" i="54"/>
  <c r="G69" i="54"/>
  <c r="F68" i="54"/>
  <c r="I68" i="54"/>
  <c r="F67" i="54"/>
  <c r="I66" i="54"/>
  <c r="F66" i="54"/>
  <c r="H66" i="54"/>
  <c r="J65" i="54"/>
  <c r="F65" i="54"/>
  <c r="I65" i="54"/>
  <c r="H65" i="54"/>
  <c r="F64" i="54"/>
  <c r="J64" i="54"/>
  <c r="F63" i="54"/>
  <c r="F62" i="54"/>
  <c r="F61" i="54"/>
  <c r="F60" i="54"/>
  <c r="J60" i="54"/>
  <c r="I60" i="54"/>
  <c r="F59" i="54"/>
  <c r="I58" i="54"/>
  <c r="F58" i="54"/>
  <c r="H58" i="54"/>
  <c r="J57" i="54"/>
  <c r="F57" i="54"/>
  <c r="I57" i="54"/>
  <c r="H57" i="54"/>
  <c r="F56" i="54"/>
  <c r="J56" i="54"/>
  <c r="F55" i="54"/>
  <c r="I55" i="54"/>
  <c r="F54" i="54"/>
  <c r="F53" i="54"/>
  <c r="F52" i="54"/>
  <c r="I52" i="54"/>
  <c r="F51" i="54"/>
  <c r="J50" i="54"/>
  <c r="H50" i="54"/>
  <c r="F50" i="54"/>
  <c r="I50" i="54"/>
  <c r="G50" i="54"/>
  <c r="I49" i="54"/>
  <c r="F49" i="54"/>
  <c r="J49" i="54"/>
  <c r="G49" i="54"/>
  <c r="J48" i="54"/>
  <c r="F48" i="54"/>
  <c r="I48" i="54"/>
  <c r="F47" i="54"/>
  <c r="J46" i="54"/>
  <c r="I46" i="54"/>
  <c r="H46" i="54"/>
  <c r="F46" i="54"/>
  <c r="G46" i="54"/>
  <c r="J45" i="54"/>
  <c r="I45" i="54"/>
  <c r="F45" i="54"/>
  <c r="G45" i="54"/>
  <c r="H45" i="54"/>
  <c r="J18" i="54"/>
  <c r="F44" i="54"/>
  <c r="F412" i="53"/>
  <c r="J412" i="53"/>
  <c r="F411" i="53"/>
  <c r="H411" i="53"/>
  <c r="F410" i="53"/>
  <c r="I410" i="53"/>
  <c r="F409" i="53"/>
  <c r="F408" i="53"/>
  <c r="J408" i="53"/>
  <c r="F407" i="53"/>
  <c r="F406" i="53"/>
  <c r="I406" i="53"/>
  <c r="F405" i="53"/>
  <c r="I405" i="53"/>
  <c r="F404" i="53"/>
  <c r="F403" i="53"/>
  <c r="J403" i="53"/>
  <c r="F402" i="53"/>
  <c r="G402" i="53"/>
  <c r="H402" i="53"/>
  <c r="F401" i="53"/>
  <c r="F400" i="53"/>
  <c r="I400" i="53"/>
  <c r="F399" i="53"/>
  <c r="F398" i="53"/>
  <c r="G398" i="53"/>
  <c r="F397" i="53"/>
  <c r="J397" i="53"/>
  <c r="J396" i="53"/>
  <c r="F396" i="53"/>
  <c r="I396" i="53"/>
  <c r="F395" i="53"/>
  <c r="H395" i="53"/>
  <c r="F394" i="53"/>
  <c r="F393" i="53"/>
  <c r="H393" i="53"/>
  <c r="F392" i="53"/>
  <c r="J392" i="53"/>
  <c r="F391" i="53"/>
  <c r="F390" i="53"/>
  <c r="F389" i="53"/>
  <c r="I389" i="53"/>
  <c r="F388" i="53"/>
  <c r="G388" i="53"/>
  <c r="F387" i="53"/>
  <c r="J387" i="53"/>
  <c r="I386" i="53"/>
  <c r="F386" i="53"/>
  <c r="F385" i="53"/>
  <c r="F384" i="53"/>
  <c r="I384" i="53"/>
  <c r="F383" i="53"/>
  <c r="F382" i="53"/>
  <c r="F381" i="53"/>
  <c r="J381" i="53"/>
  <c r="F380" i="53"/>
  <c r="J380" i="53"/>
  <c r="F379" i="53"/>
  <c r="H379" i="53"/>
  <c r="H378" i="53"/>
  <c r="F378" i="53"/>
  <c r="F377" i="53"/>
  <c r="H377" i="53"/>
  <c r="F376" i="53"/>
  <c r="J376" i="53"/>
  <c r="F375" i="53"/>
  <c r="F374" i="53"/>
  <c r="F373" i="53"/>
  <c r="I373" i="53"/>
  <c r="F372" i="53"/>
  <c r="F371" i="53"/>
  <c r="J371" i="53"/>
  <c r="F370" i="53"/>
  <c r="G370" i="53"/>
  <c r="F369" i="53"/>
  <c r="F368" i="53"/>
  <c r="I368" i="53"/>
  <c r="F367" i="53"/>
  <c r="F366" i="53"/>
  <c r="H366" i="53"/>
  <c r="F365" i="53"/>
  <c r="J365" i="53"/>
  <c r="F364" i="53"/>
  <c r="F363" i="53"/>
  <c r="H363" i="53"/>
  <c r="F362" i="53"/>
  <c r="F361" i="53"/>
  <c r="J361" i="53"/>
  <c r="F360" i="53"/>
  <c r="J360" i="53"/>
  <c r="F359" i="53"/>
  <c r="F358" i="53"/>
  <c r="I358" i="53"/>
  <c r="F357" i="53"/>
  <c r="I357" i="53"/>
  <c r="F356" i="53"/>
  <c r="J356" i="53"/>
  <c r="F355" i="53"/>
  <c r="J355" i="53"/>
  <c r="F354" i="53"/>
  <c r="G354" i="53"/>
  <c r="I354" i="53"/>
  <c r="F353" i="53"/>
  <c r="F352" i="53"/>
  <c r="I352" i="53"/>
  <c r="F351" i="53"/>
  <c r="G351" i="53"/>
  <c r="F350" i="53"/>
  <c r="F349" i="53"/>
  <c r="J349" i="53"/>
  <c r="F348" i="53"/>
  <c r="I348" i="53"/>
  <c r="J348" i="53"/>
  <c r="F347" i="53"/>
  <c r="H347" i="53"/>
  <c r="F346" i="53"/>
  <c r="H346" i="53"/>
  <c r="I346" i="53"/>
  <c r="F345" i="53"/>
  <c r="I345" i="53"/>
  <c r="F344" i="53"/>
  <c r="J344" i="53"/>
  <c r="F343" i="53"/>
  <c r="J343" i="53"/>
  <c r="H343" i="53"/>
  <c r="F342" i="53"/>
  <c r="F341" i="53"/>
  <c r="F340" i="53"/>
  <c r="I340" i="53"/>
  <c r="F339" i="53"/>
  <c r="J339" i="53"/>
  <c r="F338" i="53"/>
  <c r="F337" i="53"/>
  <c r="F336" i="53"/>
  <c r="J336" i="53"/>
  <c r="I336" i="53"/>
  <c r="F335" i="53"/>
  <c r="H335" i="53"/>
  <c r="F334" i="53"/>
  <c r="J334" i="53"/>
  <c r="G334" i="53"/>
  <c r="F333" i="53"/>
  <c r="J333" i="53"/>
  <c r="F332" i="53"/>
  <c r="I332" i="53"/>
  <c r="F331" i="53"/>
  <c r="J331" i="53"/>
  <c r="F330" i="53"/>
  <c r="G330" i="53"/>
  <c r="F329" i="53"/>
  <c r="I329" i="53"/>
  <c r="F328" i="53"/>
  <c r="J328" i="53"/>
  <c r="F327" i="53"/>
  <c r="J327" i="53"/>
  <c r="H326" i="53"/>
  <c r="F326" i="53"/>
  <c r="J326" i="53"/>
  <c r="F325" i="53"/>
  <c r="F324" i="53"/>
  <c r="J324" i="53"/>
  <c r="F323" i="53"/>
  <c r="J323" i="53"/>
  <c r="F322" i="53"/>
  <c r="J322" i="53"/>
  <c r="F321" i="53"/>
  <c r="J321" i="53"/>
  <c r="F320" i="53"/>
  <c r="F319" i="53"/>
  <c r="J319" i="53"/>
  <c r="F318" i="53"/>
  <c r="F317" i="53"/>
  <c r="F316" i="53"/>
  <c r="F315" i="53"/>
  <c r="F314" i="53"/>
  <c r="J314" i="53"/>
  <c r="F313" i="53"/>
  <c r="I313" i="53"/>
  <c r="F312" i="53"/>
  <c r="J312" i="53"/>
  <c r="F311" i="53"/>
  <c r="J311" i="53"/>
  <c r="F310" i="53"/>
  <c r="J310" i="53"/>
  <c r="F309" i="53"/>
  <c r="F308" i="53"/>
  <c r="J308" i="53"/>
  <c r="F307" i="53"/>
  <c r="J307" i="53"/>
  <c r="F306" i="53"/>
  <c r="J306" i="53"/>
  <c r="F305" i="53"/>
  <c r="F304" i="53"/>
  <c r="F303" i="53"/>
  <c r="J303" i="53"/>
  <c r="F302" i="53"/>
  <c r="J302" i="53"/>
  <c r="I301" i="53"/>
  <c r="H301" i="53"/>
  <c r="F301" i="53"/>
  <c r="G301" i="53"/>
  <c r="J301" i="53"/>
  <c r="F300" i="53"/>
  <c r="F299" i="53"/>
  <c r="I299" i="53"/>
  <c r="F298" i="53"/>
  <c r="J298" i="53"/>
  <c r="F297" i="53"/>
  <c r="I297" i="53"/>
  <c r="F296" i="53"/>
  <c r="J296" i="53"/>
  <c r="F295" i="53"/>
  <c r="J295" i="53"/>
  <c r="J294" i="53"/>
  <c r="H294" i="53"/>
  <c r="F294" i="53"/>
  <c r="I293" i="53"/>
  <c r="H293" i="53"/>
  <c r="G293" i="53"/>
  <c r="F293" i="53"/>
  <c r="J293" i="53"/>
  <c r="F292" i="53"/>
  <c r="J292" i="53"/>
  <c r="F291" i="53"/>
  <c r="J291" i="53"/>
  <c r="F290" i="53"/>
  <c r="J290" i="53"/>
  <c r="F289" i="53"/>
  <c r="F288" i="53"/>
  <c r="F287" i="53"/>
  <c r="J287" i="53"/>
  <c r="F286" i="53"/>
  <c r="J286" i="53"/>
  <c r="F285" i="53"/>
  <c r="F284" i="53"/>
  <c r="J284" i="53"/>
  <c r="F283" i="53"/>
  <c r="F282" i="53"/>
  <c r="G282" i="53"/>
  <c r="F281" i="53"/>
  <c r="I281" i="53"/>
  <c r="F280" i="53"/>
  <c r="J280" i="53"/>
  <c r="F279" i="53"/>
  <c r="J279" i="53"/>
  <c r="F278" i="53"/>
  <c r="G278" i="53"/>
  <c r="F277" i="53"/>
  <c r="F276" i="53"/>
  <c r="J276" i="53"/>
  <c r="F275" i="53"/>
  <c r="I275" i="53"/>
  <c r="F274" i="53"/>
  <c r="J274" i="53"/>
  <c r="H273" i="53"/>
  <c r="F273" i="53"/>
  <c r="F272" i="53"/>
  <c r="J272" i="53"/>
  <c r="I272" i="53"/>
  <c r="F271" i="53"/>
  <c r="J271" i="53"/>
  <c r="F270" i="53"/>
  <c r="J270" i="53"/>
  <c r="F269" i="53"/>
  <c r="G269" i="53"/>
  <c r="F268" i="53"/>
  <c r="J268" i="53"/>
  <c r="F267" i="53"/>
  <c r="I267" i="53"/>
  <c r="F266" i="53"/>
  <c r="J266" i="53"/>
  <c r="H265" i="53"/>
  <c r="F265" i="53"/>
  <c r="F264" i="53"/>
  <c r="J264" i="53"/>
  <c r="F263" i="53"/>
  <c r="J263" i="53"/>
  <c r="F262" i="53"/>
  <c r="G262" i="53"/>
  <c r="F261" i="53"/>
  <c r="F260" i="53"/>
  <c r="J260" i="53"/>
  <c r="F259" i="53"/>
  <c r="F258" i="53"/>
  <c r="J258" i="53"/>
  <c r="F257" i="53"/>
  <c r="F256" i="53"/>
  <c r="I256" i="53"/>
  <c r="F255" i="53"/>
  <c r="J255" i="53"/>
  <c r="F254" i="53"/>
  <c r="J254" i="53"/>
  <c r="H253" i="53"/>
  <c r="G253" i="53"/>
  <c r="F253" i="53"/>
  <c r="F252" i="53"/>
  <c r="J252" i="53"/>
  <c r="J251" i="53"/>
  <c r="F251" i="53"/>
  <c r="I251" i="53"/>
  <c r="F250" i="53"/>
  <c r="J250" i="53"/>
  <c r="F249" i="53"/>
  <c r="H249" i="53"/>
  <c r="I249" i="53"/>
  <c r="F248" i="53"/>
  <c r="J248" i="53"/>
  <c r="F247" i="53"/>
  <c r="J247" i="53"/>
  <c r="F246" i="53"/>
  <c r="F245" i="53"/>
  <c r="H245" i="53"/>
  <c r="F244" i="53"/>
  <c r="J244" i="53"/>
  <c r="F243" i="53"/>
  <c r="J243" i="53"/>
  <c r="F242" i="53"/>
  <c r="J242" i="53"/>
  <c r="F241" i="53"/>
  <c r="F240" i="53"/>
  <c r="F239" i="53"/>
  <c r="J239" i="53"/>
  <c r="F238" i="53"/>
  <c r="J238" i="53"/>
  <c r="F237" i="53"/>
  <c r="H237" i="53"/>
  <c r="F236" i="53"/>
  <c r="J236" i="53"/>
  <c r="F235" i="53"/>
  <c r="F234" i="53"/>
  <c r="J234" i="53"/>
  <c r="F233" i="53"/>
  <c r="F232" i="53"/>
  <c r="J232" i="53"/>
  <c r="F231" i="53"/>
  <c r="J231" i="53"/>
  <c r="F230" i="53"/>
  <c r="F229" i="53"/>
  <c r="F228" i="53"/>
  <c r="J228" i="53"/>
  <c r="F227" i="53"/>
  <c r="J227" i="53"/>
  <c r="F226" i="53"/>
  <c r="J226" i="53"/>
  <c r="F225" i="53"/>
  <c r="F224" i="53"/>
  <c r="H224" i="53"/>
  <c r="F223" i="53"/>
  <c r="J223" i="53"/>
  <c r="F222" i="53"/>
  <c r="J222" i="53"/>
  <c r="F221" i="53"/>
  <c r="F220" i="53"/>
  <c r="F219" i="53"/>
  <c r="F218" i="53"/>
  <c r="J218" i="53"/>
  <c r="F217" i="53"/>
  <c r="H217" i="53"/>
  <c r="F216" i="53"/>
  <c r="I216" i="53"/>
  <c r="F215" i="53"/>
  <c r="H215" i="53"/>
  <c r="F214" i="53"/>
  <c r="J214" i="53"/>
  <c r="F213" i="53"/>
  <c r="F212" i="53"/>
  <c r="F211" i="53"/>
  <c r="G211" i="53"/>
  <c r="F210" i="53"/>
  <c r="I210" i="53"/>
  <c r="F209" i="53"/>
  <c r="F208" i="53"/>
  <c r="F207" i="53"/>
  <c r="G207" i="53"/>
  <c r="F206" i="53"/>
  <c r="G206" i="53"/>
  <c r="F205" i="53"/>
  <c r="F204" i="53"/>
  <c r="F203" i="53"/>
  <c r="F202" i="53"/>
  <c r="J202" i="53"/>
  <c r="F201" i="53"/>
  <c r="F200" i="53"/>
  <c r="F199" i="53"/>
  <c r="F198" i="53"/>
  <c r="J198" i="53"/>
  <c r="F197" i="53"/>
  <c r="F196" i="53"/>
  <c r="F195" i="53"/>
  <c r="F194" i="53"/>
  <c r="J194" i="53"/>
  <c r="F193" i="53"/>
  <c r="F192" i="53"/>
  <c r="I192" i="53"/>
  <c r="F191" i="53"/>
  <c r="H191" i="53"/>
  <c r="F190" i="53"/>
  <c r="F189" i="53"/>
  <c r="F188" i="53"/>
  <c r="F187" i="53"/>
  <c r="F186" i="53"/>
  <c r="F185" i="53"/>
  <c r="F184" i="53"/>
  <c r="I184" i="53"/>
  <c r="F183" i="53"/>
  <c r="F182" i="53"/>
  <c r="F181" i="53"/>
  <c r="F180" i="53"/>
  <c r="F179" i="53"/>
  <c r="F178" i="53"/>
  <c r="I178" i="53"/>
  <c r="F177" i="53"/>
  <c r="H177" i="53"/>
  <c r="J177" i="53"/>
  <c r="F176" i="53"/>
  <c r="F175" i="53"/>
  <c r="I175" i="53"/>
  <c r="F174" i="53"/>
  <c r="F173" i="53"/>
  <c r="F172" i="53"/>
  <c r="I172" i="53"/>
  <c r="J172" i="53"/>
  <c r="I171" i="53"/>
  <c r="F171" i="53"/>
  <c r="J171" i="53"/>
  <c r="H171" i="53"/>
  <c r="F170" i="53"/>
  <c r="F169" i="53"/>
  <c r="H169" i="53"/>
  <c r="J169" i="53"/>
  <c r="F168" i="53"/>
  <c r="F167" i="53"/>
  <c r="H167" i="53"/>
  <c r="F166" i="53"/>
  <c r="G166" i="53"/>
  <c r="F165" i="53"/>
  <c r="F164" i="53"/>
  <c r="F163" i="53"/>
  <c r="F162" i="53"/>
  <c r="J162" i="53"/>
  <c r="F161" i="53"/>
  <c r="G161" i="53"/>
  <c r="F160" i="53"/>
  <c r="F159" i="53"/>
  <c r="F158" i="53"/>
  <c r="F157" i="53"/>
  <c r="F156" i="53"/>
  <c r="G155" i="53"/>
  <c r="F155" i="53"/>
  <c r="F154" i="53"/>
  <c r="G154" i="53"/>
  <c r="J153" i="53"/>
  <c r="F153" i="53"/>
  <c r="H153" i="53"/>
  <c r="F152" i="53"/>
  <c r="J152" i="53"/>
  <c r="F151" i="53"/>
  <c r="J151" i="53"/>
  <c r="F150" i="53"/>
  <c r="I150" i="53"/>
  <c r="F149" i="53"/>
  <c r="F148" i="53"/>
  <c r="G147" i="53"/>
  <c r="F147" i="53"/>
  <c r="I147" i="53"/>
  <c r="H147" i="53"/>
  <c r="F146" i="53"/>
  <c r="F145" i="53"/>
  <c r="F144" i="53"/>
  <c r="F143" i="53"/>
  <c r="J142" i="53"/>
  <c r="F142" i="53"/>
  <c r="G142" i="53"/>
  <c r="F141" i="53"/>
  <c r="F140" i="53"/>
  <c r="F139" i="53"/>
  <c r="J139" i="53"/>
  <c r="F138" i="53"/>
  <c r="F137" i="53"/>
  <c r="F136" i="53"/>
  <c r="G136" i="53"/>
  <c r="F135" i="53"/>
  <c r="J134" i="53"/>
  <c r="F134" i="53"/>
  <c r="G134" i="53"/>
  <c r="F133" i="53"/>
  <c r="J132" i="53"/>
  <c r="F132" i="53"/>
  <c r="I132" i="53"/>
  <c r="F131" i="53"/>
  <c r="H131" i="53"/>
  <c r="F130" i="53"/>
  <c r="H130" i="53"/>
  <c r="F129" i="53"/>
  <c r="F128" i="53"/>
  <c r="I128" i="53"/>
  <c r="F127" i="53"/>
  <c r="H127" i="53"/>
  <c r="F126" i="53"/>
  <c r="F125" i="53"/>
  <c r="H125" i="53"/>
  <c r="J124" i="53"/>
  <c r="F124" i="53"/>
  <c r="I124" i="53"/>
  <c r="F123" i="53"/>
  <c r="I123" i="53"/>
  <c r="F122" i="53"/>
  <c r="G122" i="53"/>
  <c r="F121" i="53"/>
  <c r="J121" i="53"/>
  <c r="F120" i="53"/>
  <c r="F119" i="53"/>
  <c r="H119" i="53"/>
  <c r="F118" i="53"/>
  <c r="F117" i="53"/>
  <c r="J117" i="53"/>
  <c r="F116" i="53"/>
  <c r="G115" i="53"/>
  <c r="F115" i="53"/>
  <c r="H115" i="53"/>
  <c r="F114" i="53"/>
  <c r="H114" i="53"/>
  <c r="F113" i="53"/>
  <c r="J113" i="53"/>
  <c r="F112" i="53"/>
  <c r="J112" i="53"/>
  <c r="F111" i="53"/>
  <c r="J111" i="53"/>
  <c r="F110" i="53"/>
  <c r="J110" i="53"/>
  <c r="G110" i="53"/>
  <c r="F109" i="53"/>
  <c r="F108" i="53"/>
  <c r="G108" i="53"/>
  <c r="F107" i="53"/>
  <c r="H107" i="53"/>
  <c r="F106" i="53"/>
  <c r="F105" i="53"/>
  <c r="J105" i="53"/>
  <c r="F104" i="53"/>
  <c r="J104" i="53"/>
  <c r="F103" i="53"/>
  <c r="J102" i="53"/>
  <c r="F102" i="53"/>
  <c r="G102" i="53"/>
  <c r="F101" i="53"/>
  <c r="J100" i="53"/>
  <c r="F100" i="53"/>
  <c r="I100" i="53"/>
  <c r="F99" i="53"/>
  <c r="F98" i="53"/>
  <c r="G98" i="53"/>
  <c r="F97" i="53"/>
  <c r="F96" i="53"/>
  <c r="F95" i="53"/>
  <c r="J94" i="53"/>
  <c r="F94" i="53"/>
  <c r="G94" i="53"/>
  <c r="F93" i="53"/>
  <c r="J92" i="53"/>
  <c r="F92" i="53"/>
  <c r="I92" i="53"/>
  <c r="F91" i="53"/>
  <c r="H91" i="53"/>
  <c r="F90" i="53"/>
  <c r="G90" i="53"/>
  <c r="F89" i="53"/>
  <c r="F88" i="53"/>
  <c r="J88" i="53"/>
  <c r="F87" i="53"/>
  <c r="F86" i="53"/>
  <c r="F85" i="53"/>
  <c r="F84" i="53"/>
  <c r="J84" i="53"/>
  <c r="F83" i="53"/>
  <c r="F82" i="53"/>
  <c r="J82" i="53"/>
  <c r="F81" i="53"/>
  <c r="I81" i="53"/>
  <c r="F80" i="53"/>
  <c r="I80" i="53"/>
  <c r="F79" i="53"/>
  <c r="F78" i="53"/>
  <c r="F77" i="53"/>
  <c r="F76" i="53"/>
  <c r="I76" i="53"/>
  <c r="G75" i="53"/>
  <c r="F75" i="53"/>
  <c r="I75" i="53"/>
  <c r="H75" i="53"/>
  <c r="F74" i="53"/>
  <c r="F73" i="53"/>
  <c r="J73" i="53"/>
  <c r="F72" i="53"/>
  <c r="F71" i="53"/>
  <c r="F70" i="53"/>
  <c r="H70" i="53"/>
  <c r="F69" i="53"/>
  <c r="J69" i="53"/>
  <c r="F68" i="53"/>
  <c r="I67" i="53"/>
  <c r="F67" i="53"/>
  <c r="G67" i="53"/>
  <c r="J67" i="53"/>
  <c r="F66" i="53"/>
  <c r="H66" i="53"/>
  <c r="F65" i="53"/>
  <c r="J65" i="53"/>
  <c r="F64" i="53"/>
  <c r="F63" i="53"/>
  <c r="H63" i="53"/>
  <c r="F62" i="53"/>
  <c r="F61" i="53"/>
  <c r="F60" i="53"/>
  <c r="G60" i="53"/>
  <c r="I59" i="53"/>
  <c r="F59" i="53"/>
  <c r="G59" i="53"/>
  <c r="J59" i="53"/>
  <c r="F58" i="53"/>
  <c r="F57" i="53"/>
  <c r="H57" i="53"/>
  <c r="F56" i="53"/>
  <c r="F55" i="53"/>
  <c r="J55" i="53"/>
  <c r="F54" i="53"/>
  <c r="J54" i="53"/>
  <c r="F53" i="53"/>
  <c r="F52" i="53"/>
  <c r="J52" i="53"/>
  <c r="I52" i="53"/>
  <c r="F51" i="53"/>
  <c r="J51" i="53"/>
  <c r="F50" i="53"/>
  <c r="G50" i="53"/>
  <c r="F49" i="53"/>
  <c r="H49" i="53"/>
  <c r="F48" i="53"/>
  <c r="I48" i="53"/>
  <c r="F47" i="53"/>
  <c r="I47" i="53"/>
  <c r="F46" i="53"/>
  <c r="F45" i="53"/>
  <c r="F44" i="53"/>
  <c r="G43" i="53"/>
  <c r="F43" i="53"/>
  <c r="I43" i="53"/>
  <c r="H43" i="53"/>
  <c r="F42" i="53"/>
  <c r="G42" i="53"/>
  <c r="F41" i="53"/>
  <c r="F40" i="53"/>
  <c r="I40" i="53"/>
  <c r="F39" i="53"/>
  <c r="I39" i="53"/>
  <c r="F38" i="53"/>
  <c r="F37" i="53"/>
  <c r="J37" i="53"/>
  <c r="F36" i="53"/>
  <c r="F35" i="53"/>
  <c r="J18" i="53"/>
  <c r="F412" i="52"/>
  <c r="I411" i="52"/>
  <c r="F411" i="52"/>
  <c r="G411" i="52"/>
  <c r="F410" i="52"/>
  <c r="F409" i="52"/>
  <c r="F408" i="52"/>
  <c r="J408" i="52"/>
  <c r="I407" i="52"/>
  <c r="F407" i="52"/>
  <c r="J407" i="52"/>
  <c r="F406" i="52"/>
  <c r="I406" i="52"/>
  <c r="F405" i="52"/>
  <c r="F404" i="52"/>
  <c r="F403" i="52"/>
  <c r="I403" i="52"/>
  <c r="F402" i="52"/>
  <c r="I402" i="52"/>
  <c r="F401" i="52"/>
  <c r="G401" i="52"/>
  <c r="F400" i="52"/>
  <c r="F399" i="52"/>
  <c r="F398" i="52"/>
  <c r="I398" i="52"/>
  <c r="G397" i="52"/>
  <c r="F397" i="52"/>
  <c r="J397" i="52"/>
  <c r="F396" i="52"/>
  <c r="I395" i="52"/>
  <c r="G395" i="52"/>
  <c r="F395" i="52"/>
  <c r="F394" i="52"/>
  <c r="F393" i="52"/>
  <c r="H392" i="52"/>
  <c r="F392" i="52"/>
  <c r="J392" i="52"/>
  <c r="I391" i="52"/>
  <c r="H391" i="52"/>
  <c r="F391" i="52"/>
  <c r="J391" i="52"/>
  <c r="F390" i="52"/>
  <c r="I390" i="52"/>
  <c r="F389" i="52"/>
  <c r="F388" i="52"/>
  <c r="F387" i="52"/>
  <c r="I387" i="52"/>
  <c r="F386" i="52"/>
  <c r="I386" i="52"/>
  <c r="F385" i="52"/>
  <c r="G385" i="52"/>
  <c r="F384" i="52"/>
  <c r="G384" i="52"/>
  <c r="F383" i="52"/>
  <c r="F382" i="52"/>
  <c r="I382" i="52"/>
  <c r="F381" i="52"/>
  <c r="J381" i="52"/>
  <c r="F380" i="52"/>
  <c r="F379" i="52"/>
  <c r="I379" i="52"/>
  <c r="F378" i="52"/>
  <c r="F377" i="52"/>
  <c r="F376" i="52"/>
  <c r="F375" i="52"/>
  <c r="F374" i="52"/>
  <c r="I374" i="52"/>
  <c r="F373" i="52"/>
  <c r="F372" i="52"/>
  <c r="F371" i="52"/>
  <c r="I371" i="52"/>
  <c r="F370" i="52"/>
  <c r="I370" i="52"/>
  <c r="F369" i="52"/>
  <c r="G369" i="52"/>
  <c r="F368" i="52"/>
  <c r="F367" i="52"/>
  <c r="F366" i="52"/>
  <c r="F365" i="52"/>
  <c r="J365" i="52"/>
  <c r="F364" i="52"/>
  <c r="F363" i="52"/>
  <c r="H363" i="52"/>
  <c r="F362" i="52"/>
  <c r="J361" i="52"/>
  <c r="F361" i="52"/>
  <c r="G361" i="52"/>
  <c r="F360" i="52"/>
  <c r="F359" i="52"/>
  <c r="I358" i="52"/>
  <c r="F358" i="52"/>
  <c r="F357" i="52"/>
  <c r="H356" i="52"/>
  <c r="G356" i="52"/>
  <c r="F356" i="52"/>
  <c r="J356" i="52"/>
  <c r="I355" i="52"/>
  <c r="H355" i="52"/>
  <c r="G355" i="52"/>
  <c r="F355" i="52"/>
  <c r="J355" i="52"/>
  <c r="F354" i="52"/>
  <c r="J354" i="52"/>
  <c r="F353" i="52"/>
  <c r="G353" i="52"/>
  <c r="F352" i="52"/>
  <c r="J352" i="52"/>
  <c r="I351" i="52"/>
  <c r="F351" i="52"/>
  <c r="J351" i="52"/>
  <c r="F350" i="52"/>
  <c r="J350" i="52"/>
  <c r="F349" i="52"/>
  <c r="J349" i="52"/>
  <c r="F348" i="52"/>
  <c r="I347" i="52"/>
  <c r="F347" i="52"/>
  <c r="F346" i="52"/>
  <c r="F345" i="52"/>
  <c r="F344" i="52"/>
  <c r="J344" i="52"/>
  <c r="I343" i="52"/>
  <c r="F343" i="52"/>
  <c r="J343" i="52"/>
  <c r="F342" i="52"/>
  <c r="I342" i="52"/>
  <c r="F341" i="52"/>
  <c r="F340" i="52"/>
  <c r="G340" i="52"/>
  <c r="I339" i="52"/>
  <c r="F339" i="52"/>
  <c r="F338" i="52"/>
  <c r="F337" i="52"/>
  <c r="G337" i="52"/>
  <c r="F336" i="52"/>
  <c r="F335" i="52"/>
  <c r="F334" i="52"/>
  <c r="J334" i="52"/>
  <c r="F333" i="52"/>
  <c r="G333" i="52"/>
  <c r="F332" i="52"/>
  <c r="J332" i="52"/>
  <c r="I331" i="52"/>
  <c r="F331" i="52"/>
  <c r="G331" i="52"/>
  <c r="F330" i="52"/>
  <c r="J330" i="52"/>
  <c r="F329" i="52"/>
  <c r="G329" i="52"/>
  <c r="F328" i="52"/>
  <c r="F327" i="52"/>
  <c r="F326" i="52"/>
  <c r="H325" i="52"/>
  <c r="F325" i="52"/>
  <c r="G325" i="52"/>
  <c r="F324" i="52"/>
  <c r="I323" i="52"/>
  <c r="F323" i="52"/>
  <c r="H323" i="52"/>
  <c r="F322" i="52"/>
  <c r="I321" i="52"/>
  <c r="F321" i="52"/>
  <c r="H321" i="52"/>
  <c r="F320" i="52"/>
  <c r="J320" i="52"/>
  <c r="G319" i="52"/>
  <c r="F319" i="52"/>
  <c r="F318" i="52"/>
  <c r="I318" i="52"/>
  <c r="I317" i="52"/>
  <c r="F317" i="52"/>
  <c r="J317" i="52"/>
  <c r="F316" i="52"/>
  <c r="F315" i="52"/>
  <c r="H315" i="52"/>
  <c r="H314" i="52"/>
  <c r="F314" i="52"/>
  <c r="I314" i="52"/>
  <c r="F313" i="52"/>
  <c r="F312" i="52"/>
  <c r="J312" i="52"/>
  <c r="I311" i="52"/>
  <c r="G311" i="52"/>
  <c r="F311" i="52"/>
  <c r="H311" i="52"/>
  <c r="F310" i="52"/>
  <c r="I309" i="52"/>
  <c r="H309" i="52"/>
  <c r="F309" i="52"/>
  <c r="F308" i="52"/>
  <c r="F307" i="52"/>
  <c r="I307" i="52"/>
  <c r="F306" i="52"/>
  <c r="F305" i="52"/>
  <c r="F304" i="52"/>
  <c r="J304" i="52"/>
  <c r="F303" i="52"/>
  <c r="F302" i="52"/>
  <c r="I302" i="52"/>
  <c r="F301" i="52"/>
  <c r="I301" i="52"/>
  <c r="F300" i="52"/>
  <c r="F299" i="52"/>
  <c r="G299" i="52"/>
  <c r="F298" i="52"/>
  <c r="G297" i="52"/>
  <c r="F297" i="52"/>
  <c r="F296" i="52"/>
  <c r="J296" i="52"/>
  <c r="F295" i="52"/>
  <c r="H294" i="52"/>
  <c r="F294" i="52"/>
  <c r="I294" i="52"/>
  <c r="F293" i="52"/>
  <c r="F292" i="52"/>
  <c r="F291" i="52"/>
  <c r="H291" i="52"/>
  <c r="F290" i="52"/>
  <c r="F289" i="52"/>
  <c r="F288" i="52"/>
  <c r="J288" i="52"/>
  <c r="F287" i="52"/>
  <c r="F286" i="52"/>
  <c r="I286" i="52"/>
  <c r="I285" i="52"/>
  <c r="H285" i="52"/>
  <c r="F285" i="52"/>
  <c r="J285" i="52"/>
  <c r="F284" i="52"/>
  <c r="J284" i="52"/>
  <c r="F283" i="52"/>
  <c r="F282" i="52"/>
  <c r="I281" i="52"/>
  <c r="F281" i="52"/>
  <c r="F280" i="52"/>
  <c r="J280" i="52"/>
  <c r="F279" i="52"/>
  <c r="I279" i="52"/>
  <c r="F278" i="52"/>
  <c r="I277" i="52"/>
  <c r="F277" i="52"/>
  <c r="F276" i="52"/>
  <c r="J276" i="52"/>
  <c r="F275" i="52"/>
  <c r="F274" i="52"/>
  <c r="F273" i="52"/>
  <c r="F272" i="52"/>
  <c r="J272" i="52"/>
  <c r="I271" i="52"/>
  <c r="F271" i="52"/>
  <c r="F270" i="52"/>
  <c r="J270" i="52"/>
  <c r="F269" i="52"/>
  <c r="I269" i="52"/>
  <c r="J268" i="52"/>
  <c r="H268" i="52"/>
  <c r="F268" i="52"/>
  <c r="I267" i="52"/>
  <c r="H267" i="52"/>
  <c r="G267" i="52"/>
  <c r="F267" i="52"/>
  <c r="J267" i="52"/>
  <c r="F266" i="52"/>
  <c r="J266" i="52"/>
  <c r="I265" i="52"/>
  <c r="F265" i="52"/>
  <c r="F264" i="52"/>
  <c r="H264" i="52"/>
  <c r="F263" i="52"/>
  <c r="I263" i="52"/>
  <c r="F262" i="52"/>
  <c r="I262" i="52"/>
  <c r="I261" i="52"/>
  <c r="F261" i="52"/>
  <c r="F260" i="52"/>
  <c r="H260" i="52"/>
  <c r="I259" i="52"/>
  <c r="H259" i="52"/>
  <c r="F259" i="52"/>
  <c r="J259" i="52"/>
  <c r="I258" i="52"/>
  <c r="H258" i="52"/>
  <c r="F258" i="52"/>
  <c r="J258" i="52"/>
  <c r="F257" i="52"/>
  <c r="J257" i="52"/>
  <c r="F256" i="52"/>
  <c r="I256" i="52"/>
  <c r="F255" i="52"/>
  <c r="F254" i="52"/>
  <c r="F253" i="52"/>
  <c r="H253" i="52"/>
  <c r="I252" i="52"/>
  <c r="G252" i="52"/>
  <c r="F252" i="52"/>
  <c r="J252" i="52"/>
  <c r="F251" i="52"/>
  <c r="I250" i="52"/>
  <c r="G250" i="52"/>
  <c r="F250" i="52"/>
  <c r="F249" i="52"/>
  <c r="F248" i="52"/>
  <c r="F247" i="52"/>
  <c r="F246" i="52"/>
  <c r="H245" i="52"/>
  <c r="F245" i="52"/>
  <c r="J245" i="52"/>
  <c r="F244" i="52"/>
  <c r="J244" i="52"/>
  <c r="F243" i="52"/>
  <c r="F242" i="52"/>
  <c r="F241" i="52"/>
  <c r="F240" i="52"/>
  <c r="F239" i="52"/>
  <c r="F238" i="52"/>
  <c r="J237" i="52"/>
  <c r="H237" i="52"/>
  <c r="F237" i="52"/>
  <c r="F236" i="52"/>
  <c r="J236" i="52"/>
  <c r="F235" i="52"/>
  <c r="F234" i="52"/>
  <c r="F233" i="52"/>
  <c r="J233" i="52"/>
  <c r="F232" i="52"/>
  <c r="F231" i="52"/>
  <c r="F230" i="52"/>
  <c r="I230" i="52"/>
  <c r="F229" i="52"/>
  <c r="F228" i="52"/>
  <c r="F227" i="52"/>
  <c r="F226" i="52"/>
  <c r="I226" i="52"/>
  <c r="J225" i="52"/>
  <c r="F225" i="52"/>
  <c r="I225" i="52"/>
  <c r="F224" i="52"/>
  <c r="F223" i="52"/>
  <c r="F222" i="52"/>
  <c r="I222" i="52"/>
  <c r="J221" i="52"/>
  <c r="I221" i="52"/>
  <c r="F221" i="52"/>
  <c r="F220" i="52"/>
  <c r="F219" i="52"/>
  <c r="I218" i="52"/>
  <c r="F218" i="52"/>
  <c r="F217" i="52"/>
  <c r="J217" i="52"/>
  <c r="F216" i="52"/>
  <c r="F215" i="52"/>
  <c r="F214" i="52"/>
  <c r="I214" i="52"/>
  <c r="F213" i="52"/>
  <c r="F212" i="52"/>
  <c r="F211" i="52"/>
  <c r="F210" i="52"/>
  <c r="I210" i="52"/>
  <c r="J209" i="52"/>
  <c r="F209" i="52"/>
  <c r="I209" i="52"/>
  <c r="F208" i="52"/>
  <c r="F207" i="52"/>
  <c r="F206" i="52"/>
  <c r="I206" i="52"/>
  <c r="J205" i="52"/>
  <c r="I205" i="52"/>
  <c r="F205" i="52"/>
  <c r="F204" i="52"/>
  <c r="F203" i="52"/>
  <c r="I202" i="52"/>
  <c r="F202" i="52"/>
  <c r="F201" i="52"/>
  <c r="J201" i="52"/>
  <c r="F200" i="52"/>
  <c r="F199" i="52"/>
  <c r="F198" i="52"/>
  <c r="I198" i="52"/>
  <c r="F197" i="52"/>
  <c r="F196" i="52"/>
  <c r="F195" i="52"/>
  <c r="F194" i="52"/>
  <c r="I194" i="52"/>
  <c r="J193" i="52"/>
  <c r="F193" i="52"/>
  <c r="I193" i="52"/>
  <c r="F192" i="52"/>
  <c r="F191" i="52"/>
  <c r="F190" i="52"/>
  <c r="I190" i="52"/>
  <c r="J189" i="52"/>
  <c r="I189" i="52"/>
  <c r="F189" i="52"/>
  <c r="F188" i="52"/>
  <c r="F187" i="52"/>
  <c r="J186" i="52"/>
  <c r="F186" i="52"/>
  <c r="F185" i="52"/>
  <c r="H184" i="52"/>
  <c r="F184" i="52"/>
  <c r="G184" i="52"/>
  <c r="G183" i="52"/>
  <c r="F183" i="52"/>
  <c r="F182" i="52"/>
  <c r="F181" i="52"/>
  <c r="F180" i="52"/>
  <c r="G180" i="52"/>
  <c r="F179" i="52"/>
  <c r="I179" i="52"/>
  <c r="J178" i="52"/>
  <c r="F178" i="52"/>
  <c r="F177" i="52"/>
  <c r="J177" i="52"/>
  <c r="F176" i="52"/>
  <c r="F175" i="52"/>
  <c r="F174" i="52"/>
  <c r="F173" i="52"/>
  <c r="F172" i="52"/>
  <c r="G172" i="52"/>
  <c r="F171" i="52"/>
  <c r="F170" i="52"/>
  <c r="J170" i="52"/>
  <c r="F169" i="52"/>
  <c r="F168" i="52"/>
  <c r="G168" i="52"/>
  <c r="F167" i="52"/>
  <c r="F166" i="52"/>
  <c r="J166" i="52"/>
  <c r="F165" i="52"/>
  <c r="F164" i="52"/>
  <c r="I163" i="52"/>
  <c r="F163" i="52"/>
  <c r="F162" i="52"/>
  <c r="J162" i="52"/>
  <c r="F161" i="52"/>
  <c r="I161" i="52"/>
  <c r="F160" i="52"/>
  <c r="G160" i="52"/>
  <c r="H159" i="52"/>
  <c r="F159" i="52"/>
  <c r="F158" i="52"/>
  <c r="I157" i="52"/>
  <c r="F157" i="52"/>
  <c r="J157" i="52"/>
  <c r="F156" i="52"/>
  <c r="F155" i="52"/>
  <c r="I155" i="52"/>
  <c r="F154" i="52"/>
  <c r="J154" i="52"/>
  <c r="F153" i="52"/>
  <c r="F152" i="52"/>
  <c r="F151" i="52"/>
  <c r="F150" i="52"/>
  <c r="F149" i="52"/>
  <c r="F148" i="52"/>
  <c r="G148" i="52"/>
  <c r="F147" i="52"/>
  <c r="J146" i="52"/>
  <c r="F146" i="52"/>
  <c r="F145" i="52"/>
  <c r="F144" i="52"/>
  <c r="F143" i="52"/>
  <c r="I143" i="52"/>
  <c r="F142" i="52"/>
  <c r="I141" i="52"/>
  <c r="F141" i="52"/>
  <c r="F140" i="52"/>
  <c r="G140" i="52"/>
  <c r="H139" i="52"/>
  <c r="F139" i="52"/>
  <c r="F138" i="52"/>
  <c r="J138" i="52"/>
  <c r="F137" i="52"/>
  <c r="F136" i="52"/>
  <c r="G136" i="52"/>
  <c r="F135" i="52"/>
  <c r="F134" i="52"/>
  <c r="J134" i="52"/>
  <c r="F133" i="52"/>
  <c r="F132" i="52"/>
  <c r="G132" i="52"/>
  <c r="I131" i="52"/>
  <c r="H131" i="52"/>
  <c r="F131" i="52"/>
  <c r="J131" i="52"/>
  <c r="F130" i="52"/>
  <c r="J130" i="52"/>
  <c r="F129" i="52"/>
  <c r="F128" i="52"/>
  <c r="G128" i="52"/>
  <c r="G127" i="52"/>
  <c r="F127" i="52"/>
  <c r="H127" i="52"/>
  <c r="F126" i="52"/>
  <c r="F125" i="52"/>
  <c r="F124" i="52"/>
  <c r="H123" i="52"/>
  <c r="F123" i="52"/>
  <c r="I123" i="52"/>
  <c r="F122" i="52"/>
  <c r="J122" i="52"/>
  <c r="F121" i="52"/>
  <c r="G121" i="52"/>
  <c r="H120" i="52"/>
  <c r="F120" i="52"/>
  <c r="G120" i="52"/>
  <c r="I119" i="52"/>
  <c r="H119" i="52"/>
  <c r="G119" i="52"/>
  <c r="F119" i="52"/>
  <c r="J119" i="52"/>
  <c r="F118" i="52"/>
  <c r="I117" i="52"/>
  <c r="G117" i="52"/>
  <c r="F117" i="52"/>
  <c r="J117" i="52"/>
  <c r="F116" i="52"/>
  <c r="F115" i="52"/>
  <c r="F114" i="52"/>
  <c r="J114" i="52"/>
  <c r="I113" i="52"/>
  <c r="G113" i="52"/>
  <c r="F113" i="52"/>
  <c r="J113" i="52"/>
  <c r="F112" i="52"/>
  <c r="I111" i="52"/>
  <c r="H111" i="52"/>
  <c r="F111" i="52"/>
  <c r="F110" i="52"/>
  <c r="F109" i="52"/>
  <c r="F108" i="52"/>
  <c r="G108" i="52"/>
  <c r="F107" i="52"/>
  <c r="F106" i="52"/>
  <c r="J106" i="52"/>
  <c r="F105" i="52"/>
  <c r="F104" i="52"/>
  <c r="G104" i="52"/>
  <c r="F103" i="52"/>
  <c r="I103" i="52"/>
  <c r="F102" i="52"/>
  <c r="J102" i="52"/>
  <c r="G101" i="52"/>
  <c r="F101" i="52"/>
  <c r="F100" i="52"/>
  <c r="I99" i="52"/>
  <c r="F99" i="52"/>
  <c r="J98" i="52"/>
  <c r="F98" i="52"/>
  <c r="F97" i="52"/>
  <c r="F96" i="52"/>
  <c r="G96" i="52"/>
  <c r="F95" i="52"/>
  <c r="F94" i="52"/>
  <c r="F93" i="52"/>
  <c r="J93" i="52"/>
  <c r="F92" i="52"/>
  <c r="F91" i="52"/>
  <c r="F90" i="52"/>
  <c r="J90" i="52"/>
  <c r="F89" i="52"/>
  <c r="H88" i="52"/>
  <c r="F88" i="52"/>
  <c r="G88" i="52"/>
  <c r="I87" i="52"/>
  <c r="H87" i="52"/>
  <c r="G87" i="52"/>
  <c r="F87" i="52"/>
  <c r="J87" i="52"/>
  <c r="F86" i="52"/>
  <c r="J86" i="52"/>
  <c r="I85" i="52"/>
  <c r="G85" i="52"/>
  <c r="F85" i="52"/>
  <c r="J85" i="52"/>
  <c r="F84" i="52"/>
  <c r="G84" i="52"/>
  <c r="F83" i="52"/>
  <c r="J82" i="52"/>
  <c r="F82" i="52"/>
  <c r="F81" i="52"/>
  <c r="J81" i="52"/>
  <c r="F80" i="52"/>
  <c r="F79" i="52"/>
  <c r="F78" i="52"/>
  <c r="F77" i="52"/>
  <c r="F76" i="52"/>
  <c r="G76" i="52"/>
  <c r="F75" i="52"/>
  <c r="F74" i="52"/>
  <c r="J74" i="52"/>
  <c r="I73" i="52"/>
  <c r="G73" i="52"/>
  <c r="F73" i="52"/>
  <c r="J73" i="52"/>
  <c r="F72" i="52"/>
  <c r="G72" i="52"/>
  <c r="I71" i="52"/>
  <c r="G71" i="52"/>
  <c r="F71" i="52"/>
  <c r="F70" i="52"/>
  <c r="J70" i="52"/>
  <c r="F69" i="52"/>
  <c r="H68" i="52"/>
  <c r="F68" i="52"/>
  <c r="G68" i="52"/>
  <c r="I67" i="52"/>
  <c r="H67" i="52"/>
  <c r="G67" i="52"/>
  <c r="F67" i="52"/>
  <c r="J67" i="52"/>
  <c r="F66" i="52"/>
  <c r="J66" i="52"/>
  <c r="F65" i="52"/>
  <c r="F64" i="52"/>
  <c r="G64" i="52"/>
  <c r="F63" i="52"/>
  <c r="F62" i="52"/>
  <c r="F61" i="52"/>
  <c r="J61" i="52"/>
  <c r="F60" i="52"/>
  <c r="F59" i="52"/>
  <c r="F58" i="52"/>
  <c r="J58" i="52"/>
  <c r="F57" i="52"/>
  <c r="F56" i="52"/>
  <c r="G56" i="52"/>
  <c r="I55" i="52"/>
  <c r="H55" i="52"/>
  <c r="F55" i="52"/>
  <c r="J55" i="52"/>
  <c r="F54" i="52"/>
  <c r="I53" i="52"/>
  <c r="F53" i="52"/>
  <c r="J53" i="52"/>
  <c r="F52" i="52"/>
  <c r="G52" i="52"/>
  <c r="I51" i="52"/>
  <c r="F51" i="52"/>
  <c r="F50" i="52"/>
  <c r="H50" i="52"/>
  <c r="F49" i="52"/>
  <c r="G49" i="52"/>
  <c r="F48" i="52"/>
  <c r="J48" i="52"/>
  <c r="I47" i="52"/>
  <c r="H47" i="52"/>
  <c r="F47" i="52"/>
  <c r="J47" i="52"/>
  <c r="F46" i="52"/>
  <c r="J46" i="52"/>
  <c r="F45" i="52"/>
  <c r="H44" i="52"/>
  <c r="F44" i="52"/>
  <c r="J44" i="52"/>
  <c r="G43" i="52"/>
  <c r="F43" i="52"/>
  <c r="F42" i="52"/>
  <c r="J42" i="52"/>
  <c r="F41" i="52"/>
  <c r="F40" i="52"/>
  <c r="H40" i="52"/>
  <c r="I39" i="52"/>
  <c r="F39" i="52"/>
  <c r="F38" i="52"/>
  <c r="H38" i="52"/>
  <c r="I37" i="52"/>
  <c r="G37" i="52"/>
  <c r="F37" i="52"/>
  <c r="J37" i="52"/>
  <c r="F36" i="52"/>
  <c r="F35" i="52"/>
  <c r="F34" i="52"/>
  <c r="F33" i="52"/>
  <c r="F32" i="52"/>
  <c r="J32" i="52"/>
  <c r="F31" i="52"/>
  <c r="F30" i="52"/>
  <c r="J30" i="52"/>
  <c r="F29" i="52"/>
  <c r="I29" i="52"/>
  <c r="J28" i="52"/>
  <c r="F28" i="52"/>
  <c r="H28" i="52"/>
  <c r="I27" i="52"/>
  <c r="H27" i="52"/>
  <c r="F27" i="52"/>
  <c r="J27" i="52"/>
  <c r="J18" i="52"/>
  <c r="F26" i="52"/>
  <c r="F412" i="51"/>
  <c r="F411" i="51"/>
  <c r="G410" i="51"/>
  <c r="F410" i="51"/>
  <c r="F409" i="51"/>
  <c r="F408" i="51"/>
  <c r="J407" i="51"/>
  <c r="F407" i="51"/>
  <c r="G407" i="51"/>
  <c r="F406" i="51"/>
  <c r="J406" i="51"/>
  <c r="F405" i="51"/>
  <c r="F404" i="51"/>
  <c r="F403" i="51"/>
  <c r="J403" i="51"/>
  <c r="G402" i="51"/>
  <c r="F402" i="51"/>
  <c r="F401" i="51"/>
  <c r="F400" i="51"/>
  <c r="I400" i="51"/>
  <c r="F399" i="51"/>
  <c r="F398" i="51"/>
  <c r="J398" i="51"/>
  <c r="F397" i="51"/>
  <c r="F396" i="51"/>
  <c r="F395" i="51"/>
  <c r="G395" i="51"/>
  <c r="G394" i="51"/>
  <c r="F394" i="51"/>
  <c r="F393" i="51"/>
  <c r="F392" i="51"/>
  <c r="J392" i="51"/>
  <c r="J391" i="51"/>
  <c r="F391" i="51"/>
  <c r="G391" i="51"/>
  <c r="H390" i="51"/>
  <c r="G390" i="51"/>
  <c r="F390" i="51"/>
  <c r="J390" i="51"/>
  <c r="F389" i="51"/>
  <c r="H389" i="51"/>
  <c r="F388" i="51"/>
  <c r="F387" i="51"/>
  <c r="J387" i="51"/>
  <c r="F386" i="51"/>
  <c r="F385" i="51"/>
  <c r="I385" i="51"/>
  <c r="I384" i="51"/>
  <c r="F384" i="51"/>
  <c r="F383" i="51"/>
  <c r="H382" i="51"/>
  <c r="G382" i="51"/>
  <c r="F382" i="51"/>
  <c r="J382" i="51"/>
  <c r="I381" i="51"/>
  <c r="H381" i="51"/>
  <c r="G381" i="51"/>
  <c r="F381" i="51"/>
  <c r="J381" i="51"/>
  <c r="F380" i="51"/>
  <c r="I380" i="51"/>
  <c r="F379" i="51"/>
  <c r="F378" i="51"/>
  <c r="H377" i="51"/>
  <c r="G377" i="51"/>
  <c r="F377" i="51"/>
  <c r="F376" i="51"/>
  <c r="J376" i="51"/>
  <c r="J375" i="51"/>
  <c r="G375" i="51"/>
  <c r="F375" i="51"/>
  <c r="F374" i="51"/>
  <c r="J374" i="51"/>
  <c r="F373" i="51"/>
  <c r="F372" i="51"/>
  <c r="F371" i="51"/>
  <c r="J371" i="51"/>
  <c r="F370" i="51"/>
  <c r="F369" i="51"/>
  <c r="F368" i="51"/>
  <c r="I368" i="51"/>
  <c r="F367" i="51"/>
  <c r="H366" i="51"/>
  <c r="F366" i="51"/>
  <c r="J366" i="51"/>
  <c r="F365" i="51"/>
  <c r="F364" i="51"/>
  <c r="F363" i="51"/>
  <c r="F362" i="51"/>
  <c r="J362" i="51"/>
  <c r="F361" i="51"/>
  <c r="F360" i="51"/>
  <c r="F359" i="51"/>
  <c r="F358" i="51"/>
  <c r="F357" i="51"/>
  <c r="H357" i="51"/>
  <c r="F356" i="51"/>
  <c r="F355" i="51"/>
  <c r="I354" i="51"/>
  <c r="H354" i="51"/>
  <c r="F354" i="51"/>
  <c r="J354" i="51"/>
  <c r="F353" i="51"/>
  <c r="F352" i="51"/>
  <c r="J352" i="51"/>
  <c r="F351" i="51"/>
  <c r="G351" i="51"/>
  <c r="I350" i="51"/>
  <c r="H350" i="51"/>
  <c r="F350" i="51"/>
  <c r="J350" i="51"/>
  <c r="I349" i="51"/>
  <c r="H349" i="51"/>
  <c r="F349" i="51"/>
  <c r="G349" i="51"/>
  <c r="F348" i="51"/>
  <c r="J348" i="51"/>
  <c r="J347" i="51"/>
  <c r="G347" i="51"/>
  <c r="F347" i="51"/>
  <c r="I346" i="51"/>
  <c r="H346" i="51"/>
  <c r="G346" i="51"/>
  <c r="F346" i="51"/>
  <c r="J346" i="51"/>
  <c r="F345" i="51"/>
  <c r="G345" i="51"/>
  <c r="F344" i="51"/>
  <c r="F343" i="51"/>
  <c r="J343" i="51"/>
  <c r="F342" i="51"/>
  <c r="I342" i="51"/>
  <c r="F341" i="51"/>
  <c r="F340" i="51"/>
  <c r="F339" i="51"/>
  <c r="F338" i="51"/>
  <c r="H338" i="51"/>
  <c r="F337" i="51"/>
  <c r="F336" i="51"/>
  <c r="J336" i="51"/>
  <c r="F335" i="51"/>
  <c r="F334" i="51"/>
  <c r="F333" i="51"/>
  <c r="J333" i="51"/>
  <c r="F332" i="51"/>
  <c r="F331" i="51"/>
  <c r="J331" i="51"/>
  <c r="F330" i="51"/>
  <c r="J330" i="51"/>
  <c r="F329" i="51"/>
  <c r="F328" i="51"/>
  <c r="J328" i="51"/>
  <c r="F327" i="51"/>
  <c r="I326" i="51"/>
  <c r="F326" i="51"/>
  <c r="J326" i="51"/>
  <c r="F325" i="51"/>
  <c r="J325" i="51"/>
  <c r="F324" i="51"/>
  <c r="F323" i="51"/>
  <c r="J323" i="51"/>
  <c r="F322" i="51"/>
  <c r="F321" i="51"/>
  <c r="F320" i="51"/>
  <c r="J320" i="51"/>
  <c r="F319" i="51"/>
  <c r="F318" i="51"/>
  <c r="F317" i="51"/>
  <c r="J317" i="51"/>
  <c r="F316" i="51"/>
  <c r="G316" i="51"/>
  <c r="I315" i="51"/>
  <c r="H315" i="51"/>
  <c r="F315" i="51"/>
  <c r="J315" i="51"/>
  <c r="F314" i="51"/>
  <c r="G314" i="51"/>
  <c r="F313" i="51"/>
  <c r="J313" i="51"/>
  <c r="F312" i="51"/>
  <c r="G312" i="51"/>
  <c r="I311" i="51"/>
  <c r="F311" i="51"/>
  <c r="J311" i="51"/>
  <c r="F310" i="51"/>
  <c r="F309" i="51"/>
  <c r="F308" i="51"/>
  <c r="J308" i="51"/>
  <c r="I307" i="51"/>
  <c r="G307" i="51"/>
  <c r="F307" i="51"/>
  <c r="F306" i="51"/>
  <c r="I306" i="51"/>
  <c r="F305" i="51"/>
  <c r="F304" i="51"/>
  <c r="F303" i="51"/>
  <c r="H303" i="51"/>
  <c r="F302" i="51"/>
  <c r="F301" i="51"/>
  <c r="I301" i="51"/>
  <c r="F300" i="51"/>
  <c r="G300" i="51"/>
  <c r="I299" i="51"/>
  <c r="F299" i="51"/>
  <c r="G299" i="51"/>
  <c r="F298" i="51"/>
  <c r="F297" i="51"/>
  <c r="J297" i="51"/>
  <c r="F296" i="51"/>
  <c r="F295" i="51"/>
  <c r="I295" i="51"/>
  <c r="F294" i="51"/>
  <c r="F293" i="51"/>
  <c r="F292" i="51"/>
  <c r="J292" i="51"/>
  <c r="F291" i="51"/>
  <c r="J291" i="51"/>
  <c r="F290" i="51"/>
  <c r="G290" i="51"/>
  <c r="F289" i="51"/>
  <c r="F288" i="51"/>
  <c r="F287" i="51"/>
  <c r="I286" i="51"/>
  <c r="H286" i="51"/>
  <c r="F286" i="51"/>
  <c r="G286" i="51"/>
  <c r="F285" i="51"/>
  <c r="I285" i="51"/>
  <c r="F284" i="51"/>
  <c r="F283" i="51"/>
  <c r="J283" i="51"/>
  <c r="I282" i="51"/>
  <c r="F282" i="51"/>
  <c r="G282" i="51"/>
  <c r="F281" i="51"/>
  <c r="J281" i="51"/>
  <c r="J280" i="51"/>
  <c r="F280" i="51"/>
  <c r="G280" i="51"/>
  <c r="I279" i="51"/>
  <c r="H279" i="51"/>
  <c r="F279" i="51"/>
  <c r="J279" i="51"/>
  <c r="F278" i="51"/>
  <c r="F277" i="51"/>
  <c r="F276" i="51"/>
  <c r="J276" i="51"/>
  <c r="F275" i="51"/>
  <c r="I275" i="51"/>
  <c r="F274" i="51"/>
  <c r="F273" i="51"/>
  <c r="F272" i="51"/>
  <c r="F271" i="51"/>
  <c r="F270" i="51"/>
  <c r="F269" i="51"/>
  <c r="I269" i="51"/>
  <c r="F268" i="51"/>
  <c r="F267" i="51"/>
  <c r="F266" i="51"/>
  <c r="F265" i="51"/>
  <c r="J265" i="51"/>
  <c r="F264" i="51"/>
  <c r="I263" i="51"/>
  <c r="F263" i="51"/>
  <c r="G263" i="51"/>
  <c r="F262" i="51"/>
  <c r="F261" i="51"/>
  <c r="F260" i="51"/>
  <c r="J260" i="51"/>
  <c r="I259" i="51"/>
  <c r="H259" i="51"/>
  <c r="F259" i="51"/>
  <c r="J259" i="51"/>
  <c r="I258" i="51"/>
  <c r="H258" i="51"/>
  <c r="F258" i="51"/>
  <c r="F257" i="51"/>
  <c r="I257" i="51"/>
  <c r="F256" i="51"/>
  <c r="F255" i="51"/>
  <c r="H255" i="51"/>
  <c r="I254" i="51"/>
  <c r="F254" i="51"/>
  <c r="H254" i="51"/>
  <c r="F253" i="51"/>
  <c r="G252" i="51"/>
  <c r="F252" i="51"/>
  <c r="F251" i="51"/>
  <c r="I250" i="51"/>
  <c r="H250" i="51"/>
  <c r="F250" i="51"/>
  <c r="F249" i="51"/>
  <c r="I249" i="51"/>
  <c r="F248" i="51"/>
  <c r="F247" i="51"/>
  <c r="H247" i="51"/>
  <c r="I246" i="51"/>
  <c r="F246" i="51"/>
  <c r="H246" i="51"/>
  <c r="F245" i="51"/>
  <c r="G244" i="51"/>
  <c r="F244" i="51"/>
  <c r="F243" i="51"/>
  <c r="I242" i="51"/>
  <c r="H242" i="51"/>
  <c r="F242" i="51"/>
  <c r="F241" i="51"/>
  <c r="I241" i="51"/>
  <c r="F240" i="51"/>
  <c r="F239" i="51"/>
  <c r="H239" i="51"/>
  <c r="I238" i="51"/>
  <c r="F238" i="51"/>
  <c r="H238" i="51"/>
  <c r="F237" i="51"/>
  <c r="G236" i="51"/>
  <c r="F236" i="51"/>
  <c r="F235" i="51"/>
  <c r="I234" i="51"/>
  <c r="H234" i="51"/>
  <c r="F234" i="51"/>
  <c r="F233" i="51"/>
  <c r="I233" i="51"/>
  <c r="F232" i="51"/>
  <c r="F231" i="51"/>
  <c r="H231" i="51"/>
  <c r="I230" i="51"/>
  <c r="F230" i="51"/>
  <c r="H230" i="51"/>
  <c r="F229" i="51"/>
  <c r="G228" i="51"/>
  <c r="F228" i="51"/>
  <c r="F227" i="51"/>
  <c r="F226" i="51"/>
  <c r="J225" i="51"/>
  <c r="F225" i="51"/>
  <c r="F224" i="51"/>
  <c r="J224" i="51"/>
  <c r="F223" i="51"/>
  <c r="F222" i="51"/>
  <c r="F221" i="51"/>
  <c r="J221" i="51"/>
  <c r="F220" i="51"/>
  <c r="G220" i="51"/>
  <c r="F219" i="51"/>
  <c r="F218" i="51"/>
  <c r="F217" i="51"/>
  <c r="J217" i="51"/>
  <c r="J216" i="51"/>
  <c r="F216" i="51"/>
  <c r="G216" i="51"/>
  <c r="F215" i="51"/>
  <c r="F214" i="51"/>
  <c r="F213" i="51"/>
  <c r="J213" i="51"/>
  <c r="J212" i="51"/>
  <c r="G212" i="51"/>
  <c r="F212" i="51"/>
  <c r="F211" i="51"/>
  <c r="F210" i="51"/>
  <c r="J209" i="51"/>
  <c r="F209" i="51"/>
  <c r="F208" i="51"/>
  <c r="J208" i="51"/>
  <c r="F207" i="51"/>
  <c r="F206" i="51"/>
  <c r="F205" i="51"/>
  <c r="J205" i="51"/>
  <c r="F204" i="51"/>
  <c r="G204" i="51"/>
  <c r="F203" i="51"/>
  <c r="F202" i="51"/>
  <c r="F201" i="51"/>
  <c r="J201" i="51"/>
  <c r="J200" i="51"/>
  <c r="F200" i="51"/>
  <c r="G200" i="51"/>
  <c r="F199" i="51"/>
  <c r="F198" i="51"/>
  <c r="F197" i="51"/>
  <c r="J197" i="51"/>
  <c r="J196" i="51"/>
  <c r="G196" i="51"/>
  <c r="F196" i="51"/>
  <c r="F195" i="51"/>
  <c r="F194" i="51"/>
  <c r="J193" i="51"/>
  <c r="F193" i="51"/>
  <c r="F192" i="51"/>
  <c r="J192" i="51"/>
  <c r="F191" i="51"/>
  <c r="F190" i="51"/>
  <c r="F189" i="51"/>
  <c r="J189" i="51"/>
  <c r="F188" i="51"/>
  <c r="G188" i="51"/>
  <c r="F187" i="51"/>
  <c r="F186" i="51"/>
  <c r="F185" i="51"/>
  <c r="J185" i="51"/>
  <c r="J184" i="51"/>
  <c r="F184" i="51"/>
  <c r="G184" i="51"/>
  <c r="F183" i="51"/>
  <c r="F182" i="51"/>
  <c r="F181" i="51"/>
  <c r="J181" i="51"/>
  <c r="F180" i="51"/>
  <c r="F179" i="51"/>
  <c r="J179" i="51"/>
  <c r="F178" i="51"/>
  <c r="J178" i="51"/>
  <c r="F177" i="51"/>
  <c r="F176" i="51"/>
  <c r="I176" i="51"/>
  <c r="F175" i="51"/>
  <c r="F174" i="51"/>
  <c r="J174" i="51"/>
  <c r="I173" i="51"/>
  <c r="F173" i="51"/>
  <c r="J173" i="51"/>
  <c r="F172" i="51"/>
  <c r="G172" i="51"/>
  <c r="F171" i="51"/>
  <c r="J171" i="51"/>
  <c r="F170" i="51"/>
  <c r="F169" i="51"/>
  <c r="I168" i="51"/>
  <c r="H168" i="51"/>
  <c r="F168" i="51"/>
  <c r="G168" i="51"/>
  <c r="F167" i="51"/>
  <c r="I167" i="51"/>
  <c r="F166" i="51"/>
  <c r="H165" i="51"/>
  <c r="G165" i="51"/>
  <c r="F165" i="51"/>
  <c r="J165" i="51"/>
  <c r="F164" i="51"/>
  <c r="G164" i="51"/>
  <c r="F163" i="51"/>
  <c r="J163" i="51"/>
  <c r="F162" i="51"/>
  <c r="G162" i="51"/>
  <c r="I161" i="51"/>
  <c r="F161" i="51"/>
  <c r="J161" i="51"/>
  <c r="I160" i="51"/>
  <c r="H160" i="51"/>
  <c r="F160" i="51"/>
  <c r="G160" i="51"/>
  <c r="F159" i="51"/>
  <c r="F158" i="51"/>
  <c r="J158" i="51"/>
  <c r="F157" i="51"/>
  <c r="F156" i="51"/>
  <c r="I156" i="51"/>
  <c r="F155" i="51"/>
  <c r="F154" i="51"/>
  <c r="F153" i="51"/>
  <c r="H153" i="51"/>
  <c r="F152" i="51"/>
  <c r="F151" i="51"/>
  <c r="I151" i="51"/>
  <c r="F150" i="51"/>
  <c r="F149" i="51"/>
  <c r="I149" i="51"/>
  <c r="F148" i="51"/>
  <c r="F147" i="51"/>
  <c r="J147" i="51"/>
  <c r="F146" i="51"/>
  <c r="J146" i="51"/>
  <c r="F145" i="51"/>
  <c r="F144" i="51"/>
  <c r="I144" i="51"/>
  <c r="F143" i="51"/>
  <c r="J142" i="51"/>
  <c r="F142" i="51"/>
  <c r="H141" i="51"/>
  <c r="G141" i="51"/>
  <c r="F141" i="51"/>
  <c r="J141" i="51"/>
  <c r="F140" i="51"/>
  <c r="G140" i="51"/>
  <c r="F139" i="51"/>
  <c r="F138" i="51"/>
  <c r="F137" i="51"/>
  <c r="F136" i="51"/>
  <c r="G136" i="51"/>
  <c r="F135" i="51"/>
  <c r="I135" i="51"/>
  <c r="F134" i="51"/>
  <c r="I133" i="51"/>
  <c r="F133" i="51"/>
  <c r="J133" i="51"/>
  <c r="I132" i="51"/>
  <c r="F132" i="51"/>
  <c r="G132" i="51"/>
  <c r="F131" i="51"/>
  <c r="J131" i="51"/>
  <c r="J130" i="51"/>
  <c r="G130" i="51"/>
  <c r="F130" i="51"/>
  <c r="H129" i="51"/>
  <c r="G129" i="51"/>
  <c r="F129" i="51"/>
  <c r="J129" i="51"/>
  <c r="F128" i="51"/>
  <c r="G128" i="51"/>
  <c r="F127" i="51"/>
  <c r="I127" i="51"/>
  <c r="F126" i="51"/>
  <c r="J126" i="51"/>
  <c r="F125" i="51"/>
  <c r="I124" i="51"/>
  <c r="F124" i="51"/>
  <c r="F123" i="51"/>
  <c r="F122" i="51"/>
  <c r="H121" i="51"/>
  <c r="F121" i="51"/>
  <c r="F120" i="51"/>
  <c r="F119" i="51"/>
  <c r="I119" i="51"/>
  <c r="F118" i="51"/>
  <c r="I117" i="51"/>
  <c r="F117" i="51"/>
  <c r="F116" i="51"/>
  <c r="F115" i="51"/>
  <c r="J115" i="51"/>
  <c r="F114" i="51"/>
  <c r="J114" i="51"/>
  <c r="F113" i="51"/>
  <c r="F112" i="51"/>
  <c r="I112" i="51"/>
  <c r="F111" i="51"/>
  <c r="F110" i="51"/>
  <c r="J110" i="51"/>
  <c r="I109" i="51"/>
  <c r="F109" i="51"/>
  <c r="J109" i="51"/>
  <c r="F108" i="51"/>
  <c r="G108" i="51"/>
  <c r="F107" i="51"/>
  <c r="F106" i="51"/>
  <c r="F105" i="51"/>
  <c r="F104" i="51"/>
  <c r="G104" i="51"/>
  <c r="F103" i="51"/>
  <c r="F102" i="51"/>
  <c r="I102" i="51"/>
  <c r="F101" i="51"/>
  <c r="F100" i="51"/>
  <c r="F99" i="51"/>
  <c r="H99" i="51"/>
  <c r="F98" i="51"/>
  <c r="F97" i="51"/>
  <c r="F96" i="51"/>
  <c r="G96" i="51"/>
  <c r="F95" i="51"/>
  <c r="F94" i="51"/>
  <c r="I94" i="51"/>
  <c r="F93" i="51"/>
  <c r="F92" i="51"/>
  <c r="F91" i="51"/>
  <c r="H91" i="51"/>
  <c r="F90" i="51"/>
  <c r="F89" i="51"/>
  <c r="I89" i="51"/>
  <c r="F88" i="51"/>
  <c r="G88" i="51"/>
  <c r="F87" i="51"/>
  <c r="F86" i="51"/>
  <c r="I86" i="51"/>
  <c r="F85" i="51"/>
  <c r="H85" i="51"/>
  <c r="F84" i="51"/>
  <c r="J83" i="51"/>
  <c r="F83" i="51"/>
  <c r="H83" i="51"/>
  <c r="F82" i="51"/>
  <c r="I81" i="51"/>
  <c r="H81" i="51"/>
  <c r="F81" i="51"/>
  <c r="F80" i="51"/>
  <c r="G80" i="51"/>
  <c r="F79" i="51"/>
  <c r="F78" i="51"/>
  <c r="I78" i="51"/>
  <c r="F77" i="51"/>
  <c r="H77" i="51"/>
  <c r="F76" i="51"/>
  <c r="F75" i="51"/>
  <c r="H75" i="51"/>
  <c r="F74" i="51"/>
  <c r="F73" i="51"/>
  <c r="F72" i="51"/>
  <c r="G72" i="51"/>
  <c r="F71" i="51"/>
  <c r="F70" i="51"/>
  <c r="I70" i="51"/>
  <c r="F69" i="51"/>
  <c r="F68" i="51"/>
  <c r="F67" i="51"/>
  <c r="H67" i="51"/>
  <c r="F66" i="51"/>
  <c r="F65" i="51"/>
  <c r="F64" i="51"/>
  <c r="G64" i="51"/>
  <c r="F63" i="51"/>
  <c r="F62" i="51"/>
  <c r="I62" i="51"/>
  <c r="F61" i="51"/>
  <c r="F60" i="51"/>
  <c r="F59" i="51"/>
  <c r="H59" i="51"/>
  <c r="F58" i="51"/>
  <c r="F57" i="51"/>
  <c r="I57" i="51"/>
  <c r="F56" i="51"/>
  <c r="G56" i="51"/>
  <c r="F55" i="51"/>
  <c r="F54" i="51"/>
  <c r="I54" i="51"/>
  <c r="F53" i="51"/>
  <c r="H53" i="51"/>
  <c r="F52" i="51"/>
  <c r="F51" i="51"/>
  <c r="H51" i="51"/>
  <c r="F50" i="51"/>
  <c r="F49" i="51"/>
  <c r="H49" i="51"/>
  <c r="F48" i="51"/>
  <c r="G48" i="51"/>
  <c r="F47" i="51"/>
  <c r="F46" i="51"/>
  <c r="I46" i="51"/>
  <c r="H45" i="51"/>
  <c r="G45" i="51"/>
  <c r="F45" i="51"/>
  <c r="F44" i="51"/>
  <c r="F43" i="51"/>
  <c r="H43" i="51"/>
  <c r="F42" i="51"/>
  <c r="F41" i="51"/>
  <c r="F40" i="51"/>
  <c r="G40" i="51"/>
  <c r="F39" i="51"/>
  <c r="J38" i="51"/>
  <c r="F38" i="51"/>
  <c r="I38" i="51"/>
  <c r="F37" i="51"/>
  <c r="F36" i="51"/>
  <c r="F35" i="51"/>
  <c r="H35" i="51"/>
  <c r="F34" i="51"/>
  <c r="I34" i="51"/>
  <c r="I33" i="51"/>
  <c r="H33" i="51"/>
  <c r="F33" i="51"/>
  <c r="J33" i="51"/>
  <c r="F32" i="51"/>
  <c r="G32" i="51"/>
  <c r="J31" i="51"/>
  <c r="F31" i="51"/>
  <c r="H31" i="51"/>
  <c r="F30" i="51"/>
  <c r="I30" i="51"/>
  <c r="J18" i="51"/>
  <c r="F27" i="51"/>
  <c r="F412" i="50"/>
  <c r="J412" i="50"/>
  <c r="F411" i="50"/>
  <c r="F410" i="50"/>
  <c r="F409" i="50"/>
  <c r="F408" i="50"/>
  <c r="J408" i="50"/>
  <c r="F407" i="50"/>
  <c r="J407" i="50"/>
  <c r="F406" i="50"/>
  <c r="F405" i="50"/>
  <c r="F404" i="50"/>
  <c r="F403" i="50"/>
  <c r="J403" i="50"/>
  <c r="F402" i="50"/>
  <c r="F401" i="50"/>
  <c r="J401" i="50"/>
  <c r="F400" i="50"/>
  <c r="F399" i="50"/>
  <c r="F398" i="50"/>
  <c r="F397" i="50"/>
  <c r="J397" i="50"/>
  <c r="F396" i="50"/>
  <c r="F395" i="50"/>
  <c r="F394" i="50"/>
  <c r="F393" i="50"/>
  <c r="F392" i="50"/>
  <c r="J392" i="50"/>
  <c r="J391" i="50"/>
  <c r="F391" i="50"/>
  <c r="H391" i="50"/>
  <c r="I390" i="50"/>
  <c r="H390" i="50"/>
  <c r="F390" i="50"/>
  <c r="J390" i="50"/>
  <c r="F389" i="50"/>
  <c r="F388" i="50"/>
  <c r="F387" i="50"/>
  <c r="J387" i="50"/>
  <c r="I386" i="50"/>
  <c r="H386" i="50"/>
  <c r="F386" i="50"/>
  <c r="J386" i="50"/>
  <c r="F385" i="50"/>
  <c r="F384" i="50"/>
  <c r="F383" i="50"/>
  <c r="F382" i="50"/>
  <c r="F381" i="50"/>
  <c r="J381" i="50"/>
  <c r="I380" i="50"/>
  <c r="F380" i="50"/>
  <c r="J380" i="50"/>
  <c r="F379" i="50"/>
  <c r="F378" i="50"/>
  <c r="F377" i="50"/>
  <c r="F376" i="50"/>
  <c r="J376" i="50"/>
  <c r="F375" i="50"/>
  <c r="H375" i="50"/>
  <c r="F374" i="50"/>
  <c r="F373" i="50"/>
  <c r="F372" i="50"/>
  <c r="F371" i="50"/>
  <c r="J371" i="50"/>
  <c r="I370" i="50"/>
  <c r="F370" i="50"/>
  <c r="F369" i="50"/>
  <c r="F368" i="50"/>
  <c r="F367" i="50"/>
  <c r="F366" i="50"/>
  <c r="I366" i="50"/>
  <c r="F365" i="50"/>
  <c r="J365" i="50"/>
  <c r="F364" i="50"/>
  <c r="F363" i="50"/>
  <c r="F362" i="50"/>
  <c r="F361" i="50"/>
  <c r="F360" i="50"/>
  <c r="J360" i="50"/>
  <c r="F359" i="50"/>
  <c r="F358" i="50"/>
  <c r="F357" i="50"/>
  <c r="F356" i="50"/>
  <c r="F355" i="50"/>
  <c r="F354" i="50"/>
  <c r="I354" i="50"/>
  <c r="J353" i="50"/>
  <c r="I353" i="50"/>
  <c r="F353" i="50"/>
  <c r="F352" i="50"/>
  <c r="F351" i="50"/>
  <c r="I350" i="50"/>
  <c r="F350" i="50"/>
  <c r="F349" i="50"/>
  <c r="F348" i="50"/>
  <c r="J348" i="50"/>
  <c r="F347" i="50"/>
  <c r="J347" i="50"/>
  <c r="I346" i="50"/>
  <c r="H346" i="50"/>
  <c r="F346" i="50"/>
  <c r="J346" i="50"/>
  <c r="F345" i="50"/>
  <c r="F344" i="50"/>
  <c r="F343" i="50"/>
  <c r="F342" i="50"/>
  <c r="I342" i="50"/>
  <c r="F341" i="50"/>
  <c r="F340" i="50"/>
  <c r="F339" i="50"/>
  <c r="I338" i="50"/>
  <c r="H338" i="50"/>
  <c r="F338" i="50"/>
  <c r="J338" i="50"/>
  <c r="F337" i="50"/>
  <c r="J337" i="50"/>
  <c r="F336" i="50"/>
  <c r="J336" i="50"/>
  <c r="F335" i="50"/>
  <c r="G334" i="50"/>
  <c r="F334" i="50"/>
  <c r="I334" i="50"/>
  <c r="F333" i="50"/>
  <c r="F332" i="50"/>
  <c r="J332" i="50"/>
  <c r="F331" i="50"/>
  <c r="F330" i="50"/>
  <c r="F329" i="50"/>
  <c r="F328" i="50"/>
  <c r="F327" i="50"/>
  <c r="J326" i="50"/>
  <c r="F326" i="50"/>
  <c r="I325" i="50"/>
  <c r="H325" i="50"/>
  <c r="G325" i="50"/>
  <c r="F325" i="50"/>
  <c r="J325" i="50"/>
  <c r="F324" i="50"/>
  <c r="F323" i="50"/>
  <c r="F322" i="50"/>
  <c r="H321" i="50"/>
  <c r="F321" i="50"/>
  <c r="I321" i="50"/>
  <c r="F320" i="50"/>
  <c r="J320" i="50"/>
  <c r="F319" i="50"/>
  <c r="F318" i="50"/>
  <c r="F317" i="50"/>
  <c r="F316" i="50"/>
  <c r="F315" i="50"/>
  <c r="J315" i="50"/>
  <c r="F314" i="50"/>
  <c r="H314" i="50"/>
  <c r="I313" i="50"/>
  <c r="H313" i="50"/>
  <c r="F313" i="50"/>
  <c r="F312" i="50"/>
  <c r="F311" i="50"/>
  <c r="F310" i="50"/>
  <c r="J310" i="50"/>
  <c r="F309" i="50"/>
  <c r="I308" i="50"/>
  <c r="F308" i="50"/>
  <c r="J308" i="50"/>
  <c r="F307" i="50"/>
  <c r="F306" i="50"/>
  <c r="F305" i="50"/>
  <c r="J304" i="50"/>
  <c r="F304" i="50"/>
  <c r="F303" i="50"/>
  <c r="J303" i="50"/>
  <c r="F302" i="50"/>
  <c r="F301" i="50"/>
  <c r="F300" i="50"/>
  <c r="F299" i="50"/>
  <c r="J299" i="50"/>
  <c r="F298" i="50"/>
  <c r="J298" i="50"/>
  <c r="I297" i="50"/>
  <c r="G297" i="50"/>
  <c r="F297" i="50"/>
  <c r="F296" i="50"/>
  <c r="F295" i="50"/>
  <c r="J294" i="50"/>
  <c r="F294" i="50"/>
  <c r="F293" i="50"/>
  <c r="F292" i="50"/>
  <c r="I292" i="50"/>
  <c r="F291" i="50"/>
  <c r="F290" i="50"/>
  <c r="F289" i="50"/>
  <c r="F288" i="50"/>
  <c r="J288" i="50"/>
  <c r="J287" i="50"/>
  <c r="F287" i="50"/>
  <c r="I287" i="50"/>
  <c r="F286" i="50"/>
  <c r="F285" i="50"/>
  <c r="F284" i="50"/>
  <c r="F283" i="50"/>
  <c r="J283" i="50"/>
  <c r="J282" i="50"/>
  <c r="F282" i="50"/>
  <c r="H282" i="50"/>
  <c r="F281" i="50"/>
  <c r="F280" i="50"/>
  <c r="F279" i="50"/>
  <c r="F278" i="50"/>
  <c r="J278" i="50"/>
  <c r="F277" i="50"/>
  <c r="I276" i="50"/>
  <c r="F276" i="50"/>
  <c r="J276" i="50"/>
  <c r="F275" i="50"/>
  <c r="F274" i="50"/>
  <c r="I273" i="50"/>
  <c r="F273" i="50"/>
  <c r="J272" i="50"/>
  <c r="F272" i="50"/>
  <c r="F271" i="50"/>
  <c r="F270" i="50"/>
  <c r="G269" i="50"/>
  <c r="F269" i="50"/>
  <c r="F268" i="50"/>
  <c r="F267" i="50"/>
  <c r="J267" i="50"/>
  <c r="J266" i="50"/>
  <c r="F266" i="50"/>
  <c r="H266" i="50"/>
  <c r="I265" i="50"/>
  <c r="H265" i="50"/>
  <c r="F265" i="50"/>
  <c r="J265" i="50"/>
  <c r="F264" i="50"/>
  <c r="F263" i="50"/>
  <c r="F262" i="50"/>
  <c r="J262" i="50"/>
  <c r="I261" i="50"/>
  <c r="H261" i="50"/>
  <c r="F261" i="50"/>
  <c r="J261" i="50"/>
  <c r="F260" i="50"/>
  <c r="J260" i="50"/>
  <c r="F259" i="50"/>
  <c r="F258" i="50"/>
  <c r="H257" i="50"/>
  <c r="F257" i="50"/>
  <c r="I257" i="50"/>
  <c r="F256" i="50"/>
  <c r="J256" i="50"/>
  <c r="F255" i="50"/>
  <c r="J255" i="50"/>
  <c r="F254" i="50"/>
  <c r="F253" i="50"/>
  <c r="F252" i="50"/>
  <c r="F251" i="50"/>
  <c r="J251" i="50"/>
  <c r="J250" i="50"/>
  <c r="F250" i="50"/>
  <c r="H250" i="50"/>
  <c r="F249" i="50"/>
  <c r="F248" i="50"/>
  <c r="F247" i="50"/>
  <c r="F246" i="50"/>
  <c r="J246" i="50"/>
  <c r="F245" i="50"/>
  <c r="I245" i="50"/>
  <c r="J244" i="50"/>
  <c r="I244" i="50"/>
  <c r="F244" i="50"/>
  <c r="F243" i="50"/>
  <c r="F242" i="50"/>
  <c r="F241" i="50"/>
  <c r="F240" i="50"/>
  <c r="J240" i="50"/>
  <c r="F239" i="50"/>
  <c r="J239" i="50"/>
  <c r="F238" i="50"/>
  <c r="G237" i="50"/>
  <c r="F237" i="50"/>
  <c r="F236" i="50"/>
  <c r="F235" i="50"/>
  <c r="J235" i="50"/>
  <c r="H234" i="50"/>
  <c r="F234" i="50"/>
  <c r="J234" i="50"/>
  <c r="F233" i="50"/>
  <c r="F232" i="50"/>
  <c r="F231" i="50"/>
  <c r="F230" i="50"/>
  <c r="J230" i="50"/>
  <c r="F229" i="50"/>
  <c r="F228" i="50"/>
  <c r="I228" i="50"/>
  <c r="F227" i="50"/>
  <c r="F226" i="50"/>
  <c r="F225" i="50"/>
  <c r="H225" i="50"/>
  <c r="F224" i="50"/>
  <c r="J224" i="50"/>
  <c r="J223" i="50"/>
  <c r="F223" i="50"/>
  <c r="I223" i="50"/>
  <c r="F222" i="50"/>
  <c r="F221" i="50"/>
  <c r="H221" i="50"/>
  <c r="F220" i="50"/>
  <c r="I220" i="50"/>
  <c r="F219" i="50"/>
  <c r="F218" i="50"/>
  <c r="G218" i="50"/>
  <c r="F217" i="50"/>
  <c r="H217" i="50"/>
  <c r="F216" i="50"/>
  <c r="I216" i="50"/>
  <c r="F215" i="50"/>
  <c r="F214" i="50"/>
  <c r="G214" i="50"/>
  <c r="F213" i="50"/>
  <c r="H213" i="50"/>
  <c r="F212" i="50"/>
  <c r="I212" i="50"/>
  <c r="F211" i="50"/>
  <c r="I211" i="50"/>
  <c r="F210" i="50"/>
  <c r="G210" i="50"/>
  <c r="F209" i="50"/>
  <c r="H209" i="50"/>
  <c r="F208" i="50"/>
  <c r="I208" i="50"/>
  <c r="I207" i="50"/>
  <c r="H207" i="50"/>
  <c r="F207" i="50"/>
  <c r="J207" i="50"/>
  <c r="F206" i="50"/>
  <c r="G206" i="50"/>
  <c r="F205" i="50"/>
  <c r="H205" i="50"/>
  <c r="F204" i="50"/>
  <c r="I204" i="50"/>
  <c r="F203" i="50"/>
  <c r="H203" i="50"/>
  <c r="F202" i="50"/>
  <c r="G202" i="50"/>
  <c r="F201" i="50"/>
  <c r="H201" i="50"/>
  <c r="F200" i="50"/>
  <c r="I200" i="50"/>
  <c r="F199" i="50"/>
  <c r="F198" i="50"/>
  <c r="G198" i="50"/>
  <c r="F197" i="50"/>
  <c r="H197" i="50"/>
  <c r="F196" i="50"/>
  <c r="I196" i="50"/>
  <c r="I195" i="50"/>
  <c r="F195" i="50"/>
  <c r="H195" i="50"/>
  <c r="F194" i="50"/>
  <c r="G194" i="50"/>
  <c r="F193" i="50"/>
  <c r="H193" i="50"/>
  <c r="F192" i="50"/>
  <c r="I192" i="50"/>
  <c r="I191" i="50"/>
  <c r="H191" i="50"/>
  <c r="G191" i="50"/>
  <c r="F191" i="50"/>
  <c r="J191" i="50"/>
  <c r="F190" i="50"/>
  <c r="G190" i="50"/>
  <c r="F189" i="50"/>
  <c r="H189" i="50"/>
  <c r="F188" i="50"/>
  <c r="I188" i="50"/>
  <c r="F187" i="50"/>
  <c r="F186" i="50"/>
  <c r="G186" i="50"/>
  <c r="F185" i="50"/>
  <c r="H185" i="50"/>
  <c r="F184" i="50"/>
  <c r="I184" i="50"/>
  <c r="F183" i="50"/>
  <c r="F182" i="50"/>
  <c r="G182" i="50"/>
  <c r="F181" i="50"/>
  <c r="H181" i="50"/>
  <c r="F180" i="50"/>
  <c r="I180" i="50"/>
  <c r="F179" i="50"/>
  <c r="I179" i="50"/>
  <c r="F178" i="50"/>
  <c r="G178" i="50"/>
  <c r="F177" i="50"/>
  <c r="H177" i="50"/>
  <c r="F176" i="50"/>
  <c r="I176" i="50"/>
  <c r="I175" i="50"/>
  <c r="H175" i="50"/>
  <c r="G175" i="50"/>
  <c r="F175" i="50"/>
  <c r="J175" i="50"/>
  <c r="F174" i="50"/>
  <c r="G174" i="50"/>
  <c r="F173" i="50"/>
  <c r="H173" i="50"/>
  <c r="F172" i="50"/>
  <c r="I172" i="50"/>
  <c r="F171" i="50"/>
  <c r="G171" i="50"/>
  <c r="F170" i="50"/>
  <c r="G170" i="50"/>
  <c r="F169" i="50"/>
  <c r="H169" i="50"/>
  <c r="F168" i="50"/>
  <c r="I168" i="50"/>
  <c r="F167" i="50"/>
  <c r="I167" i="50"/>
  <c r="F166" i="50"/>
  <c r="G166" i="50"/>
  <c r="F165" i="50"/>
  <c r="H165" i="50"/>
  <c r="F164" i="50"/>
  <c r="I164" i="50"/>
  <c r="F163" i="50"/>
  <c r="F162" i="50"/>
  <c r="G162" i="50"/>
  <c r="F161" i="50"/>
  <c r="H161" i="50"/>
  <c r="F160" i="50"/>
  <c r="I160" i="50"/>
  <c r="I159" i="50"/>
  <c r="F159" i="50"/>
  <c r="F158" i="50"/>
  <c r="G158" i="50"/>
  <c r="F157" i="50"/>
  <c r="H157" i="50"/>
  <c r="F156" i="50"/>
  <c r="I156" i="50"/>
  <c r="H155" i="50"/>
  <c r="G155" i="50"/>
  <c r="F155" i="50"/>
  <c r="F154" i="50"/>
  <c r="G154" i="50"/>
  <c r="F153" i="50"/>
  <c r="H153" i="50"/>
  <c r="F152" i="50"/>
  <c r="I152" i="50"/>
  <c r="F151" i="50"/>
  <c r="F150" i="50"/>
  <c r="G150" i="50"/>
  <c r="F149" i="50"/>
  <c r="H149" i="50"/>
  <c r="F148" i="50"/>
  <c r="I148" i="50"/>
  <c r="F147" i="50"/>
  <c r="F146" i="50"/>
  <c r="G146" i="50"/>
  <c r="F145" i="50"/>
  <c r="H145" i="50"/>
  <c r="F144" i="50"/>
  <c r="I144" i="50"/>
  <c r="F143" i="50"/>
  <c r="F142" i="50"/>
  <c r="G142" i="50"/>
  <c r="F141" i="50"/>
  <c r="H141" i="50"/>
  <c r="F140" i="50"/>
  <c r="I140" i="50"/>
  <c r="H139" i="50"/>
  <c r="F139" i="50"/>
  <c r="G139" i="50"/>
  <c r="F138" i="50"/>
  <c r="G138" i="50"/>
  <c r="F137" i="50"/>
  <c r="H137" i="50"/>
  <c r="F136" i="50"/>
  <c r="I136" i="50"/>
  <c r="F135" i="50"/>
  <c r="F134" i="50"/>
  <c r="G134" i="50"/>
  <c r="F133" i="50"/>
  <c r="H133" i="50"/>
  <c r="F132" i="50"/>
  <c r="I132" i="50"/>
  <c r="F131" i="50"/>
  <c r="I131" i="50"/>
  <c r="F130" i="50"/>
  <c r="G130" i="50"/>
  <c r="F129" i="50"/>
  <c r="H129" i="50"/>
  <c r="F128" i="50"/>
  <c r="I128" i="50"/>
  <c r="I127" i="50"/>
  <c r="F127" i="50"/>
  <c r="F126" i="50"/>
  <c r="G126" i="50"/>
  <c r="F125" i="50"/>
  <c r="H125" i="50"/>
  <c r="F124" i="50"/>
  <c r="I124" i="50"/>
  <c r="F123" i="50"/>
  <c r="F122" i="50"/>
  <c r="G122" i="50"/>
  <c r="F121" i="50"/>
  <c r="H121" i="50"/>
  <c r="F120" i="50"/>
  <c r="I120" i="50"/>
  <c r="F119" i="50"/>
  <c r="I119" i="50"/>
  <c r="F118" i="50"/>
  <c r="G118" i="50"/>
  <c r="F117" i="50"/>
  <c r="H117" i="50"/>
  <c r="F116" i="50"/>
  <c r="I116" i="50"/>
  <c r="F115" i="50"/>
  <c r="F114" i="50"/>
  <c r="G114" i="50"/>
  <c r="F113" i="50"/>
  <c r="H113" i="50"/>
  <c r="F112" i="50"/>
  <c r="I112" i="50"/>
  <c r="I111" i="50"/>
  <c r="F111" i="50"/>
  <c r="F110" i="50"/>
  <c r="G110" i="50"/>
  <c r="F109" i="50"/>
  <c r="H109" i="50"/>
  <c r="F108" i="50"/>
  <c r="I108" i="50"/>
  <c r="F107" i="50"/>
  <c r="F106" i="50"/>
  <c r="G106" i="50"/>
  <c r="F105" i="50"/>
  <c r="H105" i="50"/>
  <c r="F104" i="50"/>
  <c r="I104" i="50"/>
  <c r="I103" i="50"/>
  <c r="G103" i="50"/>
  <c r="F103" i="50"/>
  <c r="F102" i="50"/>
  <c r="G102" i="50"/>
  <c r="F101" i="50"/>
  <c r="H101" i="50"/>
  <c r="F100" i="50"/>
  <c r="I100" i="50"/>
  <c r="F99" i="50"/>
  <c r="F98" i="50"/>
  <c r="G98" i="50"/>
  <c r="F97" i="50"/>
  <c r="H97" i="50"/>
  <c r="F96" i="50"/>
  <c r="I96" i="50"/>
  <c r="F95" i="50"/>
  <c r="F94" i="50"/>
  <c r="G94" i="50"/>
  <c r="F93" i="50"/>
  <c r="H93" i="50"/>
  <c r="F92" i="50"/>
  <c r="I92" i="50"/>
  <c r="F91" i="50"/>
  <c r="F90" i="50"/>
  <c r="G90" i="50"/>
  <c r="F89" i="50"/>
  <c r="H89" i="50"/>
  <c r="F88" i="50"/>
  <c r="I88" i="50"/>
  <c r="H87" i="50"/>
  <c r="F87" i="50"/>
  <c r="G87" i="50"/>
  <c r="F86" i="50"/>
  <c r="G86" i="50"/>
  <c r="F85" i="50"/>
  <c r="H85" i="50"/>
  <c r="F84" i="50"/>
  <c r="I84" i="50"/>
  <c r="F83" i="50"/>
  <c r="F82" i="50"/>
  <c r="G82" i="50"/>
  <c r="F81" i="50"/>
  <c r="H81" i="50"/>
  <c r="F80" i="50"/>
  <c r="I80" i="50"/>
  <c r="F79" i="50"/>
  <c r="I79" i="50"/>
  <c r="F78" i="50"/>
  <c r="G78" i="50"/>
  <c r="F77" i="50"/>
  <c r="H77" i="50"/>
  <c r="F76" i="50"/>
  <c r="I76" i="50"/>
  <c r="I75" i="50"/>
  <c r="F75" i="50"/>
  <c r="F74" i="50"/>
  <c r="G74" i="50"/>
  <c r="F73" i="50"/>
  <c r="H73" i="50"/>
  <c r="F72" i="50"/>
  <c r="I72" i="50"/>
  <c r="F71" i="50"/>
  <c r="H71" i="50"/>
  <c r="F70" i="50"/>
  <c r="G70" i="50"/>
  <c r="F69" i="50"/>
  <c r="H69" i="50"/>
  <c r="F68" i="50"/>
  <c r="I68" i="50"/>
  <c r="F67" i="50"/>
  <c r="F66" i="50"/>
  <c r="G66" i="50"/>
  <c r="F65" i="50"/>
  <c r="H65" i="50"/>
  <c r="F64" i="50"/>
  <c r="I64" i="50"/>
  <c r="I63" i="50"/>
  <c r="F63" i="50"/>
  <c r="F62" i="50"/>
  <c r="G62" i="50"/>
  <c r="F61" i="50"/>
  <c r="H61" i="50"/>
  <c r="F60" i="50"/>
  <c r="I60" i="50"/>
  <c r="F59" i="50"/>
  <c r="F58" i="50"/>
  <c r="G58" i="50"/>
  <c r="F57" i="50"/>
  <c r="H57" i="50"/>
  <c r="F56" i="50"/>
  <c r="I56" i="50"/>
  <c r="F55" i="50"/>
  <c r="F54" i="50"/>
  <c r="G54" i="50"/>
  <c r="F53" i="50"/>
  <c r="H53" i="50"/>
  <c r="F52" i="50"/>
  <c r="I52" i="50"/>
  <c r="I51" i="50"/>
  <c r="F51" i="50"/>
  <c r="G51" i="50"/>
  <c r="F50" i="50"/>
  <c r="G50" i="50"/>
  <c r="F49" i="50"/>
  <c r="H49" i="50"/>
  <c r="F48" i="50"/>
  <c r="I48" i="50"/>
  <c r="F47" i="50"/>
  <c r="F46" i="50"/>
  <c r="G46" i="50"/>
  <c r="F45" i="50"/>
  <c r="H45" i="50"/>
  <c r="F44" i="50"/>
  <c r="I44" i="50"/>
  <c r="I43" i="50"/>
  <c r="H43" i="50"/>
  <c r="G43" i="50"/>
  <c r="F43" i="50"/>
  <c r="J43" i="50"/>
  <c r="F42" i="50"/>
  <c r="G42" i="50"/>
  <c r="F41" i="50"/>
  <c r="H41" i="50"/>
  <c r="F40" i="50"/>
  <c r="I40" i="50"/>
  <c r="F39" i="50"/>
  <c r="F38" i="50"/>
  <c r="G38" i="50"/>
  <c r="F37" i="50"/>
  <c r="H37" i="50"/>
  <c r="F36" i="50"/>
  <c r="I36" i="50"/>
  <c r="F35" i="50"/>
  <c r="I35" i="50"/>
  <c r="F34" i="50"/>
  <c r="G34" i="50"/>
  <c r="F33" i="50"/>
  <c r="H33" i="50"/>
  <c r="F32" i="50"/>
  <c r="I32" i="50"/>
  <c r="F31" i="50"/>
  <c r="F29" i="50"/>
  <c r="F26" i="50"/>
  <c r="J18" i="50"/>
  <c r="F25" i="50"/>
  <c r="F412" i="49"/>
  <c r="J412" i="49"/>
  <c r="F411" i="49"/>
  <c r="F410" i="49"/>
  <c r="F409" i="49"/>
  <c r="F408" i="49"/>
  <c r="J408" i="49"/>
  <c r="J407" i="49"/>
  <c r="H407" i="49"/>
  <c r="F407" i="49"/>
  <c r="I406" i="49"/>
  <c r="H406" i="49"/>
  <c r="G406" i="49"/>
  <c r="F406" i="49"/>
  <c r="J406" i="49"/>
  <c r="F405" i="49"/>
  <c r="F404" i="49"/>
  <c r="F403" i="49"/>
  <c r="J403" i="49"/>
  <c r="H402" i="49"/>
  <c r="F402" i="49"/>
  <c r="J402" i="49"/>
  <c r="I401" i="49"/>
  <c r="F401" i="49"/>
  <c r="J401" i="49"/>
  <c r="F400" i="49"/>
  <c r="F399" i="49"/>
  <c r="I398" i="49"/>
  <c r="G398" i="49"/>
  <c r="F398" i="49"/>
  <c r="J398" i="49"/>
  <c r="J397" i="49"/>
  <c r="F397" i="49"/>
  <c r="F396" i="49"/>
  <c r="F395" i="49"/>
  <c r="I394" i="49"/>
  <c r="H394" i="49"/>
  <c r="G394" i="49"/>
  <c r="F394" i="49"/>
  <c r="J394" i="49"/>
  <c r="F393" i="49"/>
  <c r="F392" i="49"/>
  <c r="J392" i="49"/>
  <c r="H391" i="49"/>
  <c r="F391" i="49"/>
  <c r="J391" i="49"/>
  <c r="I390" i="49"/>
  <c r="G390" i="49"/>
  <c r="F390" i="49"/>
  <c r="J390" i="49"/>
  <c r="F389" i="49"/>
  <c r="F388" i="49"/>
  <c r="J387" i="49"/>
  <c r="F387" i="49"/>
  <c r="I386" i="49"/>
  <c r="G386" i="49"/>
  <c r="F386" i="49"/>
  <c r="J386" i="49"/>
  <c r="J385" i="49"/>
  <c r="F385" i="49"/>
  <c r="I385" i="49"/>
  <c r="F384" i="49"/>
  <c r="F383" i="49"/>
  <c r="F382" i="49"/>
  <c r="F381" i="49"/>
  <c r="J381" i="49"/>
  <c r="J380" i="49"/>
  <c r="I380" i="49"/>
  <c r="F380" i="49"/>
  <c r="F379" i="49"/>
  <c r="H378" i="49"/>
  <c r="F378" i="49"/>
  <c r="J378" i="49"/>
  <c r="F377" i="49"/>
  <c r="J376" i="49"/>
  <c r="F376" i="49"/>
  <c r="F375" i="49"/>
  <c r="F374" i="49"/>
  <c r="F373" i="49"/>
  <c r="F372" i="49"/>
  <c r="F371" i="49"/>
  <c r="J371" i="49"/>
  <c r="F370" i="49"/>
  <c r="I369" i="49"/>
  <c r="F369" i="49"/>
  <c r="J369" i="49"/>
  <c r="F368" i="49"/>
  <c r="F367" i="49"/>
  <c r="I366" i="49"/>
  <c r="H366" i="49"/>
  <c r="G366" i="49"/>
  <c r="F366" i="49"/>
  <c r="J366" i="49"/>
  <c r="J365" i="49"/>
  <c r="F365" i="49"/>
  <c r="J364" i="49"/>
  <c r="F364" i="49"/>
  <c r="I364" i="49"/>
  <c r="F363" i="49"/>
  <c r="I362" i="49"/>
  <c r="G362" i="49"/>
  <c r="F362" i="49"/>
  <c r="J362" i="49"/>
  <c r="F361" i="49"/>
  <c r="F360" i="49"/>
  <c r="J360" i="49"/>
  <c r="J359" i="49"/>
  <c r="H359" i="49"/>
  <c r="F359" i="49"/>
  <c r="I358" i="49"/>
  <c r="H358" i="49"/>
  <c r="G358" i="49"/>
  <c r="F358" i="49"/>
  <c r="J358" i="49"/>
  <c r="F357" i="49"/>
  <c r="F356" i="49"/>
  <c r="J355" i="49"/>
  <c r="F355" i="49"/>
  <c r="I354" i="49"/>
  <c r="H354" i="49"/>
  <c r="G354" i="49"/>
  <c r="F354" i="49"/>
  <c r="J354" i="49"/>
  <c r="F353" i="49"/>
  <c r="F352" i="49"/>
  <c r="H351" i="49"/>
  <c r="F351" i="49"/>
  <c r="I350" i="49"/>
  <c r="G350" i="49"/>
  <c r="F350" i="49"/>
  <c r="J350" i="49"/>
  <c r="F349" i="49"/>
  <c r="I348" i="49"/>
  <c r="F348" i="49"/>
  <c r="J348" i="49"/>
  <c r="J347" i="49"/>
  <c r="F347" i="49"/>
  <c r="H347" i="49"/>
  <c r="H346" i="49"/>
  <c r="F346" i="49"/>
  <c r="J346" i="49"/>
  <c r="F345" i="49"/>
  <c r="J344" i="49"/>
  <c r="F344" i="49"/>
  <c r="F343" i="49"/>
  <c r="F342" i="49"/>
  <c r="F341" i="49"/>
  <c r="I340" i="49"/>
  <c r="F340" i="49"/>
  <c r="F339" i="49"/>
  <c r="F338" i="49"/>
  <c r="I337" i="49"/>
  <c r="F337" i="49"/>
  <c r="J337" i="49"/>
  <c r="J336" i="49"/>
  <c r="F336" i="49"/>
  <c r="I336" i="49"/>
  <c r="F335" i="49"/>
  <c r="I334" i="49"/>
  <c r="G334" i="49"/>
  <c r="F334" i="49"/>
  <c r="J334" i="49"/>
  <c r="J333" i="49"/>
  <c r="F333" i="49"/>
  <c r="F332" i="49"/>
  <c r="F331" i="49"/>
  <c r="I330" i="49"/>
  <c r="H330" i="49"/>
  <c r="G330" i="49"/>
  <c r="F330" i="49"/>
  <c r="J330" i="49"/>
  <c r="I329" i="49"/>
  <c r="F329" i="49"/>
  <c r="F328" i="49"/>
  <c r="F327" i="49"/>
  <c r="J327" i="49"/>
  <c r="J326" i="49"/>
  <c r="H326" i="49"/>
  <c r="F326" i="49"/>
  <c r="I325" i="49"/>
  <c r="H325" i="49"/>
  <c r="G325" i="49"/>
  <c r="F325" i="49"/>
  <c r="J325" i="49"/>
  <c r="F324" i="49"/>
  <c r="F323" i="49"/>
  <c r="J322" i="49"/>
  <c r="F322" i="49"/>
  <c r="I321" i="49"/>
  <c r="G321" i="49"/>
  <c r="F321" i="49"/>
  <c r="J321" i="49"/>
  <c r="F320" i="49"/>
  <c r="F319" i="49"/>
  <c r="F318" i="49"/>
  <c r="H317" i="49"/>
  <c r="F317" i="49"/>
  <c r="J317" i="49"/>
  <c r="F316" i="49"/>
  <c r="J316" i="49"/>
  <c r="I315" i="49"/>
  <c r="F315" i="49"/>
  <c r="J315" i="49"/>
  <c r="F314" i="49"/>
  <c r="F313" i="49"/>
  <c r="F312" i="49"/>
  <c r="J311" i="49"/>
  <c r="F311" i="49"/>
  <c r="J310" i="49"/>
  <c r="F310" i="49"/>
  <c r="H310" i="49"/>
  <c r="H309" i="49"/>
  <c r="F309" i="49"/>
  <c r="J309" i="49"/>
  <c r="F308" i="49"/>
  <c r="F307" i="49"/>
  <c r="F306" i="49"/>
  <c r="J306" i="49"/>
  <c r="H305" i="49"/>
  <c r="F305" i="49"/>
  <c r="J305" i="49"/>
  <c r="I304" i="49"/>
  <c r="F304" i="49"/>
  <c r="J304" i="49"/>
  <c r="F303" i="49"/>
  <c r="F302" i="49"/>
  <c r="I301" i="49"/>
  <c r="G301" i="49"/>
  <c r="F301" i="49"/>
  <c r="J301" i="49"/>
  <c r="J300" i="49"/>
  <c r="F300" i="49"/>
  <c r="F299" i="49"/>
  <c r="F298" i="49"/>
  <c r="I297" i="49"/>
  <c r="G297" i="49"/>
  <c r="F297" i="49"/>
  <c r="J297" i="49"/>
  <c r="F296" i="49"/>
  <c r="F295" i="49"/>
  <c r="J295" i="49"/>
  <c r="J294" i="49"/>
  <c r="H294" i="49"/>
  <c r="F294" i="49"/>
  <c r="I293" i="49"/>
  <c r="H293" i="49"/>
  <c r="G293" i="49"/>
  <c r="F293" i="49"/>
  <c r="J293" i="49"/>
  <c r="F292" i="49"/>
  <c r="F291" i="49"/>
  <c r="J290" i="49"/>
  <c r="F290" i="49"/>
  <c r="I289" i="49"/>
  <c r="G289" i="49"/>
  <c r="F289" i="49"/>
  <c r="J289" i="49"/>
  <c r="J288" i="49"/>
  <c r="F288" i="49"/>
  <c r="I288" i="49"/>
  <c r="F287" i="49"/>
  <c r="F286" i="49"/>
  <c r="F285" i="49"/>
  <c r="F284" i="49"/>
  <c r="J284" i="49"/>
  <c r="J283" i="49"/>
  <c r="I283" i="49"/>
  <c r="F283" i="49"/>
  <c r="F282" i="49"/>
  <c r="H281" i="49"/>
  <c r="F281" i="49"/>
  <c r="J281" i="49"/>
  <c r="F280" i="49"/>
  <c r="J279" i="49"/>
  <c r="F279" i="49"/>
  <c r="F278" i="49"/>
  <c r="F277" i="49"/>
  <c r="F276" i="49"/>
  <c r="F275" i="49"/>
  <c r="F274" i="49"/>
  <c r="J274" i="49"/>
  <c r="F273" i="49"/>
  <c r="J272" i="49"/>
  <c r="I272" i="49"/>
  <c r="F272" i="49"/>
  <c r="F271" i="49"/>
  <c r="F270" i="49"/>
  <c r="I269" i="49"/>
  <c r="G269" i="49"/>
  <c r="F269" i="49"/>
  <c r="J269" i="49"/>
  <c r="J268" i="49"/>
  <c r="F268" i="49"/>
  <c r="J267" i="49"/>
  <c r="F267" i="49"/>
  <c r="I267" i="49"/>
  <c r="F266" i="49"/>
  <c r="I265" i="49"/>
  <c r="H265" i="49"/>
  <c r="G265" i="49"/>
  <c r="F265" i="49"/>
  <c r="J265" i="49"/>
  <c r="F264" i="49"/>
  <c r="F263" i="49"/>
  <c r="J263" i="49"/>
  <c r="H262" i="49"/>
  <c r="F262" i="49"/>
  <c r="J262" i="49"/>
  <c r="I261" i="49"/>
  <c r="G261" i="49"/>
  <c r="F261" i="49"/>
  <c r="J261" i="49"/>
  <c r="F260" i="49"/>
  <c r="F259" i="49"/>
  <c r="J258" i="49"/>
  <c r="F258" i="49"/>
  <c r="I257" i="49"/>
  <c r="G257" i="49"/>
  <c r="F257" i="49"/>
  <c r="J257" i="49"/>
  <c r="F256" i="49"/>
  <c r="F255" i="49"/>
  <c r="F254" i="49"/>
  <c r="H253" i="49"/>
  <c r="F253" i="49"/>
  <c r="J253" i="49"/>
  <c r="F252" i="49"/>
  <c r="J252" i="49"/>
  <c r="J251" i="49"/>
  <c r="I251" i="49"/>
  <c r="F251" i="49"/>
  <c r="F250" i="49"/>
  <c r="F249" i="49"/>
  <c r="F248" i="49"/>
  <c r="J247" i="49"/>
  <c r="F247" i="49"/>
  <c r="J246" i="49"/>
  <c r="F246" i="49"/>
  <c r="H246" i="49"/>
  <c r="H245" i="49"/>
  <c r="F245" i="49"/>
  <c r="J245" i="49"/>
  <c r="F244" i="49"/>
  <c r="F243" i="49"/>
  <c r="F242" i="49"/>
  <c r="J242" i="49"/>
  <c r="H241" i="49"/>
  <c r="F241" i="49"/>
  <c r="I240" i="49"/>
  <c r="F240" i="49"/>
  <c r="J240" i="49"/>
  <c r="F239" i="49"/>
  <c r="F238" i="49"/>
  <c r="I237" i="49"/>
  <c r="H237" i="49"/>
  <c r="G237" i="49"/>
  <c r="F237" i="49"/>
  <c r="J237" i="49"/>
  <c r="J236" i="49"/>
  <c r="F236" i="49"/>
  <c r="J235" i="49"/>
  <c r="F235" i="49"/>
  <c r="I235" i="49"/>
  <c r="F234" i="49"/>
  <c r="I233" i="49"/>
  <c r="G233" i="49"/>
  <c r="F233" i="49"/>
  <c r="J233" i="49"/>
  <c r="F232" i="49"/>
  <c r="F231" i="49"/>
  <c r="J231" i="49"/>
  <c r="J230" i="49"/>
  <c r="H230" i="49"/>
  <c r="F230" i="49"/>
  <c r="I229" i="49"/>
  <c r="H229" i="49"/>
  <c r="G229" i="49"/>
  <c r="F229" i="49"/>
  <c r="J229" i="49"/>
  <c r="F228" i="49"/>
  <c r="F227" i="49"/>
  <c r="J226" i="49"/>
  <c r="F226" i="49"/>
  <c r="I225" i="49"/>
  <c r="H225" i="49"/>
  <c r="G225" i="49"/>
  <c r="F225" i="49"/>
  <c r="J225" i="49"/>
  <c r="F224" i="49"/>
  <c r="I224" i="49"/>
  <c r="F223" i="49"/>
  <c r="F222" i="49"/>
  <c r="F221" i="49"/>
  <c r="F220" i="49"/>
  <c r="F219" i="49"/>
  <c r="F218" i="49"/>
  <c r="F217" i="49"/>
  <c r="F216" i="49"/>
  <c r="H215" i="49"/>
  <c r="F215" i="49"/>
  <c r="F214" i="49"/>
  <c r="F213" i="49"/>
  <c r="F212" i="49"/>
  <c r="F211" i="49"/>
  <c r="F210" i="49"/>
  <c r="F209" i="49"/>
  <c r="F208" i="49"/>
  <c r="H207" i="49"/>
  <c r="F207" i="49"/>
  <c r="F206" i="49"/>
  <c r="F205" i="49"/>
  <c r="F204" i="49"/>
  <c r="F203" i="49"/>
  <c r="F202" i="49"/>
  <c r="F201" i="49"/>
  <c r="F200" i="49"/>
  <c r="H199" i="49"/>
  <c r="F199" i="49"/>
  <c r="F198" i="49"/>
  <c r="F197" i="49"/>
  <c r="F196" i="49"/>
  <c r="F195" i="49"/>
  <c r="F194" i="49"/>
  <c r="F193" i="49"/>
  <c r="F192" i="49"/>
  <c r="H191" i="49"/>
  <c r="F191" i="49"/>
  <c r="F190" i="49"/>
  <c r="F189" i="49"/>
  <c r="F188" i="49"/>
  <c r="F187" i="49"/>
  <c r="F186" i="49"/>
  <c r="F185" i="49"/>
  <c r="F184" i="49"/>
  <c r="H183" i="49"/>
  <c r="F183" i="49"/>
  <c r="F182" i="49"/>
  <c r="F181" i="49"/>
  <c r="F180" i="49"/>
  <c r="F179" i="49"/>
  <c r="F178" i="49"/>
  <c r="F177" i="49"/>
  <c r="F176" i="49"/>
  <c r="H175" i="49"/>
  <c r="F175" i="49"/>
  <c r="F174" i="49"/>
  <c r="F173" i="49"/>
  <c r="F172" i="49"/>
  <c r="F171" i="49"/>
  <c r="F170" i="49"/>
  <c r="F169" i="49"/>
  <c r="F168" i="49"/>
  <c r="I168" i="49"/>
  <c r="H167" i="49"/>
  <c r="G167" i="49"/>
  <c r="F167" i="49"/>
  <c r="J166" i="49"/>
  <c r="F166" i="49"/>
  <c r="G166" i="49"/>
  <c r="J165" i="49"/>
  <c r="F165" i="49"/>
  <c r="H165" i="49"/>
  <c r="J164" i="49"/>
  <c r="F164" i="49"/>
  <c r="I164" i="49"/>
  <c r="I163" i="49"/>
  <c r="G163" i="49"/>
  <c r="F163" i="49"/>
  <c r="J163" i="49"/>
  <c r="J162" i="49"/>
  <c r="F162" i="49"/>
  <c r="G162" i="49"/>
  <c r="J161" i="49"/>
  <c r="F161" i="49"/>
  <c r="H161" i="49"/>
  <c r="J160" i="49"/>
  <c r="F160" i="49"/>
  <c r="I160" i="49"/>
  <c r="I159" i="49"/>
  <c r="H159" i="49"/>
  <c r="G159" i="49"/>
  <c r="F159" i="49"/>
  <c r="J159" i="49"/>
  <c r="J158" i="49"/>
  <c r="F158" i="49"/>
  <c r="G158" i="49"/>
  <c r="J157" i="49"/>
  <c r="F157" i="49"/>
  <c r="H157" i="49"/>
  <c r="J156" i="49"/>
  <c r="F156" i="49"/>
  <c r="I156" i="49"/>
  <c r="I155" i="49"/>
  <c r="G155" i="49"/>
  <c r="F155" i="49"/>
  <c r="J155" i="49"/>
  <c r="J154" i="49"/>
  <c r="F154" i="49"/>
  <c r="G154" i="49"/>
  <c r="J153" i="49"/>
  <c r="F153" i="49"/>
  <c r="H153" i="49"/>
  <c r="J152" i="49"/>
  <c r="F152" i="49"/>
  <c r="I152" i="49"/>
  <c r="I151" i="49"/>
  <c r="H151" i="49"/>
  <c r="G151" i="49"/>
  <c r="F151" i="49"/>
  <c r="J151" i="49"/>
  <c r="J150" i="49"/>
  <c r="F150" i="49"/>
  <c r="G150" i="49"/>
  <c r="J149" i="49"/>
  <c r="F149" i="49"/>
  <c r="H149" i="49"/>
  <c r="J148" i="49"/>
  <c r="F148" i="49"/>
  <c r="I148" i="49"/>
  <c r="I147" i="49"/>
  <c r="G147" i="49"/>
  <c r="F147" i="49"/>
  <c r="J147" i="49"/>
  <c r="J146" i="49"/>
  <c r="F146" i="49"/>
  <c r="G146" i="49"/>
  <c r="J145" i="49"/>
  <c r="F145" i="49"/>
  <c r="H145" i="49"/>
  <c r="J144" i="49"/>
  <c r="F144" i="49"/>
  <c r="I144" i="49"/>
  <c r="I143" i="49"/>
  <c r="H143" i="49"/>
  <c r="G143" i="49"/>
  <c r="F143" i="49"/>
  <c r="J143" i="49"/>
  <c r="J142" i="49"/>
  <c r="F142" i="49"/>
  <c r="G142" i="49"/>
  <c r="J141" i="49"/>
  <c r="F141" i="49"/>
  <c r="H141" i="49"/>
  <c r="J140" i="49"/>
  <c r="F140" i="49"/>
  <c r="I140" i="49"/>
  <c r="I139" i="49"/>
  <c r="G139" i="49"/>
  <c r="F139" i="49"/>
  <c r="J139" i="49"/>
  <c r="J138" i="49"/>
  <c r="F138" i="49"/>
  <c r="G138" i="49"/>
  <c r="J137" i="49"/>
  <c r="F137" i="49"/>
  <c r="H137" i="49"/>
  <c r="J136" i="49"/>
  <c r="F136" i="49"/>
  <c r="I136" i="49"/>
  <c r="I135" i="49"/>
  <c r="H135" i="49"/>
  <c r="G135" i="49"/>
  <c r="F135" i="49"/>
  <c r="J135" i="49"/>
  <c r="J134" i="49"/>
  <c r="F134" i="49"/>
  <c r="G134" i="49"/>
  <c r="J133" i="49"/>
  <c r="F133" i="49"/>
  <c r="H133" i="49"/>
  <c r="J132" i="49"/>
  <c r="F132" i="49"/>
  <c r="I132" i="49"/>
  <c r="I131" i="49"/>
  <c r="G131" i="49"/>
  <c r="F131" i="49"/>
  <c r="J131" i="49"/>
  <c r="J130" i="49"/>
  <c r="F130" i="49"/>
  <c r="G130" i="49"/>
  <c r="J129" i="49"/>
  <c r="F129" i="49"/>
  <c r="H129" i="49"/>
  <c r="J128" i="49"/>
  <c r="F128" i="49"/>
  <c r="I128" i="49"/>
  <c r="I127" i="49"/>
  <c r="H127" i="49"/>
  <c r="G127" i="49"/>
  <c r="F127" i="49"/>
  <c r="J127" i="49"/>
  <c r="J126" i="49"/>
  <c r="F126" i="49"/>
  <c r="G126" i="49"/>
  <c r="J125" i="49"/>
  <c r="F125" i="49"/>
  <c r="H125" i="49"/>
  <c r="J124" i="49"/>
  <c r="F124" i="49"/>
  <c r="I124" i="49"/>
  <c r="I123" i="49"/>
  <c r="G123" i="49"/>
  <c r="F123" i="49"/>
  <c r="J123" i="49"/>
  <c r="J122" i="49"/>
  <c r="F122" i="49"/>
  <c r="G122" i="49"/>
  <c r="J121" i="49"/>
  <c r="F121" i="49"/>
  <c r="H121" i="49"/>
  <c r="J120" i="49"/>
  <c r="F120" i="49"/>
  <c r="I120" i="49"/>
  <c r="I119" i="49"/>
  <c r="H119" i="49"/>
  <c r="G119" i="49"/>
  <c r="F119" i="49"/>
  <c r="J119" i="49"/>
  <c r="J118" i="49"/>
  <c r="F118" i="49"/>
  <c r="G118" i="49"/>
  <c r="J117" i="49"/>
  <c r="F117" i="49"/>
  <c r="H117" i="49"/>
  <c r="J116" i="49"/>
  <c r="F116" i="49"/>
  <c r="I116" i="49"/>
  <c r="I115" i="49"/>
  <c r="G115" i="49"/>
  <c r="F115" i="49"/>
  <c r="J115" i="49"/>
  <c r="J114" i="49"/>
  <c r="F114" i="49"/>
  <c r="G114" i="49"/>
  <c r="J113" i="49"/>
  <c r="F113" i="49"/>
  <c r="H113" i="49"/>
  <c r="J112" i="49"/>
  <c r="F112" i="49"/>
  <c r="I112" i="49"/>
  <c r="I111" i="49"/>
  <c r="H111" i="49"/>
  <c r="G111" i="49"/>
  <c r="F111" i="49"/>
  <c r="J111" i="49"/>
  <c r="J110" i="49"/>
  <c r="F110" i="49"/>
  <c r="G110" i="49"/>
  <c r="J109" i="49"/>
  <c r="F109" i="49"/>
  <c r="H109" i="49"/>
  <c r="J108" i="49"/>
  <c r="F108" i="49"/>
  <c r="I108" i="49"/>
  <c r="I107" i="49"/>
  <c r="G107" i="49"/>
  <c r="F107" i="49"/>
  <c r="J107" i="49"/>
  <c r="J106" i="49"/>
  <c r="F106" i="49"/>
  <c r="G106" i="49"/>
  <c r="J105" i="49"/>
  <c r="F105" i="49"/>
  <c r="H105" i="49"/>
  <c r="J104" i="49"/>
  <c r="F104" i="49"/>
  <c r="I104" i="49"/>
  <c r="I103" i="49"/>
  <c r="H103" i="49"/>
  <c r="G103" i="49"/>
  <c r="F103" i="49"/>
  <c r="J103" i="49"/>
  <c r="J102" i="49"/>
  <c r="F102" i="49"/>
  <c r="G102" i="49"/>
  <c r="J101" i="49"/>
  <c r="F101" i="49"/>
  <c r="H101" i="49"/>
  <c r="J100" i="49"/>
  <c r="F100" i="49"/>
  <c r="I100" i="49"/>
  <c r="I99" i="49"/>
  <c r="G99" i="49"/>
  <c r="F99" i="49"/>
  <c r="J99" i="49"/>
  <c r="J98" i="49"/>
  <c r="F98" i="49"/>
  <c r="G98" i="49"/>
  <c r="J97" i="49"/>
  <c r="F97" i="49"/>
  <c r="H97" i="49"/>
  <c r="J96" i="49"/>
  <c r="F96" i="49"/>
  <c r="I96" i="49"/>
  <c r="I95" i="49"/>
  <c r="H95" i="49"/>
  <c r="G95" i="49"/>
  <c r="F95" i="49"/>
  <c r="J95" i="49"/>
  <c r="J94" i="49"/>
  <c r="F94" i="49"/>
  <c r="G94" i="49"/>
  <c r="J93" i="49"/>
  <c r="F93" i="49"/>
  <c r="H93" i="49"/>
  <c r="J92" i="49"/>
  <c r="F92" i="49"/>
  <c r="I92" i="49"/>
  <c r="I91" i="49"/>
  <c r="G91" i="49"/>
  <c r="F91" i="49"/>
  <c r="J91" i="49"/>
  <c r="J90" i="49"/>
  <c r="F90" i="49"/>
  <c r="G90" i="49"/>
  <c r="J89" i="49"/>
  <c r="F89" i="49"/>
  <c r="H89" i="49"/>
  <c r="J88" i="49"/>
  <c r="F88" i="49"/>
  <c r="I88" i="49"/>
  <c r="I87" i="49"/>
  <c r="H87" i="49"/>
  <c r="G87" i="49"/>
  <c r="F87" i="49"/>
  <c r="J87" i="49"/>
  <c r="J86" i="49"/>
  <c r="F86" i="49"/>
  <c r="G86" i="49"/>
  <c r="J85" i="49"/>
  <c r="F85" i="49"/>
  <c r="H85" i="49"/>
  <c r="J84" i="49"/>
  <c r="F84" i="49"/>
  <c r="I84" i="49"/>
  <c r="I83" i="49"/>
  <c r="G83" i="49"/>
  <c r="F83" i="49"/>
  <c r="J83" i="49"/>
  <c r="J82" i="49"/>
  <c r="F82" i="49"/>
  <c r="G82" i="49"/>
  <c r="J81" i="49"/>
  <c r="F81" i="49"/>
  <c r="H81" i="49"/>
  <c r="J80" i="49"/>
  <c r="F80" i="49"/>
  <c r="I80" i="49"/>
  <c r="I79" i="49"/>
  <c r="H79" i="49"/>
  <c r="G79" i="49"/>
  <c r="F79" i="49"/>
  <c r="J79" i="49"/>
  <c r="J78" i="49"/>
  <c r="F78" i="49"/>
  <c r="G78" i="49"/>
  <c r="J77" i="49"/>
  <c r="F77" i="49"/>
  <c r="H77" i="49"/>
  <c r="J76" i="49"/>
  <c r="F76" i="49"/>
  <c r="I76" i="49"/>
  <c r="I75" i="49"/>
  <c r="G75" i="49"/>
  <c r="F75" i="49"/>
  <c r="J75" i="49"/>
  <c r="J74" i="49"/>
  <c r="F74" i="49"/>
  <c r="G74" i="49"/>
  <c r="J73" i="49"/>
  <c r="F73" i="49"/>
  <c r="H73" i="49"/>
  <c r="J72" i="49"/>
  <c r="F72" i="49"/>
  <c r="I72" i="49"/>
  <c r="I71" i="49"/>
  <c r="H71" i="49"/>
  <c r="G71" i="49"/>
  <c r="F71" i="49"/>
  <c r="J71" i="49"/>
  <c r="J70" i="49"/>
  <c r="F70" i="49"/>
  <c r="G70" i="49"/>
  <c r="J69" i="49"/>
  <c r="F69" i="49"/>
  <c r="H69" i="49"/>
  <c r="J68" i="49"/>
  <c r="F68" i="49"/>
  <c r="I68" i="49"/>
  <c r="I67" i="49"/>
  <c r="G67" i="49"/>
  <c r="F67" i="49"/>
  <c r="J67" i="49"/>
  <c r="J66" i="49"/>
  <c r="F66" i="49"/>
  <c r="G66" i="49"/>
  <c r="J65" i="49"/>
  <c r="F65" i="49"/>
  <c r="H65" i="49"/>
  <c r="J64" i="49"/>
  <c r="F64" i="49"/>
  <c r="I64" i="49"/>
  <c r="I63" i="49"/>
  <c r="H63" i="49"/>
  <c r="G63" i="49"/>
  <c r="F63" i="49"/>
  <c r="J63" i="49"/>
  <c r="J62" i="49"/>
  <c r="F62" i="49"/>
  <c r="G62" i="49"/>
  <c r="J61" i="49"/>
  <c r="F61" i="49"/>
  <c r="H61" i="49"/>
  <c r="J60" i="49"/>
  <c r="F60" i="49"/>
  <c r="I60" i="49"/>
  <c r="I59" i="49"/>
  <c r="G59" i="49"/>
  <c r="F59" i="49"/>
  <c r="J59" i="49"/>
  <c r="J58" i="49"/>
  <c r="F58" i="49"/>
  <c r="G58" i="49"/>
  <c r="J57" i="49"/>
  <c r="F57" i="49"/>
  <c r="H57" i="49"/>
  <c r="J56" i="49"/>
  <c r="F56" i="49"/>
  <c r="I56" i="49"/>
  <c r="I55" i="49"/>
  <c r="H55" i="49"/>
  <c r="G55" i="49"/>
  <c r="F55" i="49"/>
  <c r="J55" i="49"/>
  <c r="J54" i="49"/>
  <c r="F54" i="49"/>
  <c r="G54" i="49"/>
  <c r="J53" i="49"/>
  <c r="F53" i="49"/>
  <c r="H53" i="49"/>
  <c r="J52" i="49"/>
  <c r="F52" i="49"/>
  <c r="I52" i="49"/>
  <c r="I51" i="49"/>
  <c r="G51" i="49"/>
  <c r="F51" i="49"/>
  <c r="J51" i="49"/>
  <c r="J50" i="49"/>
  <c r="F50" i="49"/>
  <c r="G50" i="49"/>
  <c r="J49" i="49"/>
  <c r="F49" i="49"/>
  <c r="H49" i="49"/>
  <c r="J48" i="49"/>
  <c r="F48" i="49"/>
  <c r="I48" i="49"/>
  <c r="I47" i="49"/>
  <c r="H47" i="49"/>
  <c r="G47" i="49"/>
  <c r="F47" i="49"/>
  <c r="J47" i="49"/>
  <c r="J46" i="49"/>
  <c r="F46" i="49"/>
  <c r="G46" i="49"/>
  <c r="J45" i="49"/>
  <c r="F45" i="49"/>
  <c r="H45" i="49"/>
  <c r="J44" i="49"/>
  <c r="F44" i="49"/>
  <c r="I44" i="49"/>
  <c r="I43" i="49"/>
  <c r="G43" i="49"/>
  <c r="F43" i="49"/>
  <c r="J43" i="49"/>
  <c r="J42" i="49"/>
  <c r="F42" i="49"/>
  <c r="G42" i="49"/>
  <c r="J41" i="49"/>
  <c r="F41" i="49"/>
  <c r="H41" i="49"/>
  <c r="J40" i="49"/>
  <c r="F40" i="49"/>
  <c r="I40" i="49"/>
  <c r="I39" i="49"/>
  <c r="H39" i="49"/>
  <c r="G39" i="49"/>
  <c r="F39" i="49"/>
  <c r="J39" i="49"/>
  <c r="J38" i="49"/>
  <c r="F38" i="49"/>
  <c r="G38" i="49"/>
  <c r="J37" i="49"/>
  <c r="F37" i="49"/>
  <c r="H37" i="49"/>
  <c r="J36" i="49"/>
  <c r="F36" i="49"/>
  <c r="I36" i="49"/>
  <c r="I35" i="49"/>
  <c r="G35" i="49"/>
  <c r="F35" i="49"/>
  <c r="J35" i="49"/>
  <c r="J34" i="49"/>
  <c r="F34" i="49"/>
  <c r="G34" i="49"/>
  <c r="J33" i="49"/>
  <c r="F33" i="49"/>
  <c r="H33" i="49"/>
  <c r="J32" i="49"/>
  <c r="F32" i="49"/>
  <c r="I32" i="49"/>
  <c r="I31" i="49"/>
  <c r="H31" i="49"/>
  <c r="G31" i="49"/>
  <c r="F31" i="49"/>
  <c r="J31" i="49"/>
  <c r="J18" i="49"/>
  <c r="F29" i="49"/>
  <c r="J47" i="86"/>
  <c r="I47" i="86"/>
  <c r="J63" i="86"/>
  <c r="I63" i="86"/>
  <c r="J68" i="86"/>
  <c r="I68" i="86"/>
  <c r="J221" i="86"/>
  <c r="I221" i="86"/>
  <c r="H221" i="86"/>
  <c r="G221" i="86"/>
  <c r="F31" i="86"/>
  <c r="F43" i="86"/>
  <c r="F40" i="86"/>
  <c r="F38" i="86"/>
  <c r="F44" i="86"/>
  <c r="H50" i="86"/>
  <c r="J57" i="86"/>
  <c r="G57" i="86"/>
  <c r="H57" i="86"/>
  <c r="H66" i="86"/>
  <c r="J73" i="86"/>
  <c r="G73" i="86"/>
  <c r="H73" i="86"/>
  <c r="H82" i="86"/>
  <c r="J89" i="86"/>
  <c r="G89" i="86"/>
  <c r="H89" i="86"/>
  <c r="H98" i="86"/>
  <c r="J105" i="86"/>
  <c r="G105" i="86"/>
  <c r="H105" i="86"/>
  <c r="J137" i="86"/>
  <c r="I137" i="86"/>
  <c r="H137" i="86"/>
  <c r="J141" i="86"/>
  <c r="G141" i="86"/>
  <c r="H141" i="86"/>
  <c r="I141" i="86"/>
  <c r="H322" i="86"/>
  <c r="I322" i="86"/>
  <c r="F39" i="86"/>
  <c r="J58" i="86"/>
  <c r="H58" i="86"/>
  <c r="J74" i="86"/>
  <c r="H74" i="86"/>
  <c r="J90" i="86"/>
  <c r="H90" i="86"/>
  <c r="J106" i="86"/>
  <c r="H106" i="86"/>
  <c r="J143" i="86"/>
  <c r="I143" i="86"/>
  <c r="J173" i="86"/>
  <c r="I173" i="86"/>
  <c r="G173" i="86"/>
  <c r="H173" i="86"/>
  <c r="J336" i="86"/>
  <c r="I336" i="86"/>
  <c r="G336" i="86"/>
  <c r="H336" i="86"/>
  <c r="J52" i="86"/>
  <c r="I52" i="86"/>
  <c r="J79" i="86"/>
  <c r="I79" i="86"/>
  <c r="J84" i="86"/>
  <c r="I84" i="86"/>
  <c r="J95" i="86"/>
  <c r="I95" i="86"/>
  <c r="J100" i="86"/>
  <c r="I100" i="86"/>
  <c r="J111" i="86"/>
  <c r="I111" i="86"/>
  <c r="J122" i="86"/>
  <c r="H122" i="86"/>
  <c r="J185" i="86"/>
  <c r="H185" i="86"/>
  <c r="I185" i="86"/>
  <c r="J201" i="86"/>
  <c r="H201" i="86"/>
  <c r="G201" i="86"/>
  <c r="I201" i="86"/>
  <c r="G237" i="86"/>
  <c r="I237" i="86"/>
  <c r="G280" i="86"/>
  <c r="H280" i="86"/>
  <c r="G350" i="86"/>
  <c r="I350" i="86"/>
  <c r="H114" i="86"/>
  <c r="J165" i="86"/>
  <c r="G165" i="86"/>
  <c r="H165" i="86"/>
  <c r="I165" i="86"/>
  <c r="G185" i="86"/>
  <c r="J213" i="86"/>
  <c r="G213" i="86"/>
  <c r="I213" i="86"/>
  <c r="J275" i="86"/>
  <c r="G275" i="86"/>
  <c r="I275" i="86"/>
  <c r="H275" i="86"/>
  <c r="G377" i="86"/>
  <c r="H377" i="86"/>
  <c r="F28" i="86"/>
  <c r="F41" i="86"/>
  <c r="J49" i="86"/>
  <c r="H49" i="86"/>
  <c r="I49" i="86"/>
  <c r="I55" i="86"/>
  <c r="I57" i="86"/>
  <c r="I60" i="86"/>
  <c r="J65" i="86"/>
  <c r="H65" i="86"/>
  <c r="I65" i="86"/>
  <c r="I71" i="86"/>
  <c r="I73" i="86"/>
  <c r="I76" i="86"/>
  <c r="J81" i="86"/>
  <c r="H81" i="86"/>
  <c r="I81" i="86"/>
  <c r="I87" i="86"/>
  <c r="I89" i="86"/>
  <c r="I92" i="86"/>
  <c r="J97" i="86"/>
  <c r="H97" i="86"/>
  <c r="I97" i="86"/>
  <c r="I103" i="86"/>
  <c r="I105" i="86"/>
  <c r="I108" i="86"/>
  <c r="J113" i="86"/>
  <c r="H113" i="86"/>
  <c r="I113" i="86"/>
  <c r="J133" i="86"/>
  <c r="G133" i="86"/>
  <c r="I133" i="86"/>
  <c r="G137" i="86"/>
  <c r="I148" i="86"/>
  <c r="J154" i="86"/>
  <c r="H154" i="86"/>
  <c r="H213" i="86"/>
  <c r="J223" i="86"/>
  <c r="H223" i="86"/>
  <c r="I223" i="86"/>
  <c r="G223" i="86"/>
  <c r="J340" i="86"/>
  <c r="I340" i="86"/>
  <c r="G340" i="86"/>
  <c r="H340" i="86"/>
  <c r="G409" i="86"/>
  <c r="H409" i="86"/>
  <c r="J404" i="86"/>
  <c r="G404" i="86"/>
  <c r="I404" i="86"/>
  <c r="J125" i="86"/>
  <c r="G125" i="86"/>
  <c r="J157" i="86"/>
  <c r="G157" i="86"/>
  <c r="J169" i="86"/>
  <c r="H169" i="86"/>
  <c r="J197" i="86"/>
  <c r="G197" i="86"/>
  <c r="J205" i="86"/>
  <c r="I205" i="86"/>
  <c r="J247" i="86"/>
  <c r="G247" i="86"/>
  <c r="I247" i="86"/>
  <c r="J307" i="86"/>
  <c r="G307" i="86"/>
  <c r="I307" i="86"/>
  <c r="J356" i="86"/>
  <c r="I356" i="86"/>
  <c r="G356" i="86"/>
  <c r="J384" i="86"/>
  <c r="I384" i="86"/>
  <c r="G384" i="86"/>
  <c r="J243" i="86"/>
  <c r="G243" i="86"/>
  <c r="I243" i="86"/>
  <c r="J311" i="86"/>
  <c r="G311" i="86"/>
  <c r="I311" i="86"/>
  <c r="J344" i="86"/>
  <c r="G344" i="86"/>
  <c r="I344" i="86"/>
  <c r="J372" i="86"/>
  <c r="I372" i="86"/>
  <c r="G372" i="86"/>
  <c r="J380" i="86"/>
  <c r="G380" i="86"/>
  <c r="I380" i="86"/>
  <c r="J412" i="86"/>
  <c r="I412" i="86"/>
  <c r="G412" i="86"/>
  <c r="I45" i="86"/>
  <c r="I53" i="86"/>
  <c r="I61" i="86"/>
  <c r="I69" i="86"/>
  <c r="I77" i="86"/>
  <c r="I85" i="86"/>
  <c r="I93" i="86"/>
  <c r="I101" i="86"/>
  <c r="I109" i="86"/>
  <c r="J117" i="86"/>
  <c r="G117" i="86"/>
  <c r="J121" i="86"/>
  <c r="I121" i="86"/>
  <c r="J149" i="86"/>
  <c r="G149" i="86"/>
  <c r="J153" i="86"/>
  <c r="I153" i="86"/>
  <c r="J181" i="86"/>
  <c r="G181" i="86"/>
  <c r="J189" i="86"/>
  <c r="I189" i="86"/>
  <c r="J217" i="86"/>
  <c r="H217" i="86"/>
  <c r="H243" i="86"/>
  <c r="H248" i="86"/>
  <c r="J279" i="86"/>
  <c r="G279" i="86"/>
  <c r="I279" i="86"/>
  <c r="I290" i="86"/>
  <c r="H311" i="86"/>
  <c r="H329" i="86"/>
  <c r="H344" i="86"/>
  <c r="I366" i="86"/>
  <c r="H372" i="86"/>
  <c r="J376" i="86"/>
  <c r="I376" i="86"/>
  <c r="G376" i="86"/>
  <c r="H380" i="86"/>
  <c r="H404" i="86"/>
  <c r="J408" i="86"/>
  <c r="G408" i="86"/>
  <c r="I408" i="86"/>
  <c r="H412" i="86"/>
  <c r="H231" i="86"/>
  <c r="H239" i="86"/>
  <c r="H255" i="86"/>
  <c r="H263" i="86"/>
  <c r="H271" i="86"/>
  <c r="H287" i="86"/>
  <c r="H295" i="86"/>
  <c r="H303" i="86"/>
  <c r="H319" i="86"/>
  <c r="H327" i="86"/>
  <c r="H360" i="86"/>
  <c r="H368" i="86"/>
  <c r="H396" i="86"/>
  <c r="H400" i="86"/>
  <c r="F37" i="86"/>
  <c r="F33" i="86"/>
  <c r="F29" i="86"/>
  <c r="F25" i="86"/>
  <c r="F36" i="86"/>
  <c r="F35" i="86"/>
  <c r="F34" i="86"/>
  <c r="F26" i="86"/>
  <c r="I46" i="86"/>
  <c r="G46" i="86"/>
  <c r="H51" i="86"/>
  <c r="G51" i="86"/>
  <c r="G56" i="86"/>
  <c r="H56" i="86"/>
  <c r="I62" i="86"/>
  <c r="G62" i="86"/>
  <c r="H67" i="86"/>
  <c r="G67" i="86"/>
  <c r="G72" i="86"/>
  <c r="H72" i="86"/>
  <c r="I78" i="86"/>
  <c r="G78" i="86"/>
  <c r="H83" i="86"/>
  <c r="G83" i="86"/>
  <c r="G88" i="86"/>
  <c r="H88" i="86"/>
  <c r="I94" i="86"/>
  <c r="G94" i="86"/>
  <c r="H99" i="86"/>
  <c r="G99" i="86"/>
  <c r="G104" i="86"/>
  <c r="H104" i="86"/>
  <c r="I110" i="86"/>
  <c r="G110" i="86"/>
  <c r="H115" i="86"/>
  <c r="G115" i="86"/>
  <c r="G120" i="86"/>
  <c r="H120" i="86"/>
  <c r="I126" i="86"/>
  <c r="G126" i="86"/>
  <c r="H131" i="86"/>
  <c r="G131" i="86"/>
  <c r="G136" i="86"/>
  <c r="H136" i="86"/>
  <c r="I142" i="86"/>
  <c r="G142" i="86"/>
  <c r="H147" i="86"/>
  <c r="G147" i="86"/>
  <c r="G152" i="86"/>
  <c r="H152" i="86"/>
  <c r="I158" i="86"/>
  <c r="G158" i="86"/>
  <c r="I162" i="86"/>
  <c r="G162" i="86"/>
  <c r="J162" i="86"/>
  <c r="G164" i="86"/>
  <c r="H164" i="86"/>
  <c r="J164" i="86"/>
  <c r="H167" i="86"/>
  <c r="G167" i="86"/>
  <c r="J167" i="86"/>
  <c r="I170" i="86"/>
  <c r="G170" i="86"/>
  <c r="J170" i="86"/>
  <c r="G172" i="86"/>
  <c r="H172" i="86"/>
  <c r="J172" i="86"/>
  <c r="H175" i="86"/>
  <c r="G175" i="86"/>
  <c r="J175" i="86"/>
  <c r="I178" i="86"/>
  <c r="G178" i="86"/>
  <c r="J178" i="86"/>
  <c r="G180" i="86"/>
  <c r="H180" i="86"/>
  <c r="J180" i="86"/>
  <c r="H183" i="86"/>
  <c r="G183" i="86"/>
  <c r="J183" i="86"/>
  <c r="I186" i="86"/>
  <c r="G186" i="86"/>
  <c r="J186" i="86"/>
  <c r="G188" i="86"/>
  <c r="H188" i="86"/>
  <c r="J188" i="86"/>
  <c r="H191" i="86"/>
  <c r="G191" i="86"/>
  <c r="J191" i="86"/>
  <c r="I194" i="86"/>
  <c r="G194" i="86"/>
  <c r="J194" i="86"/>
  <c r="G196" i="86"/>
  <c r="H196" i="86"/>
  <c r="J196" i="86"/>
  <c r="H199" i="86"/>
  <c r="G199" i="86"/>
  <c r="J199" i="86"/>
  <c r="I202" i="86"/>
  <c r="G202" i="86"/>
  <c r="J202" i="86"/>
  <c r="G204" i="86"/>
  <c r="H204" i="86"/>
  <c r="J204" i="86"/>
  <c r="H207" i="86"/>
  <c r="G207" i="86"/>
  <c r="J207" i="86"/>
  <c r="I210" i="86"/>
  <c r="G210" i="86"/>
  <c r="J210" i="86"/>
  <c r="G212" i="86"/>
  <c r="H212" i="86"/>
  <c r="J212" i="86"/>
  <c r="H215" i="86"/>
  <c r="G215" i="86"/>
  <c r="J215" i="86"/>
  <c r="I218" i="86"/>
  <c r="G218" i="86"/>
  <c r="J218" i="86"/>
  <c r="G220" i="86"/>
  <c r="H220" i="86"/>
  <c r="J220" i="86"/>
  <c r="H233" i="86"/>
  <c r="J233" i="86"/>
  <c r="G233" i="86"/>
  <c r="I236" i="86"/>
  <c r="J236" i="86"/>
  <c r="G236" i="86"/>
  <c r="G254" i="86"/>
  <c r="J254" i="86"/>
  <c r="H254" i="86"/>
  <c r="H257" i="86"/>
  <c r="J257" i="86"/>
  <c r="G257" i="86"/>
  <c r="I276" i="86"/>
  <c r="J276" i="86"/>
  <c r="G276" i="86"/>
  <c r="G278" i="86"/>
  <c r="J278" i="86"/>
  <c r="H278" i="86"/>
  <c r="H297" i="86"/>
  <c r="J297" i="86"/>
  <c r="G297" i="86"/>
  <c r="I300" i="86"/>
  <c r="J300" i="86"/>
  <c r="G300" i="86"/>
  <c r="G318" i="86"/>
  <c r="J318" i="86"/>
  <c r="H318" i="86"/>
  <c r="H321" i="86"/>
  <c r="J321" i="86"/>
  <c r="G321" i="86"/>
  <c r="H370" i="86"/>
  <c r="J370" i="86"/>
  <c r="I370" i="86"/>
  <c r="G370" i="86"/>
  <c r="G391" i="86"/>
  <c r="J391" i="86"/>
  <c r="I391" i="86"/>
  <c r="H391" i="86"/>
  <c r="F32" i="86"/>
  <c r="H46" i="86"/>
  <c r="I50" i="86"/>
  <c r="G50" i="86"/>
  <c r="I51" i="86"/>
  <c r="H55" i="86"/>
  <c r="G55" i="86"/>
  <c r="I56" i="86"/>
  <c r="G60" i="86"/>
  <c r="H60" i="86"/>
  <c r="H62" i="86"/>
  <c r="I66" i="86"/>
  <c r="G66" i="86"/>
  <c r="I67" i="86"/>
  <c r="H71" i="86"/>
  <c r="G71" i="86"/>
  <c r="I72" i="86"/>
  <c r="G76" i="86"/>
  <c r="H76" i="86"/>
  <c r="H78" i="86"/>
  <c r="I82" i="86"/>
  <c r="G82" i="86"/>
  <c r="I83" i="86"/>
  <c r="H87" i="86"/>
  <c r="G87" i="86"/>
  <c r="I88" i="86"/>
  <c r="G92" i="86"/>
  <c r="H92" i="86"/>
  <c r="H94" i="86"/>
  <c r="I98" i="86"/>
  <c r="G98" i="86"/>
  <c r="I99" i="86"/>
  <c r="H103" i="86"/>
  <c r="G103" i="86"/>
  <c r="I104" i="86"/>
  <c r="G108" i="86"/>
  <c r="H108" i="86"/>
  <c r="H110" i="86"/>
  <c r="I114" i="86"/>
  <c r="G114" i="86"/>
  <c r="I115" i="86"/>
  <c r="H119" i="86"/>
  <c r="G119" i="86"/>
  <c r="I120" i="86"/>
  <c r="G124" i="86"/>
  <c r="H124" i="86"/>
  <c r="H126" i="86"/>
  <c r="I130" i="86"/>
  <c r="G130" i="86"/>
  <c r="I131" i="86"/>
  <c r="H135" i="86"/>
  <c r="G135" i="86"/>
  <c r="I136" i="86"/>
  <c r="G140" i="86"/>
  <c r="H140" i="86"/>
  <c r="H142" i="86"/>
  <c r="I146" i="86"/>
  <c r="G146" i="86"/>
  <c r="I147" i="86"/>
  <c r="H151" i="86"/>
  <c r="G151" i="86"/>
  <c r="I152" i="86"/>
  <c r="G156" i="86"/>
  <c r="H156" i="86"/>
  <c r="H158" i="86"/>
  <c r="H162" i="86"/>
  <c r="I164" i="86"/>
  <c r="I167" i="86"/>
  <c r="H170" i="86"/>
  <c r="I172" i="86"/>
  <c r="I175" i="86"/>
  <c r="H178" i="86"/>
  <c r="I180" i="86"/>
  <c r="I183" i="86"/>
  <c r="H186" i="86"/>
  <c r="I188" i="86"/>
  <c r="I191" i="86"/>
  <c r="H194" i="86"/>
  <c r="I196" i="86"/>
  <c r="I199" i="86"/>
  <c r="H202" i="86"/>
  <c r="I204" i="86"/>
  <c r="I207" i="86"/>
  <c r="H210" i="86"/>
  <c r="I212" i="86"/>
  <c r="I215" i="86"/>
  <c r="H218" i="86"/>
  <c r="I220" i="86"/>
  <c r="I233" i="86"/>
  <c r="H236" i="86"/>
  <c r="G238" i="86"/>
  <c r="J238" i="86"/>
  <c r="H238" i="86"/>
  <c r="H241" i="86"/>
  <c r="J241" i="86"/>
  <c r="G241" i="86"/>
  <c r="I254" i="86"/>
  <c r="I257" i="86"/>
  <c r="I260" i="86"/>
  <c r="J260" i="86"/>
  <c r="G260" i="86"/>
  <c r="G262" i="86"/>
  <c r="J262" i="86"/>
  <c r="H262" i="86"/>
  <c r="H276" i="86"/>
  <c r="I278" i="86"/>
  <c r="H281" i="86"/>
  <c r="J281" i="86"/>
  <c r="G281" i="86"/>
  <c r="I284" i="86"/>
  <c r="J284" i="86"/>
  <c r="G284" i="86"/>
  <c r="I297" i="86"/>
  <c r="H300" i="86"/>
  <c r="G302" i="86"/>
  <c r="J302" i="86"/>
  <c r="H302" i="86"/>
  <c r="H305" i="86"/>
  <c r="J305" i="86"/>
  <c r="G305" i="86"/>
  <c r="I318" i="86"/>
  <c r="I321" i="86"/>
  <c r="I324" i="86"/>
  <c r="J324" i="86"/>
  <c r="G324" i="86"/>
  <c r="G326" i="86"/>
  <c r="J326" i="86"/>
  <c r="H326" i="86"/>
  <c r="I365" i="86"/>
  <c r="J365" i="86"/>
  <c r="H365" i="86"/>
  <c r="G365" i="86"/>
  <c r="H386" i="86"/>
  <c r="J386" i="86"/>
  <c r="I386" i="86"/>
  <c r="G386" i="86"/>
  <c r="G407" i="86"/>
  <c r="J407" i="86"/>
  <c r="I407" i="86"/>
  <c r="H407" i="86"/>
  <c r="G48" i="86"/>
  <c r="H48" i="86"/>
  <c r="I54" i="86"/>
  <c r="G54" i="86"/>
  <c r="H59" i="86"/>
  <c r="G59" i="86"/>
  <c r="G64" i="86"/>
  <c r="H64" i="86"/>
  <c r="I70" i="86"/>
  <c r="G70" i="86"/>
  <c r="H75" i="86"/>
  <c r="G75" i="86"/>
  <c r="G80" i="86"/>
  <c r="H80" i="86"/>
  <c r="I86" i="86"/>
  <c r="G86" i="86"/>
  <c r="H91" i="86"/>
  <c r="G91" i="86"/>
  <c r="G96" i="86"/>
  <c r="H96" i="86"/>
  <c r="I102" i="86"/>
  <c r="G102" i="86"/>
  <c r="H107" i="86"/>
  <c r="G107" i="86"/>
  <c r="G112" i="86"/>
  <c r="H112" i="86"/>
  <c r="I118" i="86"/>
  <c r="G118" i="86"/>
  <c r="H123" i="86"/>
  <c r="G123" i="86"/>
  <c r="G128" i="86"/>
  <c r="H128" i="86"/>
  <c r="I134" i="86"/>
  <c r="G134" i="86"/>
  <c r="H139" i="86"/>
  <c r="G139" i="86"/>
  <c r="G144" i="86"/>
  <c r="H144" i="86"/>
  <c r="I150" i="86"/>
  <c r="G150" i="86"/>
  <c r="H155" i="86"/>
  <c r="G155" i="86"/>
  <c r="G160" i="86"/>
  <c r="H160" i="86"/>
  <c r="J160" i="86"/>
  <c r="H163" i="86"/>
  <c r="G163" i="86"/>
  <c r="J163" i="86"/>
  <c r="I166" i="86"/>
  <c r="G166" i="86"/>
  <c r="J166" i="86"/>
  <c r="G168" i="86"/>
  <c r="H168" i="86"/>
  <c r="J168" i="86"/>
  <c r="H171" i="86"/>
  <c r="G171" i="86"/>
  <c r="J171" i="86"/>
  <c r="I174" i="86"/>
  <c r="G174" i="86"/>
  <c r="J174" i="86"/>
  <c r="G176" i="86"/>
  <c r="H176" i="86"/>
  <c r="J176" i="86"/>
  <c r="H179" i="86"/>
  <c r="G179" i="86"/>
  <c r="J179" i="86"/>
  <c r="I182" i="86"/>
  <c r="G182" i="86"/>
  <c r="J182" i="86"/>
  <c r="G184" i="86"/>
  <c r="H184" i="86"/>
  <c r="J184" i="86"/>
  <c r="H187" i="86"/>
  <c r="G187" i="86"/>
  <c r="J187" i="86"/>
  <c r="I190" i="86"/>
  <c r="G190" i="86"/>
  <c r="J190" i="86"/>
  <c r="G192" i="86"/>
  <c r="H192" i="86"/>
  <c r="J192" i="86"/>
  <c r="H195" i="86"/>
  <c r="G195" i="86"/>
  <c r="J195" i="86"/>
  <c r="I198" i="86"/>
  <c r="G198" i="86"/>
  <c r="J198" i="86"/>
  <c r="G200" i="86"/>
  <c r="H200" i="86"/>
  <c r="J200" i="86"/>
  <c r="H203" i="86"/>
  <c r="G203" i="86"/>
  <c r="J203" i="86"/>
  <c r="I206" i="86"/>
  <c r="G206" i="86"/>
  <c r="J206" i="86"/>
  <c r="G208" i="86"/>
  <c r="H208" i="86"/>
  <c r="J208" i="86"/>
  <c r="H211" i="86"/>
  <c r="G211" i="86"/>
  <c r="J211" i="86"/>
  <c r="I214" i="86"/>
  <c r="G214" i="86"/>
  <c r="J214" i="86"/>
  <c r="G216" i="86"/>
  <c r="H216" i="86"/>
  <c r="J216" i="86"/>
  <c r="H219" i="86"/>
  <c r="G219" i="86"/>
  <c r="J219" i="86"/>
  <c r="G222" i="86"/>
  <c r="J222" i="86"/>
  <c r="H222" i="86"/>
  <c r="H225" i="86"/>
  <c r="J225" i="86"/>
  <c r="G225" i="86"/>
  <c r="I244" i="86"/>
  <c r="J244" i="86"/>
  <c r="G244" i="86"/>
  <c r="G246" i="86"/>
  <c r="J246" i="86"/>
  <c r="H246" i="86"/>
  <c r="H265" i="86"/>
  <c r="J265" i="86"/>
  <c r="G265" i="86"/>
  <c r="I268" i="86"/>
  <c r="J268" i="86"/>
  <c r="G268" i="86"/>
  <c r="G286" i="86"/>
  <c r="J286" i="86"/>
  <c r="H286" i="86"/>
  <c r="H289" i="86"/>
  <c r="J289" i="86"/>
  <c r="G289" i="86"/>
  <c r="I308" i="86"/>
  <c r="J308" i="86"/>
  <c r="G308" i="86"/>
  <c r="G310" i="86"/>
  <c r="J310" i="86"/>
  <c r="H310" i="86"/>
  <c r="I381" i="86"/>
  <c r="J381" i="86"/>
  <c r="H381" i="86"/>
  <c r="G381" i="86"/>
  <c r="H402" i="86"/>
  <c r="J402" i="86"/>
  <c r="I402" i="86"/>
  <c r="G402" i="86"/>
  <c r="F27" i="86"/>
  <c r="F30" i="86"/>
  <c r="H47" i="86"/>
  <c r="G47" i="86"/>
  <c r="I48" i="86"/>
  <c r="G52" i="86"/>
  <c r="H52" i="86"/>
  <c r="H54" i="86"/>
  <c r="I58" i="86"/>
  <c r="G58" i="86"/>
  <c r="I59" i="86"/>
  <c r="H63" i="86"/>
  <c r="G63" i="86"/>
  <c r="I64" i="86"/>
  <c r="G68" i="86"/>
  <c r="H68" i="86"/>
  <c r="H70" i="86"/>
  <c r="I74" i="86"/>
  <c r="G74" i="86"/>
  <c r="I75" i="86"/>
  <c r="H79" i="86"/>
  <c r="G79" i="86"/>
  <c r="I80" i="86"/>
  <c r="G84" i="86"/>
  <c r="H84" i="86"/>
  <c r="H86" i="86"/>
  <c r="I90" i="86"/>
  <c r="G90" i="86"/>
  <c r="I91" i="86"/>
  <c r="H95" i="86"/>
  <c r="G95" i="86"/>
  <c r="I96" i="86"/>
  <c r="G100" i="86"/>
  <c r="H100" i="86"/>
  <c r="H102" i="86"/>
  <c r="I106" i="86"/>
  <c r="G106" i="86"/>
  <c r="I107" i="86"/>
  <c r="H111" i="86"/>
  <c r="G111" i="86"/>
  <c r="I112" i="86"/>
  <c r="G116" i="86"/>
  <c r="H116" i="86"/>
  <c r="H118" i="86"/>
  <c r="I122" i="86"/>
  <c r="G122" i="86"/>
  <c r="I123" i="86"/>
  <c r="H127" i="86"/>
  <c r="G127" i="86"/>
  <c r="I128" i="86"/>
  <c r="G132" i="86"/>
  <c r="H132" i="86"/>
  <c r="H134" i="86"/>
  <c r="I138" i="86"/>
  <c r="G138" i="86"/>
  <c r="I139" i="86"/>
  <c r="H143" i="86"/>
  <c r="G143" i="86"/>
  <c r="I144" i="86"/>
  <c r="G148" i="86"/>
  <c r="H148" i="86"/>
  <c r="H150" i="86"/>
  <c r="I154" i="86"/>
  <c r="G154" i="86"/>
  <c r="I155" i="86"/>
  <c r="H159" i="86"/>
  <c r="G159" i="86"/>
  <c r="I160" i="86"/>
  <c r="I163" i="86"/>
  <c r="H166" i="86"/>
  <c r="I168" i="86"/>
  <c r="I171" i="86"/>
  <c r="H174" i="86"/>
  <c r="I176" i="86"/>
  <c r="I179" i="86"/>
  <c r="H182" i="86"/>
  <c r="I184" i="86"/>
  <c r="I187" i="86"/>
  <c r="H190" i="86"/>
  <c r="I192" i="86"/>
  <c r="I195" i="86"/>
  <c r="H198" i="86"/>
  <c r="I200" i="86"/>
  <c r="I203" i="86"/>
  <c r="H206" i="86"/>
  <c r="I208" i="86"/>
  <c r="I211" i="86"/>
  <c r="H214" i="86"/>
  <c r="I216" i="86"/>
  <c r="I219" i="86"/>
  <c r="I222" i="86"/>
  <c r="I225" i="86"/>
  <c r="I228" i="86"/>
  <c r="J228" i="86"/>
  <c r="G228" i="86"/>
  <c r="G230" i="86"/>
  <c r="J230" i="86"/>
  <c r="H230" i="86"/>
  <c r="H244" i="86"/>
  <c r="I246" i="86"/>
  <c r="H249" i="86"/>
  <c r="J249" i="86"/>
  <c r="G249" i="86"/>
  <c r="I252" i="86"/>
  <c r="J252" i="86"/>
  <c r="G252" i="86"/>
  <c r="I265" i="86"/>
  <c r="H268" i="86"/>
  <c r="G270" i="86"/>
  <c r="J270" i="86"/>
  <c r="H270" i="86"/>
  <c r="H273" i="86"/>
  <c r="J273" i="86"/>
  <c r="G273" i="86"/>
  <c r="I286" i="86"/>
  <c r="I289" i="86"/>
  <c r="I292" i="86"/>
  <c r="J292" i="86"/>
  <c r="G292" i="86"/>
  <c r="G294" i="86"/>
  <c r="J294" i="86"/>
  <c r="H294" i="86"/>
  <c r="H308" i="86"/>
  <c r="I310" i="86"/>
  <c r="H313" i="86"/>
  <c r="J313" i="86"/>
  <c r="G313" i="86"/>
  <c r="I316" i="86"/>
  <c r="J316" i="86"/>
  <c r="G316" i="86"/>
  <c r="G375" i="86"/>
  <c r="J375" i="86"/>
  <c r="I375" i="86"/>
  <c r="H375" i="86"/>
  <c r="I397" i="86"/>
  <c r="J397" i="86"/>
  <c r="H397" i="86"/>
  <c r="G397" i="86"/>
  <c r="I224" i="86"/>
  <c r="J224" i="86"/>
  <c r="H229" i="86"/>
  <c r="J229" i="86"/>
  <c r="G234" i="86"/>
  <c r="J234" i="86"/>
  <c r="I240" i="86"/>
  <c r="J240" i="86"/>
  <c r="H245" i="86"/>
  <c r="J245" i="86"/>
  <c r="G250" i="86"/>
  <c r="J250" i="86"/>
  <c r="I256" i="86"/>
  <c r="J256" i="86"/>
  <c r="H261" i="86"/>
  <c r="J261" i="86"/>
  <c r="G266" i="86"/>
  <c r="J266" i="86"/>
  <c r="I272" i="86"/>
  <c r="J272" i="86"/>
  <c r="H277" i="86"/>
  <c r="J277" i="86"/>
  <c r="G282" i="86"/>
  <c r="J282" i="86"/>
  <c r="I288" i="86"/>
  <c r="J288" i="86"/>
  <c r="H293" i="86"/>
  <c r="J293" i="86"/>
  <c r="G298" i="86"/>
  <c r="J298" i="86"/>
  <c r="I304" i="86"/>
  <c r="J304" i="86"/>
  <c r="H309" i="86"/>
  <c r="J309" i="86"/>
  <c r="G314" i="86"/>
  <c r="J314" i="86"/>
  <c r="I320" i="86"/>
  <c r="J320" i="86"/>
  <c r="H325" i="86"/>
  <c r="J325" i="86"/>
  <c r="H330" i="86"/>
  <c r="J330" i="86"/>
  <c r="G330" i="86"/>
  <c r="I333" i="86"/>
  <c r="J333" i="86"/>
  <c r="I337" i="86"/>
  <c r="J337" i="86"/>
  <c r="H337" i="86"/>
  <c r="I341" i="86"/>
  <c r="J341" i="86"/>
  <c r="G341" i="86"/>
  <c r="G343" i="86"/>
  <c r="J343" i="86"/>
  <c r="G347" i="86"/>
  <c r="J347" i="86"/>
  <c r="I347" i="86"/>
  <c r="G351" i="86"/>
  <c r="J351" i="86"/>
  <c r="H351" i="86"/>
  <c r="H354" i="86"/>
  <c r="J354" i="86"/>
  <c r="H358" i="86"/>
  <c r="J358" i="86"/>
  <c r="I358" i="86"/>
  <c r="H224" i="86"/>
  <c r="G226" i="86"/>
  <c r="J226" i="86"/>
  <c r="I229" i="86"/>
  <c r="I232" i="86"/>
  <c r="J232" i="86"/>
  <c r="I234" i="86"/>
  <c r="H237" i="86"/>
  <c r="J237" i="86"/>
  <c r="H240" i="86"/>
  <c r="G242" i="86"/>
  <c r="J242" i="86"/>
  <c r="I245" i="86"/>
  <c r="I248" i="86"/>
  <c r="J248" i="86"/>
  <c r="I250" i="86"/>
  <c r="H253" i="86"/>
  <c r="J253" i="86"/>
  <c r="H256" i="86"/>
  <c r="G258" i="86"/>
  <c r="J258" i="86"/>
  <c r="I261" i="86"/>
  <c r="I264" i="86"/>
  <c r="J264" i="86"/>
  <c r="I266" i="86"/>
  <c r="H269" i="86"/>
  <c r="J269" i="86"/>
  <c r="H272" i="86"/>
  <c r="G274" i="86"/>
  <c r="J274" i="86"/>
  <c r="I277" i="86"/>
  <c r="I280" i="86"/>
  <c r="J280" i="86"/>
  <c r="I282" i="86"/>
  <c r="H285" i="86"/>
  <c r="J285" i="86"/>
  <c r="H288" i="86"/>
  <c r="G290" i="86"/>
  <c r="J290" i="86"/>
  <c r="I293" i="86"/>
  <c r="I296" i="86"/>
  <c r="J296" i="86"/>
  <c r="I298" i="86"/>
  <c r="H301" i="86"/>
  <c r="J301" i="86"/>
  <c r="H304" i="86"/>
  <c r="G306" i="86"/>
  <c r="J306" i="86"/>
  <c r="I309" i="86"/>
  <c r="I312" i="86"/>
  <c r="J312" i="86"/>
  <c r="I314" i="86"/>
  <c r="H317" i="86"/>
  <c r="J317" i="86"/>
  <c r="H320" i="86"/>
  <c r="G322" i="86"/>
  <c r="J322" i="86"/>
  <c r="I325" i="86"/>
  <c r="J328" i="86"/>
  <c r="I328" i="86"/>
  <c r="G331" i="86"/>
  <c r="J331" i="86"/>
  <c r="I331" i="86"/>
  <c r="H333" i="86"/>
  <c r="G335" i="86"/>
  <c r="J335" i="86"/>
  <c r="H335" i="86"/>
  <c r="H338" i="86"/>
  <c r="J338" i="86"/>
  <c r="H342" i="86"/>
  <c r="J342" i="86"/>
  <c r="I342" i="86"/>
  <c r="I343" i="86"/>
  <c r="H346" i="86"/>
  <c r="J346" i="86"/>
  <c r="G346" i="86"/>
  <c r="I349" i="86"/>
  <c r="J349" i="86"/>
  <c r="I353" i="86"/>
  <c r="J353" i="86"/>
  <c r="H353" i="86"/>
  <c r="I354" i="86"/>
  <c r="I357" i="86"/>
  <c r="J357" i="86"/>
  <c r="G357" i="86"/>
  <c r="G359" i="86"/>
  <c r="J359" i="86"/>
  <c r="G363" i="86"/>
  <c r="J363" i="86"/>
  <c r="I363" i="86"/>
  <c r="H363" i="86"/>
  <c r="I369" i="86"/>
  <c r="J369" i="86"/>
  <c r="H369" i="86"/>
  <c r="G369" i="86"/>
  <c r="H374" i="86"/>
  <c r="J374" i="86"/>
  <c r="I374" i="86"/>
  <c r="G374" i="86"/>
  <c r="G379" i="86"/>
  <c r="J379" i="86"/>
  <c r="I379" i="86"/>
  <c r="H379" i="86"/>
  <c r="I385" i="86"/>
  <c r="J385" i="86"/>
  <c r="H385" i="86"/>
  <c r="G385" i="86"/>
  <c r="H390" i="86"/>
  <c r="J390" i="86"/>
  <c r="I390" i="86"/>
  <c r="G390" i="86"/>
  <c r="G395" i="86"/>
  <c r="J395" i="86"/>
  <c r="I395" i="86"/>
  <c r="H395" i="86"/>
  <c r="I401" i="86"/>
  <c r="J401" i="86"/>
  <c r="H401" i="86"/>
  <c r="G401" i="86"/>
  <c r="H406" i="86"/>
  <c r="J406" i="86"/>
  <c r="I406" i="86"/>
  <c r="G406" i="86"/>
  <c r="G411" i="86"/>
  <c r="J411" i="86"/>
  <c r="I411" i="86"/>
  <c r="H411" i="86"/>
  <c r="H362" i="86"/>
  <c r="J362" i="86"/>
  <c r="G367" i="86"/>
  <c r="J367" i="86"/>
  <c r="I373" i="86"/>
  <c r="J373" i="86"/>
  <c r="H378" i="86"/>
  <c r="J378" i="86"/>
  <c r="G383" i="86"/>
  <c r="J383" i="86"/>
  <c r="I389" i="86"/>
  <c r="J389" i="86"/>
  <c r="H394" i="86"/>
  <c r="J394" i="86"/>
  <c r="G399" i="86"/>
  <c r="J399" i="86"/>
  <c r="I405" i="86"/>
  <c r="J405" i="86"/>
  <c r="H410" i="86"/>
  <c r="J410" i="86"/>
  <c r="I329" i="86"/>
  <c r="J329" i="86"/>
  <c r="H334" i="86"/>
  <c r="J334" i="86"/>
  <c r="G339" i="86"/>
  <c r="J339" i="86"/>
  <c r="I345" i="86"/>
  <c r="J345" i="86"/>
  <c r="H350" i="86"/>
  <c r="J350" i="86"/>
  <c r="G355" i="86"/>
  <c r="J355" i="86"/>
  <c r="I361" i="86"/>
  <c r="J361" i="86"/>
  <c r="G362" i="86"/>
  <c r="H366" i="86"/>
  <c r="J366" i="86"/>
  <c r="H367" i="86"/>
  <c r="G371" i="86"/>
  <c r="J371" i="86"/>
  <c r="G373" i="86"/>
  <c r="I377" i="86"/>
  <c r="J377" i="86"/>
  <c r="G378" i="86"/>
  <c r="H382" i="86"/>
  <c r="J382" i="86"/>
  <c r="H383" i="86"/>
  <c r="G387" i="86"/>
  <c r="J387" i="86"/>
  <c r="G389" i="86"/>
  <c r="I393" i="86"/>
  <c r="J393" i="86"/>
  <c r="G394" i="86"/>
  <c r="H398" i="86"/>
  <c r="J398" i="86"/>
  <c r="H399" i="86"/>
  <c r="G403" i="86"/>
  <c r="J403" i="86"/>
  <c r="G405" i="86"/>
  <c r="I409" i="86"/>
  <c r="J409" i="86"/>
  <c r="G410" i="86"/>
  <c r="F29" i="85"/>
  <c r="F33" i="85"/>
  <c r="F38" i="85"/>
  <c r="J135" i="85"/>
  <c r="I135" i="85"/>
  <c r="J171" i="85"/>
  <c r="H171" i="85"/>
  <c r="J199" i="85"/>
  <c r="G199" i="85"/>
  <c r="J207" i="85"/>
  <c r="I207" i="85"/>
  <c r="J249" i="85"/>
  <c r="H249" i="85"/>
  <c r="J281" i="85"/>
  <c r="H281" i="85"/>
  <c r="J313" i="85"/>
  <c r="H313" i="85"/>
  <c r="J353" i="85"/>
  <c r="J370" i="85"/>
  <c r="G370" i="85"/>
  <c r="J378" i="85"/>
  <c r="H378" i="85"/>
  <c r="J402" i="85"/>
  <c r="G402" i="85"/>
  <c r="J410" i="85"/>
  <c r="H410" i="85"/>
  <c r="F25" i="85"/>
  <c r="F30" i="85"/>
  <c r="F35" i="85"/>
  <c r="F36" i="85"/>
  <c r="H39" i="85"/>
  <c r="G43" i="85"/>
  <c r="H47" i="85"/>
  <c r="H55" i="85"/>
  <c r="G59" i="85"/>
  <c r="H63" i="85"/>
  <c r="H71" i="85"/>
  <c r="G75" i="85"/>
  <c r="H79" i="85"/>
  <c r="H87" i="85"/>
  <c r="G91" i="85"/>
  <c r="H95" i="85"/>
  <c r="H103" i="85"/>
  <c r="G107" i="85"/>
  <c r="H111" i="85"/>
  <c r="H119" i="85"/>
  <c r="G123" i="85"/>
  <c r="H127" i="85"/>
  <c r="J131" i="85"/>
  <c r="G131" i="85"/>
  <c r="G135" i="85"/>
  <c r="H150" i="85"/>
  <c r="J155" i="85"/>
  <c r="H155" i="85"/>
  <c r="G156" i="85"/>
  <c r="J159" i="85"/>
  <c r="I159" i="85"/>
  <c r="G171" i="85"/>
  <c r="J187" i="85"/>
  <c r="H187" i="85"/>
  <c r="H199" i="85"/>
  <c r="G207" i="85"/>
  <c r="J215" i="85"/>
  <c r="G215" i="85"/>
  <c r="J241" i="85"/>
  <c r="H241" i="85"/>
  <c r="H242" i="85"/>
  <c r="I247" i="85"/>
  <c r="G249" i="85"/>
  <c r="J273" i="85"/>
  <c r="H273" i="85"/>
  <c r="H274" i="85"/>
  <c r="I279" i="85"/>
  <c r="G281" i="85"/>
  <c r="J305" i="85"/>
  <c r="H305" i="85"/>
  <c r="H306" i="85"/>
  <c r="I311" i="85"/>
  <c r="G313" i="85"/>
  <c r="I337" i="85"/>
  <c r="J346" i="85"/>
  <c r="I346" i="85"/>
  <c r="J350" i="85"/>
  <c r="G350" i="85"/>
  <c r="H370" i="85"/>
  <c r="G378" i="85"/>
  <c r="J382" i="85"/>
  <c r="I382" i="85"/>
  <c r="H402" i="85"/>
  <c r="G410" i="85"/>
  <c r="J151" i="85"/>
  <c r="I151" i="85"/>
  <c r="J167" i="85"/>
  <c r="G167" i="85"/>
  <c r="J175" i="85"/>
  <c r="I175" i="85"/>
  <c r="J203" i="85"/>
  <c r="H203" i="85"/>
  <c r="J225" i="85"/>
  <c r="H225" i="85"/>
  <c r="J233" i="85"/>
  <c r="I233" i="85"/>
  <c r="J257" i="85"/>
  <c r="H257" i="85"/>
  <c r="J265" i="85"/>
  <c r="I265" i="85"/>
  <c r="J289" i="85"/>
  <c r="H289" i="85"/>
  <c r="J297" i="85"/>
  <c r="I297" i="85"/>
  <c r="J321" i="85"/>
  <c r="H321" i="85"/>
  <c r="J334" i="85"/>
  <c r="G334" i="85"/>
  <c r="J338" i="85"/>
  <c r="I338" i="85"/>
  <c r="J362" i="85"/>
  <c r="H362" i="85"/>
  <c r="J386" i="85"/>
  <c r="G386" i="85"/>
  <c r="J394" i="85"/>
  <c r="H394" i="85"/>
  <c r="F28" i="85"/>
  <c r="F31" i="85"/>
  <c r="F32" i="85"/>
  <c r="F34" i="85"/>
  <c r="F37" i="85"/>
  <c r="I43" i="85"/>
  <c r="I59" i="85"/>
  <c r="I75" i="85"/>
  <c r="I91" i="85"/>
  <c r="I107" i="85"/>
  <c r="I123" i="85"/>
  <c r="H134" i="85"/>
  <c r="J139" i="85"/>
  <c r="H139" i="85"/>
  <c r="G140" i="85"/>
  <c r="J143" i="85"/>
  <c r="I143" i="85"/>
  <c r="J147" i="85"/>
  <c r="G147" i="85"/>
  <c r="G151" i="85"/>
  <c r="H167" i="85"/>
  <c r="G175" i="85"/>
  <c r="J183" i="85"/>
  <c r="G183" i="85"/>
  <c r="J191" i="85"/>
  <c r="I191" i="85"/>
  <c r="G203" i="85"/>
  <c r="J219" i="85"/>
  <c r="H219" i="85"/>
  <c r="G225" i="85"/>
  <c r="J229" i="85"/>
  <c r="I229" i="85"/>
  <c r="G233" i="85"/>
  <c r="I236" i="85"/>
  <c r="I239" i="85"/>
  <c r="I252" i="85"/>
  <c r="G257" i="85"/>
  <c r="J261" i="85"/>
  <c r="I261" i="85"/>
  <c r="G265" i="85"/>
  <c r="I268" i="85"/>
  <c r="I271" i="85"/>
  <c r="I284" i="85"/>
  <c r="G289" i="85"/>
  <c r="J293" i="85"/>
  <c r="I293" i="85"/>
  <c r="G297" i="85"/>
  <c r="I300" i="85"/>
  <c r="I303" i="85"/>
  <c r="I316" i="85"/>
  <c r="G321" i="85"/>
  <c r="J325" i="85"/>
  <c r="I325" i="85"/>
  <c r="J330" i="85"/>
  <c r="H330" i="85"/>
  <c r="H334" i="85"/>
  <c r="G338" i="85"/>
  <c r="J348" i="85"/>
  <c r="G362" i="85"/>
  <c r="J366" i="85"/>
  <c r="I366" i="85"/>
  <c r="H386" i="85"/>
  <c r="G394" i="85"/>
  <c r="J398" i="85"/>
  <c r="I398" i="85"/>
  <c r="G42" i="85"/>
  <c r="J42" i="85"/>
  <c r="H53" i="85"/>
  <c r="J53" i="85"/>
  <c r="G58" i="85"/>
  <c r="J58" i="85"/>
  <c r="H85" i="85"/>
  <c r="J85" i="85"/>
  <c r="G90" i="85"/>
  <c r="J90" i="85"/>
  <c r="G106" i="85"/>
  <c r="J106" i="85"/>
  <c r="I128" i="85"/>
  <c r="J128" i="85"/>
  <c r="G138" i="85"/>
  <c r="J138" i="85"/>
  <c r="H149" i="85"/>
  <c r="J149" i="85"/>
  <c r="G170" i="85"/>
  <c r="H170" i="85"/>
  <c r="J170" i="85"/>
  <c r="H173" i="85"/>
  <c r="G173" i="85"/>
  <c r="J173" i="85"/>
  <c r="I176" i="85"/>
  <c r="G176" i="85"/>
  <c r="J176" i="85"/>
  <c r="H181" i="85"/>
  <c r="G181" i="85"/>
  <c r="J181" i="85"/>
  <c r="I184" i="85"/>
  <c r="G184" i="85"/>
  <c r="J184" i="85"/>
  <c r="H189" i="85"/>
  <c r="G189" i="85"/>
  <c r="J189" i="85"/>
  <c r="I192" i="85"/>
  <c r="G192" i="85"/>
  <c r="J192" i="85"/>
  <c r="G210" i="85"/>
  <c r="H210" i="85"/>
  <c r="J210" i="85"/>
  <c r="G218" i="85"/>
  <c r="H218" i="85"/>
  <c r="J218" i="85"/>
  <c r="H221" i="85"/>
  <c r="G221" i="85"/>
  <c r="J221" i="85"/>
  <c r="I230" i="85"/>
  <c r="G230" i="85"/>
  <c r="H230" i="85"/>
  <c r="G272" i="85"/>
  <c r="H272" i="85"/>
  <c r="I272" i="85"/>
  <c r="I294" i="85"/>
  <c r="G294" i="85"/>
  <c r="H294" i="85"/>
  <c r="G296" i="85"/>
  <c r="H296" i="85"/>
  <c r="I296" i="85"/>
  <c r="H315" i="85"/>
  <c r="G315" i="85"/>
  <c r="I315" i="85"/>
  <c r="I318" i="85"/>
  <c r="G318" i="85"/>
  <c r="H318" i="85"/>
  <c r="I331" i="85"/>
  <c r="G331" i="85"/>
  <c r="H331" i="85"/>
  <c r="I339" i="85"/>
  <c r="G339" i="85"/>
  <c r="H339" i="85"/>
  <c r="J339" i="85"/>
  <c r="G345" i="85"/>
  <c r="H345" i="85"/>
  <c r="J345" i="85"/>
  <c r="I345" i="85"/>
  <c r="H352" i="85"/>
  <c r="G352" i="85"/>
  <c r="I352" i="85"/>
  <c r="H41" i="85"/>
  <c r="J41" i="85"/>
  <c r="H42" i="85"/>
  <c r="G46" i="85"/>
  <c r="J46" i="85"/>
  <c r="I52" i="85"/>
  <c r="J52" i="85"/>
  <c r="G53" i="85"/>
  <c r="H57" i="85"/>
  <c r="J57" i="85"/>
  <c r="H58" i="85"/>
  <c r="G62" i="85"/>
  <c r="J62" i="85"/>
  <c r="I68" i="85"/>
  <c r="J68" i="85"/>
  <c r="H73" i="85"/>
  <c r="J73" i="85"/>
  <c r="G78" i="85"/>
  <c r="J78" i="85"/>
  <c r="I84" i="85"/>
  <c r="J84" i="85"/>
  <c r="G85" i="85"/>
  <c r="H89" i="85"/>
  <c r="J89" i="85"/>
  <c r="H90" i="85"/>
  <c r="G94" i="85"/>
  <c r="J94" i="85"/>
  <c r="I100" i="85"/>
  <c r="J100" i="85"/>
  <c r="H105" i="85"/>
  <c r="J105" i="85"/>
  <c r="H106" i="85"/>
  <c r="G110" i="85"/>
  <c r="J110" i="85"/>
  <c r="I116" i="85"/>
  <c r="J116" i="85"/>
  <c r="H121" i="85"/>
  <c r="J121" i="85"/>
  <c r="G126" i="85"/>
  <c r="J126" i="85"/>
  <c r="G128" i="85"/>
  <c r="I132" i="85"/>
  <c r="J132" i="85"/>
  <c r="H137" i="85"/>
  <c r="J137" i="85"/>
  <c r="H138" i="85"/>
  <c r="G142" i="85"/>
  <c r="J142" i="85"/>
  <c r="I148" i="85"/>
  <c r="J148" i="85"/>
  <c r="G149" i="85"/>
  <c r="H153" i="85"/>
  <c r="J153" i="85"/>
  <c r="G158" i="85"/>
  <c r="J158" i="85"/>
  <c r="I170" i="85"/>
  <c r="I173" i="85"/>
  <c r="H176" i="85"/>
  <c r="I181" i="85"/>
  <c r="H184" i="85"/>
  <c r="I189" i="85"/>
  <c r="H192" i="85"/>
  <c r="I210" i="85"/>
  <c r="I218" i="85"/>
  <c r="I221" i="85"/>
  <c r="J230" i="85"/>
  <c r="H235" i="85"/>
  <c r="G235" i="85"/>
  <c r="I235" i="85"/>
  <c r="I238" i="85"/>
  <c r="G238" i="85"/>
  <c r="H238" i="85"/>
  <c r="G256" i="85"/>
  <c r="H256" i="85"/>
  <c r="I256" i="85"/>
  <c r="H259" i="85"/>
  <c r="G259" i="85"/>
  <c r="I259" i="85"/>
  <c r="J272" i="85"/>
  <c r="I278" i="85"/>
  <c r="G278" i="85"/>
  <c r="H278" i="85"/>
  <c r="G280" i="85"/>
  <c r="H280" i="85"/>
  <c r="I280" i="85"/>
  <c r="J294" i="85"/>
  <c r="J296" i="85"/>
  <c r="H299" i="85"/>
  <c r="G299" i="85"/>
  <c r="I299" i="85"/>
  <c r="I302" i="85"/>
  <c r="G302" i="85"/>
  <c r="H302" i="85"/>
  <c r="J315" i="85"/>
  <c r="J318" i="85"/>
  <c r="G320" i="85"/>
  <c r="H320" i="85"/>
  <c r="I320" i="85"/>
  <c r="H323" i="85"/>
  <c r="G323" i="85"/>
  <c r="I323" i="85"/>
  <c r="J331" i="85"/>
  <c r="G333" i="85"/>
  <c r="H333" i="85"/>
  <c r="I333" i="85"/>
  <c r="J333" i="85"/>
  <c r="H340" i="85"/>
  <c r="G340" i="85"/>
  <c r="J340" i="85"/>
  <c r="I340" i="85"/>
  <c r="I347" i="85"/>
  <c r="G347" i="85"/>
  <c r="H347" i="85"/>
  <c r="J352" i="85"/>
  <c r="I355" i="85"/>
  <c r="G355" i="85"/>
  <c r="H355" i="85"/>
  <c r="J355" i="85"/>
  <c r="I48" i="85"/>
  <c r="J48" i="85"/>
  <c r="I64" i="85"/>
  <c r="J64" i="85"/>
  <c r="H69" i="85"/>
  <c r="J69" i="85"/>
  <c r="G74" i="85"/>
  <c r="J74" i="85"/>
  <c r="I80" i="85"/>
  <c r="J80" i="85"/>
  <c r="I96" i="85"/>
  <c r="J96" i="85"/>
  <c r="H101" i="85"/>
  <c r="J101" i="85"/>
  <c r="I112" i="85"/>
  <c r="J112" i="85"/>
  <c r="H117" i="85"/>
  <c r="J117" i="85"/>
  <c r="G122" i="85"/>
  <c r="J122" i="85"/>
  <c r="H133" i="85"/>
  <c r="J133" i="85"/>
  <c r="I144" i="85"/>
  <c r="J144" i="85"/>
  <c r="G154" i="85"/>
  <c r="J154" i="85"/>
  <c r="I160" i="85"/>
  <c r="G160" i="85"/>
  <c r="J160" i="85"/>
  <c r="G162" i="85"/>
  <c r="H162" i="85"/>
  <c r="J162" i="85"/>
  <c r="H165" i="85"/>
  <c r="G165" i="85"/>
  <c r="J165" i="85"/>
  <c r="I168" i="85"/>
  <c r="G168" i="85"/>
  <c r="J168" i="85"/>
  <c r="G178" i="85"/>
  <c r="H178" i="85"/>
  <c r="J178" i="85"/>
  <c r="G186" i="85"/>
  <c r="H186" i="85"/>
  <c r="J186" i="85"/>
  <c r="G194" i="85"/>
  <c r="H194" i="85"/>
  <c r="J194" i="85"/>
  <c r="H197" i="85"/>
  <c r="G197" i="85"/>
  <c r="J197" i="85"/>
  <c r="I200" i="85"/>
  <c r="G200" i="85"/>
  <c r="J200" i="85"/>
  <c r="G202" i="85"/>
  <c r="H202" i="85"/>
  <c r="J202" i="85"/>
  <c r="H205" i="85"/>
  <c r="G205" i="85"/>
  <c r="J205" i="85"/>
  <c r="I208" i="85"/>
  <c r="G208" i="85"/>
  <c r="J208" i="85"/>
  <c r="H213" i="85"/>
  <c r="G213" i="85"/>
  <c r="J213" i="85"/>
  <c r="I216" i="85"/>
  <c r="G216" i="85"/>
  <c r="J216" i="85"/>
  <c r="G232" i="85"/>
  <c r="H232" i="85"/>
  <c r="I232" i="85"/>
  <c r="H251" i="85"/>
  <c r="G251" i="85"/>
  <c r="I251" i="85"/>
  <c r="I254" i="85"/>
  <c r="G254" i="85"/>
  <c r="H254" i="85"/>
  <c r="H275" i="85"/>
  <c r="G275" i="85"/>
  <c r="I275" i="85"/>
  <c r="I40" i="85"/>
  <c r="J40" i="85"/>
  <c r="I42" i="85"/>
  <c r="H45" i="85"/>
  <c r="J45" i="85"/>
  <c r="H48" i="85"/>
  <c r="G50" i="85"/>
  <c r="J50" i="85"/>
  <c r="I53" i="85"/>
  <c r="I56" i="85"/>
  <c r="J56" i="85"/>
  <c r="I58" i="85"/>
  <c r="H61" i="85"/>
  <c r="J61" i="85"/>
  <c r="H64" i="85"/>
  <c r="G66" i="85"/>
  <c r="J66" i="85"/>
  <c r="I69" i="85"/>
  <c r="I72" i="85"/>
  <c r="J72" i="85"/>
  <c r="I74" i="85"/>
  <c r="H77" i="85"/>
  <c r="J77" i="85"/>
  <c r="H80" i="85"/>
  <c r="G82" i="85"/>
  <c r="J82" i="85"/>
  <c r="I85" i="85"/>
  <c r="I88" i="85"/>
  <c r="J88" i="85"/>
  <c r="I90" i="85"/>
  <c r="H93" i="85"/>
  <c r="J93" i="85"/>
  <c r="H96" i="85"/>
  <c r="G98" i="85"/>
  <c r="J98" i="85"/>
  <c r="I101" i="85"/>
  <c r="I104" i="85"/>
  <c r="J104" i="85"/>
  <c r="I106" i="85"/>
  <c r="H109" i="85"/>
  <c r="J109" i="85"/>
  <c r="H112" i="85"/>
  <c r="G114" i="85"/>
  <c r="J114" i="85"/>
  <c r="I117" i="85"/>
  <c r="I120" i="85"/>
  <c r="J120" i="85"/>
  <c r="I122" i="85"/>
  <c r="H125" i="85"/>
  <c r="J125" i="85"/>
  <c r="H128" i="85"/>
  <c r="G130" i="85"/>
  <c r="J130" i="85"/>
  <c r="I133" i="85"/>
  <c r="I136" i="85"/>
  <c r="J136" i="85"/>
  <c r="I138" i="85"/>
  <c r="H141" i="85"/>
  <c r="J141" i="85"/>
  <c r="H144" i="85"/>
  <c r="G146" i="85"/>
  <c r="J146" i="85"/>
  <c r="I149" i="85"/>
  <c r="I152" i="85"/>
  <c r="J152" i="85"/>
  <c r="I154" i="85"/>
  <c r="H157" i="85"/>
  <c r="J157" i="85"/>
  <c r="H161" i="85"/>
  <c r="G161" i="85"/>
  <c r="J161" i="85"/>
  <c r="I164" i="85"/>
  <c r="G164" i="85"/>
  <c r="J164" i="85"/>
  <c r="G166" i="85"/>
  <c r="H166" i="85"/>
  <c r="J166" i="85"/>
  <c r="H169" i="85"/>
  <c r="G169" i="85"/>
  <c r="J169" i="85"/>
  <c r="I172" i="85"/>
  <c r="G172" i="85"/>
  <c r="J172" i="85"/>
  <c r="G174" i="85"/>
  <c r="H174" i="85"/>
  <c r="J174" i="85"/>
  <c r="H177" i="85"/>
  <c r="G177" i="85"/>
  <c r="J177" i="85"/>
  <c r="I180" i="85"/>
  <c r="G180" i="85"/>
  <c r="J180" i="85"/>
  <c r="G182" i="85"/>
  <c r="H182" i="85"/>
  <c r="J182" i="85"/>
  <c r="H185" i="85"/>
  <c r="G185" i="85"/>
  <c r="J185" i="85"/>
  <c r="I188" i="85"/>
  <c r="G188" i="85"/>
  <c r="J188" i="85"/>
  <c r="G190" i="85"/>
  <c r="H190" i="85"/>
  <c r="J190" i="85"/>
  <c r="H193" i="85"/>
  <c r="G193" i="85"/>
  <c r="J193" i="85"/>
  <c r="I196" i="85"/>
  <c r="G196" i="85"/>
  <c r="J196" i="85"/>
  <c r="G198" i="85"/>
  <c r="H198" i="85"/>
  <c r="J198" i="85"/>
  <c r="H201" i="85"/>
  <c r="G201" i="85"/>
  <c r="J201" i="85"/>
  <c r="I204" i="85"/>
  <c r="G204" i="85"/>
  <c r="J204" i="85"/>
  <c r="G206" i="85"/>
  <c r="H206" i="85"/>
  <c r="J206" i="85"/>
  <c r="H209" i="85"/>
  <c r="G209" i="85"/>
  <c r="J209" i="85"/>
  <c r="I212" i="85"/>
  <c r="G212" i="85"/>
  <c r="J212" i="85"/>
  <c r="G214" i="85"/>
  <c r="H214" i="85"/>
  <c r="J214" i="85"/>
  <c r="H217" i="85"/>
  <c r="G217" i="85"/>
  <c r="J217" i="85"/>
  <c r="I220" i="85"/>
  <c r="G220" i="85"/>
  <c r="J220" i="85"/>
  <c r="I222" i="85"/>
  <c r="G222" i="85"/>
  <c r="H222" i="85"/>
  <c r="G240" i="85"/>
  <c r="H240" i="85"/>
  <c r="I240" i="85"/>
  <c r="H243" i="85"/>
  <c r="G243" i="85"/>
  <c r="I243" i="85"/>
  <c r="I262" i="85"/>
  <c r="G262" i="85"/>
  <c r="H262" i="85"/>
  <c r="G264" i="85"/>
  <c r="H264" i="85"/>
  <c r="I264" i="85"/>
  <c r="H283" i="85"/>
  <c r="G283" i="85"/>
  <c r="I283" i="85"/>
  <c r="I286" i="85"/>
  <c r="G286" i="85"/>
  <c r="H286" i="85"/>
  <c r="G304" i="85"/>
  <c r="H304" i="85"/>
  <c r="I304" i="85"/>
  <c r="H307" i="85"/>
  <c r="G307" i="85"/>
  <c r="I307" i="85"/>
  <c r="I326" i="85"/>
  <c r="G326" i="85"/>
  <c r="H326" i="85"/>
  <c r="H328" i="85"/>
  <c r="G328" i="85"/>
  <c r="I328" i="85"/>
  <c r="J328" i="85"/>
  <c r="I335" i="85"/>
  <c r="G335" i="85"/>
  <c r="J335" i="85"/>
  <c r="H335" i="85"/>
  <c r="G341" i="85"/>
  <c r="H341" i="85"/>
  <c r="I341" i="85"/>
  <c r="G349" i="85"/>
  <c r="H349" i="85"/>
  <c r="I349" i="85"/>
  <c r="J349" i="85"/>
  <c r="H356" i="85"/>
  <c r="G356" i="85"/>
  <c r="J356" i="85"/>
  <c r="I356" i="85"/>
  <c r="G361" i="85"/>
  <c r="H361" i="85"/>
  <c r="J361" i="85"/>
  <c r="I361" i="85"/>
  <c r="I367" i="85"/>
  <c r="G367" i="85"/>
  <c r="J367" i="85"/>
  <c r="H367" i="85"/>
  <c r="H372" i="85"/>
  <c r="G372" i="85"/>
  <c r="J372" i="85"/>
  <c r="I372" i="85"/>
  <c r="G377" i="85"/>
  <c r="H377" i="85"/>
  <c r="J377" i="85"/>
  <c r="I377" i="85"/>
  <c r="I383" i="85"/>
  <c r="G383" i="85"/>
  <c r="J383" i="85"/>
  <c r="H383" i="85"/>
  <c r="H388" i="85"/>
  <c r="G388" i="85"/>
  <c r="J388" i="85"/>
  <c r="I388" i="85"/>
  <c r="G393" i="85"/>
  <c r="H393" i="85"/>
  <c r="J393" i="85"/>
  <c r="I393" i="85"/>
  <c r="I399" i="85"/>
  <c r="G399" i="85"/>
  <c r="J399" i="85"/>
  <c r="H399" i="85"/>
  <c r="H404" i="85"/>
  <c r="G404" i="85"/>
  <c r="J404" i="85"/>
  <c r="I404" i="85"/>
  <c r="G409" i="85"/>
  <c r="H409" i="85"/>
  <c r="J409" i="85"/>
  <c r="I409" i="85"/>
  <c r="G40" i="85"/>
  <c r="I41" i="85"/>
  <c r="I44" i="85"/>
  <c r="J44" i="85"/>
  <c r="G45" i="85"/>
  <c r="I46" i="85"/>
  <c r="H49" i="85"/>
  <c r="J49" i="85"/>
  <c r="H50" i="85"/>
  <c r="H52" i="85"/>
  <c r="G54" i="85"/>
  <c r="J54" i="85"/>
  <c r="G56" i="85"/>
  <c r="I57" i="85"/>
  <c r="I60" i="85"/>
  <c r="J60" i="85"/>
  <c r="G61" i="85"/>
  <c r="I62" i="85"/>
  <c r="H65" i="85"/>
  <c r="J65" i="85"/>
  <c r="H66" i="85"/>
  <c r="H68" i="85"/>
  <c r="G70" i="85"/>
  <c r="J70" i="85"/>
  <c r="G72" i="85"/>
  <c r="I73" i="85"/>
  <c r="I76" i="85"/>
  <c r="J76" i="85"/>
  <c r="G77" i="85"/>
  <c r="I78" i="85"/>
  <c r="H81" i="85"/>
  <c r="J81" i="85"/>
  <c r="H82" i="85"/>
  <c r="H84" i="85"/>
  <c r="G86" i="85"/>
  <c r="J86" i="85"/>
  <c r="G88" i="85"/>
  <c r="I89" i="85"/>
  <c r="I92" i="85"/>
  <c r="J92" i="85"/>
  <c r="G93" i="85"/>
  <c r="I94" i="85"/>
  <c r="H97" i="85"/>
  <c r="J97" i="85"/>
  <c r="H98" i="85"/>
  <c r="H100" i="85"/>
  <c r="G102" i="85"/>
  <c r="J102" i="85"/>
  <c r="G104" i="85"/>
  <c r="I105" i="85"/>
  <c r="I108" i="85"/>
  <c r="J108" i="85"/>
  <c r="G109" i="85"/>
  <c r="I110" i="85"/>
  <c r="H113" i="85"/>
  <c r="J113" i="85"/>
  <c r="H114" i="85"/>
  <c r="H116" i="85"/>
  <c r="G118" i="85"/>
  <c r="J118" i="85"/>
  <c r="G120" i="85"/>
  <c r="I121" i="85"/>
  <c r="I124" i="85"/>
  <c r="J124" i="85"/>
  <c r="G125" i="85"/>
  <c r="I126" i="85"/>
  <c r="H129" i="85"/>
  <c r="J129" i="85"/>
  <c r="H130" i="85"/>
  <c r="H132" i="85"/>
  <c r="G134" i="85"/>
  <c r="J134" i="85"/>
  <c r="G136" i="85"/>
  <c r="I137" i="85"/>
  <c r="I140" i="85"/>
  <c r="J140" i="85"/>
  <c r="G141" i="85"/>
  <c r="I142" i="85"/>
  <c r="H145" i="85"/>
  <c r="J145" i="85"/>
  <c r="H146" i="85"/>
  <c r="H148" i="85"/>
  <c r="G150" i="85"/>
  <c r="J150" i="85"/>
  <c r="G152" i="85"/>
  <c r="I153" i="85"/>
  <c r="I156" i="85"/>
  <c r="J156" i="85"/>
  <c r="G157" i="85"/>
  <c r="I158" i="85"/>
  <c r="I161" i="85"/>
  <c r="H164" i="85"/>
  <c r="I166" i="85"/>
  <c r="I169" i="85"/>
  <c r="H172" i="85"/>
  <c r="I174" i="85"/>
  <c r="I177" i="85"/>
  <c r="H180" i="85"/>
  <c r="I182" i="85"/>
  <c r="I185" i="85"/>
  <c r="H188" i="85"/>
  <c r="I190" i="85"/>
  <c r="I193" i="85"/>
  <c r="H196" i="85"/>
  <c r="I198" i="85"/>
  <c r="I201" i="85"/>
  <c r="H204" i="85"/>
  <c r="I206" i="85"/>
  <c r="I209" i="85"/>
  <c r="H212" i="85"/>
  <c r="I214" i="85"/>
  <c r="I217" i="85"/>
  <c r="H220" i="85"/>
  <c r="J222" i="85"/>
  <c r="G224" i="85"/>
  <c r="H224" i="85"/>
  <c r="I224" i="85"/>
  <c r="H227" i="85"/>
  <c r="G227" i="85"/>
  <c r="I227" i="85"/>
  <c r="J240" i="85"/>
  <c r="J243" i="85"/>
  <c r="I246" i="85"/>
  <c r="G246" i="85"/>
  <c r="H246" i="85"/>
  <c r="G248" i="85"/>
  <c r="H248" i="85"/>
  <c r="I248" i="85"/>
  <c r="J262" i="85"/>
  <c r="J264" i="85"/>
  <c r="H267" i="85"/>
  <c r="G267" i="85"/>
  <c r="I267" i="85"/>
  <c r="I270" i="85"/>
  <c r="G270" i="85"/>
  <c r="H270" i="85"/>
  <c r="J283" i="85"/>
  <c r="J286" i="85"/>
  <c r="G288" i="85"/>
  <c r="H288" i="85"/>
  <c r="I288" i="85"/>
  <c r="H291" i="85"/>
  <c r="G291" i="85"/>
  <c r="I291" i="85"/>
  <c r="J304" i="85"/>
  <c r="J307" i="85"/>
  <c r="I310" i="85"/>
  <c r="G310" i="85"/>
  <c r="H310" i="85"/>
  <c r="G312" i="85"/>
  <c r="H312" i="85"/>
  <c r="I312" i="85"/>
  <c r="J326" i="85"/>
  <c r="G329" i="85"/>
  <c r="H329" i="85"/>
  <c r="J329" i="85"/>
  <c r="I329" i="85"/>
  <c r="H336" i="85"/>
  <c r="G336" i="85"/>
  <c r="I336" i="85"/>
  <c r="J341" i="85"/>
  <c r="H344" i="85"/>
  <c r="G344" i="85"/>
  <c r="I344" i="85"/>
  <c r="J344" i="85"/>
  <c r="I351" i="85"/>
  <c r="G351" i="85"/>
  <c r="J351" i="85"/>
  <c r="H351" i="85"/>
  <c r="H223" i="85"/>
  <c r="G223" i="85"/>
  <c r="G228" i="85"/>
  <c r="H228" i="85"/>
  <c r="I234" i="85"/>
  <c r="G234" i="85"/>
  <c r="H239" i="85"/>
  <c r="G239" i="85"/>
  <c r="G244" i="85"/>
  <c r="H244" i="85"/>
  <c r="I250" i="85"/>
  <c r="G250" i="85"/>
  <c r="H255" i="85"/>
  <c r="G255" i="85"/>
  <c r="G260" i="85"/>
  <c r="H260" i="85"/>
  <c r="I266" i="85"/>
  <c r="G266" i="85"/>
  <c r="H271" i="85"/>
  <c r="G271" i="85"/>
  <c r="G276" i="85"/>
  <c r="H276" i="85"/>
  <c r="I282" i="85"/>
  <c r="G282" i="85"/>
  <c r="H287" i="85"/>
  <c r="G287" i="85"/>
  <c r="G292" i="85"/>
  <c r="H292" i="85"/>
  <c r="I298" i="85"/>
  <c r="G298" i="85"/>
  <c r="H303" i="85"/>
  <c r="G303" i="85"/>
  <c r="G308" i="85"/>
  <c r="H308" i="85"/>
  <c r="I314" i="85"/>
  <c r="G314" i="85"/>
  <c r="H319" i="85"/>
  <c r="G319" i="85"/>
  <c r="G324" i="85"/>
  <c r="H324" i="85"/>
  <c r="I226" i="85"/>
  <c r="G226" i="85"/>
  <c r="H231" i="85"/>
  <c r="G231" i="85"/>
  <c r="G236" i="85"/>
  <c r="H236" i="85"/>
  <c r="I242" i="85"/>
  <c r="G242" i="85"/>
  <c r="H247" i="85"/>
  <c r="G247" i="85"/>
  <c r="G252" i="85"/>
  <c r="H252" i="85"/>
  <c r="I258" i="85"/>
  <c r="G258" i="85"/>
  <c r="H263" i="85"/>
  <c r="G263" i="85"/>
  <c r="G268" i="85"/>
  <c r="H268" i="85"/>
  <c r="I274" i="85"/>
  <c r="G274" i="85"/>
  <c r="H279" i="85"/>
  <c r="G279" i="85"/>
  <c r="G284" i="85"/>
  <c r="H284" i="85"/>
  <c r="I290" i="85"/>
  <c r="G290" i="85"/>
  <c r="H295" i="85"/>
  <c r="G295" i="85"/>
  <c r="G300" i="85"/>
  <c r="H300" i="85"/>
  <c r="I306" i="85"/>
  <c r="G306" i="85"/>
  <c r="H311" i="85"/>
  <c r="G311" i="85"/>
  <c r="G316" i="85"/>
  <c r="H316" i="85"/>
  <c r="I322" i="85"/>
  <c r="G322" i="85"/>
  <c r="H327" i="85"/>
  <c r="G327" i="85"/>
  <c r="G357" i="85"/>
  <c r="H357" i="85"/>
  <c r="J357" i="85"/>
  <c r="I363" i="85"/>
  <c r="G363" i="85"/>
  <c r="J363" i="85"/>
  <c r="H368" i="85"/>
  <c r="G368" i="85"/>
  <c r="J368" i="85"/>
  <c r="G373" i="85"/>
  <c r="H373" i="85"/>
  <c r="J373" i="85"/>
  <c r="I379" i="85"/>
  <c r="G379" i="85"/>
  <c r="J379" i="85"/>
  <c r="H384" i="85"/>
  <c r="G384" i="85"/>
  <c r="J384" i="85"/>
  <c r="G389" i="85"/>
  <c r="H389" i="85"/>
  <c r="J389" i="85"/>
  <c r="I395" i="85"/>
  <c r="G395" i="85"/>
  <c r="J395" i="85"/>
  <c r="H400" i="85"/>
  <c r="G400" i="85"/>
  <c r="J400" i="85"/>
  <c r="G405" i="85"/>
  <c r="H405" i="85"/>
  <c r="J405" i="85"/>
  <c r="I411" i="85"/>
  <c r="G411" i="85"/>
  <c r="J411" i="85"/>
  <c r="H360" i="85"/>
  <c r="G360" i="85"/>
  <c r="G365" i="85"/>
  <c r="H365" i="85"/>
  <c r="I371" i="85"/>
  <c r="G371" i="85"/>
  <c r="H376" i="85"/>
  <c r="G376" i="85"/>
  <c r="G381" i="85"/>
  <c r="H381" i="85"/>
  <c r="I387" i="85"/>
  <c r="G387" i="85"/>
  <c r="H392" i="85"/>
  <c r="G392" i="85"/>
  <c r="G397" i="85"/>
  <c r="H397" i="85"/>
  <c r="I403" i="85"/>
  <c r="G403" i="85"/>
  <c r="H408" i="85"/>
  <c r="G408" i="85"/>
  <c r="H332" i="85"/>
  <c r="G332" i="85"/>
  <c r="G337" i="85"/>
  <c r="H337" i="85"/>
  <c r="I343" i="85"/>
  <c r="G343" i="85"/>
  <c r="H348" i="85"/>
  <c r="G348" i="85"/>
  <c r="G353" i="85"/>
  <c r="H353" i="85"/>
  <c r="I359" i="85"/>
  <c r="G359" i="85"/>
  <c r="I360" i="85"/>
  <c r="H364" i="85"/>
  <c r="G364" i="85"/>
  <c r="I365" i="85"/>
  <c r="G369" i="85"/>
  <c r="H369" i="85"/>
  <c r="H371" i="85"/>
  <c r="I375" i="85"/>
  <c r="G375" i="85"/>
  <c r="I376" i="85"/>
  <c r="H380" i="85"/>
  <c r="G380" i="85"/>
  <c r="I381" i="85"/>
  <c r="G385" i="85"/>
  <c r="H385" i="85"/>
  <c r="H387" i="85"/>
  <c r="I391" i="85"/>
  <c r="G391" i="85"/>
  <c r="I392" i="85"/>
  <c r="H396" i="85"/>
  <c r="G396" i="85"/>
  <c r="I397" i="85"/>
  <c r="G401" i="85"/>
  <c r="H401" i="85"/>
  <c r="H403" i="85"/>
  <c r="I407" i="85"/>
  <c r="G407" i="85"/>
  <c r="I408" i="85"/>
  <c r="H412" i="85"/>
  <c r="G412" i="85"/>
  <c r="G35" i="84"/>
  <c r="G39" i="84"/>
  <c r="I39" i="84"/>
  <c r="G47" i="84"/>
  <c r="G55" i="84"/>
  <c r="I55" i="84"/>
  <c r="G59" i="84"/>
  <c r="G63" i="84"/>
  <c r="I63" i="84"/>
  <c r="G67" i="84"/>
  <c r="I71" i="84"/>
  <c r="G87" i="84"/>
  <c r="I87" i="84"/>
  <c r="G95" i="84"/>
  <c r="I95" i="84"/>
  <c r="G103" i="84"/>
  <c r="I103" i="84"/>
  <c r="I107" i="84"/>
  <c r="I115" i="84"/>
  <c r="G119" i="84"/>
  <c r="I119" i="84"/>
  <c r="G123" i="84"/>
  <c r="I123" i="84"/>
  <c r="I127" i="84"/>
  <c r="G131" i="84"/>
  <c r="I131" i="84"/>
  <c r="I135" i="84"/>
  <c r="I139" i="84"/>
  <c r="I143" i="84"/>
  <c r="I147" i="84"/>
  <c r="G151" i="84"/>
  <c r="I151" i="84"/>
  <c r="H156" i="84"/>
  <c r="I160" i="84"/>
  <c r="G183" i="84"/>
  <c r="I183" i="84"/>
  <c r="J204" i="84"/>
  <c r="G204" i="84"/>
  <c r="I204" i="84"/>
  <c r="J208" i="84"/>
  <c r="H208" i="84"/>
  <c r="G208" i="84"/>
  <c r="G219" i="84"/>
  <c r="I219" i="84"/>
  <c r="J263" i="84"/>
  <c r="I263" i="84"/>
  <c r="G263" i="84"/>
  <c r="J315" i="84"/>
  <c r="I315" i="84"/>
  <c r="G315" i="84"/>
  <c r="G340" i="84"/>
  <c r="J376" i="84"/>
  <c r="H376" i="84"/>
  <c r="J380" i="84"/>
  <c r="I380" i="84"/>
  <c r="H380" i="84"/>
  <c r="H389" i="84"/>
  <c r="G389" i="84"/>
  <c r="J400" i="84"/>
  <c r="I400" i="84"/>
  <c r="G400" i="84"/>
  <c r="H35" i="84"/>
  <c r="I38" i="84"/>
  <c r="H39" i="84"/>
  <c r="H43" i="84"/>
  <c r="H46" i="84"/>
  <c r="I46" i="84"/>
  <c r="H50" i="84"/>
  <c r="I50" i="84"/>
  <c r="H55" i="84"/>
  <c r="H58" i="84"/>
  <c r="H59" i="84"/>
  <c r="I62" i="84"/>
  <c r="H63" i="84"/>
  <c r="H66" i="84"/>
  <c r="I66" i="84"/>
  <c r="H67" i="84"/>
  <c r="I70" i="84"/>
  <c r="H71" i="84"/>
  <c r="H74" i="84"/>
  <c r="I74" i="84"/>
  <c r="H75" i="84"/>
  <c r="H78" i="84"/>
  <c r="I78" i="84"/>
  <c r="H82" i="84"/>
  <c r="I82" i="84"/>
  <c r="H86" i="84"/>
  <c r="I86" i="84"/>
  <c r="H87" i="84"/>
  <c r="H91" i="84"/>
  <c r="H95" i="84"/>
  <c r="H98" i="84"/>
  <c r="I98" i="84"/>
  <c r="I102" i="84"/>
  <c r="H103" i="84"/>
  <c r="H106" i="84"/>
  <c r="I106" i="84"/>
  <c r="H107" i="84"/>
  <c r="H110" i="84"/>
  <c r="I110" i="84"/>
  <c r="H114" i="84"/>
  <c r="I114" i="84"/>
  <c r="H115" i="84"/>
  <c r="H118" i="84"/>
  <c r="I118" i="84"/>
  <c r="H119" i="84"/>
  <c r="H123" i="84"/>
  <c r="H127" i="84"/>
  <c r="H130" i="84"/>
  <c r="I130" i="84"/>
  <c r="H131" i="84"/>
  <c r="I134" i="84"/>
  <c r="H139" i="84"/>
  <c r="H142" i="84"/>
  <c r="I142" i="84"/>
  <c r="H146" i="84"/>
  <c r="I146" i="84"/>
  <c r="H147" i="84"/>
  <c r="H151" i="84"/>
  <c r="J158" i="84"/>
  <c r="G160" i="84"/>
  <c r="H183" i="84"/>
  <c r="I195" i="84"/>
  <c r="H204" i="84"/>
  <c r="I208" i="84"/>
  <c r="H219" i="84"/>
  <c r="J235" i="84"/>
  <c r="I235" i="84"/>
  <c r="G244" i="84"/>
  <c r="J259" i="84"/>
  <c r="G259" i="84"/>
  <c r="H259" i="84"/>
  <c r="H263" i="84"/>
  <c r="J267" i="84"/>
  <c r="I267" i="84"/>
  <c r="H279" i="84"/>
  <c r="J307" i="84"/>
  <c r="H307" i="84"/>
  <c r="G307" i="84"/>
  <c r="H315" i="84"/>
  <c r="J332" i="84"/>
  <c r="G332" i="84"/>
  <c r="I332" i="84"/>
  <c r="J336" i="84"/>
  <c r="H336" i="84"/>
  <c r="G336" i="84"/>
  <c r="G345" i="84"/>
  <c r="G376" i="84"/>
  <c r="G380" i="84"/>
  <c r="H400" i="84"/>
  <c r="G405" i="84"/>
  <c r="I33" i="84"/>
  <c r="J35" i="84"/>
  <c r="G38" i="84"/>
  <c r="J39" i="84"/>
  <c r="I41" i="84"/>
  <c r="H41" i="84"/>
  <c r="G46" i="84"/>
  <c r="I49" i="84"/>
  <c r="H49" i="84"/>
  <c r="G50" i="84"/>
  <c r="I53" i="84"/>
  <c r="H53" i="84"/>
  <c r="J55" i="84"/>
  <c r="I57" i="84"/>
  <c r="H57" i="84"/>
  <c r="J59" i="84"/>
  <c r="I61" i="84"/>
  <c r="H61" i="84"/>
  <c r="G62" i="84"/>
  <c r="J63" i="84"/>
  <c r="G66" i="84"/>
  <c r="J67" i="84"/>
  <c r="G70" i="84"/>
  <c r="I73" i="84"/>
  <c r="H73" i="84"/>
  <c r="G74" i="84"/>
  <c r="G78" i="84"/>
  <c r="I81" i="84"/>
  <c r="G82" i="84"/>
  <c r="I85" i="84"/>
  <c r="H85" i="84"/>
  <c r="G86" i="84"/>
  <c r="J87" i="84"/>
  <c r="I89" i="84"/>
  <c r="H89" i="84"/>
  <c r="G90" i="84"/>
  <c r="J91" i="84"/>
  <c r="G94" i="84"/>
  <c r="J95" i="84"/>
  <c r="I97" i="84"/>
  <c r="G98" i="84"/>
  <c r="I101" i="84"/>
  <c r="J103" i="84"/>
  <c r="I105" i="84"/>
  <c r="H105" i="84"/>
  <c r="G106" i="84"/>
  <c r="I109" i="84"/>
  <c r="G110" i="84"/>
  <c r="G114" i="84"/>
  <c r="I117" i="84"/>
  <c r="H117" i="84"/>
  <c r="G118" i="84"/>
  <c r="J119" i="84"/>
  <c r="I121" i="84"/>
  <c r="H121" i="84"/>
  <c r="G122" i="84"/>
  <c r="J123" i="84"/>
  <c r="I125" i="84"/>
  <c r="H125" i="84"/>
  <c r="G126" i="84"/>
  <c r="J127" i="84"/>
  <c r="I129" i="84"/>
  <c r="G130" i="84"/>
  <c r="J131" i="84"/>
  <c r="I133" i="84"/>
  <c r="G134" i="84"/>
  <c r="I137" i="84"/>
  <c r="H137" i="84"/>
  <c r="I141" i="84"/>
  <c r="G142" i="84"/>
  <c r="I145" i="84"/>
  <c r="H145" i="84"/>
  <c r="G146" i="84"/>
  <c r="I149" i="84"/>
  <c r="H149" i="84"/>
  <c r="J151" i="84"/>
  <c r="H155" i="84"/>
  <c r="I156" i="84"/>
  <c r="J164" i="84"/>
  <c r="I164" i="84"/>
  <c r="G175" i="84"/>
  <c r="H175" i="84"/>
  <c r="I175" i="84"/>
  <c r="J185" i="84"/>
  <c r="G201" i="84"/>
  <c r="J201" i="84"/>
  <c r="G207" i="84"/>
  <c r="G235" i="84"/>
  <c r="J243" i="84"/>
  <c r="H243" i="84"/>
  <c r="G243" i="84"/>
  <c r="I259" i="84"/>
  <c r="G267" i="84"/>
  <c r="G275" i="84"/>
  <c r="J283" i="84"/>
  <c r="H283" i="84"/>
  <c r="G283" i="84"/>
  <c r="I307" i="84"/>
  <c r="H332" i="84"/>
  <c r="I336" i="84"/>
  <c r="J352" i="84"/>
  <c r="H352" i="84"/>
  <c r="I376" i="84"/>
  <c r="G378" i="84"/>
  <c r="J396" i="84"/>
  <c r="H396" i="84"/>
  <c r="G396" i="84"/>
  <c r="H404" i="84"/>
  <c r="F27" i="84"/>
  <c r="F28" i="84"/>
  <c r="F29" i="84"/>
  <c r="H32" i="84"/>
  <c r="H36" i="84"/>
  <c r="J38" i="84"/>
  <c r="G41" i="84"/>
  <c r="J44" i="84"/>
  <c r="H44" i="84"/>
  <c r="J46" i="84"/>
  <c r="J48" i="84"/>
  <c r="H48" i="84"/>
  <c r="G49" i="84"/>
  <c r="J50" i="84"/>
  <c r="J52" i="84"/>
  <c r="G53" i="84"/>
  <c r="J56" i="84"/>
  <c r="H56" i="84"/>
  <c r="G57" i="84"/>
  <c r="J60" i="84"/>
  <c r="H60" i="84"/>
  <c r="G61" i="84"/>
  <c r="J62" i="84"/>
  <c r="H64" i="84"/>
  <c r="J66" i="84"/>
  <c r="J70" i="84"/>
  <c r="H72" i="84"/>
  <c r="G73" i="84"/>
  <c r="J74" i="84"/>
  <c r="J76" i="84"/>
  <c r="H76" i="84"/>
  <c r="J78" i="84"/>
  <c r="J80" i="84"/>
  <c r="H80" i="84"/>
  <c r="G81" i="84"/>
  <c r="J82" i="84"/>
  <c r="J84" i="84"/>
  <c r="H84" i="84"/>
  <c r="G85" i="84"/>
  <c r="J86" i="84"/>
  <c r="J88" i="84"/>
  <c r="H88" i="84"/>
  <c r="G89" i="84"/>
  <c r="H96" i="84"/>
  <c r="J98" i="84"/>
  <c r="H100" i="84"/>
  <c r="H104" i="84"/>
  <c r="G105" i="84"/>
  <c r="J106" i="84"/>
  <c r="J108" i="84"/>
  <c r="H108" i="84"/>
  <c r="J110" i="84"/>
  <c r="J112" i="84"/>
  <c r="H112" i="84"/>
  <c r="J114" i="84"/>
  <c r="J116" i="84"/>
  <c r="H116" i="84"/>
  <c r="G117" i="84"/>
  <c r="J118" i="84"/>
  <c r="G121" i="84"/>
  <c r="J124" i="84"/>
  <c r="H124" i="84"/>
  <c r="G125" i="84"/>
  <c r="J130" i="84"/>
  <c r="H136" i="84"/>
  <c r="G137" i="84"/>
  <c r="J140" i="84"/>
  <c r="H140" i="84"/>
  <c r="G141" i="84"/>
  <c r="J142" i="84"/>
  <c r="J144" i="84"/>
  <c r="H144" i="84"/>
  <c r="G145" i="84"/>
  <c r="J146" i="84"/>
  <c r="J148" i="84"/>
  <c r="H148" i="84"/>
  <c r="G149" i="84"/>
  <c r="J152" i="84"/>
  <c r="H152" i="84"/>
  <c r="G153" i="84"/>
  <c r="I155" i="84"/>
  <c r="G164" i="84"/>
  <c r="J168" i="84"/>
  <c r="J176" i="84"/>
  <c r="H176" i="84"/>
  <c r="J180" i="84"/>
  <c r="J188" i="84"/>
  <c r="I188" i="84"/>
  <c r="H188" i="84"/>
  <c r="J196" i="84"/>
  <c r="I196" i="84"/>
  <c r="G196" i="84"/>
  <c r="J212" i="84"/>
  <c r="G212" i="84"/>
  <c r="H212" i="84"/>
  <c r="I231" i="84"/>
  <c r="H231" i="84"/>
  <c r="H235" i="84"/>
  <c r="I238" i="84"/>
  <c r="I243" i="84"/>
  <c r="J251" i="84"/>
  <c r="H251" i="84"/>
  <c r="G255" i="84"/>
  <c r="H267" i="84"/>
  <c r="I283" i="84"/>
  <c r="J287" i="84"/>
  <c r="I287" i="84"/>
  <c r="G330" i="84"/>
  <c r="I330" i="84"/>
  <c r="I352" i="84"/>
  <c r="I371" i="84"/>
  <c r="H371" i="84"/>
  <c r="G392" i="84"/>
  <c r="I396" i="84"/>
  <c r="H399" i="84"/>
  <c r="G404" i="84"/>
  <c r="J172" i="84"/>
  <c r="J184" i="84"/>
  <c r="I184" i="84"/>
  <c r="G187" i="84"/>
  <c r="I187" i="84"/>
  <c r="J200" i="84"/>
  <c r="G200" i="84"/>
  <c r="G215" i="84"/>
  <c r="I215" i="84"/>
  <c r="J220" i="84"/>
  <c r="J239" i="84"/>
  <c r="H239" i="84"/>
  <c r="J291" i="84"/>
  <c r="I291" i="84"/>
  <c r="J327" i="84"/>
  <c r="G327" i="84"/>
  <c r="J360" i="84"/>
  <c r="I360" i="84"/>
  <c r="J412" i="84"/>
  <c r="G412" i="84"/>
  <c r="I157" i="84"/>
  <c r="H157" i="84"/>
  <c r="H162" i="84"/>
  <c r="G162" i="84"/>
  <c r="I173" i="84"/>
  <c r="H173" i="84"/>
  <c r="G178" i="84"/>
  <c r="I189" i="84"/>
  <c r="H189" i="84"/>
  <c r="H194" i="84"/>
  <c r="G194" i="84"/>
  <c r="I205" i="84"/>
  <c r="H210" i="84"/>
  <c r="G210" i="84"/>
  <c r="I221" i="84"/>
  <c r="H221" i="84"/>
  <c r="H237" i="84"/>
  <c r="J237" i="84"/>
  <c r="I237" i="84"/>
  <c r="I242" i="84"/>
  <c r="I248" i="84"/>
  <c r="H248" i="84"/>
  <c r="H253" i="84"/>
  <c r="J253" i="84"/>
  <c r="I253" i="84"/>
  <c r="G258" i="84"/>
  <c r="J258" i="84"/>
  <c r="I258" i="84"/>
  <c r="I264" i="84"/>
  <c r="J264" i="84"/>
  <c r="H264" i="84"/>
  <c r="G274" i="84"/>
  <c r="J274" i="84"/>
  <c r="I274" i="84"/>
  <c r="H285" i="84"/>
  <c r="J285" i="84"/>
  <c r="I285" i="84"/>
  <c r="I296" i="84"/>
  <c r="J296" i="84"/>
  <c r="H296" i="84"/>
  <c r="G306" i="84"/>
  <c r="J306" i="84"/>
  <c r="I306" i="84"/>
  <c r="H317" i="84"/>
  <c r="J317" i="84"/>
  <c r="I317" i="84"/>
  <c r="J328" i="84"/>
  <c r="G331" i="84"/>
  <c r="J331" i="84"/>
  <c r="I331" i="84"/>
  <c r="H331" i="84"/>
  <c r="I337" i="84"/>
  <c r="H337" i="84"/>
  <c r="J370" i="84"/>
  <c r="H374" i="84"/>
  <c r="J374" i="84"/>
  <c r="I374" i="84"/>
  <c r="G374" i="84"/>
  <c r="J379" i="84"/>
  <c r="I379" i="84"/>
  <c r="H379" i="84"/>
  <c r="G157" i="84"/>
  <c r="I161" i="84"/>
  <c r="G173" i="84"/>
  <c r="I177" i="84"/>
  <c r="H177" i="84"/>
  <c r="H198" i="84"/>
  <c r="G198" i="84"/>
  <c r="I209" i="84"/>
  <c r="H209" i="84"/>
  <c r="I210" i="84"/>
  <c r="H214" i="84"/>
  <c r="G214" i="84"/>
  <c r="G221" i="84"/>
  <c r="I224" i="84"/>
  <c r="H224" i="84"/>
  <c r="G224" i="84"/>
  <c r="G226" i="84"/>
  <c r="H229" i="84"/>
  <c r="I229" i="84"/>
  <c r="G229" i="84"/>
  <c r="I232" i="84"/>
  <c r="H232" i="84"/>
  <c r="G232" i="84"/>
  <c r="G234" i="84"/>
  <c r="I234" i="84"/>
  <c r="H234" i="84"/>
  <c r="G237" i="84"/>
  <c r="H242" i="84"/>
  <c r="G253" i="84"/>
  <c r="H258" i="84"/>
  <c r="G264" i="84"/>
  <c r="I272" i="84"/>
  <c r="J272" i="84"/>
  <c r="H272" i="84"/>
  <c r="H274" i="84"/>
  <c r="G282" i="84"/>
  <c r="J282" i="84"/>
  <c r="I282" i="84"/>
  <c r="G285" i="84"/>
  <c r="H293" i="84"/>
  <c r="J293" i="84"/>
  <c r="I293" i="84"/>
  <c r="G296" i="84"/>
  <c r="J304" i="84"/>
  <c r="H304" i="84"/>
  <c r="H306" i="84"/>
  <c r="I314" i="84"/>
  <c r="G317" i="84"/>
  <c r="J325" i="84"/>
  <c r="I325" i="84"/>
  <c r="J333" i="84"/>
  <c r="H333" i="84"/>
  <c r="G333" i="84"/>
  <c r="G375" i="84"/>
  <c r="I375" i="84"/>
  <c r="I162" i="84"/>
  <c r="H166" i="84"/>
  <c r="G166" i="84"/>
  <c r="H182" i="84"/>
  <c r="G182" i="84"/>
  <c r="G189" i="84"/>
  <c r="I193" i="84"/>
  <c r="H193" i="84"/>
  <c r="I194" i="84"/>
  <c r="H154" i="84"/>
  <c r="J157" i="84"/>
  <c r="G161" i="84"/>
  <c r="J162" i="84"/>
  <c r="I165" i="84"/>
  <c r="H165" i="84"/>
  <c r="I166" i="84"/>
  <c r="H170" i="84"/>
  <c r="G170" i="84"/>
  <c r="J173" i="84"/>
  <c r="G177" i="84"/>
  <c r="I181" i="84"/>
  <c r="H181" i="84"/>
  <c r="I182" i="84"/>
  <c r="J189" i="84"/>
  <c r="G193" i="84"/>
  <c r="J194" i="84"/>
  <c r="I197" i="84"/>
  <c r="H197" i="84"/>
  <c r="I198" i="84"/>
  <c r="H202" i="84"/>
  <c r="G202" i="84"/>
  <c r="J205" i="84"/>
  <c r="G209" i="84"/>
  <c r="J210" i="84"/>
  <c r="I214" i="84"/>
  <c r="H218" i="84"/>
  <c r="G218" i="84"/>
  <c r="J221" i="84"/>
  <c r="J224" i="84"/>
  <c r="J232" i="84"/>
  <c r="J234" i="84"/>
  <c r="H269" i="84"/>
  <c r="G272" i="84"/>
  <c r="H280" i="84"/>
  <c r="H282" i="84"/>
  <c r="G290" i="84"/>
  <c r="J290" i="84"/>
  <c r="I290" i="84"/>
  <c r="G293" i="84"/>
  <c r="H301" i="84"/>
  <c r="G304" i="84"/>
  <c r="I312" i="84"/>
  <c r="J312" i="84"/>
  <c r="H312" i="84"/>
  <c r="H314" i="84"/>
  <c r="G322" i="84"/>
  <c r="J322" i="84"/>
  <c r="I322" i="84"/>
  <c r="G325" i="84"/>
  <c r="H349" i="84"/>
  <c r="I353" i="84"/>
  <c r="J353" i="84"/>
  <c r="H353" i="84"/>
  <c r="G353" i="84"/>
  <c r="H358" i="84"/>
  <c r="J358" i="84"/>
  <c r="I358" i="84"/>
  <c r="G358" i="84"/>
  <c r="G391" i="84"/>
  <c r="J391" i="84"/>
  <c r="I391" i="84"/>
  <c r="G395" i="84"/>
  <c r="J395" i="84"/>
  <c r="I395" i="84"/>
  <c r="I401" i="84"/>
  <c r="J401" i="84"/>
  <c r="H401" i="84"/>
  <c r="G401" i="84"/>
  <c r="F25" i="84"/>
  <c r="I153" i="84"/>
  <c r="H153" i="84"/>
  <c r="H158" i="84"/>
  <c r="G158" i="84"/>
  <c r="J161" i="84"/>
  <c r="G165" i="84"/>
  <c r="J166" i="84"/>
  <c r="I169" i="84"/>
  <c r="H169" i="84"/>
  <c r="I170" i="84"/>
  <c r="H174" i="84"/>
  <c r="J177" i="84"/>
  <c r="G181" i="84"/>
  <c r="J182" i="84"/>
  <c r="I185" i="84"/>
  <c r="H185" i="84"/>
  <c r="H190" i="84"/>
  <c r="G190" i="84"/>
  <c r="J193" i="84"/>
  <c r="G197" i="84"/>
  <c r="J198" i="84"/>
  <c r="I201" i="84"/>
  <c r="H201" i="84"/>
  <c r="I202" i="84"/>
  <c r="H206" i="84"/>
  <c r="G206" i="84"/>
  <c r="J209" i="84"/>
  <c r="J214" i="84"/>
  <c r="I217" i="84"/>
  <c r="H217" i="84"/>
  <c r="I218" i="84"/>
  <c r="G222" i="84"/>
  <c r="I222" i="84"/>
  <c r="H222" i="84"/>
  <c r="H225" i="84"/>
  <c r="I225" i="84"/>
  <c r="G225" i="84"/>
  <c r="I228" i="84"/>
  <c r="G230" i="84"/>
  <c r="I230" i="84"/>
  <c r="H230" i="84"/>
  <c r="H233" i="84"/>
  <c r="I233" i="84"/>
  <c r="G233" i="84"/>
  <c r="I236" i="84"/>
  <c r="J236" i="84"/>
  <c r="H236" i="84"/>
  <c r="G236" i="84"/>
  <c r="H241" i="84"/>
  <c r="J241" i="84"/>
  <c r="I241" i="84"/>
  <c r="G241" i="84"/>
  <c r="G246" i="84"/>
  <c r="I252" i="84"/>
  <c r="J252" i="84"/>
  <c r="H252" i="84"/>
  <c r="G252" i="84"/>
  <c r="J257" i="84"/>
  <c r="G257" i="84"/>
  <c r="I262" i="84"/>
  <c r="G266" i="84"/>
  <c r="J266" i="84"/>
  <c r="I266" i="84"/>
  <c r="J277" i="84"/>
  <c r="I277" i="84"/>
  <c r="G280" i="84"/>
  <c r="I288" i="84"/>
  <c r="J288" i="84"/>
  <c r="H288" i="84"/>
  <c r="H290" i="84"/>
  <c r="J298" i="84"/>
  <c r="I298" i="84"/>
  <c r="H309" i="84"/>
  <c r="J309" i="84"/>
  <c r="I309" i="84"/>
  <c r="G312" i="84"/>
  <c r="I320" i="84"/>
  <c r="J320" i="84"/>
  <c r="H320" i="84"/>
  <c r="H322" i="84"/>
  <c r="H354" i="84"/>
  <c r="J354" i="84"/>
  <c r="I354" i="84"/>
  <c r="H391" i="84"/>
  <c r="I397" i="84"/>
  <c r="J397" i="84"/>
  <c r="H397" i="84"/>
  <c r="G397" i="84"/>
  <c r="J155" i="84"/>
  <c r="J167" i="84"/>
  <c r="J175" i="84"/>
  <c r="J183" i="84"/>
  <c r="J187" i="84"/>
  <c r="J191" i="84"/>
  <c r="J199" i="84"/>
  <c r="J203" i="84"/>
  <c r="J207" i="84"/>
  <c r="J211" i="84"/>
  <c r="J215" i="84"/>
  <c r="J219" i="84"/>
  <c r="I240" i="84"/>
  <c r="J245" i="84"/>
  <c r="G250" i="84"/>
  <c r="I256" i="84"/>
  <c r="J256" i="84"/>
  <c r="H261" i="84"/>
  <c r="J261" i="84"/>
  <c r="H265" i="84"/>
  <c r="J265" i="84"/>
  <c r="I265" i="84"/>
  <c r="I268" i="84"/>
  <c r="J268" i="84"/>
  <c r="H268" i="84"/>
  <c r="G270" i="84"/>
  <c r="J270" i="84"/>
  <c r="I270" i="84"/>
  <c r="H273" i="84"/>
  <c r="J273" i="84"/>
  <c r="I276" i="84"/>
  <c r="J276" i="84"/>
  <c r="H276" i="84"/>
  <c r="G278" i="84"/>
  <c r="J278" i="84"/>
  <c r="I278" i="84"/>
  <c r="H281" i="84"/>
  <c r="J281" i="84"/>
  <c r="I281" i="84"/>
  <c r="I284" i="84"/>
  <c r="G286" i="84"/>
  <c r="J286" i="84"/>
  <c r="I286" i="84"/>
  <c r="J289" i="84"/>
  <c r="I289" i="84"/>
  <c r="I292" i="84"/>
  <c r="J292" i="84"/>
  <c r="H292" i="84"/>
  <c r="G294" i="84"/>
  <c r="J294" i="84"/>
  <c r="I294" i="84"/>
  <c r="H297" i="84"/>
  <c r="J297" i="84"/>
  <c r="I297" i="84"/>
  <c r="I300" i="84"/>
  <c r="J300" i="84"/>
  <c r="H300" i="84"/>
  <c r="G302" i="84"/>
  <c r="J302" i="84"/>
  <c r="I302" i="84"/>
  <c r="H305" i="84"/>
  <c r="J305" i="84"/>
  <c r="I305" i="84"/>
  <c r="I308" i="84"/>
  <c r="J308" i="84"/>
  <c r="H308" i="84"/>
  <c r="G310" i="84"/>
  <c r="J310" i="84"/>
  <c r="I310" i="84"/>
  <c r="H313" i="84"/>
  <c r="J313" i="84"/>
  <c r="I313" i="84"/>
  <c r="I316" i="84"/>
  <c r="J316" i="84"/>
  <c r="H316" i="84"/>
  <c r="J318" i="84"/>
  <c r="J321" i="84"/>
  <c r="I324" i="84"/>
  <c r="J324" i="84"/>
  <c r="H324" i="84"/>
  <c r="G326" i="84"/>
  <c r="J326" i="84"/>
  <c r="I326" i="84"/>
  <c r="I338" i="84"/>
  <c r="H342" i="84"/>
  <c r="J342" i="84"/>
  <c r="I342" i="84"/>
  <c r="G342" i="84"/>
  <c r="J359" i="84"/>
  <c r="I359" i="84"/>
  <c r="I363" i="84"/>
  <c r="I381" i="84"/>
  <c r="H381" i="84"/>
  <c r="I385" i="84"/>
  <c r="J385" i="84"/>
  <c r="H385" i="84"/>
  <c r="G385" i="84"/>
  <c r="H402" i="84"/>
  <c r="J402" i="84"/>
  <c r="H406" i="84"/>
  <c r="J406" i="84"/>
  <c r="I406" i="84"/>
  <c r="G406" i="84"/>
  <c r="G238" i="84"/>
  <c r="J238" i="84"/>
  <c r="G240" i="84"/>
  <c r="I244" i="84"/>
  <c r="J244" i="84"/>
  <c r="H249" i="84"/>
  <c r="J249" i="84"/>
  <c r="H250" i="84"/>
  <c r="J254" i="84"/>
  <c r="G256" i="84"/>
  <c r="I260" i="84"/>
  <c r="J260" i="84"/>
  <c r="G261" i="84"/>
  <c r="G265" i="84"/>
  <c r="G268" i="84"/>
  <c r="H270" i="84"/>
  <c r="G273" i="84"/>
  <c r="G276" i="84"/>
  <c r="H278" i="84"/>
  <c r="G281" i="84"/>
  <c r="G284" i="84"/>
  <c r="H286" i="84"/>
  <c r="G289" i="84"/>
  <c r="G292" i="84"/>
  <c r="H294" i="84"/>
  <c r="G297" i="84"/>
  <c r="G300" i="84"/>
  <c r="H302" i="84"/>
  <c r="G305" i="84"/>
  <c r="H310" i="84"/>
  <c r="G313" i="84"/>
  <c r="G316" i="84"/>
  <c r="G321" i="84"/>
  <c r="G324" i="84"/>
  <c r="H326" i="84"/>
  <c r="G343" i="84"/>
  <c r="J343" i="84"/>
  <c r="I343" i="84"/>
  <c r="J347" i="84"/>
  <c r="I347" i="84"/>
  <c r="H347" i="84"/>
  <c r="I365" i="84"/>
  <c r="H365" i="84"/>
  <c r="I369" i="84"/>
  <c r="J369" i="84"/>
  <c r="H369" i="84"/>
  <c r="G369" i="84"/>
  <c r="H386" i="84"/>
  <c r="J386" i="84"/>
  <c r="I386" i="84"/>
  <c r="J390" i="84"/>
  <c r="G390" i="84"/>
  <c r="G407" i="84"/>
  <c r="J407" i="84"/>
  <c r="I407" i="84"/>
  <c r="G411" i="84"/>
  <c r="H330" i="84"/>
  <c r="J330" i="84"/>
  <c r="J341" i="84"/>
  <c r="H346" i="84"/>
  <c r="J346" i="84"/>
  <c r="G351" i="84"/>
  <c r="J351" i="84"/>
  <c r="I357" i="84"/>
  <c r="J357" i="84"/>
  <c r="H362" i="84"/>
  <c r="J362" i="84"/>
  <c r="J367" i="84"/>
  <c r="I373" i="84"/>
  <c r="J373" i="84"/>
  <c r="H378" i="84"/>
  <c r="J378" i="84"/>
  <c r="G383" i="84"/>
  <c r="J383" i="84"/>
  <c r="I389" i="84"/>
  <c r="J389" i="84"/>
  <c r="H394" i="84"/>
  <c r="J394" i="84"/>
  <c r="G399" i="84"/>
  <c r="J399" i="84"/>
  <c r="I405" i="84"/>
  <c r="J405" i="84"/>
  <c r="H410" i="84"/>
  <c r="J410" i="84"/>
  <c r="I329" i="84"/>
  <c r="J329" i="84"/>
  <c r="H334" i="84"/>
  <c r="J334" i="84"/>
  <c r="G339" i="84"/>
  <c r="J339" i="84"/>
  <c r="I345" i="84"/>
  <c r="J345" i="84"/>
  <c r="J350" i="84"/>
  <c r="G355" i="84"/>
  <c r="J355" i="84"/>
  <c r="J361" i="84"/>
  <c r="H366" i="84"/>
  <c r="J366" i="84"/>
  <c r="G371" i="84"/>
  <c r="J371" i="84"/>
  <c r="J377" i="84"/>
  <c r="H382" i="84"/>
  <c r="J382" i="84"/>
  <c r="G387" i="84"/>
  <c r="J387" i="84"/>
  <c r="J393" i="84"/>
  <c r="J398" i="84"/>
  <c r="G403" i="84"/>
  <c r="J403" i="84"/>
  <c r="I409" i="84"/>
  <c r="J409" i="84"/>
  <c r="I30" i="83"/>
  <c r="J30" i="83"/>
  <c r="J33" i="83"/>
  <c r="G33" i="83"/>
  <c r="J45" i="83"/>
  <c r="H45" i="83"/>
  <c r="H51" i="83"/>
  <c r="J51" i="83"/>
  <c r="H55" i="83"/>
  <c r="G55" i="83"/>
  <c r="J57" i="83"/>
  <c r="I57" i="83"/>
  <c r="G76" i="83"/>
  <c r="H76" i="83"/>
  <c r="I82" i="83"/>
  <c r="G82" i="83"/>
  <c r="G88" i="83"/>
  <c r="J88" i="83"/>
  <c r="I94" i="83"/>
  <c r="J94" i="83"/>
  <c r="J97" i="83"/>
  <c r="G97" i="83"/>
  <c r="J109" i="83"/>
  <c r="H109" i="83"/>
  <c r="H115" i="83"/>
  <c r="J115" i="83"/>
  <c r="H119" i="83"/>
  <c r="G119" i="83"/>
  <c r="J121" i="83"/>
  <c r="I121" i="83"/>
  <c r="G140" i="83"/>
  <c r="H140" i="83"/>
  <c r="I146" i="83"/>
  <c r="G146" i="83"/>
  <c r="G152" i="83"/>
  <c r="J152" i="83"/>
  <c r="I158" i="83"/>
  <c r="J158" i="83"/>
  <c r="J161" i="83"/>
  <c r="G161" i="83"/>
  <c r="J173" i="83"/>
  <c r="H173" i="83"/>
  <c r="H179" i="83"/>
  <c r="J179" i="83"/>
  <c r="H183" i="83"/>
  <c r="G183" i="83"/>
  <c r="J185" i="83"/>
  <c r="I185" i="83"/>
  <c r="I194" i="83"/>
  <c r="J194" i="83"/>
  <c r="J197" i="83"/>
  <c r="G197" i="83"/>
  <c r="I197" i="83"/>
  <c r="H199" i="83"/>
  <c r="J199" i="83"/>
  <c r="G199" i="83"/>
  <c r="H219" i="83"/>
  <c r="G219" i="83"/>
  <c r="J219" i="83"/>
  <c r="J239" i="83"/>
  <c r="G239" i="83"/>
  <c r="I239" i="83"/>
  <c r="J29" i="83"/>
  <c r="H29" i="83"/>
  <c r="G30" i="83"/>
  <c r="H33" i="83"/>
  <c r="H35" i="83"/>
  <c r="J35" i="83"/>
  <c r="H39" i="83"/>
  <c r="G39" i="83"/>
  <c r="J41" i="83"/>
  <c r="I41" i="83"/>
  <c r="G42" i="83"/>
  <c r="G45" i="83"/>
  <c r="G51" i="83"/>
  <c r="J55" i="83"/>
  <c r="G57" i="83"/>
  <c r="G60" i="83"/>
  <c r="H60" i="83"/>
  <c r="G63" i="83"/>
  <c r="I66" i="83"/>
  <c r="G66" i="83"/>
  <c r="G72" i="83"/>
  <c r="J72" i="83"/>
  <c r="J76" i="83"/>
  <c r="I78" i="83"/>
  <c r="J78" i="83"/>
  <c r="J81" i="83"/>
  <c r="G81" i="83"/>
  <c r="J82" i="83"/>
  <c r="H84" i="83"/>
  <c r="H88" i="83"/>
  <c r="J93" i="83"/>
  <c r="H93" i="83"/>
  <c r="G94" i="83"/>
  <c r="H97" i="83"/>
  <c r="H99" i="83"/>
  <c r="J99" i="83"/>
  <c r="H103" i="83"/>
  <c r="G103" i="83"/>
  <c r="J105" i="83"/>
  <c r="I105" i="83"/>
  <c r="G106" i="83"/>
  <c r="G109" i="83"/>
  <c r="G115" i="83"/>
  <c r="J119" i="83"/>
  <c r="G121" i="83"/>
  <c r="G124" i="83"/>
  <c r="H124" i="83"/>
  <c r="G127" i="83"/>
  <c r="I130" i="83"/>
  <c r="G130" i="83"/>
  <c r="G136" i="83"/>
  <c r="J136" i="83"/>
  <c r="J140" i="83"/>
  <c r="I142" i="83"/>
  <c r="J142" i="83"/>
  <c r="J145" i="83"/>
  <c r="G145" i="83"/>
  <c r="J146" i="83"/>
  <c r="H148" i="83"/>
  <c r="H152" i="83"/>
  <c r="J157" i="83"/>
  <c r="H157" i="83"/>
  <c r="G158" i="83"/>
  <c r="H161" i="83"/>
  <c r="H163" i="83"/>
  <c r="J163" i="83"/>
  <c r="H167" i="83"/>
  <c r="G167" i="83"/>
  <c r="J169" i="83"/>
  <c r="I169" i="83"/>
  <c r="G170" i="83"/>
  <c r="G173" i="83"/>
  <c r="G179" i="83"/>
  <c r="J183" i="83"/>
  <c r="G185" i="83"/>
  <c r="G188" i="83"/>
  <c r="H188" i="83"/>
  <c r="G191" i="83"/>
  <c r="G194" i="83"/>
  <c r="H197" i="83"/>
  <c r="G200" i="83"/>
  <c r="J200" i="83"/>
  <c r="J209" i="83"/>
  <c r="H209" i="83"/>
  <c r="I209" i="83"/>
  <c r="G209" i="83"/>
  <c r="J213" i="83"/>
  <c r="G213" i="83"/>
  <c r="I213" i="83"/>
  <c r="H215" i="83"/>
  <c r="J215" i="83"/>
  <c r="G215" i="83"/>
  <c r="H239" i="83"/>
  <c r="J307" i="83"/>
  <c r="I307" i="83"/>
  <c r="H307" i="83"/>
  <c r="J311" i="83"/>
  <c r="G311" i="83"/>
  <c r="I311" i="83"/>
  <c r="H311" i="83"/>
  <c r="I371" i="83"/>
  <c r="H371" i="83"/>
  <c r="G29" i="83"/>
  <c r="I33" i="83"/>
  <c r="G35" i="83"/>
  <c r="J39" i="83"/>
  <c r="G41" i="83"/>
  <c r="J42" i="83"/>
  <c r="G44" i="83"/>
  <c r="H44" i="83"/>
  <c r="I45" i="83"/>
  <c r="G47" i="83"/>
  <c r="I50" i="83"/>
  <c r="G50" i="83"/>
  <c r="G56" i="83"/>
  <c r="J56" i="83"/>
  <c r="H57" i="83"/>
  <c r="J60" i="83"/>
  <c r="I62" i="83"/>
  <c r="J62" i="83"/>
  <c r="J63" i="83"/>
  <c r="J65" i="83"/>
  <c r="G65" i="83"/>
  <c r="J66" i="83"/>
  <c r="H68" i="83"/>
  <c r="H72" i="83"/>
  <c r="J77" i="83"/>
  <c r="H77" i="83"/>
  <c r="G78" i="83"/>
  <c r="H81" i="83"/>
  <c r="H83" i="83"/>
  <c r="J83" i="83"/>
  <c r="J84" i="83"/>
  <c r="H87" i="83"/>
  <c r="G87" i="83"/>
  <c r="J89" i="83"/>
  <c r="I89" i="83"/>
  <c r="G90" i="83"/>
  <c r="G93" i="83"/>
  <c r="I97" i="83"/>
  <c r="G99" i="83"/>
  <c r="J103" i="83"/>
  <c r="G105" i="83"/>
  <c r="J106" i="83"/>
  <c r="G108" i="83"/>
  <c r="H108" i="83"/>
  <c r="I109" i="83"/>
  <c r="G111" i="83"/>
  <c r="I114" i="83"/>
  <c r="G114" i="83"/>
  <c r="G120" i="83"/>
  <c r="J120" i="83"/>
  <c r="H121" i="83"/>
  <c r="J124" i="83"/>
  <c r="I126" i="83"/>
  <c r="J126" i="83"/>
  <c r="J127" i="83"/>
  <c r="J129" i="83"/>
  <c r="G129" i="83"/>
  <c r="J130" i="83"/>
  <c r="H132" i="83"/>
  <c r="H136" i="83"/>
  <c r="J141" i="83"/>
  <c r="H141" i="83"/>
  <c r="G142" i="83"/>
  <c r="H145" i="83"/>
  <c r="H147" i="83"/>
  <c r="J147" i="83"/>
  <c r="J148" i="83"/>
  <c r="H151" i="83"/>
  <c r="G151" i="83"/>
  <c r="J153" i="83"/>
  <c r="I153" i="83"/>
  <c r="G154" i="83"/>
  <c r="G157" i="83"/>
  <c r="I161" i="83"/>
  <c r="G163" i="83"/>
  <c r="J167" i="83"/>
  <c r="G169" i="83"/>
  <c r="J170" i="83"/>
  <c r="G172" i="83"/>
  <c r="H172" i="83"/>
  <c r="I173" i="83"/>
  <c r="G175" i="83"/>
  <c r="I178" i="83"/>
  <c r="G178" i="83"/>
  <c r="G184" i="83"/>
  <c r="J184" i="83"/>
  <c r="H185" i="83"/>
  <c r="J188" i="83"/>
  <c r="I190" i="83"/>
  <c r="J190" i="83"/>
  <c r="J191" i="83"/>
  <c r="J193" i="83"/>
  <c r="H193" i="83"/>
  <c r="G193" i="83"/>
  <c r="I198" i="83"/>
  <c r="G198" i="83"/>
  <c r="H200" i="83"/>
  <c r="I210" i="83"/>
  <c r="J210" i="83"/>
  <c r="H213" i="83"/>
  <c r="J275" i="83"/>
  <c r="I275" i="83"/>
  <c r="H275" i="83"/>
  <c r="J279" i="83"/>
  <c r="G279" i="83"/>
  <c r="I279" i="83"/>
  <c r="H279" i="83"/>
  <c r="J303" i="83"/>
  <c r="G303" i="83"/>
  <c r="I303" i="83"/>
  <c r="G307" i="83"/>
  <c r="J332" i="83"/>
  <c r="H332" i="83"/>
  <c r="I332" i="83"/>
  <c r="I334" i="83"/>
  <c r="I339" i="83"/>
  <c r="H339" i="83"/>
  <c r="H377" i="83"/>
  <c r="G377" i="83"/>
  <c r="J392" i="83"/>
  <c r="H392" i="83"/>
  <c r="I392" i="83"/>
  <c r="G392" i="83"/>
  <c r="J408" i="83"/>
  <c r="G408" i="83"/>
  <c r="I408" i="83"/>
  <c r="H408" i="83"/>
  <c r="G28" i="83"/>
  <c r="H28" i="83"/>
  <c r="I29" i="83"/>
  <c r="G31" i="83"/>
  <c r="I34" i="83"/>
  <c r="G34" i="83"/>
  <c r="G40" i="83"/>
  <c r="J40" i="83"/>
  <c r="H41" i="83"/>
  <c r="J44" i="83"/>
  <c r="I46" i="83"/>
  <c r="J46" i="83"/>
  <c r="J47" i="83"/>
  <c r="J49" i="83"/>
  <c r="G49" i="83"/>
  <c r="J50" i="83"/>
  <c r="H52" i="83"/>
  <c r="H56" i="83"/>
  <c r="J61" i="83"/>
  <c r="H61" i="83"/>
  <c r="G62" i="83"/>
  <c r="H65" i="83"/>
  <c r="H67" i="83"/>
  <c r="J67" i="83"/>
  <c r="J68" i="83"/>
  <c r="H71" i="83"/>
  <c r="G71" i="83"/>
  <c r="J73" i="83"/>
  <c r="I73" i="83"/>
  <c r="G74" i="83"/>
  <c r="G77" i="83"/>
  <c r="I81" i="83"/>
  <c r="G83" i="83"/>
  <c r="J87" i="83"/>
  <c r="G89" i="83"/>
  <c r="J90" i="83"/>
  <c r="G92" i="83"/>
  <c r="H92" i="83"/>
  <c r="I93" i="83"/>
  <c r="G95" i="83"/>
  <c r="I98" i="83"/>
  <c r="G98" i="83"/>
  <c r="G104" i="83"/>
  <c r="J104" i="83"/>
  <c r="H105" i="83"/>
  <c r="J108" i="83"/>
  <c r="I110" i="83"/>
  <c r="J110" i="83"/>
  <c r="J111" i="83"/>
  <c r="J113" i="83"/>
  <c r="G113" i="83"/>
  <c r="J114" i="83"/>
  <c r="H116" i="83"/>
  <c r="H120" i="83"/>
  <c r="J125" i="83"/>
  <c r="H125" i="83"/>
  <c r="G126" i="83"/>
  <c r="H129" i="83"/>
  <c r="H131" i="83"/>
  <c r="J131" i="83"/>
  <c r="J132" i="83"/>
  <c r="H135" i="83"/>
  <c r="G135" i="83"/>
  <c r="J137" i="83"/>
  <c r="I137" i="83"/>
  <c r="G138" i="83"/>
  <c r="G141" i="83"/>
  <c r="I145" i="83"/>
  <c r="G147" i="83"/>
  <c r="J151" i="83"/>
  <c r="G153" i="83"/>
  <c r="J154" i="83"/>
  <c r="G156" i="83"/>
  <c r="H156" i="83"/>
  <c r="I157" i="83"/>
  <c r="G159" i="83"/>
  <c r="I162" i="83"/>
  <c r="G162" i="83"/>
  <c r="G168" i="83"/>
  <c r="J168" i="83"/>
  <c r="H169" i="83"/>
  <c r="J172" i="83"/>
  <c r="I174" i="83"/>
  <c r="J174" i="83"/>
  <c r="J175" i="83"/>
  <c r="J177" i="83"/>
  <c r="G177" i="83"/>
  <c r="J178" i="83"/>
  <c r="H180" i="83"/>
  <c r="H184" i="83"/>
  <c r="J189" i="83"/>
  <c r="H189" i="83"/>
  <c r="G190" i="83"/>
  <c r="I193" i="83"/>
  <c r="J198" i="83"/>
  <c r="G204" i="83"/>
  <c r="J204" i="83"/>
  <c r="I206" i="83"/>
  <c r="J206" i="83"/>
  <c r="G206" i="83"/>
  <c r="G210" i="83"/>
  <c r="J221" i="83"/>
  <c r="I221" i="83"/>
  <c r="H221" i="83"/>
  <c r="G221" i="83"/>
  <c r="J243" i="83"/>
  <c r="I243" i="83"/>
  <c r="H243" i="83"/>
  <c r="J247" i="83"/>
  <c r="G247" i="83"/>
  <c r="I247" i="83"/>
  <c r="H247" i="83"/>
  <c r="J271" i="83"/>
  <c r="G271" i="83"/>
  <c r="I271" i="83"/>
  <c r="G275" i="83"/>
  <c r="H303" i="83"/>
  <c r="G332" i="83"/>
  <c r="J412" i="83"/>
  <c r="I412" i="83"/>
  <c r="H412" i="83"/>
  <c r="G412" i="83"/>
  <c r="H203" i="83"/>
  <c r="G203" i="83"/>
  <c r="J205" i="83"/>
  <c r="I205" i="83"/>
  <c r="J223" i="83"/>
  <c r="G223" i="83"/>
  <c r="J227" i="83"/>
  <c r="I227" i="83"/>
  <c r="J255" i="83"/>
  <c r="G255" i="83"/>
  <c r="J259" i="83"/>
  <c r="I259" i="83"/>
  <c r="J287" i="83"/>
  <c r="G287" i="83"/>
  <c r="J291" i="83"/>
  <c r="I291" i="83"/>
  <c r="J319" i="83"/>
  <c r="G319" i="83"/>
  <c r="J323" i="83"/>
  <c r="I323" i="83"/>
  <c r="J348" i="83"/>
  <c r="I348" i="83"/>
  <c r="J352" i="83"/>
  <c r="G352" i="83"/>
  <c r="J376" i="83"/>
  <c r="I376" i="83"/>
  <c r="J388" i="83"/>
  <c r="H388" i="83"/>
  <c r="J203" i="83"/>
  <c r="G205" i="83"/>
  <c r="G208" i="83"/>
  <c r="H208" i="83"/>
  <c r="G211" i="83"/>
  <c r="I214" i="83"/>
  <c r="G214" i="83"/>
  <c r="G220" i="83"/>
  <c r="J220" i="83"/>
  <c r="H223" i="83"/>
  <c r="G227" i="83"/>
  <c r="J231" i="83"/>
  <c r="G231" i="83"/>
  <c r="H255" i="83"/>
  <c r="G259" i="83"/>
  <c r="J263" i="83"/>
  <c r="G263" i="83"/>
  <c r="H287" i="83"/>
  <c r="G291" i="83"/>
  <c r="J295" i="83"/>
  <c r="G295" i="83"/>
  <c r="H319" i="83"/>
  <c r="G323" i="83"/>
  <c r="J327" i="83"/>
  <c r="G327" i="83"/>
  <c r="J336" i="83"/>
  <c r="G336" i="83"/>
  <c r="J340" i="83"/>
  <c r="I340" i="83"/>
  <c r="G348" i="83"/>
  <c r="H352" i="83"/>
  <c r="J364" i="83"/>
  <c r="H364" i="83"/>
  <c r="J372" i="83"/>
  <c r="I372" i="83"/>
  <c r="G376" i="83"/>
  <c r="J380" i="83"/>
  <c r="G380" i="83"/>
  <c r="J384" i="83"/>
  <c r="I384" i="83"/>
  <c r="G388" i="83"/>
  <c r="J400" i="83"/>
  <c r="H400" i="83"/>
  <c r="J404" i="83"/>
  <c r="G404" i="83"/>
  <c r="I224" i="83"/>
  <c r="J224" i="83"/>
  <c r="H229" i="83"/>
  <c r="J229" i="83"/>
  <c r="G234" i="83"/>
  <c r="J234" i="83"/>
  <c r="I240" i="83"/>
  <c r="J240" i="83"/>
  <c r="H245" i="83"/>
  <c r="J245" i="83"/>
  <c r="G250" i="83"/>
  <c r="J250" i="83"/>
  <c r="I256" i="83"/>
  <c r="J256" i="83"/>
  <c r="H261" i="83"/>
  <c r="J261" i="83"/>
  <c r="G266" i="83"/>
  <c r="J266" i="83"/>
  <c r="I272" i="83"/>
  <c r="J272" i="83"/>
  <c r="H277" i="83"/>
  <c r="J277" i="83"/>
  <c r="G282" i="83"/>
  <c r="J282" i="83"/>
  <c r="I288" i="83"/>
  <c r="J288" i="83"/>
  <c r="H293" i="83"/>
  <c r="J293" i="83"/>
  <c r="G298" i="83"/>
  <c r="J298" i="83"/>
  <c r="I304" i="83"/>
  <c r="J304" i="83"/>
  <c r="H309" i="83"/>
  <c r="J309" i="83"/>
  <c r="G314" i="83"/>
  <c r="J314" i="83"/>
  <c r="I320" i="83"/>
  <c r="J320" i="83"/>
  <c r="H325" i="83"/>
  <c r="J325" i="83"/>
  <c r="H330" i="83"/>
  <c r="J330" i="83"/>
  <c r="G330" i="83"/>
  <c r="I333" i="83"/>
  <c r="J333" i="83"/>
  <c r="I337" i="83"/>
  <c r="J337" i="83"/>
  <c r="H337" i="83"/>
  <c r="I341" i="83"/>
  <c r="J341" i="83"/>
  <c r="G341" i="83"/>
  <c r="G343" i="83"/>
  <c r="J343" i="83"/>
  <c r="G347" i="83"/>
  <c r="J347" i="83"/>
  <c r="I347" i="83"/>
  <c r="G351" i="83"/>
  <c r="J351" i="83"/>
  <c r="H351" i="83"/>
  <c r="H354" i="83"/>
  <c r="J354" i="83"/>
  <c r="I354" i="83"/>
  <c r="G359" i="83"/>
  <c r="J359" i="83"/>
  <c r="I359" i="83"/>
  <c r="I365" i="83"/>
  <c r="J365" i="83"/>
  <c r="H365" i="83"/>
  <c r="H370" i="83"/>
  <c r="J370" i="83"/>
  <c r="I370" i="83"/>
  <c r="G375" i="83"/>
  <c r="J375" i="83"/>
  <c r="I375" i="83"/>
  <c r="I381" i="83"/>
  <c r="J381" i="83"/>
  <c r="H381" i="83"/>
  <c r="H386" i="83"/>
  <c r="J386" i="83"/>
  <c r="I386" i="83"/>
  <c r="G391" i="83"/>
  <c r="J391" i="83"/>
  <c r="I391" i="83"/>
  <c r="I397" i="83"/>
  <c r="J397" i="83"/>
  <c r="H397" i="83"/>
  <c r="H402" i="83"/>
  <c r="J402" i="83"/>
  <c r="I402" i="83"/>
  <c r="G407" i="83"/>
  <c r="J407" i="83"/>
  <c r="I407" i="83"/>
  <c r="F26" i="83"/>
  <c r="G222" i="83"/>
  <c r="J222" i="83"/>
  <c r="G224" i="83"/>
  <c r="I228" i="83"/>
  <c r="J228" i="83"/>
  <c r="G229" i="83"/>
  <c r="H233" i="83"/>
  <c r="J233" i="83"/>
  <c r="H234" i="83"/>
  <c r="G238" i="83"/>
  <c r="J238" i="83"/>
  <c r="G240" i="83"/>
  <c r="I244" i="83"/>
  <c r="J244" i="83"/>
  <c r="G245" i="83"/>
  <c r="H249" i="83"/>
  <c r="J249" i="83"/>
  <c r="H250" i="83"/>
  <c r="G254" i="83"/>
  <c r="J254" i="83"/>
  <c r="G256" i="83"/>
  <c r="I260" i="83"/>
  <c r="J260" i="83"/>
  <c r="G261" i="83"/>
  <c r="H265" i="83"/>
  <c r="J265" i="83"/>
  <c r="H266" i="83"/>
  <c r="G270" i="83"/>
  <c r="J270" i="83"/>
  <c r="G272" i="83"/>
  <c r="I276" i="83"/>
  <c r="J276" i="83"/>
  <c r="G277" i="83"/>
  <c r="H281" i="83"/>
  <c r="J281" i="83"/>
  <c r="H282" i="83"/>
  <c r="G286" i="83"/>
  <c r="J286" i="83"/>
  <c r="G288" i="83"/>
  <c r="I292" i="83"/>
  <c r="J292" i="83"/>
  <c r="G293" i="83"/>
  <c r="H297" i="83"/>
  <c r="J297" i="83"/>
  <c r="H298" i="83"/>
  <c r="G302" i="83"/>
  <c r="J302" i="83"/>
  <c r="G304" i="83"/>
  <c r="I308" i="83"/>
  <c r="J308" i="83"/>
  <c r="G309" i="83"/>
  <c r="H313" i="83"/>
  <c r="J313" i="83"/>
  <c r="H314" i="83"/>
  <c r="G318" i="83"/>
  <c r="J318" i="83"/>
  <c r="G320" i="83"/>
  <c r="I324" i="83"/>
  <c r="J324" i="83"/>
  <c r="G325" i="83"/>
  <c r="I330" i="83"/>
  <c r="G333" i="83"/>
  <c r="G337" i="83"/>
  <c r="H341" i="83"/>
  <c r="H343" i="83"/>
  <c r="H347" i="83"/>
  <c r="I351" i="83"/>
  <c r="G354" i="83"/>
  <c r="H359" i="83"/>
  <c r="G365" i="83"/>
  <c r="G370" i="83"/>
  <c r="H375" i="83"/>
  <c r="G381" i="83"/>
  <c r="G386" i="83"/>
  <c r="H391" i="83"/>
  <c r="G397" i="83"/>
  <c r="G402" i="83"/>
  <c r="H407" i="83"/>
  <c r="H224" i="83"/>
  <c r="G226" i="83"/>
  <c r="J226" i="83"/>
  <c r="I229" i="83"/>
  <c r="I232" i="83"/>
  <c r="J232" i="83"/>
  <c r="I234" i="83"/>
  <c r="H237" i="83"/>
  <c r="J237" i="83"/>
  <c r="H240" i="83"/>
  <c r="G242" i="83"/>
  <c r="J242" i="83"/>
  <c r="I245" i="83"/>
  <c r="I248" i="83"/>
  <c r="J248" i="83"/>
  <c r="I250" i="83"/>
  <c r="H253" i="83"/>
  <c r="J253" i="83"/>
  <c r="H256" i="83"/>
  <c r="G258" i="83"/>
  <c r="J258" i="83"/>
  <c r="I261" i="83"/>
  <c r="I264" i="83"/>
  <c r="J264" i="83"/>
  <c r="I266" i="83"/>
  <c r="H269" i="83"/>
  <c r="J269" i="83"/>
  <c r="H272" i="83"/>
  <c r="G274" i="83"/>
  <c r="J274" i="83"/>
  <c r="I277" i="83"/>
  <c r="I280" i="83"/>
  <c r="J280" i="83"/>
  <c r="I282" i="83"/>
  <c r="H285" i="83"/>
  <c r="J285" i="83"/>
  <c r="H288" i="83"/>
  <c r="G290" i="83"/>
  <c r="J290" i="83"/>
  <c r="I293" i="83"/>
  <c r="I296" i="83"/>
  <c r="J296" i="83"/>
  <c r="I298" i="83"/>
  <c r="H301" i="83"/>
  <c r="J301" i="83"/>
  <c r="H304" i="83"/>
  <c r="G306" i="83"/>
  <c r="J306" i="83"/>
  <c r="I309" i="83"/>
  <c r="I312" i="83"/>
  <c r="J312" i="83"/>
  <c r="I314" i="83"/>
  <c r="H317" i="83"/>
  <c r="J317" i="83"/>
  <c r="H320" i="83"/>
  <c r="G322" i="83"/>
  <c r="J322" i="83"/>
  <c r="I325" i="83"/>
  <c r="J328" i="83"/>
  <c r="I328" i="83"/>
  <c r="G331" i="83"/>
  <c r="J331" i="83"/>
  <c r="I331" i="83"/>
  <c r="H333" i="83"/>
  <c r="G335" i="83"/>
  <c r="J335" i="83"/>
  <c r="H335" i="83"/>
  <c r="H338" i="83"/>
  <c r="J338" i="83"/>
  <c r="H342" i="83"/>
  <c r="J342" i="83"/>
  <c r="I342" i="83"/>
  <c r="I343" i="83"/>
  <c r="H346" i="83"/>
  <c r="J346" i="83"/>
  <c r="G346" i="83"/>
  <c r="I349" i="83"/>
  <c r="J349" i="83"/>
  <c r="I353" i="83"/>
  <c r="J353" i="83"/>
  <c r="H353" i="83"/>
  <c r="J17" i="83"/>
  <c r="J16" i="83"/>
  <c r="I27" i="83"/>
  <c r="I28" i="83"/>
  <c r="H30" i="83"/>
  <c r="I31" i="83"/>
  <c r="I32" i="83"/>
  <c r="H34" i="83"/>
  <c r="I35" i="83"/>
  <c r="I36" i="83"/>
  <c r="H38" i="83"/>
  <c r="I39" i="83"/>
  <c r="I40" i="83"/>
  <c r="H42" i="83"/>
  <c r="I43" i="83"/>
  <c r="I44" i="83"/>
  <c r="H46" i="83"/>
  <c r="I47" i="83"/>
  <c r="I48" i="83"/>
  <c r="H50" i="83"/>
  <c r="I51" i="83"/>
  <c r="I52" i="83"/>
  <c r="H54" i="83"/>
  <c r="I55" i="83"/>
  <c r="I56" i="83"/>
  <c r="H58" i="83"/>
  <c r="I59" i="83"/>
  <c r="I60" i="83"/>
  <c r="H62" i="83"/>
  <c r="I63" i="83"/>
  <c r="I64" i="83"/>
  <c r="H66" i="83"/>
  <c r="I67" i="83"/>
  <c r="I68" i="83"/>
  <c r="H70" i="83"/>
  <c r="I71" i="83"/>
  <c r="I72" i="83"/>
  <c r="H74" i="83"/>
  <c r="I75" i="83"/>
  <c r="I76" i="83"/>
  <c r="H78" i="83"/>
  <c r="I79" i="83"/>
  <c r="I80" i="83"/>
  <c r="H82" i="83"/>
  <c r="I83" i="83"/>
  <c r="I84" i="83"/>
  <c r="H86" i="83"/>
  <c r="I87" i="83"/>
  <c r="I88" i="83"/>
  <c r="H90" i="83"/>
  <c r="I91" i="83"/>
  <c r="I92" i="83"/>
  <c r="H94" i="83"/>
  <c r="I95" i="83"/>
  <c r="I96" i="83"/>
  <c r="H98" i="83"/>
  <c r="I99" i="83"/>
  <c r="I100" i="83"/>
  <c r="H102" i="83"/>
  <c r="I103" i="83"/>
  <c r="I104" i="83"/>
  <c r="H106" i="83"/>
  <c r="I107" i="83"/>
  <c r="I108" i="83"/>
  <c r="H110" i="83"/>
  <c r="I111" i="83"/>
  <c r="I112" i="83"/>
  <c r="H114" i="83"/>
  <c r="I115" i="83"/>
  <c r="I116" i="83"/>
  <c r="H118" i="83"/>
  <c r="I119" i="83"/>
  <c r="I120" i="83"/>
  <c r="H122" i="83"/>
  <c r="I123" i="83"/>
  <c r="I124" i="83"/>
  <c r="H126" i="83"/>
  <c r="I127" i="83"/>
  <c r="I128" i="83"/>
  <c r="H130" i="83"/>
  <c r="I131" i="83"/>
  <c r="I132" i="83"/>
  <c r="H134" i="83"/>
  <c r="I135" i="83"/>
  <c r="I136" i="83"/>
  <c r="H138" i="83"/>
  <c r="I139" i="83"/>
  <c r="I140" i="83"/>
  <c r="H142" i="83"/>
  <c r="I143" i="83"/>
  <c r="I144" i="83"/>
  <c r="H146" i="83"/>
  <c r="I147" i="83"/>
  <c r="I148" i="83"/>
  <c r="H150" i="83"/>
  <c r="I151" i="83"/>
  <c r="I152" i="83"/>
  <c r="H154" i="83"/>
  <c r="I155" i="83"/>
  <c r="I156" i="83"/>
  <c r="H158" i="83"/>
  <c r="I159" i="83"/>
  <c r="I160" i="83"/>
  <c r="H162" i="83"/>
  <c r="I163" i="83"/>
  <c r="I164" i="83"/>
  <c r="H166" i="83"/>
  <c r="I167" i="83"/>
  <c r="I168" i="83"/>
  <c r="H170" i="83"/>
  <c r="I171" i="83"/>
  <c r="I172" i="83"/>
  <c r="H174" i="83"/>
  <c r="I175" i="83"/>
  <c r="I176" i="83"/>
  <c r="H178" i="83"/>
  <c r="I179" i="83"/>
  <c r="I180" i="83"/>
  <c r="H182" i="83"/>
  <c r="I183" i="83"/>
  <c r="I184" i="83"/>
  <c r="H186" i="83"/>
  <c r="I187" i="83"/>
  <c r="I188" i="83"/>
  <c r="H190" i="83"/>
  <c r="I191" i="83"/>
  <c r="I192" i="83"/>
  <c r="H194" i="83"/>
  <c r="I195" i="83"/>
  <c r="I196" i="83"/>
  <c r="H198" i="83"/>
  <c r="I199" i="83"/>
  <c r="I200" i="83"/>
  <c r="H202" i="83"/>
  <c r="I203" i="83"/>
  <c r="I204" i="83"/>
  <c r="H206" i="83"/>
  <c r="I207" i="83"/>
  <c r="I208" i="83"/>
  <c r="H210" i="83"/>
  <c r="I211" i="83"/>
  <c r="I212" i="83"/>
  <c r="H214" i="83"/>
  <c r="I215" i="83"/>
  <c r="I216" i="83"/>
  <c r="H218" i="83"/>
  <c r="I219" i="83"/>
  <c r="I220" i="83"/>
  <c r="I222" i="83"/>
  <c r="H225" i="83"/>
  <c r="J225" i="83"/>
  <c r="H226" i="83"/>
  <c r="H228" i="83"/>
  <c r="G230" i="83"/>
  <c r="J230" i="83"/>
  <c r="G232" i="83"/>
  <c r="I233" i="83"/>
  <c r="I236" i="83"/>
  <c r="J236" i="83"/>
  <c r="G237" i="83"/>
  <c r="I238" i="83"/>
  <c r="H241" i="83"/>
  <c r="J241" i="83"/>
  <c r="H242" i="83"/>
  <c r="H244" i="83"/>
  <c r="G246" i="83"/>
  <c r="J246" i="83"/>
  <c r="G248" i="83"/>
  <c r="I249" i="83"/>
  <c r="I252" i="83"/>
  <c r="J252" i="83"/>
  <c r="G253" i="83"/>
  <c r="I254" i="83"/>
  <c r="H257" i="83"/>
  <c r="J257" i="83"/>
  <c r="H258" i="83"/>
  <c r="H260" i="83"/>
  <c r="G262" i="83"/>
  <c r="J262" i="83"/>
  <c r="G264" i="83"/>
  <c r="I265" i="83"/>
  <c r="I268" i="83"/>
  <c r="J268" i="83"/>
  <c r="G269" i="83"/>
  <c r="I270" i="83"/>
  <c r="H273" i="83"/>
  <c r="J273" i="83"/>
  <c r="H274" i="83"/>
  <c r="H276" i="83"/>
  <c r="G278" i="83"/>
  <c r="J278" i="83"/>
  <c r="G280" i="83"/>
  <c r="I281" i="83"/>
  <c r="I284" i="83"/>
  <c r="J284" i="83"/>
  <c r="G285" i="83"/>
  <c r="I286" i="83"/>
  <c r="H289" i="83"/>
  <c r="J289" i="83"/>
  <c r="H290" i="83"/>
  <c r="H292" i="83"/>
  <c r="G294" i="83"/>
  <c r="J294" i="83"/>
  <c r="G296" i="83"/>
  <c r="I297" i="83"/>
  <c r="I300" i="83"/>
  <c r="J300" i="83"/>
  <c r="G301" i="83"/>
  <c r="I302" i="83"/>
  <c r="H305" i="83"/>
  <c r="J305" i="83"/>
  <c r="H306" i="83"/>
  <c r="H308" i="83"/>
  <c r="G310" i="83"/>
  <c r="J310" i="83"/>
  <c r="G312" i="83"/>
  <c r="I313" i="83"/>
  <c r="I316" i="83"/>
  <c r="J316" i="83"/>
  <c r="G317" i="83"/>
  <c r="I318" i="83"/>
  <c r="H321" i="83"/>
  <c r="J321" i="83"/>
  <c r="H322" i="83"/>
  <c r="H324" i="83"/>
  <c r="G326" i="83"/>
  <c r="J326" i="83"/>
  <c r="G328" i="83"/>
  <c r="H331" i="83"/>
  <c r="I335" i="83"/>
  <c r="G338" i="83"/>
  <c r="G342" i="83"/>
  <c r="I346" i="83"/>
  <c r="G349" i="83"/>
  <c r="G353" i="83"/>
  <c r="H358" i="83"/>
  <c r="J358" i="83"/>
  <c r="I358" i="83"/>
  <c r="G358" i="83"/>
  <c r="G363" i="83"/>
  <c r="J363" i="83"/>
  <c r="I363" i="83"/>
  <c r="H363" i="83"/>
  <c r="I369" i="83"/>
  <c r="J369" i="83"/>
  <c r="H369" i="83"/>
  <c r="G369" i="83"/>
  <c r="H374" i="83"/>
  <c r="J374" i="83"/>
  <c r="I374" i="83"/>
  <c r="G374" i="83"/>
  <c r="G379" i="83"/>
  <c r="J379" i="83"/>
  <c r="I379" i="83"/>
  <c r="H379" i="83"/>
  <c r="I385" i="83"/>
  <c r="J385" i="83"/>
  <c r="H385" i="83"/>
  <c r="G385" i="83"/>
  <c r="H390" i="83"/>
  <c r="J390" i="83"/>
  <c r="I390" i="83"/>
  <c r="G390" i="83"/>
  <c r="G395" i="83"/>
  <c r="J395" i="83"/>
  <c r="I395" i="83"/>
  <c r="H395" i="83"/>
  <c r="I401" i="83"/>
  <c r="J401" i="83"/>
  <c r="H401" i="83"/>
  <c r="G401" i="83"/>
  <c r="H406" i="83"/>
  <c r="J406" i="83"/>
  <c r="I406" i="83"/>
  <c r="G406" i="83"/>
  <c r="G411" i="83"/>
  <c r="J411" i="83"/>
  <c r="I411" i="83"/>
  <c r="H411" i="83"/>
  <c r="I357" i="83"/>
  <c r="J357" i="83"/>
  <c r="H362" i="83"/>
  <c r="J362" i="83"/>
  <c r="G367" i="83"/>
  <c r="J367" i="83"/>
  <c r="I373" i="83"/>
  <c r="J373" i="83"/>
  <c r="H378" i="83"/>
  <c r="J378" i="83"/>
  <c r="G383" i="83"/>
  <c r="J383" i="83"/>
  <c r="I389" i="83"/>
  <c r="J389" i="83"/>
  <c r="H394" i="83"/>
  <c r="J394" i="83"/>
  <c r="G399" i="83"/>
  <c r="J399" i="83"/>
  <c r="I405" i="83"/>
  <c r="J405" i="83"/>
  <c r="H410" i="83"/>
  <c r="J410" i="83"/>
  <c r="I329" i="83"/>
  <c r="J329" i="83"/>
  <c r="H334" i="83"/>
  <c r="J334" i="83"/>
  <c r="G339" i="83"/>
  <c r="J339" i="83"/>
  <c r="I345" i="83"/>
  <c r="J345" i="83"/>
  <c r="H350" i="83"/>
  <c r="J350" i="83"/>
  <c r="G355" i="83"/>
  <c r="J355" i="83"/>
  <c r="G357" i="83"/>
  <c r="I361" i="83"/>
  <c r="J361" i="83"/>
  <c r="G362" i="83"/>
  <c r="H366" i="83"/>
  <c r="J366" i="83"/>
  <c r="H367" i="83"/>
  <c r="G371" i="83"/>
  <c r="J371" i="83"/>
  <c r="G373" i="83"/>
  <c r="I377" i="83"/>
  <c r="J377" i="83"/>
  <c r="G378" i="83"/>
  <c r="H382" i="83"/>
  <c r="J382" i="83"/>
  <c r="H383" i="83"/>
  <c r="G387" i="83"/>
  <c r="J387" i="83"/>
  <c r="G389" i="83"/>
  <c r="I393" i="83"/>
  <c r="J393" i="83"/>
  <c r="G394" i="83"/>
  <c r="H398" i="83"/>
  <c r="J398" i="83"/>
  <c r="H399" i="83"/>
  <c r="G403" i="83"/>
  <c r="J403" i="83"/>
  <c r="G405" i="83"/>
  <c r="I409" i="83"/>
  <c r="J409" i="83"/>
  <c r="G410" i="83"/>
  <c r="I82" i="82"/>
  <c r="H82" i="82"/>
  <c r="I98" i="82"/>
  <c r="H98" i="82"/>
  <c r="I114" i="82"/>
  <c r="H114" i="82"/>
  <c r="J317" i="82"/>
  <c r="H317" i="82"/>
  <c r="J372" i="82"/>
  <c r="I372" i="82"/>
  <c r="G372" i="82"/>
  <c r="H409" i="82"/>
  <c r="J409" i="82"/>
  <c r="J57" i="82"/>
  <c r="G57" i="82"/>
  <c r="G68" i="82"/>
  <c r="I68" i="82"/>
  <c r="G73" i="82"/>
  <c r="G76" i="82"/>
  <c r="J76" i="82"/>
  <c r="J81" i="82"/>
  <c r="G81" i="82"/>
  <c r="J82" i="82"/>
  <c r="G92" i="82"/>
  <c r="J92" i="82"/>
  <c r="J97" i="82"/>
  <c r="G97" i="82"/>
  <c r="J98" i="82"/>
  <c r="J113" i="82"/>
  <c r="G113" i="82"/>
  <c r="J114" i="82"/>
  <c r="I130" i="82"/>
  <c r="J130" i="82"/>
  <c r="H135" i="82"/>
  <c r="I135" i="82"/>
  <c r="I137" i="82"/>
  <c r="G140" i="82"/>
  <c r="J140" i="82"/>
  <c r="I172" i="82"/>
  <c r="I232" i="82"/>
  <c r="I241" i="82"/>
  <c r="H241" i="82"/>
  <c r="I243" i="82"/>
  <c r="I249" i="82"/>
  <c r="G249" i="82"/>
  <c r="I317" i="82"/>
  <c r="I322" i="82"/>
  <c r="G322" i="82"/>
  <c r="I394" i="82"/>
  <c r="H394" i="82"/>
  <c r="I58" i="82"/>
  <c r="H58" i="82"/>
  <c r="J31" i="82"/>
  <c r="G31" i="82"/>
  <c r="I35" i="82"/>
  <c r="J39" i="82"/>
  <c r="I39" i="82"/>
  <c r="H51" i="82"/>
  <c r="J51" i="82"/>
  <c r="H57" i="82"/>
  <c r="H63" i="82"/>
  <c r="I63" i="82"/>
  <c r="J68" i="82"/>
  <c r="I76" i="82"/>
  <c r="H81" i="82"/>
  <c r="G85" i="82"/>
  <c r="I87" i="82"/>
  <c r="I92" i="82"/>
  <c r="H97" i="82"/>
  <c r="H103" i="82"/>
  <c r="J103" i="82"/>
  <c r="G108" i="82"/>
  <c r="I108" i="82"/>
  <c r="H113" i="82"/>
  <c r="I119" i="82"/>
  <c r="I124" i="82"/>
  <c r="J129" i="82"/>
  <c r="H129" i="82"/>
  <c r="H130" i="82"/>
  <c r="J135" i="82"/>
  <c r="I140" i="82"/>
  <c r="G236" i="82"/>
  <c r="J240" i="82"/>
  <c r="H240" i="82"/>
  <c r="G241" i="82"/>
  <c r="H249" i="82"/>
  <c r="G254" i="82"/>
  <c r="J270" i="82"/>
  <c r="G270" i="82"/>
  <c r="J276" i="82"/>
  <c r="I276" i="82"/>
  <c r="G277" i="82"/>
  <c r="H289" i="82"/>
  <c r="I308" i="82"/>
  <c r="J308" i="82"/>
  <c r="J318" i="82"/>
  <c r="H318" i="82"/>
  <c r="J319" i="82"/>
  <c r="J367" i="82"/>
  <c r="J374" i="82"/>
  <c r="H374" i="82"/>
  <c r="G374" i="82"/>
  <c r="J380" i="82"/>
  <c r="I380" i="82"/>
  <c r="F27" i="82"/>
  <c r="F25" i="82"/>
  <c r="H31" i="82"/>
  <c r="G39" i="82"/>
  <c r="I57" i="82"/>
  <c r="J63" i="82"/>
  <c r="G72" i="82"/>
  <c r="J72" i="82"/>
  <c r="I81" i="82"/>
  <c r="J87" i="82"/>
  <c r="H91" i="82"/>
  <c r="I91" i="82"/>
  <c r="I97" i="82"/>
  <c r="I103" i="82"/>
  <c r="J108" i="82"/>
  <c r="I113" i="82"/>
  <c r="J119" i="82"/>
  <c r="J124" i="82"/>
  <c r="G129" i="82"/>
  <c r="H139" i="82"/>
  <c r="I139" i="82"/>
  <c r="G180" i="82"/>
  <c r="J212" i="82"/>
  <c r="I212" i="82"/>
  <c r="G213" i="82"/>
  <c r="G222" i="82"/>
  <c r="G238" i="82"/>
  <c r="G240" i="82"/>
  <c r="G276" i="82"/>
  <c r="H277" i="82"/>
  <c r="J293" i="82"/>
  <c r="I293" i="82"/>
  <c r="G294" i="82"/>
  <c r="I306" i="82"/>
  <c r="G306" i="82"/>
  <c r="G318" i="82"/>
  <c r="I324" i="82"/>
  <c r="J324" i="82"/>
  <c r="H358" i="82"/>
  <c r="I374" i="82"/>
  <c r="J377" i="82"/>
  <c r="G380" i="82"/>
  <c r="J396" i="82"/>
  <c r="I396" i="82"/>
  <c r="G396" i="82"/>
  <c r="J400" i="82"/>
  <c r="I400" i="82"/>
  <c r="J412" i="82"/>
  <c r="I412" i="82"/>
  <c r="G412" i="82"/>
  <c r="G338" i="82"/>
  <c r="G368" i="82"/>
  <c r="J399" i="82"/>
  <c r="G404" i="82"/>
  <c r="G406" i="82"/>
  <c r="J43" i="82"/>
  <c r="H43" i="82"/>
  <c r="G45" i="82"/>
  <c r="I45" i="82"/>
  <c r="I50" i="82"/>
  <c r="J50" i="82"/>
  <c r="J53" i="82"/>
  <c r="G53" i="82"/>
  <c r="J65" i="82"/>
  <c r="H65" i="82"/>
  <c r="H71" i="82"/>
  <c r="J71" i="82"/>
  <c r="I74" i="82"/>
  <c r="J74" i="82"/>
  <c r="H74" i="82"/>
  <c r="G84" i="82"/>
  <c r="J84" i="82"/>
  <c r="J89" i="82"/>
  <c r="H89" i="82"/>
  <c r="G89" i="82"/>
  <c r="I94" i="82"/>
  <c r="H94" i="82"/>
  <c r="J101" i="82"/>
  <c r="I101" i="82"/>
  <c r="G101" i="82"/>
  <c r="J121" i="82"/>
  <c r="H121" i="82"/>
  <c r="G128" i="82"/>
  <c r="I128" i="82"/>
  <c r="J133" i="82"/>
  <c r="I133" i="82"/>
  <c r="J143" i="82"/>
  <c r="G143" i="82"/>
  <c r="J160" i="82"/>
  <c r="H160" i="82"/>
  <c r="I205" i="82"/>
  <c r="G205" i="82"/>
  <c r="I221" i="82"/>
  <c r="G221" i="82"/>
  <c r="H221" i="82"/>
  <c r="I233" i="82"/>
  <c r="H233" i="82"/>
  <c r="G233" i="82"/>
  <c r="J252" i="82"/>
  <c r="I252" i="82"/>
  <c r="G252" i="82"/>
  <c r="J259" i="82"/>
  <c r="I259" i="82"/>
  <c r="I286" i="82"/>
  <c r="G286" i="82"/>
  <c r="J301" i="82"/>
  <c r="I301" i="82"/>
  <c r="H301" i="82"/>
  <c r="J354" i="82"/>
  <c r="H354" i="82"/>
  <c r="J371" i="82"/>
  <c r="H371" i="82"/>
  <c r="J34" i="82"/>
  <c r="H34" i="82"/>
  <c r="H38" i="82"/>
  <c r="I41" i="82"/>
  <c r="G43" i="82"/>
  <c r="J49" i="82"/>
  <c r="H49" i="82"/>
  <c r="H50" i="82"/>
  <c r="H53" i="82"/>
  <c r="H55" i="82"/>
  <c r="J55" i="82"/>
  <c r="H59" i="82"/>
  <c r="I59" i="82"/>
  <c r="J61" i="82"/>
  <c r="I61" i="82"/>
  <c r="H62" i="82"/>
  <c r="G65" i="82"/>
  <c r="I71" i="82"/>
  <c r="I78" i="82"/>
  <c r="H78" i="82"/>
  <c r="G80" i="82"/>
  <c r="J80" i="82"/>
  <c r="I84" i="82"/>
  <c r="I86" i="82"/>
  <c r="H86" i="82"/>
  <c r="I89" i="82"/>
  <c r="J94" i="82"/>
  <c r="H99" i="82"/>
  <c r="I99" i="82"/>
  <c r="J99" i="82"/>
  <c r="H101" i="82"/>
  <c r="J105" i="82"/>
  <c r="H105" i="82"/>
  <c r="I105" i="82"/>
  <c r="H107" i="82"/>
  <c r="I107" i="82"/>
  <c r="G121" i="82"/>
  <c r="H123" i="82"/>
  <c r="J123" i="82"/>
  <c r="I126" i="82"/>
  <c r="H126" i="82"/>
  <c r="J126" i="82"/>
  <c r="J128" i="82"/>
  <c r="H131" i="82"/>
  <c r="I131" i="82"/>
  <c r="G133" i="82"/>
  <c r="G136" i="82"/>
  <c r="I136" i="82"/>
  <c r="J141" i="82"/>
  <c r="G141" i="82"/>
  <c r="H141" i="82"/>
  <c r="I143" i="82"/>
  <c r="J152" i="82"/>
  <c r="G152" i="82"/>
  <c r="G160" i="82"/>
  <c r="J188" i="82"/>
  <c r="G188" i="82"/>
  <c r="H188" i="82"/>
  <c r="H205" i="82"/>
  <c r="J208" i="82"/>
  <c r="H208" i="82"/>
  <c r="G208" i="82"/>
  <c r="J216" i="82"/>
  <c r="G216" i="82"/>
  <c r="H216" i="82"/>
  <c r="I245" i="82"/>
  <c r="H245" i="82"/>
  <c r="G245" i="82"/>
  <c r="H252" i="82"/>
  <c r="J260" i="82"/>
  <c r="I260" i="82"/>
  <c r="G260" i="82"/>
  <c r="H260" i="82"/>
  <c r="H286" i="82"/>
  <c r="G295" i="82"/>
  <c r="J295" i="82"/>
  <c r="G299" i="82"/>
  <c r="I302" i="82"/>
  <c r="H302" i="82"/>
  <c r="G307" i="82"/>
  <c r="J307" i="82"/>
  <c r="J321" i="82"/>
  <c r="H321" i="82"/>
  <c r="J325" i="82"/>
  <c r="H325" i="82"/>
  <c r="I325" i="82"/>
  <c r="J330" i="82"/>
  <c r="G330" i="82"/>
  <c r="H330" i="82"/>
  <c r="J346" i="82"/>
  <c r="I346" i="82"/>
  <c r="G346" i="82"/>
  <c r="G354" i="82"/>
  <c r="H365" i="82"/>
  <c r="J365" i="82"/>
  <c r="H397" i="82"/>
  <c r="J397" i="82"/>
  <c r="J410" i="82"/>
  <c r="G410" i="82"/>
  <c r="I410" i="82"/>
  <c r="H410" i="82"/>
  <c r="I34" i="82"/>
  <c r="I38" i="82"/>
  <c r="J42" i="82"/>
  <c r="H42" i="82"/>
  <c r="I43" i="82"/>
  <c r="H46" i="82"/>
  <c r="G49" i="82"/>
  <c r="I53" i="82"/>
  <c r="I55" i="82"/>
  <c r="J59" i="82"/>
  <c r="G61" i="82"/>
  <c r="J62" i="82"/>
  <c r="G64" i="82"/>
  <c r="I64" i="82"/>
  <c r="I65" i="82"/>
  <c r="I67" i="82"/>
  <c r="I70" i="82"/>
  <c r="H70" i="82"/>
  <c r="I75" i="82"/>
  <c r="J78" i="82"/>
  <c r="I80" i="82"/>
  <c r="J86" i="82"/>
  <c r="G88" i="82"/>
  <c r="I88" i="82"/>
  <c r="I90" i="82"/>
  <c r="J90" i="82"/>
  <c r="J93" i="82"/>
  <c r="G93" i="82"/>
  <c r="I93" i="82"/>
  <c r="H95" i="82"/>
  <c r="J95" i="82"/>
  <c r="I95" i="82"/>
  <c r="G100" i="82"/>
  <c r="J100" i="82"/>
  <c r="I102" i="82"/>
  <c r="J102" i="82"/>
  <c r="G105" i="82"/>
  <c r="J107" i="82"/>
  <c r="J109" i="82"/>
  <c r="G109" i="82"/>
  <c r="H118" i="82"/>
  <c r="I121" i="82"/>
  <c r="I123" i="82"/>
  <c r="H127" i="82"/>
  <c r="J127" i="82"/>
  <c r="J131" i="82"/>
  <c r="H133" i="82"/>
  <c r="J136" i="82"/>
  <c r="I138" i="82"/>
  <c r="J138" i="82"/>
  <c r="H138" i="82"/>
  <c r="I141" i="82"/>
  <c r="H152" i="82"/>
  <c r="I160" i="82"/>
  <c r="J164" i="82"/>
  <c r="I164" i="82"/>
  <c r="G164" i="82"/>
  <c r="H164" i="82"/>
  <c r="I188" i="82"/>
  <c r="J192" i="82"/>
  <c r="H192" i="82"/>
  <c r="G192" i="82"/>
  <c r="J206" i="82"/>
  <c r="G206" i="82"/>
  <c r="I208" i="82"/>
  <c r="J211" i="82"/>
  <c r="I211" i="82"/>
  <c r="I216" i="82"/>
  <c r="J220" i="82"/>
  <c r="G220" i="82"/>
  <c r="H220" i="82"/>
  <c r="I225" i="82"/>
  <c r="H225" i="82"/>
  <c r="I227" i="82"/>
  <c r="I229" i="82"/>
  <c r="G229" i="82"/>
  <c r="H229" i="82"/>
  <c r="J235" i="82"/>
  <c r="I235" i="82"/>
  <c r="I261" i="82"/>
  <c r="H261" i="82"/>
  <c r="I269" i="82"/>
  <c r="G269" i="82"/>
  <c r="H269" i="82"/>
  <c r="G302" i="82"/>
  <c r="I321" i="82"/>
  <c r="J323" i="82"/>
  <c r="G323" i="82"/>
  <c r="J326" i="82"/>
  <c r="H326" i="82"/>
  <c r="G326" i="82"/>
  <c r="I330" i="82"/>
  <c r="H346" i="82"/>
  <c r="I354" i="82"/>
  <c r="J366" i="82"/>
  <c r="H366" i="82"/>
  <c r="G366" i="82"/>
  <c r="J398" i="82"/>
  <c r="H398" i="82"/>
  <c r="I398" i="82"/>
  <c r="G398" i="82"/>
  <c r="J408" i="82"/>
  <c r="I408" i="82"/>
  <c r="G408" i="82"/>
  <c r="J35" i="82"/>
  <c r="H35" i="82"/>
  <c r="G37" i="82"/>
  <c r="I37" i="82"/>
  <c r="I42" i="82"/>
  <c r="J46" i="82"/>
  <c r="G48" i="82"/>
  <c r="I48" i="82"/>
  <c r="I49" i="82"/>
  <c r="I51" i="82"/>
  <c r="I54" i="82"/>
  <c r="H54" i="82"/>
  <c r="G60" i="82"/>
  <c r="J60" i="82"/>
  <c r="H61" i="82"/>
  <c r="J64" i="82"/>
  <c r="I66" i="82"/>
  <c r="J66" i="82"/>
  <c r="J67" i="82"/>
  <c r="J69" i="82"/>
  <c r="G69" i="82"/>
  <c r="J70" i="82"/>
  <c r="I72" i="82"/>
  <c r="J75" i="82"/>
  <c r="J77" i="82"/>
  <c r="G77" i="82"/>
  <c r="H77" i="82"/>
  <c r="J88" i="82"/>
  <c r="H90" i="82"/>
  <c r="H93" i="82"/>
  <c r="I100" i="82"/>
  <c r="H102" i="82"/>
  <c r="I106" i="82"/>
  <c r="J106" i="82"/>
  <c r="H109" i="82"/>
  <c r="H111" i="82"/>
  <c r="J111" i="82"/>
  <c r="H115" i="82"/>
  <c r="I115" i="82"/>
  <c r="J117" i="82"/>
  <c r="I117" i="82"/>
  <c r="H117" i="82"/>
  <c r="J118" i="82"/>
  <c r="G120" i="82"/>
  <c r="I120" i="82"/>
  <c r="J120" i="82"/>
  <c r="I127" i="82"/>
  <c r="G132" i="82"/>
  <c r="J132" i="82"/>
  <c r="I132" i="82"/>
  <c r="H142" i="82"/>
  <c r="J142" i="82"/>
  <c r="I152" i="82"/>
  <c r="J156" i="82"/>
  <c r="H156" i="82"/>
  <c r="G156" i="82"/>
  <c r="J176" i="82"/>
  <c r="H176" i="82"/>
  <c r="I176" i="82"/>
  <c r="I192" i="82"/>
  <c r="J196" i="82"/>
  <c r="I196" i="82"/>
  <c r="H196" i="82"/>
  <c r="J204" i="82"/>
  <c r="G204" i="82"/>
  <c r="I204" i="82"/>
  <c r="H204" i="82"/>
  <c r="I220" i="82"/>
  <c r="G225" i="82"/>
  <c r="J230" i="82"/>
  <c r="G230" i="82"/>
  <c r="G261" i="82"/>
  <c r="J272" i="82"/>
  <c r="H272" i="82"/>
  <c r="I272" i="82"/>
  <c r="J285" i="82"/>
  <c r="G285" i="82"/>
  <c r="H285" i="82"/>
  <c r="I285" i="82"/>
  <c r="J310" i="82"/>
  <c r="G310" i="82"/>
  <c r="I310" i="82"/>
  <c r="I312" i="82"/>
  <c r="I326" i="82"/>
  <c r="I366" i="82"/>
  <c r="J383" i="82"/>
  <c r="H387" i="82"/>
  <c r="J387" i="82"/>
  <c r="H403" i="82"/>
  <c r="J376" i="82"/>
  <c r="I376" i="82"/>
  <c r="J378" i="82"/>
  <c r="G378" i="82"/>
  <c r="I378" i="82"/>
  <c r="J382" i="82"/>
  <c r="H382" i="82"/>
  <c r="G382" i="82"/>
  <c r="J402" i="82"/>
  <c r="I402" i="82"/>
  <c r="H402" i="82"/>
  <c r="J73" i="82"/>
  <c r="H73" i="82"/>
  <c r="H79" i="82"/>
  <c r="J79" i="82"/>
  <c r="H83" i="82"/>
  <c r="I83" i="82"/>
  <c r="J85" i="82"/>
  <c r="I85" i="82"/>
  <c r="G104" i="82"/>
  <c r="I104" i="82"/>
  <c r="I110" i="82"/>
  <c r="H110" i="82"/>
  <c r="G116" i="82"/>
  <c r="J116" i="82"/>
  <c r="I122" i="82"/>
  <c r="J122" i="82"/>
  <c r="J125" i="82"/>
  <c r="G125" i="82"/>
  <c r="J137" i="82"/>
  <c r="H137" i="82"/>
  <c r="I209" i="82"/>
  <c r="H209" i="82"/>
  <c r="J224" i="82"/>
  <c r="I224" i="82"/>
  <c r="G224" i="82"/>
  <c r="I237" i="82"/>
  <c r="G237" i="82"/>
  <c r="J248" i="82"/>
  <c r="I248" i="82"/>
  <c r="I253" i="82"/>
  <c r="H253" i="82"/>
  <c r="I257" i="82"/>
  <c r="G257" i="82"/>
  <c r="H257" i="82"/>
  <c r="J275" i="82"/>
  <c r="I275" i="82"/>
  <c r="J289" i="82"/>
  <c r="G289" i="82"/>
  <c r="J297" i="82"/>
  <c r="H297" i="82"/>
  <c r="I304" i="82"/>
  <c r="J304" i="82"/>
  <c r="J314" i="82"/>
  <c r="G314" i="82"/>
  <c r="H314" i="82"/>
  <c r="J350" i="82"/>
  <c r="H350" i="82"/>
  <c r="G350" i="82"/>
  <c r="J358" i="82"/>
  <c r="G358" i="82"/>
  <c r="J370" i="82"/>
  <c r="I370" i="82"/>
  <c r="H370" i="82"/>
  <c r="G376" i="82"/>
  <c r="H378" i="82"/>
  <c r="I382" i="82"/>
  <c r="G402" i="82"/>
  <c r="J172" i="82"/>
  <c r="G172" i="82"/>
  <c r="J180" i="82"/>
  <c r="I180" i="82"/>
  <c r="I217" i="82"/>
  <c r="G217" i="82"/>
  <c r="J228" i="82"/>
  <c r="G228" i="82"/>
  <c r="J232" i="82"/>
  <c r="H232" i="82"/>
  <c r="J236" i="82"/>
  <c r="I236" i="82"/>
  <c r="J244" i="82"/>
  <c r="H244" i="82"/>
  <c r="J256" i="82"/>
  <c r="G256" i="82"/>
  <c r="J268" i="82"/>
  <c r="G268" i="82"/>
  <c r="I273" i="82"/>
  <c r="H273" i="82"/>
  <c r="I290" i="82"/>
  <c r="G290" i="82"/>
  <c r="I298" i="82"/>
  <c r="H298" i="82"/>
  <c r="J322" i="82"/>
  <c r="H322" i="82"/>
  <c r="J342" i="82"/>
  <c r="I342" i="82"/>
  <c r="J362" i="82"/>
  <c r="G362" i="82"/>
  <c r="J386" i="82"/>
  <c r="I386" i="82"/>
  <c r="J392" i="82"/>
  <c r="I392" i="82"/>
  <c r="J394" i="82"/>
  <c r="G394" i="82"/>
  <c r="J36" i="82"/>
  <c r="J40" i="82"/>
  <c r="H146" i="82"/>
  <c r="J146" i="82"/>
  <c r="G146" i="82"/>
  <c r="I149" i="82"/>
  <c r="J149" i="82"/>
  <c r="G149" i="82"/>
  <c r="H154" i="82"/>
  <c r="J154" i="82"/>
  <c r="G154" i="82"/>
  <c r="G159" i="82"/>
  <c r="J159" i="82"/>
  <c r="H159" i="82"/>
  <c r="H162" i="82"/>
  <c r="J162" i="82"/>
  <c r="G162" i="82"/>
  <c r="G167" i="82"/>
  <c r="J167" i="82"/>
  <c r="H167" i="82"/>
  <c r="G175" i="82"/>
  <c r="J175" i="82"/>
  <c r="H175" i="82"/>
  <c r="H186" i="82"/>
  <c r="J186" i="82"/>
  <c r="G186" i="82"/>
  <c r="G191" i="82"/>
  <c r="J191" i="82"/>
  <c r="H191" i="82"/>
  <c r="G199" i="82"/>
  <c r="H199" i="82"/>
  <c r="I199" i="82"/>
  <c r="G263" i="82"/>
  <c r="H263" i="82"/>
  <c r="I263" i="82"/>
  <c r="G32" i="82"/>
  <c r="G36" i="82"/>
  <c r="G40" i="82"/>
  <c r="G44" i="82"/>
  <c r="J45" i="82"/>
  <c r="H149" i="82"/>
  <c r="I162" i="82"/>
  <c r="I167" i="82"/>
  <c r="I186" i="82"/>
  <c r="I191" i="82"/>
  <c r="H202" i="82"/>
  <c r="I202" i="82"/>
  <c r="G202" i="82"/>
  <c r="G223" i="82"/>
  <c r="H223" i="82"/>
  <c r="I223" i="82"/>
  <c r="H234" i="82"/>
  <c r="I234" i="82"/>
  <c r="G234" i="82"/>
  <c r="G255" i="82"/>
  <c r="H255" i="82"/>
  <c r="I255" i="82"/>
  <c r="G30" i="82"/>
  <c r="I32" i="82"/>
  <c r="H33" i="82"/>
  <c r="G34" i="82"/>
  <c r="I36" i="82"/>
  <c r="H37" i="82"/>
  <c r="G38" i="82"/>
  <c r="I40" i="82"/>
  <c r="H41" i="82"/>
  <c r="G42" i="82"/>
  <c r="I44" i="82"/>
  <c r="H45" i="82"/>
  <c r="G46" i="82"/>
  <c r="G47" i="82"/>
  <c r="H48" i="82"/>
  <c r="G50" i="82"/>
  <c r="G51" i="82"/>
  <c r="H52" i="82"/>
  <c r="G54" i="82"/>
  <c r="G55" i="82"/>
  <c r="H56" i="82"/>
  <c r="G58" i="82"/>
  <c r="G59" i="82"/>
  <c r="H60" i="82"/>
  <c r="G62" i="82"/>
  <c r="G63" i="82"/>
  <c r="H64" i="82"/>
  <c r="G66" i="82"/>
  <c r="G67" i="82"/>
  <c r="H68" i="82"/>
  <c r="G70" i="82"/>
  <c r="G71" i="82"/>
  <c r="H72" i="82"/>
  <c r="G74" i="82"/>
  <c r="G75" i="82"/>
  <c r="H76" i="82"/>
  <c r="G78" i="82"/>
  <c r="G79" i="82"/>
  <c r="H80" i="82"/>
  <c r="G82" i="82"/>
  <c r="G83" i="82"/>
  <c r="H84" i="82"/>
  <c r="G86" i="82"/>
  <c r="G87" i="82"/>
  <c r="H88" i="82"/>
  <c r="G90" i="82"/>
  <c r="G91" i="82"/>
  <c r="H92" i="82"/>
  <c r="G94" i="82"/>
  <c r="G95" i="82"/>
  <c r="H96" i="82"/>
  <c r="G98" i="82"/>
  <c r="G99" i="82"/>
  <c r="H100" i="82"/>
  <c r="G102" i="82"/>
  <c r="G103" i="82"/>
  <c r="H104" i="82"/>
  <c r="G106" i="82"/>
  <c r="G107" i="82"/>
  <c r="H108" i="82"/>
  <c r="G110" i="82"/>
  <c r="G111" i="82"/>
  <c r="H112" i="82"/>
  <c r="G114" i="82"/>
  <c r="G115" i="82"/>
  <c r="H116" i="82"/>
  <c r="G118" i="82"/>
  <c r="G119" i="82"/>
  <c r="H120" i="82"/>
  <c r="G122" i="82"/>
  <c r="G123" i="82"/>
  <c r="H124" i="82"/>
  <c r="G126" i="82"/>
  <c r="G127" i="82"/>
  <c r="H128" i="82"/>
  <c r="G130" i="82"/>
  <c r="G131" i="82"/>
  <c r="H132" i="82"/>
  <c r="G134" i="82"/>
  <c r="G135" i="82"/>
  <c r="H136" i="82"/>
  <c r="G138" i="82"/>
  <c r="G139" i="82"/>
  <c r="H140" i="82"/>
  <c r="G207" i="82"/>
  <c r="H207" i="82"/>
  <c r="I207" i="82"/>
  <c r="H218" i="82"/>
  <c r="I218" i="82"/>
  <c r="G218" i="82"/>
  <c r="G239" i="82"/>
  <c r="H239" i="82"/>
  <c r="I239" i="82"/>
  <c r="H250" i="82"/>
  <c r="I250" i="82"/>
  <c r="G250" i="82"/>
  <c r="G271" i="82"/>
  <c r="H271" i="82"/>
  <c r="I271" i="82"/>
  <c r="G280" i="82"/>
  <c r="H280" i="82"/>
  <c r="I280" i="82"/>
  <c r="J280" i="82"/>
  <c r="G292" i="82"/>
  <c r="H292" i="82"/>
  <c r="J292" i="82"/>
  <c r="I292" i="82"/>
  <c r="G337" i="82"/>
  <c r="H337" i="82"/>
  <c r="I337" i="82"/>
  <c r="J337" i="82"/>
  <c r="H348" i="82"/>
  <c r="G348" i="82"/>
  <c r="I348" i="82"/>
  <c r="J348" i="82"/>
  <c r="I359" i="82"/>
  <c r="G359" i="82"/>
  <c r="H359" i="82"/>
  <c r="J359" i="82"/>
  <c r="J32" i="82"/>
  <c r="J44" i="82"/>
  <c r="J144" i="82"/>
  <c r="I144" i="82"/>
  <c r="G144" i="82"/>
  <c r="G151" i="82"/>
  <c r="J151" i="82"/>
  <c r="H151" i="82"/>
  <c r="I157" i="82"/>
  <c r="J157" i="82"/>
  <c r="G157" i="82"/>
  <c r="I165" i="82"/>
  <c r="J165" i="82"/>
  <c r="G165" i="82"/>
  <c r="H170" i="82"/>
  <c r="J170" i="82"/>
  <c r="G170" i="82"/>
  <c r="I173" i="82"/>
  <c r="J173" i="82"/>
  <c r="G173" i="82"/>
  <c r="H178" i="82"/>
  <c r="J178" i="82"/>
  <c r="G178" i="82"/>
  <c r="I181" i="82"/>
  <c r="J181" i="82"/>
  <c r="G181" i="82"/>
  <c r="G183" i="82"/>
  <c r="J183" i="82"/>
  <c r="H183" i="82"/>
  <c r="I189" i="82"/>
  <c r="J189" i="82"/>
  <c r="G189" i="82"/>
  <c r="H194" i="82"/>
  <c r="J194" i="82"/>
  <c r="G194" i="82"/>
  <c r="I197" i="82"/>
  <c r="J197" i="82"/>
  <c r="G197" i="82"/>
  <c r="H210" i="82"/>
  <c r="I210" i="82"/>
  <c r="G210" i="82"/>
  <c r="G231" i="82"/>
  <c r="H231" i="82"/>
  <c r="I231" i="82"/>
  <c r="H242" i="82"/>
  <c r="I242" i="82"/>
  <c r="G242" i="82"/>
  <c r="H274" i="82"/>
  <c r="I274" i="82"/>
  <c r="G274" i="82"/>
  <c r="I282" i="82"/>
  <c r="G282" i="82"/>
  <c r="H282" i="82"/>
  <c r="J282" i="82"/>
  <c r="G316" i="82"/>
  <c r="H316" i="82"/>
  <c r="J316" i="82"/>
  <c r="I316" i="82"/>
  <c r="J33" i="82"/>
  <c r="J37" i="82"/>
  <c r="J41" i="82"/>
  <c r="I146" i="82"/>
  <c r="I151" i="82"/>
  <c r="I154" i="82"/>
  <c r="I159" i="82"/>
  <c r="H165" i="82"/>
  <c r="I170" i="82"/>
  <c r="I175" i="82"/>
  <c r="I178" i="82"/>
  <c r="I183" i="82"/>
  <c r="H189" i="82"/>
  <c r="I194" i="82"/>
  <c r="J199" i="82"/>
  <c r="J263" i="82"/>
  <c r="H266" i="82"/>
  <c r="I266" i="82"/>
  <c r="G266" i="82"/>
  <c r="H283" i="82"/>
  <c r="G283" i="82"/>
  <c r="I283" i="82"/>
  <c r="J283" i="82"/>
  <c r="H332" i="82"/>
  <c r="G332" i="82"/>
  <c r="I332" i="82"/>
  <c r="J332" i="82"/>
  <c r="I343" i="82"/>
  <c r="G343" i="82"/>
  <c r="H343" i="82"/>
  <c r="J343" i="82"/>
  <c r="G353" i="82"/>
  <c r="H353" i="82"/>
  <c r="I353" i="82"/>
  <c r="J353" i="82"/>
  <c r="J17" i="82"/>
  <c r="J16" i="82"/>
  <c r="G142" i="82"/>
  <c r="I142" i="82"/>
  <c r="I145" i="82"/>
  <c r="J145" i="82"/>
  <c r="G145" i="82"/>
  <c r="G147" i="82"/>
  <c r="J147" i="82"/>
  <c r="H147" i="82"/>
  <c r="H150" i="82"/>
  <c r="J150" i="82"/>
  <c r="G150" i="82"/>
  <c r="I153" i="82"/>
  <c r="J153" i="82"/>
  <c r="G153" i="82"/>
  <c r="G155" i="82"/>
  <c r="J155" i="82"/>
  <c r="H155" i="82"/>
  <c r="H158" i="82"/>
  <c r="J158" i="82"/>
  <c r="G158" i="82"/>
  <c r="I161" i="82"/>
  <c r="J161" i="82"/>
  <c r="G161" i="82"/>
  <c r="G163" i="82"/>
  <c r="J163" i="82"/>
  <c r="H163" i="82"/>
  <c r="H166" i="82"/>
  <c r="J166" i="82"/>
  <c r="G166" i="82"/>
  <c r="I169" i="82"/>
  <c r="J169" i="82"/>
  <c r="G169" i="82"/>
  <c r="G171" i="82"/>
  <c r="J171" i="82"/>
  <c r="H171" i="82"/>
  <c r="H174" i="82"/>
  <c r="J174" i="82"/>
  <c r="G174" i="82"/>
  <c r="I177" i="82"/>
  <c r="J177" i="82"/>
  <c r="G177" i="82"/>
  <c r="G179" i="82"/>
  <c r="J179" i="82"/>
  <c r="H179" i="82"/>
  <c r="H182" i="82"/>
  <c r="J182" i="82"/>
  <c r="G182" i="82"/>
  <c r="I185" i="82"/>
  <c r="J185" i="82"/>
  <c r="G185" i="82"/>
  <c r="G187" i="82"/>
  <c r="J187" i="82"/>
  <c r="H187" i="82"/>
  <c r="H190" i="82"/>
  <c r="J190" i="82"/>
  <c r="G190" i="82"/>
  <c r="I193" i="82"/>
  <c r="J193" i="82"/>
  <c r="G193" i="82"/>
  <c r="G195" i="82"/>
  <c r="J195" i="82"/>
  <c r="H195" i="82"/>
  <c r="H198" i="82"/>
  <c r="J198" i="82"/>
  <c r="G198" i="82"/>
  <c r="J202" i="82"/>
  <c r="G215" i="82"/>
  <c r="H215" i="82"/>
  <c r="I215" i="82"/>
  <c r="J223" i="82"/>
  <c r="H226" i="82"/>
  <c r="I226" i="82"/>
  <c r="G226" i="82"/>
  <c r="J234" i="82"/>
  <c r="G247" i="82"/>
  <c r="H247" i="82"/>
  <c r="I247" i="82"/>
  <c r="J255" i="82"/>
  <c r="H258" i="82"/>
  <c r="I258" i="82"/>
  <c r="G258" i="82"/>
  <c r="J266" i="82"/>
  <c r="H279" i="82"/>
  <c r="G279" i="82"/>
  <c r="I279" i="82"/>
  <c r="J279" i="82"/>
  <c r="G284" i="82"/>
  <c r="H284" i="82"/>
  <c r="I284" i="82"/>
  <c r="J284" i="82"/>
  <c r="H143" i="82"/>
  <c r="G203" i="82"/>
  <c r="H203" i="82"/>
  <c r="H214" i="82"/>
  <c r="I214" i="82"/>
  <c r="G219" i="82"/>
  <c r="H219" i="82"/>
  <c r="H230" i="82"/>
  <c r="I230" i="82"/>
  <c r="G235" i="82"/>
  <c r="H235" i="82"/>
  <c r="H246" i="82"/>
  <c r="I246" i="82"/>
  <c r="G251" i="82"/>
  <c r="H251" i="82"/>
  <c r="H262" i="82"/>
  <c r="I262" i="82"/>
  <c r="G267" i="82"/>
  <c r="H267" i="82"/>
  <c r="H278" i="82"/>
  <c r="I278" i="82"/>
  <c r="H287" i="82"/>
  <c r="I287" i="82"/>
  <c r="J287" i="82"/>
  <c r="H291" i="82"/>
  <c r="I291" i="82"/>
  <c r="G291" i="82"/>
  <c r="J291" i="82"/>
  <c r="G296" i="82"/>
  <c r="H296" i="82"/>
  <c r="I296" i="82"/>
  <c r="J296" i="82"/>
  <c r="I335" i="82"/>
  <c r="G335" i="82"/>
  <c r="H335" i="82"/>
  <c r="J335" i="82"/>
  <c r="G345" i="82"/>
  <c r="H345" i="82"/>
  <c r="I345" i="82"/>
  <c r="J345" i="82"/>
  <c r="H356" i="82"/>
  <c r="G356" i="82"/>
  <c r="I356" i="82"/>
  <c r="J356" i="82"/>
  <c r="G375" i="82"/>
  <c r="I375" i="82"/>
  <c r="J375" i="82"/>
  <c r="G391" i="82"/>
  <c r="I391" i="82"/>
  <c r="J391" i="82"/>
  <c r="G407" i="82"/>
  <c r="I407" i="82"/>
  <c r="J407" i="82"/>
  <c r="H206" i="82"/>
  <c r="I206" i="82"/>
  <c r="G211" i="82"/>
  <c r="H211" i="82"/>
  <c r="H222" i="82"/>
  <c r="I222" i="82"/>
  <c r="G227" i="82"/>
  <c r="H227" i="82"/>
  <c r="H238" i="82"/>
  <c r="I238" i="82"/>
  <c r="G243" i="82"/>
  <c r="H243" i="82"/>
  <c r="H254" i="82"/>
  <c r="I254" i="82"/>
  <c r="G259" i="82"/>
  <c r="H259" i="82"/>
  <c r="H270" i="82"/>
  <c r="I270" i="82"/>
  <c r="G275" i="82"/>
  <c r="H275" i="82"/>
  <c r="H311" i="82"/>
  <c r="I311" i="82"/>
  <c r="J311" i="82"/>
  <c r="H315" i="82"/>
  <c r="I315" i="82"/>
  <c r="G315" i="82"/>
  <c r="J315" i="82"/>
  <c r="G320" i="82"/>
  <c r="H320" i="82"/>
  <c r="I320" i="82"/>
  <c r="J320" i="82"/>
  <c r="H327" i="82"/>
  <c r="I327" i="82"/>
  <c r="J327" i="82"/>
  <c r="G329" i="82"/>
  <c r="H329" i="82"/>
  <c r="I329" i="82"/>
  <c r="J329" i="82"/>
  <c r="H340" i="82"/>
  <c r="G340" i="82"/>
  <c r="I340" i="82"/>
  <c r="J340" i="82"/>
  <c r="I351" i="82"/>
  <c r="G351" i="82"/>
  <c r="H351" i="82"/>
  <c r="J351" i="82"/>
  <c r="G361" i="82"/>
  <c r="H361" i="82"/>
  <c r="I361" i="82"/>
  <c r="J361" i="82"/>
  <c r="J201" i="82"/>
  <c r="J205" i="82"/>
  <c r="J209" i="82"/>
  <c r="J213" i="82"/>
  <c r="J217" i="82"/>
  <c r="J221" i="82"/>
  <c r="J225" i="82"/>
  <c r="J229" i="82"/>
  <c r="J233" i="82"/>
  <c r="J237" i="82"/>
  <c r="J241" i="82"/>
  <c r="J245" i="82"/>
  <c r="J249" i="82"/>
  <c r="J253" i="82"/>
  <c r="J257" i="82"/>
  <c r="J261" i="82"/>
  <c r="J265" i="82"/>
  <c r="J269" i="82"/>
  <c r="J273" i="82"/>
  <c r="J277" i="82"/>
  <c r="G288" i="82"/>
  <c r="H288" i="82"/>
  <c r="H299" i="82"/>
  <c r="I299" i="82"/>
  <c r="H303" i="82"/>
  <c r="I303" i="82"/>
  <c r="H307" i="82"/>
  <c r="I307" i="82"/>
  <c r="G312" i="82"/>
  <c r="H312" i="82"/>
  <c r="H323" i="82"/>
  <c r="I323" i="82"/>
  <c r="H328" i="82"/>
  <c r="G328" i="82"/>
  <c r="I328" i="82"/>
  <c r="I331" i="82"/>
  <c r="G331" i="82"/>
  <c r="H331" i="82"/>
  <c r="G333" i="82"/>
  <c r="H333" i="82"/>
  <c r="I333" i="82"/>
  <c r="H336" i="82"/>
  <c r="G336" i="82"/>
  <c r="I336" i="82"/>
  <c r="I339" i="82"/>
  <c r="G339" i="82"/>
  <c r="H339" i="82"/>
  <c r="G341" i="82"/>
  <c r="H341" i="82"/>
  <c r="I341" i="82"/>
  <c r="H344" i="82"/>
  <c r="G344" i="82"/>
  <c r="I344" i="82"/>
  <c r="I347" i="82"/>
  <c r="G347" i="82"/>
  <c r="H347" i="82"/>
  <c r="G349" i="82"/>
  <c r="H349" i="82"/>
  <c r="I349" i="82"/>
  <c r="H352" i="82"/>
  <c r="G352" i="82"/>
  <c r="I352" i="82"/>
  <c r="I355" i="82"/>
  <c r="G355" i="82"/>
  <c r="H355" i="82"/>
  <c r="G357" i="82"/>
  <c r="H357" i="82"/>
  <c r="I357" i="82"/>
  <c r="H360" i="82"/>
  <c r="G360" i="82"/>
  <c r="I360" i="82"/>
  <c r="G363" i="82"/>
  <c r="I363" i="82"/>
  <c r="H363" i="82"/>
  <c r="J363" i="82"/>
  <c r="I369" i="82"/>
  <c r="G369" i="82"/>
  <c r="J369" i="82"/>
  <c r="I373" i="82"/>
  <c r="G373" i="82"/>
  <c r="H373" i="82"/>
  <c r="J373" i="82"/>
  <c r="G379" i="82"/>
  <c r="I379" i="82"/>
  <c r="H379" i="82"/>
  <c r="J379" i="82"/>
  <c r="I385" i="82"/>
  <c r="G385" i="82"/>
  <c r="J385" i="82"/>
  <c r="I389" i="82"/>
  <c r="G389" i="82"/>
  <c r="H389" i="82"/>
  <c r="J389" i="82"/>
  <c r="G395" i="82"/>
  <c r="I395" i="82"/>
  <c r="H395" i="82"/>
  <c r="J395" i="82"/>
  <c r="I401" i="82"/>
  <c r="G401" i="82"/>
  <c r="J401" i="82"/>
  <c r="I405" i="82"/>
  <c r="G405" i="82"/>
  <c r="H405" i="82"/>
  <c r="J405" i="82"/>
  <c r="G411" i="82"/>
  <c r="I411" i="82"/>
  <c r="H411" i="82"/>
  <c r="J411" i="82"/>
  <c r="H295" i="82"/>
  <c r="I295" i="82"/>
  <c r="G300" i="82"/>
  <c r="H300" i="82"/>
  <c r="G304" i="82"/>
  <c r="H304" i="82"/>
  <c r="G308" i="82"/>
  <c r="H308" i="82"/>
  <c r="H319" i="82"/>
  <c r="I319" i="82"/>
  <c r="G324" i="82"/>
  <c r="H324" i="82"/>
  <c r="J286" i="82"/>
  <c r="J290" i="82"/>
  <c r="J294" i="82"/>
  <c r="J298" i="82"/>
  <c r="G301" i="82"/>
  <c r="J302" i="82"/>
  <c r="G305" i="82"/>
  <c r="J306" i="82"/>
  <c r="G309" i="82"/>
  <c r="G313" i="82"/>
  <c r="G317" i="82"/>
  <c r="G321" i="82"/>
  <c r="G325" i="82"/>
  <c r="I365" i="82"/>
  <c r="G365" i="82"/>
  <c r="G371" i="82"/>
  <c r="I371" i="82"/>
  <c r="I381" i="82"/>
  <c r="G381" i="82"/>
  <c r="G387" i="82"/>
  <c r="I387" i="82"/>
  <c r="I397" i="82"/>
  <c r="G397" i="82"/>
  <c r="G403" i="82"/>
  <c r="I403" i="82"/>
  <c r="G367" i="82"/>
  <c r="I367" i="82"/>
  <c r="I377" i="82"/>
  <c r="G377" i="82"/>
  <c r="G383" i="82"/>
  <c r="I383" i="82"/>
  <c r="I393" i="82"/>
  <c r="G393" i="82"/>
  <c r="G399" i="82"/>
  <c r="I399" i="82"/>
  <c r="I409" i="82"/>
  <c r="G409" i="82"/>
  <c r="H364" i="82"/>
  <c r="H368" i="82"/>
  <c r="H372" i="82"/>
  <c r="H376" i="82"/>
  <c r="H380" i="82"/>
  <c r="H384" i="82"/>
  <c r="H388" i="82"/>
  <c r="H392" i="82"/>
  <c r="H396" i="82"/>
  <c r="H400" i="82"/>
  <c r="H404" i="82"/>
  <c r="H408" i="82"/>
  <c r="H412" i="82"/>
  <c r="I45" i="81"/>
  <c r="H73" i="81"/>
  <c r="I109" i="81"/>
  <c r="H129" i="81"/>
  <c r="H177" i="81"/>
  <c r="I213" i="81"/>
  <c r="I235" i="81"/>
  <c r="I275" i="81"/>
  <c r="I277" i="81"/>
  <c r="I311" i="81"/>
  <c r="H327" i="81"/>
  <c r="I332" i="81"/>
  <c r="H340" i="81"/>
  <c r="H368" i="81"/>
  <c r="H408" i="81"/>
  <c r="H409" i="81"/>
  <c r="G41" i="81"/>
  <c r="G53" i="81"/>
  <c r="I61" i="81"/>
  <c r="H77" i="81"/>
  <c r="H89" i="81"/>
  <c r="G105" i="81"/>
  <c r="G117" i="81"/>
  <c r="H125" i="81"/>
  <c r="H133" i="81"/>
  <c r="H145" i="81"/>
  <c r="I165" i="81"/>
  <c r="H181" i="81"/>
  <c r="H193" i="81"/>
  <c r="G209" i="81"/>
  <c r="H239" i="81"/>
  <c r="I247" i="81"/>
  <c r="G255" i="81"/>
  <c r="G291" i="81"/>
  <c r="G293" i="81"/>
  <c r="I299" i="81"/>
  <c r="H304" i="81"/>
  <c r="G319" i="81"/>
  <c r="H339" i="81"/>
  <c r="I343" i="81"/>
  <c r="H348" i="81"/>
  <c r="I354" i="81"/>
  <c r="G360" i="81"/>
  <c r="G377" i="81"/>
  <c r="H404" i="81"/>
  <c r="I408" i="81"/>
  <c r="H45" i="81"/>
  <c r="G73" i="81"/>
  <c r="G85" i="81"/>
  <c r="H109" i="81"/>
  <c r="G129" i="81"/>
  <c r="G177" i="81"/>
  <c r="H213" i="81"/>
  <c r="H235" i="81"/>
  <c r="I261" i="81"/>
  <c r="H275" i="81"/>
  <c r="I282" i="81"/>
  <c r="H311" i="81"/>
  <c r="G327" i="81"/>
  <c r="H332" i="81"/>
  <c r="G340" i="81"/>
  <c r="G368" i="81"/>
  <c r="G408" i="81"/>
  <c r="I245" i="81"/>
  <c r="G245" i="81"/>
  <c r="I266" i="81"/>
  <c r="H266" i="81"/>
  <c r="J283" i="81"/>
  <c r="H283" i="81"/>
  <c r="G283" i="81"/>
  <c r="J352" i="81"/>
  <c r="H352" i="81"/>
  <c r="G352" i="81"/>
  <c r="H33" i="81"/>
  <c r="I37" i="81"/>
  <c r="G45" i="81"/>
  <c r="H49" i="81"/>
  <c r="I53" i="81"/>
  <c r="G61" i="81"/>
  <c r="H65" i="81"/>
  <c r="I69" i="81"/>
  <c r="G77" i="81"/>
  <c r="H81" i="81"/>
  <c r="I85" i="81"/>
  <c r="G93" i="81"/>
  <c r="H97" i="81"/>
  <c r="I101" i="81"/>
  <c r="G109" i="81"/>
  <c r="H113" i="81"/>
  <c r="I117" i="81"/>
  <c r="J173" i="81"/>
  <c r="I173" i="81"/>
  <c r="H173" i="81"/>
  <c r="J205" i="81"/>
  <c r="I205" i="81"/>
  <c r="H205" i="81"/>
  <c r="G229" i="81"/>
  <c r="G272" i="81"/>
  <c r="J279" i="81"/>
  <c r="I279" i="81"/>
  <c r="H279" i="81"/>
  <c r="I309" i="81"/>
  <c r="G309" i="81"/>
  <c r="G329" i="81"/>
  <c r="J356" i="81"/>
  <c r="I356" i="81"/>
  <c r="H356" i="81"/>
  <c r="I371" i="81"/>
  <c r="H371" i="81"/>
  <c r="H393" i="81"/>
  <c r="G393" i="81"/>
  <c r="J400" i="81"/>
  <c r="H400" i="81"/>
  <c r="G400" i="81"/>
  <c r="I33" i="81"/>
  <c r="I49" i="81"/>
  <c r="I65" i="81"/>
  <c r="I81" i="81"/>
  <c r="I97" i="81"/>
  <c r="I113" i="81"/>
  <c r="J153" i="81"/>
  <c r="H153" i="81"/>
  <c r="G153" i="81"/>
  <c r="J185" i="81"/>
  <c r="H185" i="81"/>
  <c r="G185" i="81"/>
  <c r="J217" i="81"/>
  <c r="H217" i="81"/>
  <c r="G217" i="81"/>
  <c r="J223" i="81"/>
  <c r="H223" i="81"/>
  <c r="G223" i="81"/>
  <c r="J271" i="81"/>
  <c r="I271" i="81"/>
  <c r="H271" i="81"/>
  <c r="H288" i="81"/>
  <c r="G288" i="81"/>
  <c r="J295" i="81"/>
  <c r="H295" i="81"/>
  <c r="G295" i="81"/>
  <c r="J307" i="81"/>
  <c r="I307" i="81"/>
  <c r="H307" i="81"/>
  <c r="J323" i="81"/>
  <c r="H323" i="81"/>
  <c r="G323" i="81"/>
  <c r="I334" i="81"/>
  <c r="G334" i="81"/>
  <c r="J344" i="81"/>
  <c r="H344" i="81"/>
  <c r="G344" i="81"/>
  <c r="J364" i="81"/>
  <c r="H364" i="81"/>
  <c r="G364" i="81"/>
  <c r="J372" i="81"/>
  <c r="I372" i="81"/>
  <c r="H372" i="81"/>
  <c r="J388" i="81"/>
  <c r="H388" i="81"/>
  <c r="G388" i="81"/>
  <c r="J137" i="81"/>
  <c r="H137" i="81"/>
  <c r="G137" i="81"/>
  <c r="J157" i="81"/>
  <c r="I157" i="81"/>
  <c r="H157" i="81"/>
  <c r="J189" i="81"/>
  <c r="I189" i="81"/>
  <c r="H189" i="81"/>
  <c r="J221" i="81"/>
  <c r="I221" i="81"/>
  <c r="H221" i="81"/>
  <c r="J384" i="81"/>
  <c r="I384" i="81"/>
  <c r="H384" i="81"/>
  <c r="J392" i="81"/>
  <c r="H392" i="81"/>
  <c r="G392" i="81"/>
  <c r="J412" i="81"/>
  <c r="I412" i="81"/>
  <c r="H412" i="81"/>
  <c r="G33" i="81"/>
  <c r="H37" i="81"/>
  <c r="I41" i="81"/>
  <c r="G49" i="81"/>
  <c r="H53" i="81"/>
  <c r="I57" i="81"/>
  <c r="G65" i="81"/>
  <c r="H69" i="81"/>
  <c r="I73" i="81"/>
  <c r="G81" i="81"/>
  <c r="H85" i="81"/>
  <c r="I89" i="81"/>
  <c r="G97" i="81"/>
  <c r="H101" i="81"/>
  <c r="I105" i="81"/>
  <c r="G113" i="81"/>
  <c r="H117" i="81"/>
  <c r="I121" i="81"/>
  <c r="I137" i="81"/>
  <c r="J141" i="81"/>
  <c r="I141" i="81"/>
  <c r="H141" i="81"/>
  <c r="G157" i="81"/>
  <c r="J169" i="81"/>
  <c r="H169" i="81"/>
  <c r="G169" i="81"/>
  <c r="G189" i="81"/>
  <c r="J201" i="81"/>
  <c r="H201" i="81"/>
  <c r="G201" i="81"/>
  <c r="G221" i="81"/>
  <c r="H224" i="81"/>
  <c r="G224" i="81"/>
  <c r="J231" i="81"/>
  <c r="H231" i="81"/>
  <c r="G231" i="81"/>
  <c r="J243" i="81"/>
  <c r="I243" i="81"/>
  <c r="H243" i="81"/>
  <c r="H250" i="81"/>
  <c r="J259" i="81"/>
  <c r="H259" i="81"/>
  <c r="G259" i="81"/>
  <c r="J267" i="81"/>
  <c r="I267" i="81"/>
  <c r="H267" i="81"/>
  <c r="I283" i="81"/>
  <c r="J287" i="81"/>
  <c r="H287" i="81"/>
  <c r="G287" i="81"/>
  <c r="J336" i="81"/>
  <c r="H336" i="81"/>
  <c r="G336" i="81"/>
  <c r="H345" i="81"/>
  <c r="G345" i="81"/>
  <c r="G350" i="81"/>
  <c r="I352" i="81"/>
  <c r="I355" i="81"/>
  <c r="H355" i="81"/>
  <c r="J376" i="81"/>
  <c r="I376" i="81"/>
  <c r="H376" i="81"/>
  <c r="G384" i="81"/>
  <c r="I392" i="81"/>
  <c r="G412" i="81"/>
  <c r="I129" i="81"/>
  <c r="I145" i="81"/>
  <c r="I161" i="81"/>
  <c r="I177" i="81"/>
  <c r="I193" i="81"/>
  <c r="I209" i="81"/>
  <c r="I227" i="81"/>
  <c r="I251" i="81"/>
  <c r="I255" i="81"/>
  <c r="I263" i="81"/>
  <c r="I291" i="81"/>
  <c r="I315" i="81"/>
  <c r="I319" i="81"/>
  <c r="I327" i="81"/>
  <c r="I340" i="81"/>
  <c r="I348" i="81"/>
  <c r="I360" i="81"/>
  <c r="I368" i="81"/>
  <c r="I396" i="81"/>
  <c r="G133" i="81"/>
  <c r="G165" i="81"/>
  <c r="G181" i="81"/>
  <c r="G197" i="81"/>
  <c r="G213" i="81"/>
  <c r="G235" i="81"/>
  <c r="G239" i="81"/>
  <c r="G247" i="81"/>
  <c r="G275" i="81"/>
  <c r="G299" i="81"/>
  <c r="G303" i="81"/>
  <c r="G311" i="81"/>
  <c r="G332" i="81"/>
  <c r="G380" i="81"/>
  <c r="G404" i="81"/>
  <c r="F29" i="81"/>
  <c r="F25" i="81"/>
  <c r="F30" i="81"/>
  <c r="G222" i="81"/>
  <c r="J222" i="81"/>
  <c r="I228" i="81"/>
  <c r="J228" i="81"/>
  <c r="H233" i="81"/>
  <c r="J233" i="81"/>
  <c r="G238" i="81"/>
  <c r="J238" i="81"/>
  <c r="I244" i="81"/>
  <c r="J244" i="81"/>
  <c r="H249" i="81"/>
  <c r="J249" i="81"/>
  <c r="G254" i="81"/>
  <c r="J254" i="81"/>
  <c r="I260" i="81"/>
  <c r="J260" i="81"/>
  <c r="H265" i="81"/>
  <c r="J265" i="81"/>
  <c r="G270" i="81"/>
  <c r="J270" i="81"/>
  <c r="I276" i="81"/>
  <c r="J276" i="81"/>
  <c r="H281" i="81"/>
  <c r="J281" i="81"/>
  <c r="G286" i="81"/>
  <c r="J286" i="81"/>
  <c r="I292" i="81"/>
  <c r="J292" i="81"/>
  <c r="H297" i="81"/>
  <c r="J297" i="81"/>
  <c r="G302" i="81"/>
  <c r="J302" i="81"/>
  <c r="I308" i="81"/>
  <c r="J308" i="81"/>
  <c r="H313" i="81"/>
  <c r="J313" i="81"/>
  <c r="G318" i="81"/>
  <c r="J318" i="81"/>
  <c r="I324" i="81"/>
  <c r="J324" i="81"/>
  <c r="G359" i="81"/>
  <c r="J359" i="81"/>
  <c r="I359" i="81"/>
  <c r="I365" i="81"/>
  <c r="J365" i="81"/>
  <c r="H365" i="81"/>
  <c r="H370" i="81"/>
  <c r="J370" i="81"/>
  <c r="I370" i="81"/>
  <c r="G375" i="81"/>
  <c r="J375" i="81"/>
  <c r="I375" i="81"/>
  <c r="I381" i="81"/>
  <c r="J381" i="81"/>
  <c r="H381" i="81"/>
  <c r="H386" i="81"/>
  <c r="J386" i="81"/>
  <c r="I386" i="81"/>
  <c r="G391" i="81"/>
  <c r="J391" i="81"/>
  <c r="I391" i="81"/>
  <c r="I397" i="81"/>
  <c r="J397" i="81"/>
  <c r="H397" i="81"/>
  <c r="H402" i="81"/>
  <c r="J402" i="81"/>
  <c r="I402" i="81"/>
  <c r="G407" i="81"/>
  <c r="J407" i="81"/>
  <c r="I407" i="81"/>
  <c r="F26" i="81"/>
  <c r="F27" i="81"/>
  <c r="F28" i="81"/>
  <c r="G31" i="81"/>
  <c r="H32" i="81"/>
  <c r="G34" i="81"/>
  <c r="G35" i="81"/>
  <c r="H36" i="81"/>
  <c r="G38" i="81"/>
  <c r="G39" i="81"/>
  <c r="H40" i="81"/>
  <c r="G42" i="81"/>
  <c r="G43" i="81"/>
  <c r="H44" i="81"/>
  <c r="G46" i="81"/>
  <c r="G47" i="81"/>
  <c r="H48" i="81"/>
  <c r="G50" i="81"/>
  <c r="G51" i="81"/>
  <c r="H52" i="81"/>
  <c r="G54" i="81"/>
  <c r="G55" i="81"/>
  <c r="H56" i="81"/>
  <c r="G58" i="81"/>
  <c r="G59" i="81"/>
  <c r="H60" i="81"/>
  <c r="G62" i="81"/>
  <c r="G63" i="81"/>
  <c r="H64" i="81"/>
  <c r="G66" i="81"/>
  <c r="G67" i="81"/>
  <c r="H68" i="81"/>
  <c r="G70" i="81"/>
  <c r="G71" i="81"/>
  <c r="H72" i="81"/>
  <c r="G74" i="81"/>
  <c r="G75" i="81"/>
  <c r="H76" i="81"/>
  <c r="G78" i="81"/>
  <c r="G79" i="81"/>
  <c r="H80" i="81"/>
  <c r="G82" i="81"/>
  <c r="G83" i="81"/>
  <c r="H84" i="81"/>
  <c r="G86" i="81"/>
  <c r="G87" i="81"/>
  <c r="H88" i="81"/>
  <c r="G90" i="81"/>
  <c r="G91" i="81"/>
  <c r="H92" i="81"/>
  <c r="G94" i="81"/>
  <c r="G95" i="81"/>
  <c r="H96" i="81"/>
  <c r="G98" i="81"/>
  <c r="G99" i="81"/>
  <c r="H100" i="81"/>
  <c r="G102" i="81"/>
  <c r="G103" i="81"/>
  <c r="H104" i="81"/>
  <c r="G106" i="81"/>
  <c r="G107" i="81"/>
  <c r="H108" i="81"/>
  <c r="G110" i="81"/>
  <c r="G111" i="81"/>
  <c r="H112" i="81"/>
  <c r="G114" i="81"/>
  <c r="G115" i="81"/>
  <c r="H116" i="81"/>
  <c r="G118" i="81"/>
  <c r="G119" i="81"/>
  <c r="H120" i="81"/>
  <c r="G122" i="81"/>
  <c r="G123" i="81"/>
  <c r="H124" i="81"/>
  <c r="G126" i="81"/>
  <c r="G127" i="81"/>
  <c r="H128" i="81"/>
  <c r="G130" i="81"/>
  <c r="G131" i="81"/>
  <c r="H132" i="81"/>
  <c r="G134" i="81"/>
  <c r="G135" i="81"/>
  <c r="H136" i="81"/>
  <c r="G138" i="81"/>
  <c r="G139" i="81"/>
  <c r="H140" i="81"/>
  <c r="G142" i="81"/>
  <c r="G143" i="81"/>
  <c r="H144" i="81"/>
  <c r="G146" i="81"/>
  <c r="G147" i="81"/>
  <c r="H148" i="81"/>
  <c r="G150" i="81"/>
  <c r="G151" i="81"/>
  <c r="H152" i="81"/>
  <c r="G154" i="81"/>
  <c r="G155" i="81"/>
  <c r="H156" i="81"/>
  <c r="G158" i="81"/>
  <c r="G159" i="81"/>
  <c r="H160" i="81"/>
  <c r="G162" i="81"/>
  <c r="G163" i="81"/>
  <c r="H164" i="81"/>
  <c r="G166" i="81"/>
  <c r="G167" i="81"/>
  <c r="H168" i="81"/>
  <c r="G170" i="81"/>
  <c r="G171" i="81"/>
  <c r="H172" i="81"/>
  <c r="G174" i="81"/>
  <c r="G175" i="81"/>
  <c r="H176" i="81"/>
  <c r="G178" i="81"/>
  <c r="G179" i="81"/>
  <c r="H180" i="81"/>
  <c r="G182" i="81"/>
  <c r="G183" i="81"/>
  <c r="H184" i="81"/>
  <c r="G186" i="81"/>
  <c r="G187" i="81"/>
  <c r="H188" i="81"/>
  <c r="G190" i="81"/>
  <c r="G191" i="81"/>
  <c r="H192" i="81"/>
  <c r="G194" i="81"/>
  <c r="G195" i="81"/>
  <c r="H196" i="81"/>
  <c r="G198" i="81"/>
  <c r="G199" i="81"/>
  <c r="H200" i="81"/>
  <c r="G202" i="81"/>
  <c r="G203" i="81"/>
  <c r="H204" i="81"/>
  <c r="G206" i="81"/>
  <c r="G207" i="81"/>
  <c r="H208" i="81"/>
  <c r="G210" i="81"/>
  <c r="G211" i="81"/>
  <c r="H212" i="81"/>
  <c r="G214" i="81"/>
  <c r="G215" i="81"/>
  <c r="H216" i="81"/>
  <c r="G218" i="81"/>
  <c r="G219" i="81"/>
  <c r="H220" i="81"/>
  <c r="H222" i="81"/>
  <c r="G226" i="81"/>
  <c r="J226" i="81"/>
  <c r="G228" i="81"/>
  <c r="I232" i="81"/>
  <c r="J232" i="81"/>
  <c r="G233" i="81"/>
  <c r="H237" i="81"/>
  <c r="J237" i="81"/>
  <c r="H238" i="81"/>
  <c r="G242" i="81"/>
  <c r="J242" i="81"/>
  <c r="G244" i="81"/>
  <c r="I248" i="81"/>
  <c r="J248" i="81"/>
  <c r="G249" i="81"/>
  <c r="H253" i="81"/>
  <c r="J253" i="81"/>
  <c r="H254" i="81"/>
  <c r="G258" i="81"/>
  <c r="J258" i="81"/>
  <c r="G260" i="81"/>
  <c r="I264" i="81"/>
  <c r="J264" i="81"/>
  <c r="G265" i="81"/>
  <c r="H269" i="81"/>
  <c r="J269" i="81"/>
  <c r="H270" i="81"/>
  <c r="G274" i="81"/>
  <c r="J274" i="81"/>
  <c r="G276" i="81"/>
  <c r="I280" i="81"/>
  <c r="J280" i="81"/>
  <c r="G281" i="81"/>
  <c r="H285" i="81"/>
  <c r="J285" i="81"/>
  <c r="H286" i="81"/>
  <c r="G290" i="81"/>
  <c r="J290" i="81"/>
  <c r="G292" i="81"/>
  <c r="I296" i="81"/>
  <c r="J296" i="81"/>
  <c r="G297" i="81"/>
  <c r="H301" i="81"/>
  <c r="J301" i="81"/>
  <c r="H302" i="81"/>
  <c r="G306" i="81"/>
  <c r="J306" i="81"/>
  <c r="G308" i="81"/>
  <c r="I312" i="81"/>
  <c r="J312" i="81"/>
  <c r="G313" i="81"/>
  <c r="H317" i="81"/>
  <c r="J317" i="81"/>
  <c r="H318" i="81"/>
  <c r="G322" i="81"/>
  <c r="J322" i="81"/>
  <c r="G324" i="81"/>
  <c r="J328" i="81"/>
  <c r="I328" i="81"/>
  <c r="G331" i="81"/>
  <c r="J331" i="81"/>
  <c r="I331" i="81"/>
  <c r="G335" i="81"/>
  <c r="J335" i="81"/>
  <c r="H335" i="81"/>
  <c r="H338" i="81"/>
  <c r="J338" i="81"/>
  <c r="H342" i="81"/>
  <c r="J342" i="81"/>
  <c r="I342" i="81"/>
  <c r="H346" i="81"/>
  <c r="J346" i="81"/>
  <c r="G346" i="81"/>
  <c r="I349" i="81"/>
  <c r="J349" i="81"/>
  <c r="I353" i="81"/>
  <c r="J353" i="81"/>
  <c r="H353" i="81"/>
  <c r="I357" i="81"/>
  <c r="J357" i="81"/>
  <c r="G357" i="81"/>
  <c r="H359" i="81"/>
  <c r="G365" i="81"/>
  <c r="G370" i="81"/>
  <c r="H375" i="81"/>
  <c r="G381" i="81"/>
  <c r="G386" i="81"/>
  <c r="H391" i="81"/>
  <c r="G397" i="81"/>
  <c r="G402" i="81"/>
  <c r="H407" i="81"/>
  <c r="I31" i="81"/>
  <c r="I32" i="81"/>
  <c r="H34" i="81"/>
  <c r="I35" i="81"/>
  <c r="I36" i="81"/>
  <c r="H38" i="81"/>
  <c r="I39" i="81"/>
  <c r="I40" i="81"/>
  <c r="H42" i="81"/>
  <c r="I43" i="81"/>
  <c r="I44" i="81"/>
  <c r="H46" i="81"/>
  <c r="I47" i="81"/>
  <c r="I48" i="81"/>
  <c r="H50" i="81"/>
  <c r="I51" i="81"/>
  <c r="I52" i="81"/>
  <c r="H54" i="81"/>
  <c r="I55" i="81"/>
  <c r="I56" i="81"/>
  <c r="H58" i="81"/>
  <c r="I59" i="81"/>
  <c r="I60" i="81"/>
  <c r="H62" i="81"/>
  <c r="I63" i="81"/>
  <c r="I64" i="81"/>
  <c r="H66" i="81"/>
  <c r="I67" i="81"/>
  <c r="I68" i="81"/>
  <c r="H70" i="81"/>
  <c r="I71" i="81"/>
  <c r="I72" i="81"/>
  <c r="H74" i="81"/>
  <c r="I75" i="81"/>
  <c r="I76" i="81"/>
  <c r="H78" i="81"/>
  <c r="I79" i="81"/>
  <c r="I80" i="81"/>
  <c r="H82" i="81"/>
  <c r="I83" i="81"/>
  <c r="I84" i="81"/>
  <c r="H86" i="81"/>
  <c r="I87" i="81"/>
  <c r="I88" i="81"/>
  <c r="H90" i="81"/>
  <c r="I91" i="81"/>
  <c r="I92" i="81"/>
  <c r="H94" i="81"/>
  <c r="I95" i="81"/>
  <c r="I96" i="81"/>
  <c r="H98" i="81"/>
  <c r="I99" i="81"/>
  <c r="I100" i="81"/>
  <c r="H102" i="81"/>
  <c r="I103" i="81"/>
  <c r="I104" i="81"/>
  <c r="H106" i="81"/>
  <c r="I107" i="81"/>
  <c r="I108" i="81"/>
  <c r="H110" i="81"/>
  <c r="I111" i="81"/>
  <c r="I112" i="81"/>
  <c r="H114" i="81"/>
  <c r="I115" i="81"/>
  <c r="I116" i="81"/>
  <c r="H118" i="81"/>
  <c r="I119" i="81"/>
  <c r="I120" i="81"/>
  <c r="H122" i="81"/>
  <c r="I123" i="81"/>
  <c r="I124" i="81"/>
  <c r="H126" i="81"/>
  <c r="I127" i="81"/>
  <c r="I128" i="81"/>
  <c r="H130" i="81"/>
  <c r="I131" i="81"/>
  <c r="I132" i="81"/>
  <c r="H134" i="81"/>
  <c r="I135" i="81"/>
  <c r="I136" i="81"/>
  <c r="H138" i="81"/>
  <c r="I139" i="81"/>
  <c r="I140" i="81"/>
  <c r="H142" i="81"/>
  <c r="I143" i="81"/>
  <c r="I144" i="81"/>
  <c r="H146" i="81"/>
  <c r="I147" i="81"/>
  <c r="I148" i="81"/>
  <c r="H150" i="81"/>
  <c r="I151" i="81"/>
  <c r="I152" i="81"/>
  <c r="H154" i="81"/>
  <c r="I155" i="81"/>
  <c r="I156" i="81"/>
  <c r="H158" i="81"/>
  <c r="I159" i="81"/>
  <c r="I160" i="81"/>
  <c r="H162" i="81"/>
  <c r="I163" i="81"/>
  <c r="I164" i="81"/>
  <c r="H166" i="81"/>
  <c r="I167" i="81"/>
  <c r="I168" i="81"/>
  <c r="H170" i="81"/>
  <c r="I171" i="81"/>
  <c r="I172" i="81"/>
  <c r="H174" i="81"/>
  <c r="I175" i="81"/>
  <c r="I176" i="81"/>
  <c r="H178" i="81"/>
  <c r="I179" i="81"/>
  <c r="I180" i="81"/>
  <c r="H182" i="81"/>
  <c r="I183" i="81"/>
  <c r="I184" i="81"/>
  <c r="H186" i="81"/>
  <c r="I187" i="81"/>
  <c r="I188" i="81"/>
  <c r="H190" i="81"/>
  <c r="I191" i="81"/>
  <c r="I192" i="81"/>
  <c r="H194" i="81"/>
  <c r="I195" i="81"/>
  <c r="I196" i="81"/>
  <c r="H198" i="81"/>
  <c r="I199" i="81"/>
  <c r="I200" i="81"/>
  <c r="H202" i="81"/>
  <c r="I203" i="81"/>
  <c r="I204" i="81"/>
  <c r="H206" i="81"/>
  <c r="I207" i="81"/>
  <c r="I208" i="81"/>
  <c r="H210" i="81"/>
  <c r="I211" i="81"/>
  <c r="I212" i="81"/>
  <c r="H214" i="81"/>
  <c r="I215" i="81"/>
  <c r="I216" i="81"/>
  <c r="H218" i="81"/>
  <c r="I219" i="81"/>
  <c r="I220" i="81"/>
  <c r="I222" i="81"/>
  <c r="H225" i="81"/>
  <c r="J225" i="81"/>
  <c r="H226" i="81"/>
  <c r="H228" i="81"/>
  <c r="G230" i="81"/>
  <c r="J230" i="81"/>
  <c r="G232" i="81"/>
  <c r="I233" i="81"/>
  <c r="I236" i="81"/>
  <c r="J236" i="81"/>
  <c r="G237" i="81"/>
  <c r="I238" i="81"/>
  <c r="H241" i="81"/>
  <c r="J241" i="81"/>
  <c r="H242" i="81"/>
  <c r="H244" i="81"/>
  <c r="G246" i="81"/>
  <c r="J246" i="81"/>
  <c r="G248" i="81"/>
  <c r="I249" i="81"/>
  <c r="I252" i="81"/>
  <c r="J252" i="81"/>
  <c r="G253" i="81"/>
  <c r="I254" i="81"/>
  <c r="H257" i="81"/>
  <c r="J257" i="81"/>
  <c r="H258" i="81"/>
  <c r="H260" i="81"/>
  <c r="G262" i="81"/>
  <c r="J262" i="81"/>
  <c r="G264" i="81"/>
  <c r="I265" i="81"/>
  <c r="I268" i="81"/>
  <c r="J268" i="81"/>
  <c r="G269" i="81"/>
  <c r="I270" i="81"/>
  <c r="H273" i="81"/>
  <c r="J273" i="81"/>
  <c r="H274" i="81"/>
  <c r="H276" i="81"/>
  <c r="G278" i="81"/>
  <c r="J278" i="81"/>
  <c r="G280" i="81"/>
  <c r="I281" i="81"/>
  <c r="I284" i="81"/>
  <c r="J284" i="81"/>
  <c r="G285" i="81"/>
  <c r="I286" i="81"/>
  <c r="H289" i="81"/>
  <c r="J289" i="81"/>
  <c r="H290" i="81"/>
  <c r="H292" i="81"/>
  <c r="G294" i="81"/>
  <c r="J294" i="81"/>
  <c r="G296" i="81"/>
  <c r="I297" i="81"/>
  <c r="I300" i="81"/>
  <c r="J300" i="81"/>
  <c r="G301" i="81"/>
  <c r="I302" i="81"/>
  <c r="H305" i="81"/>
  <c r="J305" i="81"/>
  <c r="H306" i="81"/>
  <c r="H308" i="81"/>
  <c r="G310" i="81"/>
  <c r="J310" i="81"/>
  <c r="G312" i="81"/>
  <c r="I313" i="81"/>
  <c r="I316" i="81"/>
  <c r="J316" i="81"/>
  <c r="G317" i="81"/>
  <c r="I318" i="81"/>
  <c r="H321" i="81"/>
  <c r="J321" i="81"/>
  <c r="H322" i="81"/>
  <c r="H324" i="81"/>
  <c r="G326" i="81"/>
  <c r="J326" i="81"/>
  <c r="G328" i="81"/>
  <c r="H331" i="81"/>
  <c r="I335" i="81"/>
  <c r="G338" i="81"/>
  <c r="G342" i="81"/>
  <c r="I346" i="81"/>
  <c r="G349" i="81"/>
  <c r="G353" i="81"/>
  <c r="H357" i="81"/>
  <c r="J31" i="81"/>
  <c r="J32" i="81"/>
  <c r="J34" i="81"/>
  <c r="J35" i="81"/>
  <c r="J36" i="81"/>
  <c r="J38" i="81"/>
  <c r="J39" i="81"/>
  <c r="J40" i="81"/>
  <c r="J42" i="81"/>
  <c r="J43" i="81"/>
  <c r="J44" i="81"/>
  <c r="J46" i="81"/>
  <c r="J47" i="81"/>
  <c r="J48" i="81"/>
  <c r="J50" i="81"/>
  <c r="J51" i="81"/>
  <c r="J52" i="81"/>
  <c r="J54" i="81"/>
  <c r="J55" i="81"/>
  <c r="J56" i="81"/>
  <c r="J58" i="81"/>
  <c r="J59" i="81"/>
  <c r="J60" i="81"/>
  <c r="J62" i="81"/>
  <c r="J63" i="81"/>
  <c r="J64" i="81"/>
  <c r="J66" i="81"/>
  <c r="J67" i="81"/>
  <c r="J68" i="81"/>
  <c r="J70" i="81"/>
  <c r="J71" i="81"/>
  <c r="J72" i="81"/>
  <c r="J74" i="81"/>
  <c r="J75" i="81"/>
  <c r="J76" i="81"/>
  <c r="J78" i="81"/>
  <c r="J79" i="81"/>
  <c r="J80" i="81"/>
  <c r="J82" i="81"/>
  <c r="J83" i="81"/>
  <c r="J84" i="81"/>
  <c r="J86" i="81"/>
  <c r="J87" i="81"/>
  <c r="J88" i="81"/>
  <c r="J90" i="81"/>
  <c r="J91" i="81"/>
  <c r="J92" i="81"/>
  <c r="J94" i="81"/>
  <c r="J95" i="81"/>
  <c r="J96" i="81"/>
  <c r="J98" i="81"/>
  <c r="J99" i="81"/>
  <c r="J100" i="81"/>
  <c r="J102" i="81"/>
  <c r="J103" i="81"/>
  <c r="J104" i="81"/>
  <c r="J106" i="81"/>
  <c r="J107" i="81"/>
  <c r="J108" i="81"/>
  <c r="J110" i="81"/>
  <c r="J111" i="81"/>
  <c r="J112" i="81"/>
  <c r="J114" i="81"/>
  <c r="J115" i="81"/>
  <c r="J116" i="81"/>
  <c r="J118" i="81"/>
  <c r="J119" i="81"/>
  <c r="J120" i="81"/>
  <c r="J122" i="81"/>
  <c r="J123" i="81"/>
  <c r="J124" i="81"/>
  <c r="J126" i="81"/>
  <c r="J127" i="81"/>
  <c r="J128" i="81"/>
  <c r="J130" i="81"/>
  <c r="J131" i="81"/>
  <c r="J132" i="81"/>
  <c r="J134" i="81"/>
  <c r="J135" i="81"/>
  <c r="J136" i="81"/>
  <c r="J138" i="81"/>
  <c r="J139" i="81"/>
  <c r="J140" i="81"/>
  <c r="J142" i="81"/>
  <c r="J143" i="81"/>
  <c r="J144" i="81"/>
  <c r="J146" i="81"/>
  <c r="J147" i="81"/>
  <c r="J148" i="81"/>
  <c r="J150" i="81"/>
  <c r="J151" i="81"/>
  <c r="J152" i="81"/>
  <c r="J154" i="81"/>
  <c r="J155" i="81"/>
  <c r="J156" i="81"/>
  <c r="J158" i="81"/>
  <c r="J159" i="81"/>
  <c r="J160" i="81"/>
  <c r="J162" i="81"/>
  <c r="J163" i="81"/>
  <c r="J164" i="81"/>
  <c r="J166" i="81"/>
  <c r="J167" i="81"/>
  <c r="J168" i="81"/>
  <c r="J170" i="81"/>
  <c r="J171" i="81"/>
  <c r="J172" i="81"/>
  <c r="J174" i="81"/>
  <c r="J175" i="81"/>
  <c r="J176" i="81"/>
  <c r="J178" i="81"/>
  <c r="J179" i="81"/>
  <c r="J180" i="81"/>
  <c r="J182" i="81"/>
  <c r="J183" i="81"/>
  <c r="J184" i="81"/>
  <c r="J186" i="81"/>
  <c r="J187" i="81"/>
  <c r="J188" i="81"/>
  <c r="J190" i="81"/>
  <c r="J191" i="81"/>
  <c r="J192" i="81"/>
  <c r="J194" i="81"/>
  <c r="J195" i="81"/>
  <c r="J196" i="81"/>
  <c r="J198" i="81"/>
  <c r="J199" i="81"/>
  <c r="J200" i="81"/>
  <c r="J202" i="81"/>
  <c r="J203" i="81"/>
  <c r="J204" i="81"/>
  <c r="J206" i="81"/>
  <c r="J207" i="81"/>
  <c r="J208" i="81"/>
  <c r="J210" i="81"/>
  <c r="J211" i="81"/>
  <c r="J212" i="81"/>
  <c r="J214" i="81"/>
  <c r="J215" i="81"/>
  <c r="J216" i="81"/>
  <c r="J218" i="81"/>
  <c r="J219" i="81"/>
  <c r="J220" i="81"/>
  <c r="I224" i="81"/>
  <c r="J224" i="81"/>
  <c r="G225" i="81"/>
  <c r="I226" i="81"/>
  <c r="H229" i="81"/>
  <c r="J229" i="81"/>
  <c r="H230" i="81"/>
  <c r="H232" i="81"/>
  <c r="G234" i="81"/>
  <c r="J234" i="81"/>
  <c r="G236" i="81"/>
  <c r="I237" i="81"/>
  <c r="I240" i="81"/>
  <c r="J240" i="81"/>
  <c r="G241" i="81"/>
  <c r="I242" i="81"/>
  <c r="H245" i="81"/>
  <c r="J245" i="81"/>
  <c r="H246" i="81"/>
  <c r="H248" i="81"/>
  <c r="G250" i="81"/>
  <c r="J250" i="81"/>
  <c r="G252" i="81"/>
  <c r="I253" i="81"/>
  <c r="I256" i="81"/>
  <c r="J256" i="81"/>
  <c r="G257" i="81"/>
  <c r="I258" i="81"/>
  <c r="H261" i="81"/>
  <c r="J261" i="81"/>
  <c r="H262" i="81"/>
  <c r="H264" i="81"/>
  <c r="G266" i="81"/>
  <c r="J266" i="81"/>
  <c r="G268" i="81"/>
  <c r="I269" i="81"/>
  <c r="I272" i="81"/>
  <c r="J272" i="81"/>
  <c r="G273" i="81"/>
  <c r="I274" i="81"/>
  <c r="H277" i="81"/>
  <c r="J277" i="81"/>
  <c r="H278" i="81"/>
  <c r="H280" i="81"/>
  <c r="G282" i="81"/>
  <c r="J282" i="81"/>
  <c r="G284" i="81"/>
  <c r="I285" i="81"/>
  <c r="I288" i="81"/>
  <c r="J288" i="81"/>
  <c r="G289" i="81"/>
  <c r="I290" i="81"/>
  <c r="H293" i="81"/>
  <c r="J293" i="81"/>
  <c r="H294" i="81"/>
  <c r="H296" i="81"/>
  <c r="G298" i="81"/>
  <c r="J298" i="81"/>
  <c r="G300" i="81"/>
  <c r="I301" i="81"/>
  <c r="I304" i="81"/>
  <c r="J304" i="81"/>
  <c r="G305" i="81"/>
  <c r="I306" i="81"/>
  <c r="H309" i="81"/>
  <c r="J309" i="81"/>
  <c r="H310" i="81"/>
  <c r="H312" i="81"/>
  <c r="G314" i="81"/>
  <c r="J314" i="81"/>
  <c r="G316" i="81"/>
  <c r="I317" i="81"/>
  <c r="I320" i="81"/>
  <c r="J320" i="81"/>
  <c r="G321" i="81"/>
  <c r="I322" i="81"/>
  <c r="H325" i="81"/>
  <c r="J325" i="81"/>
  <c r="H326" i="81"/>
  <c r="H328" i="81"/>
  <c r="H330" i="81"/>
  <c r="J330" i="81"/>
  <c r="G330" i="81"/>
  <c r="I333" i="81"/>
  <c r="J333" i="81"/>
  <c r="I337" i="81"/>
  <c r="J337" i="81"/>
  <c r="H337" i="81"/>
  <c r="I338" i="81"/>
  <c r="I341" i="81"/>
  <c r="J341" i="81"/>
  <c r="G341" i="81"/>
  <c r="G343" i="81"/>
  <c r="J343" i="81"/>
  <c r="G347" i="81"/>
  <c r="J347" i="81"/>
  <c r="I347" i="81"/>
  <c r="H349" i="81"/>
  <c r="G351" i="81"/>
  <c r="J351" i="81"/>
  <c r="H351" i="81"/>
  <c r="H354" i="81"/>
  <c r="J354" i="81"/>
  <c r="H358" i="81"/>
  <c r="J358" i="81"/>
  <c r="I358" i="81"/>
  <c r="G358" i="81"/>
  <c r="G363" i="81"/>
  <c r="J363" i="81"/>
  <c r="I363" i="81"/>
  <c r="H363" i="81"/>
  <c r="I369" i="81"/>
  <c r="J369" i="81"/>
  <c r="H369" i="81"/>
  <c r="G369" i="81"/>
  <c r="H374" i="81"/>
  <c r="J374" i="81"/>
  <c r="I374" i="81"/>
  <c r="G374" i="81"/>
  <c r="G379" i="81"/>
  <c r="J379" i="81"/>
  <c r="I379" i="81"/>
  <c r="H379" i="81"/>
  <c r="I385" i="81"/>
  <c r="J385" i="81"/>
  <c r="H385" i="81"/>
  <c r="G385" i="81"/>
  <c r="H390" i="81"/>
  <c r="J390" i="81"/>
  <c r="I390" i="81"/>
  <c r="G390" i="81"/>
  <c r="G395" i="81"/>
  <c r="J395" i="81"/>
  <c r="I395" i="81"/>
  <c r="H395" i="81"/>
  <c r="I401" i="81"/>
  <c r="J401" i="81"/>
  <c r="H401" i="81"/>
  <c r="G401" i="81"/>
  <c r="H406" i="81"/>
  <c r="J406" i="81"/>
  <c r="I406" i="81"/>
  <c r="G406" i="81"/>
  <c r="G411" i="81"/>
  <c r="J411" i="81"/>
  <c r="I411" i="81"/>
  <c r="H411" i="81"/>
  <c r="H362" i="81"/>
  <c r="J362" i="81"/>
  <c r="G367" i="81"/>
  <c r="J367" i="81"/>
  <c r="I373" i="81"/>
  <c r="J373" i="81"/>
  <c r="H378" i="81"/>
  <c r="J378" i="81"/>
  <c r="G383" i="81"/>
  <c r="J383" i="81"/>
  <c r="I389" i="81"/>
  <c r="J389" i="81"/>
  <c r="H394" i="81"/>
  <c r="J394" i="81"/>
  <c r="G399" i="81"/>
  <c r="J399" i="81"/>
  <c r="I405" i="81"/>
  <c r="J405" i="81"/>
  <c r="H410" i="81"/>
  <c r="J410" i="81"/>
  <c r="I329" i="81"/>
  <c r="J329" i="81"/>
  <c r="H334" i="81"/>
  <c r="J334" i="81"/>
  <c r="G339" i="81"/>
  <c r="J339" i="81"/>
  <c r="I345" i="81"/>
  <c r="J345" i="81"/>
  <c r="H350" i="81"/>
  <c r="J350" i="81"/>
  <c r="G355" i="81"/>
  <c r="J355" i="81"/>
  <c r="I361" i="81"/>
  <c r="J361" i="81"/>
  <c r="G362" i="81"/>
  <c r="H366" i="81"/>
  <c r="J366" i="81"/>
  <c r="H367" i="81"/>
  <c r="G371" i="81"/>
  <c r="J371" i="81"/>
  <c r="G373" i="81"/>
  <c r="I377" i="81"/>
  <c r="J377" i="81"/>
  <c r="G378" i="81"/>
  <c r="H382" i="81"/>
  <c r="J382" i="81"/>
  <c r="H383" i="81"/>
  <c r="G387" i="81"/>
  <c r="J387" i="81"/>
  <c r="G389" i="81"/>
  <c r="I393" i="81"/>
  <c r="J393" i="81"/>
  <c r="G394" i="81"/>
  <c r="H398" i="81"/>
  <c r="J398" i="81"/>
  <c r="H399" i="81"/>
  <c r="G403" i="81"/>
  <c r="J403" i="81"/>
  <c r="G405" i="81"/>
  <c r="I409" i="81"/>
  <c r="J409" i="81"/>
  <c r="G410" i="81"/>
  <c r="J45" i="80"/>
  <c r="H45" i="80"/>
  <c r="J61" i="80"/>
  <c r="H61" i="80"/>
  <c r="G61" i="80"/>
  <c r="H67" i="80"/>
  <c r="J67" i="80"/>
  <c r="G72" i="80"/>
  <c r="J72" i="80"/>
  <c r="I78" i="80"/>
  <c r="J78" i="80"/>
  <c r="J93" i="80"/>
  <c r="H93" i="80"/>
  <c r="G93" i="80"/>
  <c r="H99" i="80"/>
  <c r="J99" i="80"/>
  <c r="G104" i="80"/>
  <c r="J104" i="80"/>
  <c r="I110" i="80"/>
  <c r="J110" i="80"/>
  <c r="J125" i="80"/>
  <c r="H125" i="80"/>
  <c r="G125" i="80"/>
  <c r="H131" i="80"/>
  <c r="J131" i="80"/>
  <c r="G136" i="80"/>
  <c r="J136" i="80"/>
  <c r="I142" i="80"/>
  <c r="J142" i="80"/>
  <c r="J157" i="80"/>
  <c r="H157" i="80"/>
  <c r="G157" i="80"/>
  <c r="H163" i="80"/>
  <c r="J163" i="80"/>
  <c r="G168" i="80"/>
  <c r="J168" i="80"/>
  <c r="I174" i="80"/>
  <c r="J174" i="80"/>
  <c r="G200" i="80"/>
  <c r="J200" i="80"/>
  <c r="I210" i="80"/>
  <c r="J210" i="80"/>
  <c r="J223" i="80"/>
  <c r="H223" i="80"/>
  <c r="I223" i="80"/>
  <c r="J263" i="80"/>
  <c r="G263" i="80"/>
  <c r="I263" i="80"/>
  <c r="J37" i="80"/>
  <c r="H37" i="80"/>
  <c r="J38" i="80"/>
  <c r="J40" i="80"/>
  <c r="J43" i="80"/>
  <c r="G45" i="80"/>
  <c r="J53" i="80"/>
  <c r="H53" i="80"/>
  <c r="G53" i="80"/>
  <c r="H59" i="80"/>
  <c r="J59" i="80"/>
  <c r="I61" i="80"/>
  <c r="G64" i="80"/>
  <c r="J64" i="80"/>
  <c r="I70" i="80"/>
  <c r="J70" i="80"/>
  <c r="J85" i="80"/>
  <c r="H85" i="80"/>
  <c r="G85" i="80"/>
  <c r="H91" i="80"/>
  <c r="J91" i="80"/>
  <c r="I93" i="80"/>
  <c r="G96" i="80"/>
  <c r="J96" i="80"/>
  <c r="I102" i="80"/>
  <c r="J102" i="80"/>
  <c r="J117" i="80"/>
  <c r="H117" i="80"/>
  <c r="G117" i="80"/>
  <c r="H123" i="80"/>
  <c r="J123" i="80"/>
  <c r="I125" i="80"/>
  <c r="G128" i="80"/>
  <c r="J128" i="80"/>
  <c r="I134" i="80"/>
  <c r="J134" i="80"/>
  <c r="J149" i="80"/>
  <c r="H149" i="80"/>
  <c r="G149" i="80"/>
  <c r="H155" i="80"/>
  <c r="J155" i="80"/>
  <c r="I157" i="80"/>
  <c r="G160" i="80"/>
  <c r="J160" i="80"/>
  <c r="I166" i="80"/>
  <c r="J166" i="80"/>
  <c r="J181" i="80"/>
  <c r="H181" i="80"/>
  <c r="G181" i="80"/>
  <c r="H187" i="80"/>
  <c r="J187" i="80"/>
  <c r="J193" i="80"/>
  <c r="G193" i="80"/>
  <c r="I193" i="80"/>
  <c r="J195" i="80"/>
  <c r="J208" i="80"/>
  <c r="J214" i="80"/>
  <c r="J217" i="80"/>
  <c r="G217" i="80"/>
  <c r="I217" i="80"/>
  <c r="H217" i="80"/>
  <c r="J221" i="80"/>
  <c r="I221" i="80"/>
  <c r="H221" i="80"/>
  <c r="G223" i="80"/>
  <c r="J231" i="80"/>
  <c r="I231" i="80"/>
  <c r="H231" i="80"/>
  <c r="J259" i="80"/>
  <c r="H259" i="80"/>
  <c r="I259" i="80"/>
  <c r="H263" i="80"/>
  <c r="I310" i="80"/>
  <c r="G316" i="80"/>
  <c r="I371" i="80"/>
  <c r="H371" i="80"/>
  <c r="F25" i="80"/>
  <c r="F28" i="80"/>
  <c r="F29" i="80"/>
  <c r="J32" i="80"/>
  <c r="J35" i="80"/>
  <c r="G37" i="80"/>
  <c r="I45" i="80"/>
  <c r="H51" i="80"/>
  <c r="J51" i="80"/>
  <c r="I53" i="80"/>
  <c r="G56" i="80"/>
  <c r="J56" i="80"/>
  <c r="I62" i="80"/>
  <c r="J62" i="80"/>
  <c r="J77" i="80"/>
  <c r="H77" i="80"/>
  <c r="G77" i="80"/>
  <c r="H83" i="80"/>
  <c r="J83" i="80"/>
  <c r="I85" i="80"/>
  <c r="G88" i="80"/>
  <c r="J88" i="80"/>
  <c r="I94" i="80"/>
  <c r="J94" i="80"/>
  <c r="J109" i="80"/>
  <c r="H109" i="80"/>
  <c r="G109" i="80"/>
  <c r="H115" i="80"/>
  <c r="J115" i="80"/>
  <c r="I117" i="80"/>
  <c r="G120" i="80"/>
  <c r="J120" i="80"/>
  <c r="I126" i="80"/>
  <c r="J126" i="80"/>
  <c r="J141" i="80"/>
  <c r="H141" i="80"/>
  <c r="G141" i="80"/>
  <c r="H147" i="80"/>
  <c r="J147" i="80"/>
  <c r="I149" i="80"/>
  <c r="G152" i="80"/>
  <c r="J152" i="80"/>
  <c r="I158" i="80"/>
  <c r="J158" i="80"/>
  <c r="J173" i="80"/>
  <c r="H173" i="80"/>
  <c r="G173" i="80"/>
  <c r="H179" i="80"/>
  <c r="J179" i="80"/>
  <c r="I181" i="80"/>
  <c r="G184" i="80"/>
  <c r="J184" i="80"/>
  <c r="H193" i="80"/>
  <c r="I206" i="80"/>
  <c r="J206" i="80"/>
  <c r="G212" i="80"/>
  <c r="J212" i="80"/>
  <c r="I218" i="80"/>
  <c r="J218" i="80"/>
  <c r="G221" i="80"/>
  <c r="G231" i="80"/>
  <c r="J243" i="80"/>
  <c r="I243" i="80"/>
  <c r="H243" i="80"/>
  <c r="H246" i="80"/>
  <c r="I246" i="80"/>
  <c r="G259" i="80"/>
  <c r="I294" i="80"/>
  <c r="H294" i="80"/>
  <c r="J332" i="80"/>
  <c r="H332" i="80"/>
  <c r="I332" i="80"/>
  <c r="I334" i="80"/>
  <c r="I339" i="80"/>
  <c r="H339" i="80"/>
  <c r="H377" i="80"/>
  <c r="G377" i="80"/>
  <c r="J392" i="80"/>
  <c r="H392" i="80"/>
  <c r="I392" i="80"/>
  <c r="G392" i="80"/>
  <c r="J408" i="80"/>
  <c r="G408" i="80"/>
  <c r="I408" i="80"/>
  <c r="H408" i="80"/>
  <c r="F27" i="80"/>
  <c r="I37" i="80"/>
  <c r="G48" i="80"/>
  <c r="J48" i="80"/>
  <c r="I54" i="80"/>
  <c r="J54" i="80"/>
  <c r="J69" i="80"/>
  <c r="H69" i="80"/>
  <c r="G69" i="80"/>
  <c r="H75" i="80"/>
  <c r="J75" i="80"/>
  <c r="I77" i="80"/>
  <c r="G80" i="80"/>
  <c r="J80" i="80"/>
  <c r="I86" i="80"/>
  <c r="J86" i="80"/>
  <c r="J101" i="80"/>
  <c r="H101" i="80"/>
  <c r="G101" i="80"/>
  <c r="H107" i="80"/>
  <c r="J107" i="80"/>
  <c r="I109" i="80"/>
  <c r="G112" i="80"/>
  <c r="J112" i="80"/>
  <c r="I118" i="80"/>
  <c r="J118" i="80"/>
  <c r="J133" i="80"/>
  <c r="H133" i="80"/>
  <c r="G133" i="80"/>
  <c r="H139" i="80"/>
  <c r="J139" i="80"/>
  <c r="I141" i="80"/>
  <c r="G144" i="80"/>
  <c r="J144" i="80"/>
  <c r="I150" i="80"/>
  <c r="J150" i="80"/>
  <c r="J165" i="80"/>
  <c r="H165" i="80"/>
  <c r="G165" i="80"/>
  <c r="H171" i="80"/>
  <c r="J171" i="80"/>
  <c r="I173" i="80"/>
  <c r="G176" i="80"/>
  <c r="J176" i="80"/>
  <c r="I182" i="80"/>
  <c r="J182" i="80"/>
  <c r="J189" i="80"/>
  <c r="I189" i="80"/>
  <c r="H189" i="80"/>
  <c r="H191" i="80"/>
  <c r="J191" i="80"/>
  <c r="H199" i="80"/>
  <c r="J199" i="80"/>
  <c r="G204" i="80"/>
  <c r="J204" i="80"/>
  <c r="J213" i="80"/>
  <c r="I213" i="80"/>
  <c r="H213" i="80"/>
  <c r="G213" i="80"/>
  <c r="H219" i="80"/>
  <c r="J219" i="80"/>
  <c r="J239" i="80"/>
  <c r="G239" i="80"/>
  <c r="I239" i="80"/>
  <c r="G243" i="80"/>
  <c r="H252" i="80"/>
  <c r="G252" i="80"/>
  <c r="G268" i="80"/>
  <c r="H268" i="80"/>
  <c r="H300" i="80"/>
  <c r="G300" i="80"/>
  <c r="J315" i="80"/>
  <c r="H315" i="80"/>
  <c r="I315" i="80"/>
  <c r="G315" i="80"/>
  <c r="G332" i="80"/>
  <c r="J412" i="80"/>
  <c r="I412" i="80"/>
  <c r="H412" i="80"/>
  <c r="G412" i="80"/>
  <c r="G196" i="80"/>
  <c r="J196" i="80"/>
  <c r="I202" i="80"/>
  <c r="J202" i="80"/>
  <c r="J205" i="80"/>
  <c r="I205" i="80"/>
  <c r="J209" i="80"/>
  <c r="G209" i="80"/>
  <c r="H215" i="80"/>
  <c r="J215" i="80"/>
  <c r="J251" i="80"/>
  <c r="H251" i="80"/>
  <c r="J267" i="80"/>
  <c r="G267" i="80"/>
  <c r="J271" i="80"/>
  <c r="I271" i="80"/>
  <c r="J275" i="80"/>
  <c r="G275" i="80"/>
  <c r="J299" i="80"/>
  <c r="I299" i="80"/>
  <c r="J311" i="80"/>
  <c r="H311" i="80"/>
  <c r="J348" i="80"/>
  <c r="I348" i="80"/>
  <c r="J352" i="80"/>
  <c r="G352" i="80"/>
  <c r="J376" i="80"/>
  <c r="I376" i="80"/>
  <c r="J388" i="80"/>
  <c r="H388" i="80"/>
  <c r="G188" i="80"/>
  <c r="J188" i="80"/>
  <c r="J192" i="80"/>
  <c r="I194" i="80"/>
  <c r="J194" i="80"/>
  <c r="J197" i="80"/>
  <c r="I197" i="80"/>
  <c r="J198" i="80"/>
  <c r="J201" i="80"/>
  <c r="G201" i="80"/>
  <c r="G205" i="80"/>
  <c r="H207" i="80"/>
  <c r="J207" i="80"/>
  <c r="H209" i="80"/>
  <c r="J211" i="80"/>
  <c r="G220" i="80"/>
  <c r="J220" i="80"/>
  <c r="H230" i="80"/>
  <c r="J235" i="80"/>
  <c r="I235" i="80"/>
  <c r="J247" i="80"/>
  <c r="H247" i="80"/>
  <c r="G251" i="80"/>
  <c r="H267" i="80"/>
  <c r="G271" i="80"/>
  <c r="G273" i="80"/>
  <c r="H275" i="80"/>
  <c r="J287" i="80"/>
  <c r="H287" i="80"/>
  <c r="J295" i="80"/>
  <c r="I295" i="80"/>
  <c r="G299" i="80"/>
  <c r="J303" i="80"/>
  <c r="G303" i="80"/>
  <c r="J307" i="80"/>
  <c r="I307" i="80"/>
  <c r="G311" i="80"/>
  <c r="J323" i="80"/>
  <c r="H323" i="80"/>
  <c r="J327" i="80"/>
  <c r="G327" i="80"/>
  <c r="J336" i="80"/>
  <c r="G336" i="80"/>
  <c r="J340" i="80"/>
  <c r="I340" i="80"/>
  <c r="G348" i="80"/>
  <c r="H352" i="80"/>
  <c r="J364" i="80"/>
  <c r="H364" i="80"/>
  <c r="J372" i="80"/>
  <c r="I372" i="80"/>
  <c r="G376" i="80"/>
  <c r="J380" i="80"/>
  <c r="G380" i="80"/>
  <c r="J384" i="80"/>
  <c r="I384" i="80"/>
  <c r="G388" i="80"/>
  <c r="J400" i="80"/>
  <c r="H400" i="80"/>
  <c r="J404" i="80"/>
  <c r="G404" i="80"/>
  <c r="F26" i="80"/>
  <c r="G222" i="80"/>
  <c r="J222" i="80"/>
  <c r="I228" i="80"/>
  <c r="J228" i="80"/>
  <c r="H233" i="80"/>
  <c r="J233" i="80"/>
  <c r="G238" i="80"/>
  <c r="J238" i="80"/>
  <c r="I244" i="80"/>
  <c r="J244" i="80"/>
  <c r="H249" i="80"/>
  <c r="J249" i="80"/>
  <c r="G254" i="80"/>
  <c r="J254" i="80"/>
  <c r="I260" i="80"/>
  <c r="J260" i="80"/>
  <c r="H265" i="80"/>
  <c r="J265" i="80"/>
  <c r="G270" i="80"/>
  <c r="J270" i="80"/>
  <c r="I276" i="80"/>
  <c r="J276" i="80"/>
  <c r="H281" i="80"/>
  <c r="J281" i="80"/>
  <c r="G286" i="80"/>
  <c r="J286" i="80"/>
  <c r="I292" i="80"/>
  <c r="J292" i="80"/>
  <c r="H297" i="80"/>
  <c r="J297" i="80"/>
  <c r="G302" i="80"/>
  <c r="J302" i="80"/>
  <c r="I308" i="80"/>
  <c r="J308" i="80"/>
  <c r="H313" i="80"/>
  <c r="J313" i="80"/>
  <c r="G318" i="80"/>
  <c r="J318" i="80"/>
  <c r="I324" i="80"/>
  <c r="J324" i="80"/>
  <c r="I224" i="80"/>
  <c r="J224" i="80"/>
  <c r="H229" i="80"/>
  <c r="J229" i="80"/>
  <c r="G234" i="80"/>
  <c r="J234" i="80"/>
  <c r="I240" i="80"/>
  <c r="J240" i="80"/>
  <c r="H245" i="80"/>
  <c r="J245" i="80"/>
  <c r="G250" i="80"/>
  <c r="J250" i="80"/>
  <c r="I256" i="80"/>
  <c r="J256" i="80"/>
  <c r="H261" i="80"/>
  <c r="J261" i="80"/>
  <c r="G266" i="80"/>
  <c r="J266" i="80"/>
  <c r="I272" i="80"/>
  <c r="J272" i="80"/>
  <c r="H277" i="80"/>
  <c r="J277" i="80"/>
  <c r="G282" i="80"/>
  <c r="J282" i="80"/>
  <c r="I288" i="80"/>
  <c r="J288" i="80"/>
  <c r="H293" i="80"/>
  <c r="J293" i="80"/>
  <c r="G298" i="80"/>
  <c r="J298" i="80"/>
  <c r="I304" i="80"/>
  <c r="J304" i="80"/>
  <c r="H309" i="80"/>
  <c r="J309" i="80"/>
  <c r="G314" i="80"/>
  <c r="J314" i="80"/>
  <c r="I320" i="80"/>
  <c r="J320" i="80"/>
  <c r="H325" i="80"/>
  <c r="J325" i="80"/>
  <c r="H330" i="80"/>
  <c r="J330" i="80"/>
  <c r="G330" i="80"/>
  <c r="I333" i="80"/>
  <c r="J333" i="80"/>
  <c r="I337" i="80"/>
  <c r="J337" i="80"/>
  <c r="H337" i="80"/>
  <c r="I341" i="80"/>
  <c r="J341" i="80"/>
  <c r="G341" i="80"/>
  <c r="G343" i="80"/>
  <c r="J343" i="80"/>
  <c r="G347" i="80"/>
  <c r="J347" i="80"/>
  <c r="I347" i="80"/>
  <c r="G351" i="80"/>
  <c r="J351" i="80"/>
  <c r="H351" i="80"/>
  <c r="H354" i="80"/>
  <c r="J354" i="80"/>
  <c r="I354" i="80"/>
  <c r="G359" i="80"/>
  <c r="J359" i="80"/>
  <c r="I359" i="80"/>
  <c r="I365" i="80"/>
  <c r="J365" i="80"/>
  <c r="H365" i="80"/>
  <c r="H370" i="80"/>
  <c r="J370" i="80"/>
  <c r="I370" i="80"/>
  <c r="G375" i="80"/>
  <c r="J375" i="80"/>
  <c r="I375" i="80"/>
  <c r="I381" i="80"/>
  <c r="J381" i="80"/>
  <c r="H381" i="80"/>
  <c r="H386" i="80"/>
  <c r="J386" i="80"/>
  <c r="I386" i="80"/>
  <c r="G391" i="80"/>
  <c r="J391" i="80"/>
  <c r="I391" i="80"/>
  <c r="I397" i="80"/>
  <c r="J397" i="80"/>
  <c r="H397" i="80"/>
  <c r="H402" i="80"/>
  <c r="J402" i="80"/>
  <c r="I402" i="80"/>
  <c r="G407" i="80"/>
  <c r="J407" i="80"/>
  <c r="I407" i="80"/>
  <c r="G31" i="80"/>
  <c r="H32" i="80"/>
  <c r="G34" i="80"/>
  <c r="G35" i="80"/>
  <c r="H36" i="80"/>
  <c r="G38" i="80"/>
  <c r="G39" i="80"/>
  <c r="H40" i="80"/>
  <c r="G42" i="80"/>
  <c r="G43" i="80"/>
  <c r="H44" i="80"/>
  <c r="G46" i="80"/>
  <c r="G47" i="80"/>
  <c r="H48" i="80"/>
  <c r="G50" i="80"/>
  <c r="G51" i="80"/>
  <c r="H52" i="80"/>
  <c r="G54" i="80"/>
  <c r="G55" i="80"/>
  <c r="H56" i="80"/>
  <c r="G58" i="80"/>
  <c r="G59" i="80"/>
  <c r="H60" i="80"/>
  <c r="G62" i="80"/>
  <c r="G63" i="80"/>
  <c r="H64" i="80"/>
  <c r="G66" i="80"/>
  <c r="G67" i="80"/>
  <c r="H68" i="80"/>
  <c r="G70" i="80"/>
  <c r="G71" i="80"/>
  <c r="H72" i="80"/>
  <c r="G74" i="80"/>
  <c r="G75" i="80"/>
  <c r="H76" i="80"/>
  <c r="G78" i="80"/>
  <c r="G79" i="80"/>
  <c r="H80" i="80"/>
  <c r="G82" i="80"/>
  <c r="G83" i="80"/>
  <c r="H84" i="80"/>
  <c r="G86" i="80"/>
  <c r="G87" i="80"/>
  <c r="H88" i="80"/>
  <c r="G90" i="80"/>
  <c r="G91" i="80"/>
  <c r="H92" i="80"/>
  <c r="G94" i="80"/>
  <c r="G95" i="80"/>
  <c r="H96" i="80"/>
  <c r="G98" i="80"/>
  <c r="G99" i="80"/>
  <c r="H100" i="80"/>
  <c r="G102" i="80"/>
  <c r="G103" i="80"/>
  <c r="H104" i="80"/>
  <c r="G106" i="80"/>
  <c r="G107" i="80"/>
  <c r="H108" i="80"/>
  <c r="G110" i="80"/>
  <c r="G111" i="80"/>
  <c r="H112" i="80"/>
  <c r="G114" i="80"/>
  <c r="G115" i="80"/>
  <c r="H116" i="80"/>
  <c r="G118" i="80"/>
  <c r="G119" i="80"/>
  <c r="H120" i="80"/>
  <c r="G122" i="80"/>
  <c r="G123" i="80"/>
  <c r="H124" i="80"/>
  <c r="G126" i="80"/>
  <c r="G127" i="80"/>
  <c r="H128" i="80"/>
  <c r="G130" i="80"/>
  <c r="G131" i="80"/>
  <c r="H132" i="80"/>
  <c r="G134" i="80"/>
  <c r="G135" i="80"/>
  <c r="H136" i="80"/>
  <c r="G138" i="80"/>
  <c r="G139" i="80"/>
  <c r="H140" i="80"/>
  <c r="G142" i="80"/>
  <c r="G143" i="80"/>
  <c r="H144" i="80"/>
  <c r="G146" i="80"/>
  <c r="G147" i="80"/>
  <c r="H148" i="80"/>
  <c r="G150" i="80"/>
  <c r="G151" i="80"/>
  <c r="H152" i="80"/>
  <c r="G154" i="80"/>
  <c r="G155" i="80"/>
  <c r="H156" i="80"/>
  <c r="G158" i="80"/>
  <c r="G159" i="80"/>
  <c r="H160" i="80"/>
  <c r="G162" i="80"/>
  <c r="G163" i="80"/>
  <c r="H164" i="80"/>
  <c r="G166" i="80"/>
  <c r="G167" i="80"/>
  <c r="H168" i="80"/>
  <c r="G170" i="80"/>
  <c r="G171" i="80"/>
  <c r="H172" i="80"/>
  <c r="G174" i="80"/>
  <c r="G175" i="80"/>
  <c r="H176" i="80"/>
  <c r="G178" i="80"/>
  <c r="G179" i="80"/>
  <c r="H180" i="80"/>
  <c r="G182" i="80"/>
  <c r="G183" i="80"/>
  <c r="H184" i="80"/>
  <c r="G186" i="80"/>
  <c r="G187" i="80"/>
  <c r="H188" i="80"/>
  <c r="G190" i="80"/>
  <c r="G191" i="80"/>
  <c r="H192" i="80"/>
  <c r="G194" i="80"/>
  <c r="G195" i="80"/>
  <c r="H196" i="80"/>
  <c r="G198" i="80"/>
  <c r="G199" i="80"/>
  <c r="H200" i="80"/>
  <c r="G202" i="80"/>
  <c r="G203" i="80"/>
  <c r="H204" i="80"/>
  <c r="G206" i="80"/>
  <c r="G207" i="80"/>
  <c r="H208" i="80"/>
  <c r="G210" i="80"/>
  <c r="G211" i="80"/>
  <c r="H212" i="80"/>
  <c r="G214" i="80"/>
  <c r="G215" i="80"/>
  <c r="H216" i="80"/>
  <c r="G218" i="80"/>
  <c r="G219" i="80"/>
  <c r="H220" i="80"/>
  <c r="H222" i="80"/>
  <c r="H224" i="80"/>
  <c r="G226" i="80"/>
  <c r="J226" i="80"/>
  <c r="G228" i="80"/>
  <c r="I229" i="80"/>
  <c r="I232" i="80"/>
  <c r="J232" i="80"/>
  <c r="G233" i="80"/>
  <c r="I234" i="80"/>
  <c r="H237" i="80"/>
  <c r="J237" i="80"/>
  <c r="H238" i="80"/>
  <c r="H240" i="80"/>
  <c r="G242" i="80"/>
  <c r="J242" i="80"/>
  <c r="G244" i="80"/>
  <c r="I245" i="80"/>
  <c r="I248" i="80"/>
  <c r="J248" i="80"/>
  <c r="G249" i="80"/>
  <c r="I250" i="80"/>
  <c r="H253" i="80"/>
  <c r="J253" i="80"/>
  <c r="H254" i="80"/>
  <c r="H256" i="80"/>
  <c r="G258" i="80"/>
  <c r="J258" i="80"/>
  <c r="G260" i="80"/>
  <c r="I261" i="80"/>
  <c r="I264" i="80"/>
  <c r="J264" i="80"/>
  <c r="G265" i="80"/>
  <c r="I266" i="80"/>
  <c r="H269" i="80"/>
  <c r="J269" i="80"/>
  <c r="H270" i="80"/>
  <c r="H272" i="80"/>
  <c r="G274" i="80"/>
  <c r="J274" i="80"/>
  <c r="G276" i="80"/>
  <c r="I277" i="80"/>
  <c r="I280" i="80"/>
  <c r="J280" i="80"/>
  <c r="G281" i="80"/>
  <c r="I282" i="80"/>
  <c r="H285" i="80"/>
  <c r="J285" i="80"/>
  <c r="H286" i="80"/>
  <c r="H288" i="80"/>
  <c r="G290" i="80"/>
  <c r="J290" i="80"/>
  <c r="G292" i="80"/>
  <c r="I293" i="80"/>
  <c r="I296" i="80"/>
  <c r="J296" i="80"/>
  <c r="G297" i="80"/>
  <c r="I298" i="80"/>
  <c r="H301" i="80"/>
  <c r="J301" i="80"/>
  <c r="H302" i="80"/>
  <c r="H304" i="80"/>
  <c r="G306" i="80"/>
  <c r="J306" i="80"/>
  <c r="G308" i="80"/>
  <c r="I309" i="80"/>
  <c r="I312" i="80"/>
  <c r="J312" i="80"/>
  <c r="G313" i="80"/>
  <c r="I314" i="80"/>
  <c r="H317" i="80"/>
  <c r="J317" i="80"/>
  <c r="H318" i="80"/>
  <c r="H320" i="80"/>
  <c r="G322" i="80"/>
  <c r="J322" i="80"/>
  <c r="G324" i="80"/>
  <c r="I325" i="80"/>
  <c r="J328" i="80"/>
  <c r="I328" i="80"/>
  <c r="G331" i="80"/>
  <c r="J331" i="80"/>
  <c r="I331" i="80"/>
  <c r="H333" i="80"/>
  <c r="G335" i="80"/>
  <c r="J335" i="80"/>
  <c r="H335" i="80"/>
  <c r="H338" i="80"/>
  <c r="J338" i="80"/>
  <c r="H342" i="80"/>
  <c r="J342" i="80"/>
  <c r="I342" i="80"/>
  <c r="I343" i="80"/>
  <c r="H346" i="80"/>
  <c r="J346" i="80"/>
  <c r="G346" i="80"/>
  <c r="I349" i="80"/>
  <c r="J349" i="80"/>
  <c r="I353" i="80"/>
  <c r="J353" i="80"/>
  <c r="H353" i="80"/>
  <c r="I31" i="80"/>
  <c r="I32" i="80"/>
  <c r="H34" i="80"/>
  <c r="I35" i="80"/>
  <c r="I36" i="80"/>
  <c r="H38" i="80"/>
  <c r="I39" i="80"/>
  <c r="I40" i="80"/>
  <c r="H42" i="80"/>
  <c r="I43" i="80"/>
  <c r="I44" i="80"/>
  <c r="H46" i="80"/>
  <c r="I47" i="80"/>
  <c r="I48" i="80"/>
  <c r="H50" i="80"/>
  <c r="I51" i="80"/>
  <c r="I52" i="80"/>
  <c r="H54" i="80"/>
  <c r="I55" i="80"/>
  <c r="I56" i="80"/>
  <c r="H58" i="80"/>
  <c r="I59" i="80"/>
  <c r="I60" i="80"/>
  <c r="H62" i="80"/>
  <c r="I63" i="80"/>
  <c r="I64" i="80"/>
  <c r="H66" i="80"/>
  <c r="I67" i="80"/>
  <c r="I68" i="80"/>
  <c r="H70" i="80"/>
  <c r="I71" i="80"/>
  <c r="I72" i="80"/>
  <c r="H74" i="80"/>
  <c r="I75" i="80"/>
  <c r="I76" i="80"/>
  <c r="H78" i="80"/>
  <c r="I79" i="80"/>
  <c r="I80" i="80"/>
  <c r="H82" i="80"/>
  <c r="I83" i="80"/>
  <c r="I84" i="80"/>
  <c r="H86" i="80"/>
  <c r="I87" i="80"/>
  <c r="I88" i="80"/>
  <c r="H90" i="80"/>
  <c r="I91" i="80"/>
  <c r="I92" i="80"/>
  <c r="H94" i="80"/>
  <c r="I95" i="80"/>
  <c r="I96" i="80"/>
  <c r="H98" i="80"/>
  <c r="I99" i="80"/>
  <c r="I100" i="80"/>
  <c r="H102" i="80"/>
  <c r="I103" i="80"/>
  <c r="I104" i="80"/>
  <c r="H106" i="80"/>
  <c r="I107" i="80"/>
  <c r="I108" i="80"/>
  <c r="H110" i="80"/>
  <c r="I111" i="80"/>
  <c r="I112" i="80"/>
  <c r="H114" i="80"/>
  <c r="I115" i="80"/>
  <c r="I116" i="80"/>
  <c r="H118" i="80"/>
  <c r="I119" i="80"/>
  <c r="I120" i="80"/>
  <c r="H122" i="80"/>
  <c r="I123" i="80"/>
  <c r="I124" i="80"/>
  <c r="H126" i="80"/>
  <c r="I127" i="80"/>
  <c r="I128" i="80"/>
  <c r="H130" i="80"/>
  <c r="I131" i="80"/>
  <c r="I132" i="80"/>
  <c r="H134" i="80"/>
  <c r="I135" i="80"/>
  <c r="I136" i="80"/>
  <c r="H138" i="80"/>
  <c r="I139" i="80"/>
  <c r="I140" i="80"/>
  <c r="H142" i="80"/>
  <c r="I143" i="80"/>
  <c r="I144" i="80"/>
  <c r="H146" i="80"/>
  <c r="I147" i="80"/>
  <c r="I148" i="80"/>
  <c r="H150" i="80"/>
  <c r="I151" i="80"/>
  <c r="I152" i="80"/>
  <c r="H154" i="80"/>
  <c r="I155" i="80"/>
  <c r="I156" i="80"/>
  <c r="H158" i="80"/>
  <c r="I159" i="80"/>
  <c r="I160" i="80"/>
  <c r="H162" i="80"/>
  <c r="I163" i="80"/>
  <c r="I164" i="80"/>
  <c r="H166" i="80"/>
  <c r="I167" i="80"/>
  <c r="I168" i="80"/>
  <c r="H170" i="80"/>
  <c r="I171" i="80"/>
  <c r="I172" i="80"/>
  <c r="H174" i="80"/>
  <c r="I175" i="80"/>
  <c r="I176" i="80"/>
  <c r="H178" i="80"/>
  <c r="I179" i="80"/>
  <c r="I180" i="80"/>
  <c r="H182" i="80"/>
  <c r="I183" i="80"/>
  <c r="I184" i="80"/>
  <c r="H186" i="80"/>
  <c r="I187" i="80"/>
  <c r="I188" i="80"/>
  <c r="H190" i="80"/>
  <c r="I191" i="80"/>
  <c r="I192" i="80"/>
  <c r="H194" i="80"/>
  <c r="I195" i="80"/>
  <c r="I196" i="80"/>
  <c r="H198" i="80"/>
  <c r="I199" i="80"/>
  <c r="I200" i="80"/>
  <c r="H202" i="80"/>
  <c r="I203" i="80"/>
  <c r="I204" i="80"/>
  <c r="H206" i="80"/>
  <c r="I207" i="80"/>
  <c r="I208" i="80"/>
  <c r="H210" i="80"/>
  <c r="I211" i="80"/>
  <c r="I212" i="80"/>
  <c r="H214" i="80"/>
  <c r="I215" i="80"/>
  <c r="I216" i="80"/>
  <c r="H218" i="80"/>
  <c r="I219" i="80"/>
  <c r="I220" i="80"/>
  <c r="I222" i="80"/>
  <c r="H225" i="80"/>
  <c r="J225" i="80"/>
  <c r="H226" i="80"/>
  <c r="H228" i="80"/>
  <c r="G230" i="80"/>
  <c r="J230" i="80"/>
  <c r="G232" i="80"/>
  <c r="I233" i="80"/>
  <c r="I236" i="80"/>
  <c r="J236" i="80"/>
  <c r="G237" i="80"/>
  <c r="I238" i="80"/>
  <c r="H241" i="80"/>
  <c r="J241" i="80"/>
  <c r="H242" i="80"/>
  <c r="H244" i="80"/>
  <c r="G246" i="80"/>
  <c r="J246" i="80"/>
  <c r="G248" i="80"/>
  <c r="I249" i="80"/>
  <c r="I252" i="80"/>
  <c r="J252" i="80"/>
  <c r="G253" i="80"/>
  <c r="I254" i="80"/>
  <c r="H257" i="80"/>
  <c r="J257" i="80"/>
  <c r="H258" i="80"/>
  <c r="H260" i="80"/>
  <c r="G262" i="80"/>
  <c r="J262" i="80"/>
  <c r="G264" i="80"/>
  <c r="I265" i="80"/>
  <c r="I268" i="80"/>
  <c r="J268" i="80"/>
  <c r="G269" i="80"/>
  <c r="I270" i="80"/>
  <c r="H273" i="80"/>
  <c r="J273" i="80"/>
  <c r="H274" i="80"/>
  <c r="H276" i="80"/>
  <c r="G278" i="80"/>
  <c r="J278" i="80"/>
  <c r="G280" i="80"/>
  <c r="I281" i="80"/>
  <c r="I284" i="80"/>
  <c r="J284" i="80"/>
  <c r="G285" i="80"/>
  <c r="I286" i="80"/>
  <c r="H289" i="80"/>
  <c r="J289" i="80"/>
  <c r="H290" i="80"/>
  <c r="H292" i="80"/>
  <c r="G294" i="80"/>
  <c r="J294" i="80"/>
  <c r="G296" i="80"/>
  <c r="I297" i="80"/>
  <c r="I300" i="80"/>
  <c r="J300" i="80"/>
  <c r="G301" i="80"/>
  <c r="I302" i="80"/>
  <c r="H305" i="80"/>
  <c r="J305" i="80"/>
  <c r="H306" i="80"/>
  <c r="H308" i="80"/>
  <c r="G310" i="80"/>
  <c r="J310" i="80"/>
  <c r="G312" i="80"/>
  <c r="I313" i="80"/>
  <c r="I316" i="80"/>
  <c r="J316" i="80"/>
  <c r="G317" i="80"/>
  <c r="I318" i="80"/>
  <c r="H321" i="80"/>
  <c r="J321" i="80"/>
  <c r="H322" i="80"/>
  <c r="H324" i="80"/>
  <c r="G326" i="80"/>
  <c r="J326" i="80"/>
  <c r="G328" i="80"/>
  <c r="H331" i="80"/>
  <c r="I335" i="80"/>
  <c r="G338" i="80"/>
  <c r="G342" i="80"/>
  <c r="I346" i="80"/>
  <c r="G349" i="80"/>
  <c r="G353" i="80"/>
  <c r="H358" i="80"/>
  <c r="J358" i="80"/>
  <c r="I358" i="80"/>
  <c r="G358" i="80"/>
  <c r="G363" i="80"/>
  <c r="J363" i="80"/>
  <c r="I363" i="80"/>
  <c r="H363" i="80"/>
  <c r="I369" i="80"/>
  <c r="J369" i="80"/>
  <c r="H369" i="80"/>
  <c r="G369" i="80"/>
  <c r="H374" i="80"/>
  <c r="J374" i="80"/>
  <c r="I374" i="80"/>
  <c r="G374" i="80"/>
  <c r="G379" i="80"/>
  <c r="J379" i="80"/>
  <c r="I379" i="80"/>
  <c r="H379" i="80"/>
  <c r="I385" i="80"/>
  <c r="J385" i="80"/>
  <c r="H385" i="80"/>
  <c r="G385" i="80"/>
  <c r="H390" i="80"/>
  <c r="J390" i="80"/>
  <c r="I390" i="80"/>
  <c r="G390" i="80"/>
  <c r="G395" i="80"/>
  <c r="J395" i="80"/>
  <c r="I395" i="80"/>
  <c r="H395" i="80"/>
  <c r="I401" i="80"/>
  <c r="J401" i="80"/>
  <c r="H401" i="80"/>
  <c r="G401" i="80"/>
  <c r="H406" i="80"/>
  <c r="J406" i="80"/>
  <c r="I406" i="80"/>
  <c r="G406" i="80"/>
  <c r="G411" i="80"/>
  <c r="J411" i="80"/>
  <c r="I411" i="80"/>
  <c r="H411" i="80"/>
  <c r="I357" i="80"/>
  <c r="J357" i="80"/>
  <c r="H362" i="80"/>
  <c r="J362" i="80"/>
  <c r="G367" i="80"/>
  <c r="J367" i="80"/>
  <c r="I373" i="80"/>
  <c r="J373" i="80"/>
  <c r="H378" i="80"/>
  <c r="J378" i="80"/>
  <c r="G383" i="80"/>
  <c r="J383" i="80"/>
  <c r="I389" i="80"/>
  <c r="J389" i="80"/>
  <c r="H394" i="80"/>
  <c r="J394" i="80"/>
  <c r="G399" i="80"/>
  <c r="J399" i="80"/>
  <c r="I405" i="80"/>
  <c r="J405" i="80"/>
  <c r="H410" i="80"/>
  <c r="J410" i="80"/>
  <c r="I329" i="80"/>
  <c r="J329" i="80"/>
  <c r="H334" i="80"/>
  <c r="J334" i="80"/>
  <c r="G339" i="80"/>
  <c r="J339" i="80"/>
  <c r="I345" i="80"/>
  <c r="J345" i="80"/>
  <c r="H350" i="80"/>
  <c r="J350" i="80"/>
  <c r="G355" i="80"/>
  <c r="J355" i="80"/>
  <c r="G357" i="80"/>
  <c r="I361" i="80"/>
  <c r="J361" i="80"/>
  <c r="G362" i="80"/>
  <c r="H366" i="80"/>
  <c r="J366" i="80"/>
  <c r="H367" i="80"/>
  <c r="G371" i="80"/>
  <c r="J371" i="80"/>
  <c r="G373" i="80"/>
  <c r="I377" i="80"/>
  <c r="J377" i="80"/>
  <c r="G378" i="80"/>
  <c r="H382" i="80"/>
  <c r="J382" i="80"/>
  <c r="H383" i="80"/>
  <c r="G387" i="80"/>
  <c r="J387" i="80"/>
  <c r="G389" i="80"/>
  <c r="I393" i="80"/>
  <c r="J393" i="80"/>
  <c r="G394" i="80"/>
  <c r="H398" i="80"/>
  <c r="J398" i="80"/>
  <c r="H399" i="80"/>
  <c r="G403" i="80"/>
  <c r="J403" i="80"/>
  <c r="G405" i="80"/>
  <c r="I409" i="80"/>
  <c r="J409" i="80"/>
  <c r="G410" i="80"/>
  <c r="F25" i="79"/>
  <c r="I29" i="79"/>
  <c r="I45" i="79"/>
  <c r="G81" i="79"/>
  <c r="G91" i="79"/>
  <c r="G92" i="79"/>
  <c r="H102" i="79"/>
  <c r="H118" i="79"/>
  <c r="I121" i="79"/>
  <c r="G195" i="79"/>
  <c r="H215" i="79"/>
  <c r="I228" i="79"/>
  <c r="H350" i="79"/>
  <c r="F26" i="79"/>
  <c r="I41" i="79"/>
  <c r="G65" i="79"/>
  <c r="I67" i="79"/>
  <c r="G75" i="79"/>
  <c r="G76" i="79"/>
  <c r="H86" i="79"/>
  <c r="I89" i="79"/>
  <c r="H91" i="79"/>
  <c r="H100" i="79"/>
  <c r="I105" i="79"/>
  <c r="H107" i="79"/>
  <c r="H116" i="79"/>
  <c r="G148" i="79"/>
  <c r="G159" i="79"/>
  <c r="H195" i="79"/>
  <c r="G211" i="79"/>
  <c r="G237" i="79"/>
  <c r="G241" i="79"/>
  <c r="H269" i="79"/>
  <c r="I273" i="79"/>
  <c r="H285" i="79"/>
  <c r="I287" i="79"/>
  <c r="G301" i="79"/>
  <c r="H309" i="79"/>
  <c r="H322" i="79"/>
  <c r="I324" i="79"/>
  <c r="G342" i="79"/>
  <c r="H343" i="79"/>
  <c r="G358" i="79"/>
  <c r="H359" i="79"/>
  <c r="I364" i="79"/>
  <c r="J369" i="79"/>
  <c r="G374" i="79"/>
  <c r="H375" i="79"/>
  <c r="I380" i="79"/>
  <c r="G382" i="79"/>
  <c r="H67" i="79"/>
  <c r="I78" i="79"/>
  <c r="G107" i="79"/>
  <c r="G108" i="79"/>
  <c r="H226" i="79"/>
  <c r="I252" i="79"/>
  <c r="G269" i="79"/>
  <c r="G285" i="79"/>
  <c r="G309" i="79"/>
  <c r="G59" i="79"/>
  <c r="G60" i="79"/>
  <c r="H70" i="79"/>
  <c r="I73" i="79"/>
  <c r="H75" i="79"/>
  <c r="H84" i="79"/>
  <c r="I91" i="79"/>
  <c r="H99" i="79"/>
  <c r="I107" i="79"/>
  <c r="H115" i="79"/>
  <c r="I126" i="79"/>
  <c r="H142" i="79"/>
  <c r="I195" i="79"/>
  <c r="H211" i="79"/>
  <c r="H237" i="79"/>
  <c r="G253" i="79"/>
  <c r="H258" i="79"/>
  <c r="I260" i="79"/>
  <c r="I269" i="79"/>
  <c r="G277" i="79"/>
  <c r="I285" i="79"/>
  <c r="H301" i="79"/>
  <c r="I309" i="79"/>
  <c r="G317" i="79"/>
  <c r="H342" i="79"/>
  <c r="G354" i="79"/>
  <c r="H358" i="79"/>
  <c r="H374" i="79"/>
  <c r="G390" i="79"/>
  <c r="I36" i="79"/>
  <c r="G36" i="79"/>
  <c r="I40" i="79"/>
  <c r="G40" i="79"/>
  <c r="I44" i="79"/>
  <c r="G44" i="79"/>
  <c r="I48" i="79"/>
  <c r="G48" i="79"/>
  <c r="J119" i="79"/>
  <c r="H119" i="79"/>
  <c r="G119" i="79"/>
  <c r="J155" i="79"/>
  <c r="G155" i="79"/>
  <c r="I155" i="79"/>
  <c r="J183" i="79"/>
  <c r="G183" i="79"/>
  <c r="I183" i="79"/>
  <c r="H183" i="79"/>
  <c r="J231" i="79"/>
  <c r="I231" i="79"/>
  <c r="J289" i="79"/>
  <c r="H289" i="79"/>
  <c r="I289" i="79"/>
  <c r="J297" i="79"/>
  <c r="I297" i="79"/>
  <c r="H297" i="79"/>
  <c r="I332" i="79"/>
  <c r="J332" i="79"/>
  <c r="J366" i="79"/>
  <c r="I366" i="79"/>
  <c r="H366" i="79"/>
  <c r="G366" i="79"/>
  <c r="G30" i="79"/>
  <c r="H30" i="79"/>
  <c r="H31" i="79"/>
  <c r="G34" i="79"/>
  <c r="H34" i="79"/>
  <c r="H35" i="79"/>
  <c r="J36" i="79"/>
  <c r="G38" i="79"/>
  <c r="H38" i="79"/>
  <c r="H39" i="79"/>
  <c r="J40" i="79"/>
  <c r="G42" i="79"/>
  <c r="H42" i="79"/>
  <c r="H43" i="79"/>
  <c r="J44" i="79"/>
  <c r="G46" i="79"/>
  <c r="H46" i="79"/>
  <c r="H47" i="79"/>
  <c r="J48" i="79"/>
  <c r="G50" i="79"/>
  <c r="H50" i="79"/>
  <c r="H51" i="79"/>
  <c r="J55" i="79"/>
  <c r="H55" i="79"/>
  <c r="I62" i="79"/>
  <c r="J87" i="79"/>
  <c r="H87" i="79"/>
  <c r="G87" i="79"/>
  <c r="J111" i="79"/>
  <c r="H111" i="79"/>
  <c r="G111" i="79"/>
  <c r="I134" i="79"/>
  <c r="H134" i="79"/>
  <c r="J151" i="79"/>
  <c r="I151" i="79"/>
  <c r="H151" i="79"/>
  <c r="G153" i="79"/>
  <c r="J167" i="79"/>
  <c r="G167" i="79"/>
  <c r="I167" i="79"/>
  <c r="J191" i="79"/>
  <c r="I191" i="79"/>
  <c r="H191" i="79"/>
  <c r="G191" i="79"/>
  <c r="J203" i="79"/>
  <c r="H203" i="79"/>
  <c r="I203" i="79"/>
  <c r="J225" i="79"/>
  <c r="H225" i="79"/>
  <c r="I225" i="79"/>
  <c r="J229" i="79"/>
  <c r="I229" i="79"/>
  <c r="H229" i="79"/>
  <c r="G229" i="79"/>
  <c r="J233" i="79"/>
  <c r="I233" i="79"/>
  <c r="H233" i="79"/>
  <c r="I236" i="79"/>
  <c r="I239" i="79"/>
  <c r="J276" i="79"/>
  <c r="I276" i="79"/>
  <c r="J282" i="79"/>
  <c r="H282" i="79"/>
  <c r="J295" i="79"/>
  <c r="I295" i="79"/>
  <c r="I316" i="79"/>
  <c r="J330" i="79"/>
  <c r="H330" i="79"/>
  <c r="I330" i="79"/>
  <c r="G330" i="79"/>
  <c r="J334" i="79"/>
  <c r="G334" i="79"/>
  <c r="I334" i="79"/>
  <c r="H29" i="79"/>
  <c r="G29" i="79"/>
  <c r="I30" i="79"/>
  <c r="H33" i="79"/>
  <c r="G33" i="79"/>
  <c r="I34" i="79"/>
  <c r="H37" i="79"/>
  <c r="G37" i="79"/>
  <c r="I38" i="79"/>
  <c r="H41" i="79"/>
  <c r="G41" i="79"/>
  <c r="I42" i="79"/>
  <c r="H45" i="79"/>
  <c r="G45" i="79"/>
  <c r="I46" i="79"/>
  <c r="H49" i="79"/>
  <c r="G49" i="79"/>
  <c r="I50" i="79"/>
  <c r="G55" i="79"/>
  <c r="I57" i="79"/>
  <c r="J63" i="79"/>
  <c r="H63" i="79"/>
  <c r="G63" i="79"/>
  <c r="I87" i="79"/>
  <c r="J103" i="79"/>
  <c r="H103" i="79"/>
  <c r="G103" i="79"/>
  <c r="I111" i="79"/>
  <c r="J127" i="79"/>
  <c r="H127" i="79"/>
  <c r="G127" i="79"/>
  <c r="H132" i="79"/>
  <c r="G132" i="79"/>
  <c r="H140" i="79"/>
  <c r="G140" i="79"/>
  <c r="J143" i="79"/>
  <c r="I143" i="79"/>
  <c r="H143" i="79"/>
  <c r="G143" i="79"/>
  <c r="G151" i="79"/>
  <c r="H167" i="79"/>
  <c r="G203" i="79"/>
  <c r="G225" i="79"/>
  <c r="G233" i="79"/>
  <c r="J257" i="79"/>
  <c r="H257" i="79"/>
  <c r="I257" i="79"/>
  <c r="J261" i="79"/>
  <c r="I261" i="79"/>
  <c r="H261" i="79"/>
  <c r="G261" i="79"/>
  <c r="J265" i="79"/>
  <c r="I265" i="79"/>
  <c r="H265" i="79"/>
  <c r="I268" i="79"/>
  <c r="I271" i="79"/>
  <c r="J308" i="79"/>
  <c r="I308" i="79"/>
  <c r="J314" i="79"/>
  <c r="H314" i="79"/>
  <c r="J327" i="79"/>
  <c r="I327" i="79"/>
  <c r="H334" i="79"/>
  <c r="J348" i="79"/>
  <c r="I353" i="79"/>
  <c r="J394" i="79"/>
  <c r="H394" i="79"/>
  <c r="I394" i="79"/>
  <c r="J398" i="79"/>
  <c r="I398" i="79"/>
  <c r="H398" i="79"/>
  <c r="G398" i="79"/>
  <c r="I28" i="79"/>
  <c r="G28" i="79"/>
  <c r="I32" i="79"/>
  <c r="G32" i="79"/>
  <c r="J79" i="79"/>
  <c r="H79" i="79"/>
  <c r="G79" i="79"/>
  <c r="J147" i="79"/>
  <c r="H147" i="79"/>
  <c r="I147" i="79"/>
  <c r="I158" i="79"/>
  <c r="H158" i="79"/>
  <c r="J175" i="79"/>
  <c r="I175" i="79"/>
  <c r="H175" i="79"/>
  <c r="J293" i="79"/>
  <c r="I293" i="79"/>
  <c r="H293" i="79"/>
  <c r="G293" i="79"/>
  <c r="J338" i="79"/>
  <c r="I338" i="79"/>
  <c r="H338" i="79"/>
  <c r="J362" i="79"/>
  <c r="H362" i="79"/>
  <c r="I362" i="79"/>
  <c r="H28" i="79"/>
  <c r="J31" i="79"/>
  <c r="G31" i="79"/>
  <c r="H32" i="79"/>
  <c r="J35" i="79"/>
  <c r="G35" i="79"/>
  <c r="H36" i="79"/>
  <c r="J39" i="79"/>
  <c r="G39" i="79"/>
  <c r="H40" i="79"/>
  <c r="J43" i="79"/>
  <c r="G43" i="79"/>
  <c r="H44" i="79"/>
  <c r="J47" i="79"/>
  <c r="G47" i="79"/>
  <c r="H48" i="79"/>
  <c r="J51" i="79"/>
  <c r="G51" i="79"/>
  <c r="H52" i="79"/>
  <c r="J71" i="79"/>
  <c r="H71" i="79"/>
  <c r="G71" i="79"/>
  <c r="I79" i="79"/>
  <c r="J95" i="79"/>
  <c r="H95" i="79"/>
  <c r="G95" i="79"/>
  <c r="I119" i="79"/>
  <c r="G147" i="79"/>
  <c r="H155" i="79"/>
  <c r="G175" i="79"/>
  <c r="J219" i="79"/>
  <c r="H219" i="79"/>
  <c r="I219" i="79"/>
  <c r="G219" i="79"/>
  <c r="J244" i="79"/>
  <c r="I244" i="79"/>
  <c r="J250" i="79"/>
  <c r="H250" i="79"/>
  <c r="J263" i="79"/>
  <c r="I263" i="79"/>
  <c r="I284" i="79"/>
  <c r="G289" i="79"/>
  <c r="G297" i="79"/>
  <c r="J321" i="79"/>
  <c r="H321" i="79"/>
  <c r="I321" i="79"/>
  <c r="J325" i="79"/>
  <c r="I325" i="79"/>
  <c r="H325" i="79"/>
  <c r="G325" i="79"/>
  <c r="G338" i="79"/>
  <c r="G362" i="79"/>
  <c r="J386" i="79"/>
  <c r="G386" i="79"/>
  <c r="I386" i="79"/>
  <c r="J131" i="79"/>
  <c r="H131" i="79"/>
  <c r="J135" i="79"/>
  <c r="I135" i="79"/>
  <c r="J139" i="79"/>
  <c r="G139" i="79"/>
  <c r="I145" i="79"/>
  <c r="G145" i="79"/>
  <c r="J171" i="79"/>
  <c r="H171" i="79"/>
  <c r="J199" i="79"/>
  <c r="G199" i="79"/>
  <c r="J207" i="79"/>
  <c r="I207" i="79"/>
  <c r="J249" i="79"/>
  <c r="H249" i="79"/>
  <c r="J281" i="79"/>
  <c r="H281" i="79"/>
  <c r="J313" i="79"/>
  <c r="H313" i="79"/>
  <c r="J370" i="79"/>
  <c r="G370" i="79"/>
  <c r="J378" i="79"/>
  <c r="H378" i="79"/>
  <c r="J402" i="79"/>
  <c r="G402" i="79"/>
  <c r="J410" i="79"/>
  <c r="H410" i="79"/>
  <c r="G67" i="79"/>
  <c r="G83" i="79"/>
  <c r="G99" i="79"/>
  <c r="G115" i="79"/>
  <c r="G131" i="79"/>
  <c r="G135" i="79"/>
  <c r="G137" i="79"/>
  <c r="H139" i="79"/>
  <c r="I150" i="79"/>
  <c r="H150" i="79"/>
  <c r="H156" i="79"/>
  <c r="G156" i="79"/>
  <c r="J159" i="79"/>
  <c r="I159" i="79"/>
  <c r="G171" i="79"/>
  <c r="J187" i="79"/>
  <c r="H187" i="79"/>
  <c r="H199" i="79"/>
  <c r="G207" i="79"/>
  <c r="J215" i="79"/>
  <c r="G215" i="79"/>
  <c r="J241" i="79"/>
  <c r="H241" i="79"/>
  <c r="H242" i="79"/>
  <c r="I247" i="79"/>
  <c r="G249" i="79"/>
  <c r="J273" i="79"/>
  <c r="H273" i="79"/>
  <c r="H274" i="79"/>
  <c r="I279" i="79"/>
  <c r="G281" i="79"/>
  <c r="J305" i="79"/>
  <c r="H305" i="79"/>
  <c r="H306" i="79"/>
  <c r="I311" i="79"/>
  <c r="G313" i="79"/>
  <c r="I337" i="79"/>
  <c r="J346" i="79"/>
  <c r="I346" i="79"/>
  <c r="J350" i="79"/>
  <c r="G350" i="79"/>
  <c r="H370" i="79"/>
  <c r="G378" i="79"/>
  <c r="J382" i="79"/>
  <c r="I382" i="79"/>
  <c r="H402" i="79"/>
  <c r="G410" i="79"/>
  <c r="H53" i="79"/>
  <c r="J53" i="79"/>
  <c r="G58" i="79"/>
  <c r="J58" i="79"/>
  <c r="I64" i="79"/>
  <c r="J64" i="79"/>
  <c r="H69" i="79"/>
  <c r="J69" i="79"/>
  <c r="G74" i="79"/>
  <c r="J74" i="79"/>
  <c r="I80" i="79"/>
  <c r="J80" i="79"/>
  <c r="H85" i="79"/>
  <c r="J85" i="79"/>
  <c r="G90" i="79"/>
  <c r="J90" i="79"/>
  <c r="I96" i="79"/>
  <c r="J96" i="79"/>
  <c r="H101" i="79"/>
  <c r="J101" i="79"/>
  <c r="G106" i="79"/>
  <c r="J106" i="79"/>
  <c r="I112" i="79"/>
  <c r="J112" i="79"/>
  <c r="H117" i="79"/>
  <c r="J117" i="79"/>
  <c r="G122" i="79"/>
  <c r="J122" i="79"/>
  <c r="I128" i="79"/>
  <c r="J128" i="79"/>
  <c r="H133" i="79"/>
  <c r="J133" i="79"/>
  <c r="G138" i="79"/>
  <c r="J138" i="79"/>
  <c r="I144" i="79"/>
  <c r="J144" i="79"/>
  <c r="H149" i="79"/>
  <c r="J149" i="79"/>
  <c r="G154" i="79"/>
  <c r="J154" i="79"/>
  <c r="I160" i="79"/>
  <c r="G160" i="79"/>
  <c r="J160" i="79"/>
  <c r="G162" i="79"/>
  <c r="H162" i="79"/>
  <c r="J162" i="79"/>
  <c r="H165" i="79"/>
  <c r="G165" i="79"/>
  <c r="J165" i="79"/>
  <c r="I168" i="79"/>
  <c r="G168" i="79"/>
  <c r="J168" i="79"/>
  <c r="G170" i="79"/>
  <c r="H170" i="79"/>
  <c r="J170" i="79"/>
  <c r="H173" i="79"/>
  <c r="G173" i="79"/>
  <c r="J173" i="79"/>
  <c r="I176" i="79"/>
  <c r="G176" i="79"/>
  <c r="J176" i="79"/>
  <c r="G178" i="79"/>
  <c r="H178" i="79"/>
  <c r="J178" i="79"/>
  <c r="H181" i="79"/>
  <c r="G181" i="79"/>
  <c r="J181" i="79"/>
  <c r="I184" i="79"/>
  <c r="G184" i="79"/>
  <c r="J184" i="79"/>
  <c r="G186" i="79"/>
  <c r="H186" i="79"/>
  <c r="J186" i="79"/>
  <c r="H189" i="79"/>
  <c r="G189" i="79"/>
  <c r="J189" i="79"/>
  <c r="I192" i="79"/>
  <c r="G192" i="79"/>
  <c r="J192" i="79"/>
  <c r="G194" i="79"/>
  <c r="H194" i="79"/>
  <c r="J194" i="79"/>
  <c r="H197" i="79"/>
  <c r="G197" i="79"/>
  <c r="J197" i="79"/>
  <c r="I200" i="79"/>
  <c r="G200" i="79"/>
  <c r="J200" i="79"/>
  <c r="G202" i="79"/>
  <c r="H202" i="79"/>
  <c r="J202" i="79"/>
  <c r="H205" i="79"/>
  <c r="G205" i="79"/>
  <c r="J205" i="79"/>
  <c r="I208" i="79"/>
  <c r="G208" i="79"/>
  <c r="J208" i="79"/>
  <c r="G210" i="79"/>
  <c r="H210" i="79"/>
  <c r="J210" i="79"/>
  <c r="H213" i="79"/>
  <c r="G213" i="79"/>
  <c r="J213" i="79"/>
  <c r="I216" i="79"/>
  <c r="G216" i="79"/>
  <c r="J216" i="79"/>
  <c r="G218" i="79"/>
  <c r="H218" i="79"/>
  <c r="J218" i="79"/>
  <c r="H221" i="79"/>
  <c r="G221" i="79"/>
  <c r="J221" i="79"/>
  <c r="I230" i="79"/>
  <c r="G230" i="79"/>
  <c r="H230" i="79"/>
  <c r="G232" i="79"/>
  <c r="H232" i="79"/>
  <c r="I232" i="79"/>
  <c r="H251" i="79"/>
  <c r="G251" i="79"/>
  <c r="I251" i="79"/>
  <c r="I254" i="79"/>
  <c r="G254" i="79"/>
  <c r="H254" i="79"/>
  <c r="G272" i="79"/>
  <c r="H272" i="79"/>
  <c r="I272" i="79"/>
  <c r="H275" i="79"/>
  <c r="G275" i="79"/>
  <c r="I275" i="79"/>
  <c r="I294" i="79"/>
  <c r="G294" i="79"/>
  <c r="H294" i="79"/>
  <c r="G296" i="79"/>
  <c r="H296" i="79"/>
  <c r="I296" i="79"/>
  <c r="H315" i="79"/>
  <c r="G315" i="79"/>
  <c r="I315" i="79"/>
  <c r="I318" i="79"/>
  <c r="G318" i="79"/>
  <c r="H318" i="79"/>
  <c r="I331" i="79"/>
  <c r="G331" i="79"/>
  <c r="H331" i="79"/>
  <c r="I339" i="79"/>
  <c r="G339" i="79"/>
  <c r="H339" i="79"/>
  <c r="J339" i="79"/>
  <c r="G345" i="79"/>
  <c r="H345" i="79"/>
  <c r="J345" i="79"/>
  <c r="I345" i="79"/>
  <c r="H352" i="79"/>
  <c r="G352" i="79"/>
  <c r="I352" i="79"/>
  <c r="I52" i="79"/>
  <c r="J52" i="79"/>
  <c r="G53" i="79"/>
  <c r="H57" i="79"/>
  <c r="J57" i="79"/>
  <c r="H58" i="79"/>
  <c r="G62" i="79"/>
  <c r="J62" i="79"/>
  <c r="G64" i="79"/>
  <c r="I68" i="79"/>
  <c r="J68" i="79"/>
  <c r="G69" i="79"/>
  <c r="H73" i="79"/>
  <c r="J73" i="79"/>
  <c r="H74" i="79"/>
  <c r="G78" i="79"/>
  <c r="J78" i="79"/>
  <c r="G80" i="79"/>
  <c r="I84" i="79"/>
  <c r="J84" i="79"/>
  <c r="G85" i="79"/>
  <c r="H89" i="79"/>
  <c r="J89" i="79"/>
  <c r="H90" i="79"/>
  <c r="G94" i="79"/>
  <c r="J94" i="79"/>
  <c r="G96" i="79"/>
  <c r="I100" i="79"/>
  <c r="J100" i="79"/>
  <c r="G101" i="79"/>
  <c r="H105" i="79"/>
  <c r="J105" i="79"/>
  <c r="H106" i="79"/>
  <c r="G110" i="79"/>
  <c r="J110" i="79"/>
  <c r="G112" i="79"/>
  <c r="I116" i="79"/>
  <c r="J116" i="79"/>
  <c r="G117" i="79"/>
  <c r="H121" i="79"/>
  <c r="J121" i="79"/>
  <c r="H122" i="79"/>
  <c r="G126" i="79"/>
  <c r="J126" i="79"/>
  <c r="G128" i="79"/>
  <c r="I132" i="79"/>
  <c r="J132" i="79"/>
  <c r="G133" i="79"/>
  <c r="H137" i="79"/>
  <c r="J137" i="79"/>
  <c r="H138" i="79"/>
  <c r="G142" i="79"/>
  <c r="J142" i="79"/>
  <c r="G144" i="79"/>
  <c r="I148" i="79"/>
  <c r="J148" i="79"/>
  <c r="G149" i="79"/>
  <c r="H153" i="79"/>
  <c r="J153" i="79"/>
  <c r="H154" i="79"/>
  <c r="G158" i="79"/>
  <c r="J158" i="79"/>
  <c r="H160" i="79"/>
  <c r="I162" i="79"/>
  <c r="I165" i="79"/>
  <c r="H168" i="79"/>
  <c r="I170" i="79"/>
  <c r="I173" i="79"/>
  <c r="H176" i="79"/>
  <c r="I178" i="79"/>
  <c r="I181" i="79"/>
  <c r="H184" i="79"/>
  <c r="I186" i="79"/>
  <c r="I189" i="79"/>
  <c r="H192" i="79"/>
  <c r="I194" i="79"/>
  <c r="I197" i="79"/>
  <c r="H200" i="79"/>
  <c r="I202" i="79"/>
  <c r="I205" i="79"/>
  <c r="H208" i="79"/>
  <c r="I210" i="79"/>
  <c r="I213" i="79"/>
  <c r="H216" i="79"/>
  <c r="I218" i="79"/>
  <c r="I221" i="79"/>
  <c r="J230" i="79"/>
  <c r="J232" i="79"/>
  <c r="H235" i="79"/>
  <c r="G235" i="79"/>
  <c r="I235" i="79"/>
  <c r="I238" i="79"/>
  <c r="G238" i="79"/>
  <c r="H238" i="79"/>
  <c r="J251" i="79"/>
  <c r="J254" i="79"/>
  <c r="G256" i="79"/>
  <c r="H256" i="79"/>
  <c r="I256" i="79"/>
  <c r="H259" i="79"/>
  <c r="G259" i="79"/>
  <c r="I259" i="79"/>
  <c r="J272" i="79"/>
  <c r="J275" i="79"/>
  <c r="I278" i="79"/>
  <c r="G278" i="79"/>
  <c r="H278" i="79"/>
  <c r="G280" i="79"/>
  <c r="H280" i="79"/>
  <c r="I280" i="79"/>
  <c r="J294" i="79"/>
  <c r="J296" i="79"/>
  <c r="H299" i="79"/>
  <c r="G299" i="79"/>
  <c r="I299" i="79"/>
  <c r="I302" i="79"/>
  <c r="G302" i="79"/>
  <c r="H302" i="79"/>
  <c r="J315" i="79"/>
  <c r="J318" i="79"/>
  <c r="G320" i="79"/>
  <c r="H320" i="79"/>
  <c r="I320" i="79"/>
  <c r="H323" i="79"/>
  <c r="G323" i="79"/>
  <c r="I323" i="79"/>
  <c r="J331" i="79"/>
  <c r="G333" i="79"/>
  <c r="H333" i="79"/>
  <c r="I333" i="79"/>
  <c r="J333" i="79"/>
  <c r="H340" i="79"/>
  <c r="G340" i="79"/>
  <c r="J340" i="79"/>
  <c r="I340" i="79"/>
  <c r="I347" i="79"/>
  <c r="G347" i="79"/>
  <c r="H347" i="79"/>
  <c r="J352" i="79"/>
  <c r="I355" i="79"/>
  <c r="G355" i="79"/>
  <c r="H355" i="79"/>
  <c r="J355" i="79"/>
  <c r="I56" i="79"/>
  <c r="J56" i="79"/>
  <c r="H61" i="79"/>
  <c r="J61" i="79"/>
  <c r="G66" i="79"/>
  <c r="J66" i="79"/>
  <c r="I72" i="79"/>
  <c r="J72" i="79"/>
  <c r="H77" i="79"/>
  <c r="J77" i="79"/>
  <c r="G82" i="79"/>
  <c r="J82" i="79"/>
  <c r="I88" i="79"/>
  <c r="J88" i="79"/>
  <c r="H93" i="79"/>
  <c r="J93" i="79"/>
  <c r="G98" i="79"/>
  <c r="J98" i="79"/>
  <c r="I104" i="79"/>
  <c r="J104" i="79"/>
  <c r="H109" i="79"/>
  <c r="J109" i="79"/>
  <c r="G114" i="79"/>
  <c r="J114" i="79"/>
  <c r="I120" i="79"/>
  <c r="J120" i="79"/>
  <c r="H125" i="79"/>
  <c r="J125" i="79"/>
  <c r="G130" i="79"/>
  <c r="J130" i="79"/>
  <c r="I136" i="79"/>
  <c r="J136" i="79"/>
  <c r="H141" i="79"/>
  <c r="J141" i="79"/>
  <c r="G146" i="79"/>
  <c r="J146" i="79"/>
  <c r="I152" i="79"/>
  <c r="J152" i="79"/>
  <c r="H157" i="79"/>
  <c r="J157" i="79"/>
  <c r="H161" i="79"/>
  <c r="G161" i="79"/>
  <c r="J161" i="79"/>
  <c r="I164" i="79"/>
  <c r="G164" i="79"/>
  <c r="J164" i="79"/>
  <c r="G166" i="79"/>
  <c r="H166" i="79"/>
  <c r="J166" i="79"/>
  <c r="H169" i="79"/>
  <c r="G169" i="79"/>
  <c r="J169" i="79"/>
  <c r="I172" i="79"/>
  <c r="G172" i="79"/>
  <c r="J172" i="79"/>
  <c r="G174" i="79"/>
  <c r="H174" i="79"/>
  <c r="J174" i="79"/>
  <c r="H177" i="79"/>
  <c r="G177" i="79"/>
  <c r="J177" i="79"/>
  <c r="I180" i="79"/>
  <c r="G180" i="79"/>
  <c r="J180" i="79"/>
  <c r="G182" i="79"/>
  <c r="H182" i="79"/>
  <c r="J182" i="79"/>
  <c r="H185" i="79"/>
  <c r="G185" i="79"/>
  <c r="J185" i="79"/>
  <c r="I188" i="79"/>
  <c r="G188" i="79"/>
  <c r="J188" i="79"/>
  <c r="G190" i="79"/>
  <c r="H190" i="79"/>
  <c r="J190" i="79"/>
  <c r="H193" i="79"/>
  <c r="G193" i="79"/>
  <c r="J193" i="79"/>
  <c r="I196" i="79"/>
  <c r="G196" i="79"/>
  <c r="J196" i="79"/>
  <c r="G198" i="79"/>
  <c r="H198" i="79"/>
  <c r="J198" i="79"/>
  <c r="H201" i="79"/>
  <c r="G201" i="79"/>
  <c r="J201" i="79"/>
  <c r="I204" i="79"/>
  <c r="G204" i="79"/>
  <c r="J204" i="79"/>
  <c r="G206" i="79"/>
  <c r="H206" i="79"/>
  <c r="J206" i="79"/>
  <c r="H209" i="79"/>
  <c r="G209" i="79"/>
  <c r="J209" i="79"/>
  <c r="I212" i="79"/>
  <c r="G212" i="79"/>
  <c r="J212" i="79"/>
  <c r="G214" i="79"/>
  <c r="H214" i="79"/>
  <c r="J214" i="79"/>
  <c r="H217" i="79"/>
  <c r="G217" i="79"/>
  <c r="J217" i="79"/>
  <c r="I220" i="79"/>
  <c r="G220" i="79"/>
  <c r="J220" i="79"/>
  <c r="I222" i="79"/>
  <c r="G222" i="79"/>
  <c r="H222" i="79"/>
  <c r="G240" i="79"/>
  <c r="H240" i="79"/>
  <c r="I240" i="79"/>
  <c r="H243" i="79"/>
  <c r="G243" i="79"/>
  <c r="I243" i="79"/>
  <c r="I262" i="79"/>
  <c r="G262" i="79"/>
  <c r="H262" i="79"/>
  <c r="G264" i="79"/>
  <c r="H264" i="79"/>
  <c r="I264" i="79"/>
  <c r="H283" i="79"/>
  <c r="G283" i="79"/>
  <c r="I283" i="79"/>
  <c r="I286" i="79"/>
  <c r="G286" i="79"/>
  <c r="H286" i="79"/>
  <c r="G304" i="79"/>
  <c r="H304" i="79"/>
  <c r="I304" i="79"/>
  <c r="H307" i="79"/>
  <c r="G307" i="79"/>
  <c r="I307" i="79"/>
  <c r="I326" i="79"/>
  <c r="G326" i="79"/>
  <c r="H326" i="79"/>
  <c r="H328" i="79"/>
  <c r="G328" i="79"/>
  <c r="I328" i="79"/>
  <c r="J328" i="79"/>
  <c r="I335" i="79"/>
  <c r="G335" i="79"/>
  <c r="J335" i="79"/>
  <c r="H335" i="79"/>
  <c r="G341" i="79"/>
  <c r="H341" i="79"/>
  <c r="I341" i="79"/>
  <c r="G349" i="79"/>
  <c r="H349" i="79"/>
  <c r="I349" i="79"/>
  <c r="J349" i="79"/>
  <c r="H356" i="79"/>
  <c r="G356" i="79"/>
  <c r="J356" i="79"/>
  <c r="I356" i="79"/>
  <c r="G361" i="79"/>
  <c r="H361" i="79"/>
  <c r="J361" i="79"/>
  <c r="I361" i="79"/>
  <c r="I367" i="79"/>
  <c r="G367" i="79"/>
  <c r="J367" i="79"/>
  <c r="H367" i="79"/>
  <c r="H372" i="79"/>
  <c r="G372" i="79"/>
  <c r="J372" i="79"/>
  <c r="I372" i="79"/>
  <c r="G377" i="79"/>
  <c r="H377" i="79"/>
  <c r="J377" i="79"/>
  <c r="I377" i="79"/>
  <c r="I383" i="79"/>
  <c r="G383" i="79"/>
  <c r="J383" i="79"/>
  <c r="H383" i="79"/>
  <c r="H388" i="79"/>
  <c r="G388" i="79"/>
  <c r="J388" i="79"/>
  <c r="I388" i="79"/>
  <c r="G393" i="79"/>
  <c r="H393" i="79"/>
  <c r="J393" i="79"/>
  <c r="I393" i="79"/>
  <c r="I399" i="79"/>
  <c r="G399" i="79"/>
  <c r="J399" i="79"/>
  <c r="H399" i="79"/>
  <c r="H404" i="79"/>
  <c r="G404" i="79"/>
  <c r="J404" i="79"/>
  <c r="I404" i="79"/>
  <c r="G409" i="79"/>
  <c r="H409" i="79"/>
  <c r="J409" i="79"/>
  <c r="I409" i="79"/>
  <c r="J17" i="79"/>
  <c r="G26" i="79"/>
  <c r="G54" i="79"/>
  <c r="J54" i="79"/>
  <c r="G56" i="79"/>
  <c r="I60" i="79"/>
  <c r="J60" i="79"/>
  <c r="G61" i="79"/>
  <c r="H65" i="79"/>
  <c r="J65" i="79"/>
  <c r="H66" i="79"/>
  <c r="G70" i="79"/>
  <c r="J70" i="79"/>
  <c r="G72" i="79"/>
  <c r="I76" i="79"/>
  <c r="J76" i="79"/>
  <c r="G77" i="79"/>
  <c r="H81" i="79"/>
  <c r="J81" i="79"/>
  <c r="H82" i="79"/>
  <c r="G86" i="79"/>
  <c r="J86" i="79"/>
  <c r="G88" i="79"/>
  <c r="I92" i="79"/>
  <c r="J92" i="79"/>
  <c r="G93" i="79"/>
  <c r="H97" i="79"/>
  <c r="J97" i="79"/>
  <c r="H98" i="79"/>
  <c r="G102" i="79"/>
  <c r="J102" i="79"/>
  <c r="G104" i="79"/>
  <c r="I108" i="79"/>
  <c r="J108" i="79"/>
  <c r="G109" i="79"/>
  <c r="H113" i="79"/>
  <c r="J113" i="79"/>
  <c r="H114" i="79"/>
  <c r="G118" i="79"/>
  <c r="J118" i="79"/>
  <c r="G120" i="79"/>
  <c r="I124" i="79"/>
  <c r="J124" i="79"/>
  <c r="G125" i="79"/>
  <c r="H129" i="79"/>
  <c r="J129" i="79"/>
  <c r="H130" i="79"/>
  <c r="G134" i="79"/>
  <c r="J134" i="79"/>
  <c r="G136" i="79"/>
  <c r="I140" i="79"/>
  <c r="J140" i="79"/>
  <c r="G141" i="79"/>
  <c r="H145" i="79"/>
  <c r="J145" i="79"/>
  <c r="H146" i="79"/>
  <c r="G150" i="79"/>
  <c r="J150" i="79"/>
  <c r="G152" i="79"/>
  <c r="I156" i="79"/>
  <c r="J156" i="79"/>
  <c r="G157" i="79"/>
  <c r="I161" i="79"/>
  <c r="H164" i="79"/>
  <c r="I166" i="79"/>
  <c r="I169" i="79"/>
  <c r="H172" i="79"/>
  <c r="I174" i="79"/>
  <c r="I177" i="79"/>
  <c r="H180" i="79"/>
  <c r="I182" i="79"/>
  <c r="I185" i="79"/>
  <c r="H188" i="79"/>
  <c r="I190" i="79"/>
  <c r="I193" i="79"/>
  <c r="H196" i="79"/>
  <c r="I198" i="79"/>
  <c r="I201" i="79"/>
  <c r="H204" i="79"/>
  <c r="I206" i="79"/>
  <c r="I209" i="79"/>
  <c r="H212" i="79"/>
  <c r="I214" i="79"/>
  <c r="I217" i="79"/>
  <c r="H220" i="79"/>
  <c r="J222" i="79"/>
  <c r="G224" i="79"/>
  <c r="H224" i="79"/>
  <c r="I224" i="79"/>
  <c r="H227" i="79"/>
  <c r="G227" i="79"/>
  <c r="I227" i="79"/>
  <c r="J240" i="79"/>
  <c r="J243" i="79"/>
  <c r="I246" i="79"/>
  <c r="G246" i="79"/>
  <c r="H246" i="79"/>
  <c r="G248" i="79"/>
  <c r="H248" i="79"/>
  <c r="I248" i="79"/>
  <c r="J262" i="79"/>
  <c r="J264" i="79"/>
  <c r="H267" i="79"/>
  <c r="G267" i="79"/>
  <c r="I267" i="79"/>
  <c r="I270" i="79"/>
  <c r="G270" i="79"/>
  <c r="H270" i="79"/>
  <c r="J283" i="79"/>
  <c r="J286" i="79"/>
  <c r="G288" i="79"/>
  <c r="H288" i="79"/>
  <c r="I288" i="79"/>
  <c r="H291" i="79"/>
  <c r="G291" i="79"/>
  <c r="I291" i="79"/>
  <c r="J304" i="79"/>
  <c r="J307" i="79"/>
  <c r="I310" i="79"/>
  <c r="G310" i="79"/>
  <c r="H310" i="79"/>
  <c r="G312" i="79"/>
  <c r="H312" i="79"/>
  <c r="I312" i="79"/>
  <c r="J326" i="79"/>
  <c r="G329" i="79"/>
  <c r="H329" i="79"/>
  <c r="J329" i="79"/>
  <c r="I329" i="79"/>
  <c r="H336" i="79"/>
  <c r="G336" i="79"/>
  <c r="I336" i="79"/>
  <c r="J341" i="79"/>
  <c r="H344" i="79"/>
  <c r="G344" i="79"/>
  <c r="I344" i="79"/>
  <c r="J344" i="79"/>
  <c r="I351" i="79"/>
  <c r="G351" i="79"/>
  <c r="J351" i="79"/>
  <c r="H351" i="79"/>
  <c r="H223" i="79"/>
  <c r="G223" i="79"/>
  <c r="G228" i="79"/>
  <c r="H228" i="79"/>
  <c r="I234" i="79"/>
  <c r="G234" i="79"/>
  <c r="H239" i="79"/>
  <c r="G239" i="79"/>
  <c r="G244" i="79"/>
  <c r="H244" i="79"/>
  <c r="I250" i="79"/>
  <c r="G250" i="79"/>
  <c r="H255" i="79"/>
  <c r="G255" i="79"/>
  <c r="G260" i="79"/>
  <c r="H260" i="79"/>
  <c r="I266" i="79"/>
  <c r="G266" i="79"/>
  <c r="H271" i="79"/>
  <c r="G271" i="79"/>
  <c r="G276" i="79"/>
  <c r="H276" i="79"/>
  <c r="I282" i="79"/>
  <c r="G282" i="79"/>
  <c r="H287" i="79"/>
  <c r="G287" i="79"/>
  <c r="G292" i="79"/>
  <c r="H292" i="79"/>
  <c r="I298" i="79"/>
  <c r="G298" i="79"/>
  <c r="H303" i="79"/>
  <c r="G303" i="79"/>
  <c r="G308" i="79"/>
  <c r="H308" i="79"/>
  <c r="I314" i="79"/>
  <c r="G314" i="79"/>
  <c r="H319" i="79"/>
  <c r="G319" i="79"/>
  <c r="G324" i="79"/>
  <c r="H324" i="79"/>
  <c r="I226" i="79"/>
  <c r="G226" i="79"/>
  <c r="H231" i="79"/>
  <c r="G231" i="79"/>
  <c r="G236" i="79"/>
  <c r="H236" i="79"/>
  <c r="I242" i="79"/>
  <c r="G242" i="79"/>
  <c r="H247" i="79"/>
  <c r="G247" i="79"/>
  <c r="G252" i="79"/>
  <c r="H252" i="79"/>
  <c r="I258" i="79"/>
  <c r="G258" i="79"/>
  <c r="H263" i="79"/>
  <c r="G263" i="79"/>
  <c r="G268" i="79"/>
  <c r="H268" i="79"/>
  <c r="I274" i="79"/>
  <c r="G274" i="79"/>
  <c r="H279" i="79"/>
  <c r="G279" i="79"/>
  <c r="G284" i="79"/>
  <c r="H284" i="79"/>
  <c r="I290" i="79"/>
  <c r="G290" i="79"/>
  <c r="H295" i="79"/>
  <c r="G295" i="79"/>
  <c r="G300" i="79"/>
  <c r="H300" i="79"/>
  <c r="I306" i="79"/>
  <c r="G306" i="79"/>
  <c r="H311" i="79"/>
  <c r="G311" i="79"/>
  <c r="G316" i="79"/>
  <c r="H316" i="79"/>
  <c r="I322" i="79"/>
  <c r="G322" i="79"/>
  <c r="H327" i="79"/>
  <c r="G327" i="79"/>
  <c r="G357" i="79"/>
  <c r="H357" i="79"/>
  <c r="J357" i="79"/>
  <c r="I363" i="79"/>
  <c r="G363" i="79"/>
  <c r="J363" i="79"/>
  <c r="H368" i="79"/>
  <c r="G368" i="79"/>
  <c r="J368" i="79"/>
  <c r="G373" i="79"/>
  <c r="H373" i="79"/>
  <c r="J373" i="79"/>
  <c r="I379" i="79"/>
  <c r="G379" i="79"/>
  <c r="J379" i="79"/>
  <c r="H384" i="79"/>
  <c r="G384" i="79"/>
  <c r="J384" i="79"/>
  <c r="G389" i="79"/>
  <c r="H389" i="79"/>
  <c r="J389" i="79"/>
  <c r="I395" i="79"/>
  <c r="G395" i="79"/>
  <c r="J395" i="79"/>
  <c r="H400" i="79"/>
  <c r="G400" i="79"/>
  <c r="J400" i="79"/>
  <c r="G405" i="79"/>
  <c r="H405" i="79"/>
  <c r="J405" i="79"/>
  <c r="I411" i="79"/>
  <c r="G411" i="79"/>
  <c r="J411" i="79"/>
  <c r="H360" i="79"/>
  <c r="G360" i="79"/>
  <c r="G365" i="79"/>
  <c r="H365" i="79"/>
  <c r="I371" i="79"/>
  <c r="G371" i="79"/>
  <c r="H376" i="79"/>
  <c r="G376" i="79"/>
  <c r="G381" i="79"/>
  <c r="H381" i="79"/>
  <c r="I387" i="79"/>
  <c r="G387" i="79"/>
  <c r="H392" i="79"/>
  <c r="G392" i="79"/>
  <c r="G397" i="79"/>
  <c r="H397" i="79"/>
  <c r="I403" i="79"/>
  <c r="G403" i="79"/>
  <c r="H408" i="79"/>
  <c r="G408" i="79"/>
  <c r="H332" i="79"/>
  <c r="G332" i="79"/>
  <c r="G337" i="79"/>
  <c r="H337" i="79"/>
  <c r="I343" i="79"/>
  <c r="G343" i="79"/>
  <c r="H348" i="79"/>
  <c r="G348" i="79"/>
  <c r="G353" i="79"/>
  <c r="H353" i="79"/>
  <c r="I359" i="79"/>
  <c r="G359" i="79"/>
  <c r="I360" i="79"/>
  <c r="H364" i="79"/>
  <c r="G364" i="79"/>
  <c r="I365" i="79"/>
  <c r="G369" i="79"/>
  <c r="H369" i="79"/>
  <c r="H371" i="79"/>
  <c r="I375" i="79"/>
  <c r="G375" i="79"/>
  <c r="I376" i="79"/>
  <c r="H380" i="79"/>
  <c r="G380" i="79"/>
  <c r="I381" i="79"/>
  <c r="G385" i="79"/>
  <c r="H385" i="79"/>
  <c r="H387" i="79"/>
  <c r="I391" i="79"/>
  <c r="G391" i="79"/>
  <c r="I392" i="79"/>
  <c r="H396" i="79"/>
  <c r="G396" i="79"/>
  <c r="I397" i="79"/>
  <c r="G401" i="79"/>
  <c r="H401" i="79"/>
  <c r="H403" i="79"/>
  <c r="I407" i="79"/>
  <c r="G407" i="79"/>
  <c r="I408" i="79"/>
  <c r="H412" i="79"/>
  <c r="G412" i="79"/>
  <c r="I32" i="78"/>
  <c r="J37" i="78"/>
  <c r="G42" i="78"/>
  <c r="I48" i="78"/>
  <c r="J48" i="78"/>
  <c r="G58" i="78"/>
  <c r="J58" i="78"/>
  <c r="I64" i="78"/>
  <c r="J64" i="78"/>
  <c r="H69" i="78"/>
  <c r="J69" i="78"/>
  <c r="G74" i="78"/>
  <c r="J80" i="78"/>
  <c r="H85" i="78"/>
  <c r="J90" i="78"/>
  <c r="I96" i="78"/>
  <c r="J96" i="78"/>
  <c r="J101" i="78"/>
  <c r="G106" i="78"/>
  <c r="J106" i="78"/>
  <c r="H117" i="78"/>
  <c r="J117" i="78"/>
  <c r="J122" i="78"/>
  <c r="I128" i="78"/>
  <c r="J128" i="78"/>
  <c r="J133" i="78"/>
  <c r="G138" i="78"/>
  <c r="I144" i="78"/>
  <c r="J144" i="78"/>
  <c r="H149" i="78"/>
  <c r="J149" i="78"/>
  <c r="G154" i="78"/>
  <c r="J154" i="78"/>
  <c r="I160" i="78"/>
  <c r="G160" i="78"/>
  <c r="J160" i="78"/>
  <c r="G162" i="78"/>
  <c r="H162" i="78"/>
  <c r="J162" i="78"/>
  <c r="J165" i="78"/>
  <c r="G170" i="78"/>
  <c r="H170" i="78"/>
  <c r="J170" i="78"/>
  <c r="H173" i="78"/>
  <c r="G173" i="78"/>
  <c r="J173" i="78"/>
  <c r="I176" i="78"/>
  <c r="G176" i="78"/>
  <c r="J176" i="78"/>
  <c r="G178" i="78"/>
  <c r="H178" i="78"/>
  <c r="J178" i="78"/>
  <c r="H181" i="78"/>
  <c r="G181" i="78"/>
  <c r="J181" i="78"/>
  <c r="I184" i="78"/>
  <c r="G184" i="78"/>
  <c r="J184" i="78"/>
  <c r="G186" i="78"/>
  <c r="H186" i="78"/>
  <c r="J186" i="78"/>
  <c r="H189" i="78"/>
  <c r="G189" i="78"/>
  <c r="J189" i="78"/>
  <c r="I192" i="78"/>
  <c r="H197" i="78"/>
  <c r="G197" i="78"/>
  <c r="J197" i="78"/>
  <c r="I200" i="78"/>
  <c r="G200" i="78"/>
  <c r="J200" i="78"/>
  <c r="G202" i="78"/>
  <c r="H205" i="78"/>
  <c r="G205" i="78"/>
  <c r="J205" i="78"/>
  <c r="I208" i="78"/>
  <c r="G208" i="78"/>
  <c r="J208" i="78"/>
  <c r="G210" i="78"/>
  <c r="H213" i="78"/>
  <c r="G213" i="78"/>
  <c r="J213" i="78"/>
  <c r="I216" i="78"/>
  <c r="G216" i="78"/>
  <c r="J216" i="78"/>
  <c r="G218" i="78"/>
  <c r="H218" i="78"/>
  <c r="J218" i="78"/>
  <c r="H221" i="78"/>
  <c r="G221" i="78"/>
  <c r="J221" i="78"/>
  <c r="I230" i="78"/>
  <c r="G230" i="78"/>
  <c r="H230" i="78"/>
  <c r="G232" i="78"/>
  <c r="H232" i="78"/>
  <c r="I232" i="78"/>
  <c r="H251" i="78"/>
  <c r="G251" i="78"/>
  <c r="I251" i="78"/>
  <c r="H254" i="78"/>
  <c r="G272" i="78"/>
  <c r="H272" i="78"/>
  <c r="I272" i="78"/>
  <c r="H275" i="78"/>
  <c r="G275" i="78"/>
  <c r="H294" i="78"/>
  <c r="H315" i="78"/>
  <c r="G315" i="78"/>
  <c r="I315" i="78"/>
  <c r="I318" i="78"/>
  <c r="G318" i="78"/>
  <c r="H318" i="78"/>
  <c r="I339" i="78"/>
  <c r="G339" i="78"/>
  <c r="H339" i="78"/>
  <c r="J339" i="78"/>
  <c r="J345" i="78"/>
  <c r="I345" i="78"/>
  <c r="H352" i="78"/>
  <c r="G352" i="78"/>
  <c r="I352" i="78"/>
  <c r="G30" i="78"/>
  <c r="J30" i="78"/>
  <c r="I36" i="78"/>
  <c r="J36" i="78"/>
  <c r="J41" i="78"/>
  <c r="H42" i="78"/>
  <c r="G48" i="78"/>
  <c r="I52" i="78"/>
  <c r="J52" i="78"/>
  <c r="H57" i="78"/>
  <c r="J57" i="78"/>
  <c r="H58" i="78"/>
  <c r="J62" i="78"/>
  <c r="G64" i="78"/>
  <c r="G69" i="78"/>
  <c r="G78" i="78"/>
  <c r="J78" i="78"/>
  <c r="I84" i="78"/>
  <c r="J84" i="78"/>
  <c r="G85" i="78"/>
  <c r="H89" i="78"/>
  <c r="J89" i="78"/>
  <c r="H90" i="78"/>
  <c r="G94" i="78"/>
  <c r="J94" i="78"/>
  <c r="G96" i="78"/>
  <c r="I100" i="78"/>
  <c r="J100" i="78"/>
  <c r="H105" i="78"/>
  <c r="J105" i="78"/>
  <c r="H106" i="78"/>
  <c r="G110" i="78"/>
  <c r="J110" i="78"/>
  <c r="I116" i="78"/>
  <c r="J116" i="78"/>
  <c r="G117" i="78"/>
  <c r="J126" i="78"/>
  <c r="G128" i="78"/>
  <c r="I132" i="78"/>
  <c r="J132" i="78"/>
  <c r="G133" i="78"/>
  <c r="H137" i="78"/>
  <c r="J137" i="78"/>
  <c r="G142" i="78"/>
  <c r="J142" i="78"/>
  <c r="G144" i="78"/>
  <c r="I148" i="78"/>
  <c r="J148" i="78"/>
  <c r="G149" i="78"/>
  <c r="H154" i="78"/>
  <c r="G158" i="78"/>
  <c r="H160" i="78"/>
  <c r="I162" i="78"/>
  <c r="I165" i="78"/>
  <c r="I170" i="78"/>
  <c r="I173" i="78"/>
  <c r="H176" i="78"/>
  <c r="I178" i="78"/>
  <c r="I181" i="78"/>
  <c r="H184" i="78"/>
  <c r="I186" i="78"/>
  <c r="I189" i="78"/>
  <c r="I194" i="78"/>
  <c r="I197" i="78"/>
  <c r="H200" i="78"/>
  <c r="I205" i="78"/>
  <c r="H208" i="78"/>
  <c r="I210" i="78"/>
  <c r="I213" i="78"/>
  <c r="H216" i="78"/>
  <c r="I218" i="78"/>
  <c r="I221" i="78"/>
  <c r="J230" i="78"/>
  <c r="J232" i="78"/>
  <c r="H235" i="78"/>
  <c r="G235" i="78"/>
  <c r="I235" i="78"/>
  <c r="J251" i="78"/>
  <c r="J254" i="78"/>
  <c r="G256" i="78"/>
  <c r="H256" i="78"/>
  <c r="I256" i="78"/>
  <c r="H259" i="78"/>
  <c r="G259" i="78"/>
  <c r="I259" i="78"/>
  <c r="J272" i="78"/>
  <c r="J275" i="78"/>
  <c r="H278" i="78"/>
  <c r="G280" i="78"/>
  <c r="H280" i="78"/>
  <c r="I280" i="78"/>
  <c r="H299" i="78"/>
  <c r="G299" i="78"/>
  <c r="I299" i="78"/>
  <c r="I302" i="78"/>
  <c r="G302" i="78"/>
  <c r="H302" i="78"/>
  <c r="J315" i="78"/>
  <c r="J318" i="78"/>
  <c r="G320" i="78"/>
  <c r="H320" i="78"/>
  <c r="I320" i="78"/>
  <c r="H323" i="78"/>
  <c r="G323" i="78"/>
  <c r="I323" i="78"/>
  <c r="G333" i="78"/>
  <c r="H333" i="78"/>
  <c r="I333" i="78"/>
  <c r="J333" i="78"/>
  <c r="H340" i="78"/>
  <c r="G340" i="78"/>
  <c r="J340" i="78"/>
  <c r="I340" i="78"/>
  <c r="G347" i="78"/>
  <c r="J352" i="78"/>
  <c r="I355" i="78"/>
  <c r="G355" i="78"/>
  <c r="H355" i="78"/>
  <c r="J355" i="78"/>
  <c r="J29" i="78"/>
  <c r="I40" i="78"/>
  <c r="J40" i="78"/>
  <c r="H45" i="78"/>
  <c r="G50" i="78"/>
  <c r="J50" i="78"/>
  <c r="I56" i="78"/>
  <c r="H61" i="78"/>
  <c r="J61" i="78"/>
  <c r="I72" i="78"/>
  <c r="J72" i="78"/>
  <c r="H77" i="78"/>
  <c r="G82" i="78"/>
  <c r="J82" i="78"/>
  <c r="H93" i="78"/>
  <c r="J93" i="78"/>
  <c r="G98" i="78"/>
  <c r="J98" i="78"/>
  <c r="I104" i="78"/>
  <c r="J104" i="78"/>
  <c r="H109" i="78"/>
  <c r="J109" i="78"/>
  <c r="G114" i="78"/>
  <c r="J114" i="78"/>
  <c r="I120" i="78"/>
  <c r="J120" i="78"/>
  <c r="H125" i="78"/>
  <c r="I136" i="78"/>
  <c r="J136" i="78"/>
  <c r="H141" i="78"/>
  <c r="J141" i="78"/>
  <c r="G146" i="78"/>
  <c r="J146" i="78"/>
  <c r="I152" i="78"/>
  <c r="J152" i="78"/>
  <c r="H157" i="78"/>
  <c r="J157" i="78"/>
  <c r="J161" i="78"/>
  <c r="I164" i="78"/>
  <c r="G164" i="78"/>
  <c r="J164" i="78"/>
  <c r="G166" i="78"/>
  <c r="H166" i="78"/>
  <c r="J166" i="78"/>
  <c r="G169" i="78"/>
  <c r="I172" i="78"/>
  <c r="G172" i="78"/>
  <c r="J172" i="78"/>
  <c r="G174" i="78"/>
  <c r="H174" i="78"/>
  <c r="J174" i="78"/>
  <c r="I180" i="78"/>
  <c r="G182" i="78"/>
  <c r="H182" i="78"/>
  <c r="J182" i="78"/>
  <c r="I188" i="78"/>
  <c r="G188" i="78"/>
  <c r="J188" i="78"/>
  <c r="G190" i="78"/>
  <c r="H190" i="78"/>
  <c r="J190" i="78"/>
  <c r="H193" i="78"/>
  <c r="G193" i="78"/>
  <c r="J193" i="78"/>
  <c r="G198" i="78"/>
  <c r="H198" i="78"/>
  <c r="J198" i="78"/>
  <c r="H201" i="78"/>
  <c r="G201" i="78"/>
  <c r="J201" i="78"/>
  <c r="I204" i="78"/>
  <c r="G204" i="78"/>
  <c r="J204" i="78"/>
  <c r="G206" i="78"/>
  <c r="H209" i="78"/>
  <c r="G209" i="78"/>
  <c r="J209" i="78"/>
  <c r="J212" i="78"/>
  <c r="G214" i="78"/>
  <c r="H214" i="78"/>
  <c r="J214" i="78"/>
  <c r="H217" i="78"/>
  <c r="G217" i="78"/>
  <c r="J217" i="78"/>
  <c r="I220" i="78"/>
  <c r="G220" i="78"/>
  <c r="J220" i="78"/>
  <c r="I222" i="78"/>
  <c r="G222" i="78"/>
  <c r="H222" i="78"/>
  <c r="G240" i="78"/>
  <c r="H240" i="78"/>
  <c r="I240" i="78"/>
  <c r="H243" i="78"/>
  <c r="I262" i="78"/>
  <c r="H264" i="78"/>
  <c r="H283" i="78"/>
  <c r="G283" i="78"/>
  <c r="I283" i="78"/>
  <c r="I286" i="78"/>
  <c r="G286" i="78"/>
  <c r="H286" i="78"/>
  <c r="G304" i="78"/>
  <c r="H304" i="78"/>
  <c r="I304" i="78"/>
  <c r="H307" i="78"/>
  <c r="G307" i="78"/>
  <c r="I307" i="78"/>
  <c r="I326" i="78"/>
  <c r="G326" i="78"/>
  <c r="H326" i="78"/>
  <c r="H328" i="78"/>
  <c r="G328" i="78"/>
  <c r="I328" i="78"/>
  <c r="J328" i="78"/>
  <c r="I335" i="78"/>
  <c r="G335" i="78"/>
  <c r="J335" i="78"/>
  <c r="H335" i="78"/>
  <c r="G341" i="78"/>
  <c r="H341" i="78"/>
  <c r="I341" i="78"/>
  <c r="G349" i="78"/>
  <c r="H349" i="78"/>
  <c r="I349" i="78"/>
  <c r="J349" i="78"/>
  <c r="H356" i="78"/>
  <c r="G356" i="78"/>
  <c r="J356" i="78"/>
  <c r="I356" i="78"/>
  <c r="G361" i="78"/>
  <c r="H361" i="78"/>
  <c r="J361" i="78"/>
  <c r="I361" i="78"/>
  <c r="I367" i="78"/>
  <c r="G367" i="78"/>
  <c r="J367" i="78"/>
  <c r="H367" i="78"/>
  <c r="H372" i="78"/>
  <c r="G372" i="78"/>
  <c r="J372" i="78"/>
  <c r="I372" i="78"/>
  <c r="G377" i="78"/>
  <c r="H377" i="78"/>
  <c r="J377" i="78"/>
  <c r="I377" i="78"/>
  <c r="I383" i="78"/>
  <c r="G383" i="78"/>
  <c r="J383" i="78"/>
  <c r="H383" i="78"/>
  <c r="H388" i="78"/>
  <c r="G388" i="78"/>
  <c r="J388" i="78"/>
  <c r="I388" i="78"/>
  <c r="G393" i="78"/>
  <c r="H393" i="78"/>
  <c r="J393" i="78"/>
  <c r="I393" i="78"/>
  <c r="I399" i="78"/>
  <c r="G399" i="78"/>
  <c r="J399" i="78"/>
  <c r="H399" i="78"/>
  <c r="H404" i="78"/>
  <c r="G404" i="78"/>
  <c r="J404" i="78"/>
  <c r="I404" i="78"/>
  <c r="G409" i="78"/>
  <c r="H409" i="78"/>
  <c r="J409" i="78"/>
  <c r="I409" i="78"/>
  <c r="I28" i="78"/>
  <c r="J28" i="78"/>
  <c r="H34" i="78"/>
  <c r="G38" i="78"/>
  <c r="J38" i="78"/>
  <c r="G40" i="78"/>
  <c r="G45" i="78"/>
  <c r="H50" i="78"/>
  <c r="G54" i="78"/>
  <c r="J54" i="78"/>
  <c r="G61" i="78"/>
  <c r="H65" i="78"/>
  <c r="J65" i="78"/>
  <c r="G70" i="78"/>
  <c r="J70" i="78"/>
  <c r="G72" i="78"/>
  <c r="I76" i="78"/>
  <c r="J76" i="78"/>
  <c r="H82" i="78"/>
  <c r="G86" i="78"/>
  <c r="J86" i="78"/>
  <c r="I92" i="78"/>
  <c r="J92" i="78"/>
  <c r="G93" i="78"/>
  <c r="H97" i="78"/>
  <c r="J97" i="78"/>
  <c r="H98" i="78"/>
  <c r="G102" i="78"/>
  <c r="J102" i="78"/>
  <c r="G104" i="78"/>
  <c r="I108" i="78"/>
  <c r="G109" i="78"/>
  <c r="J113" i="78"/>
  <c r="H114" i="78"/>
  <c r="G118" i="78"/>
  <c r="J118" i="78"/>
  <c r="G120" i="78"/>
  <c r="I124" i="78"/>
  <c r="J124" i="78"/>
  <c r="G125" i="78"/>
  <c r="H129" i="78"/>
  <c r="J129" i="78"/>
  <c r="G134" i="78"/>
  <c r="J134" i="78"/>
  <c r="G136" i="78"/>
  <c r="I140" i="78"/>
  <c r="J140" i="78"/>
  <c r="G141" i="78"/>
  <c r="H145" i="78"/>
  <c r="J145" i="78"/>
  <c r="H146" i="78"/>
  <c r="G150" i="78"/>
  <c r="J150" i="78"/>
  <c r="G152" i="78"/>
  <c r="J156" i="78"/>
  <c r="G157" i="78"/>
  <c r="H164" i="78"/>
  <c r="I166" i="78"/>
  <c r="H172" i="78"/>
  <c r="I174" i="78"/>
  <c r="I182" i="78"/>
  <c r="I185" i="78"/>
  <c r="H188" i="78"/>
  <c r="I190" i="78"/>
  <c r="I193" i="78"/>
  <c r="H196" i="78"/>
  <c r="I198" i="78"/>
  <c r="I201" i="78"/>
  <c r="H204" i="78"/>
  <c r="I206" i="78"/>
  <c r="I209" i="78"/>
  <c r="I214" i="78"/>
  <c r="I217" i="78"/>
  <c r="H220" i="78"/>
  <c r="J222" i="78"/>
  <c r="G224" i="78"/>
  <c r="H224" i="78"/>
  <c r="I224" i="78"/>
  <c r="H227" i="78"/>
  <c r="G227" i="78"/>
  <c r="I227" i="78"/>
  <c r="J240" i="78"/>
  <c r="G246" i="78"/>
  <c r="G248" i="78"/>
  <c r="H248" i="78"/>
  <c r="I248" i="78"/>
  <c r="H267" i="78"/>
  <c r="G267" i="78"/>
  <c r="I267" i="78"/>
  <c r="I270" i="78"/>
  <c r="G270" i="78"/>
  <c r="H270" i="78"/>
  <c r="J283" i="78"/>
  <c r="J286" i="78"/>
  <c r="G288" i="78"/>
  <c r="H288" i="78"/>
  <c r="I288" i="78"/>
  <c r="H291" i="78"/>
  <c r="J304" i="78"/>
  <c r="J307" i="78"/>
  <c r="G312" i="78"/>
  <c r="H312" i="78"/>
  <c r="I312" i="78"/>
  <c r="J326" i="78"/>
  <c r="G329" i="78"/>
  <c r="H329" i="78"/>
  <c r="J329" i="78"/>
  <c r="I329" i="78"/>
  <c r="H336" i="78"/>
  <c r="G336" i="78"/>
  <c r="I336" i="78"/>
  <c r="J341" i="78"/>
  <c r="H344" i="78"/>
  <c r="I351" i="78"/>
  <c r="G351" i="78"/>
  <c r="J351" i="78"/>
  <c r="H351" i="78"/>
  <c r="H223" i="78"/>
  <c r="G223" i="78"/>
  <c r="G228" i="78"/>
  <c r="H228" i="78"/>
  <c r="I234" i="78"/>
  <c r="G234" i="78"/>
  <c r="H239" i="78"/>
  <c r="G239" i="78"/>
  <c r="G244" i="78"/>
  <c r="H244" i="78"/>
  <c r="I250" i="78"/>
  <c r="G250" i="78"/>
  <c r="H255" i="78"/>
  <c r="G255" i="78"/>
  <c r="I266" i="78"/>
  <c r="H271" i="78"/>
  <c r="G271" i="78"/>
  <c r="G276" i="78"/>
  <c r="I282" i="78"/>
  <c r="G282" i="78"/>
  <c r="H287" i="78"/>
  <c r="G287" i="78"/>
  <c r="G292" i="78"/>
  <c r="H292" i="78"/>
  <c r="I298" i="78"/>
  <c r="G298" i="78"/>
  <c r="H303" i="78"/>
  <c r="G303" i="78"/>
  <c r="G308" i="78"/>
  <c r="H308" i="78"/>
  <c r="I314" i="78"/>
  <c r="G314" i="78"/>
  <c r="H319" i="78"/>
  <c r="G319" i="78"/>
  <c r="G324" i="78"/>
  <c r="I226" i="78"/>
  <c r="G226" i="78"/>
  <c r="H231" i="78"/>
  <c r="G231" i="78"/>
  <c r="G236" i="78"/>
  <c r="H236" i="78"/>
  <c r="I242" i="78"/>
  <c r="G242" i="78"/>
  <c r="H247" i="78"/>
  <c r="G247" i="78"/>
  <c r="I258" i="78"/>
  <c r="G258" i="78"/>
  <c r="H263" i="78"/>
  <c r="G263" i="78"/>
  <c r="H279" i="78"/>
  <c r="G279" i="78"/>
  <c r="G284" i="78"/>
  <c r="I290" i="78"/>
  <c r="G290" i="78"/>
  <c r="H295" i="78"/>
  <c r="G295" i="78"/>
  <c r="I306" i="78"/>
  <c r="G306" i="78"/>
  <c r="H311" i="78"/>
  <c r="G311" i="78"/>
  <c r="H316" i="78"/>
  <c r="I322" i="78"/>
  <c r="G322" i="78"/>
  <c r="H327" i="78"/>
  <c r="G327" i="78"/>
  <c r="G357" i="78"/>
  <c r="H357" i="78"/>
  <c r="J357" i="78"/>
  <c r="H368" i="78"/>
  <c r="I379" i="78"/>
  <c r="G379" i="78"/>
  <c r="J379" i="78"/>
  <c r="H384" i="78"/>
  <c r="G384" i="78"/>
  <c r="J384" i="78"/>
  <c r="G389" i="78"/>
  <c r="H389" i="78"/>
  <c r="J389" i="78"/>
  <c r="I395" i="78"/>
  <c r="G395" i="78"/>
  <c r="J395" i="78"/>
  <c r="H400" i="78"/>
  <c r="G405" i="78"/>
  <c r="H405" i="78"/>
  <c r="J405" i="78"/>
  <c r="I411" i="78"/>
  <c r="G411" i="78"/>
  <c r="J411" i="78"/>
  <c r="H360" i="78"/>
  <c r="G360" i="78"/>
  <c r="G365" i="78"/>
  <c r="H365" i="78"/>
  <c r="I371" i="78"/>
  <c r="G371" i="78"/>
  <c r="H376" i="78"/>
  <c r="G376" i="78"/>
  <c r="G381" i="78"/>
  <c r="H381" i="78"/>
  <c r="G387" i="78"/>
  <c r="H392" i="78"/>
  <c r="G392" i="78"/>
  <c r="I403" i="78"/>
  <c r="G403" i="78"/>
  <c r="H408" i="78"/>
  <c r="G408" i="78"/>
  <c r="H332" i="78"/>
  <c r="G332" i="78"/>
  <c r="G337" i="78"/>
  <c r="H337" i="78"/>
  <c r="I343" i="78"/>
  <c r="G343" i="78"/>
  <c r="H348" i="78"/>
  <c r="G348" i="78"/>
  <c r="G353" i="78"/>
  <c r="H353" i="78"/>
  <c r="I359" i="78"/>
  <c r="G359" i="78"/>
  <c r="I360" i="78"/>
  <c r="H364" i="78"/>
  <c r="I365" i="78"/>
  <c r="G369" i="78"/>
  <c r="H369" i="78"/>
  <c r="H371" i="78"/>
  <c r="I375" i="78"/>
  <c r="G375" i="78"/>
  <c r="I376" i="78"/>
  <c r="H380" i="78"/>
  <c r="G380" i="78"/>
  <c r="I381" i="78"/>
  <c r="G385" i="78"/>
  <c r="I391" i="78"/>
  <c r="G391" i="78"/>
  <c r="I392" i="78"/>
  <c r="H396" i="78"/>
  <c r="G396" i="78"/>
  <c r="I397" i="78"/>
  <c r="H403" i="78"/>
  <c r="I407" i="78"/>
  <c r="G407" i="78"/>
  <c r="I408" i="78"/>
  <c r="H412" i="78"/>
  <c r="G412" i="78"/>
  <c r="G74" i="77"/>
  <c r="I74" i="77"/>
  <c r="J87" i="77"/>
  <c r="I87" i="77"/>
  <c r="J123" i="77"/>
  <c r="H123" i="77"/>
  <c r="H141" i="77"/>
  <c r="J141" i="77"/>
  <c r="G150" i="77"/>
  <c r="J150" i="77"/>
  <c r="J196" i="77"/>
  <c r="H196" i="77"/>
  <c r="I196" i="77"/>
  <c r="H53" i="77"/>
  <c r="I53" i="77"/>
  <c r="I60" i="77"/>
  <c r="H60" i="77"/>
  <c r="J60" i="77"/>
  <c r="H81" i="77"/>
  <c r="J81" i="77"/>
  <c r="G86" i="77"/>
  <c r="I86" i="77"/>
  <c r="J86" i="77"/>
  <c r="I104" i="77"/>
  <c r="J104" i="77"/>
  <c r="G118" i="77"/>
  <c r="J118" i="77"/>
  <c r="J183" i="77"/>
  <c r="H183" i="77"/>
  <c r="I183" i="77"/>
  <c r="H230" i="77"/>
  <c r="I230" i="77"/>
  <c r="J230" i="77"/>
  <c r="J252" i="77"/>
  <c r="H252" i="77"/>
  <c r="I252" i="77"/>
  <c r="I273" i="77"/>
  <c r="H273" i="77"/>
  <c r="J273" i="77"/>
  <c r="H294" i="77"/>
  <c r="J294" i="77"/>
  <c r="J313" i="77"/>
  <c r="H313" i="77"/>
  <c r="J347" i="77"/>
  <c r="I347" i="77"/>
  <c r="G134" i="77"/>
  <c r="I134" i="77"/>
  <c r="J134" i="77"/>
  <c r="G263" i="77"/>
  <c r="J263" i="77"/>
  <c r="I56" i="77"/>
  <c r="J56" i="77"/>
  <c r="J61" i="77"/>
  <c r="I64" i="77"/>
  <c r="H64" i="77"/>
  <c r="G70" i="77"/>
  <c r="J70" i="77"/>
  <c r="G79" i="77"/>
  <c r="H87" i="77"/>
  <c r="I108" i="77"/>
  <c r="H108" i="77"/>
  <c r="J108" i="77"/>
  <c r="G123" i="77"/>
  <c r="H129" i="77"/>
  <c r="J129" i="77"/>
  <c r="J135" i="77"/>
  <c r="I135" i="77"/>
  <c r="I150" i="77"/>
  <c r="H157" i="77"/>
  <c r="J157" i="77"/>
  <c r="I170" i="77"/>
  <c r="J200" i="77"/>
  <c r="H200" i="77"/>
  <c r="G211" i="77"/>
  <c r="J211" i="77"/>
  <c r="J224" i="77"/>
  <c r="H224" i="77"/>
  <c r="J231" i="77"/>
  <c r="J240" i="77"/>
  <c r="G240" i="77"/>
  <c r="H240" i="77"/>
  <c r="J253" i="77"/>
  <c r="J256" i="77"/>
  <c r="G256" i="77"/>
  <c r="H256" i="77"/>
  <c r="G267" i="77"/>
  <c r="J267" i="77"/>
  <c r="J274" i="77"/>
  <c r="G283" i="77"/>
  <c r="J283" i="77"/>
  <c r="J300" i="77"/>
  <c r="H300" i="77"/>
  <c r="I300" i="77"/>
  <c r="I311" i="77"/>
  <c r="J311" i="77"/>
  <c r="J327" i="77"/>
  <c r="J337" i="77"/>
  <c r="H337" i="77"/>
  <c r="I70" i="77"/>
  <c r="H77" i="77"/>
  <c r="J77" i="77"/>
  <c r="J91" i="77"/>
  <c r="H91" i="77"/>
  <c r="G114" i="77"/>
  <c r="J114" i="77"/>
  <c r="I129" i="77"/>
  <c r="H135" i="77"/>
  <c r="J175" i="77"/>
  <c r="H175" i="77"/>
  <c r="J179" i="77"/>
  <c r="G179" i="77"/>
  <c r="H179" i="77"/>
  <c r="H190" i="77"/>
  <c r="J190" i="77"/>
  <c r="J197" i="77"/>
  <c r="G200" i="77"/>
  <c r="H206" i="77"/>
  <c r="J206" i="77"/>
  <c r="I211" i="77"/>
  <c r="H218" i="77"/>
  <c r="I218" i="77"/>
  <c r="J218" i="77"/>
  <c r="G224" i="77"/>
  <c r="I237" i="77"/>
  <c r="J237" i="77"/>
  <c r="I241" i="77"/>
  <c r="J241" i="77"/>
  <c r="H246" i="77"/>
  <c r="I246" i="77"/>
  <c r="J246" i="77"/>
  <c r="I257" i="77"/>
  <c r="J257" i="77"/>
  <c r="I267" i="77"/>
  <c r="I283" i="77"/>
  <c r="H290" i="77"/>
  <c r="J290" i="77"/>
  <c r="J304" i="77"/>
  <c r="H304" i="77"/>
  <c r="H322" i="77"/>
  <c r="J322" i="77"/>
  <c r="J342" i="77"/>
  <c r="I342" i="77"/>
  <c r="J412" i="77"/>
  <c r="H412" i="77"/>
  <c r="G412" i="77"/>
  <c r="F26" i="77"/>
  <c r="H55" i="77"/>
  <c r="G59" i="77"/>
  <c r="J66" i="77"/>
  <c r="I69" i="77"/>
  <c r="J72" i="77"/>
  <c r="H76" i="77"/>
  <c r="H80" i="77"/>
  <c r="I90" i="77"/>
  <c r="J98" i="77"/>
  <c r="H103" i="77"/>
  <c r="G107" i="77"/>
  <c r="I113" i="77"/>
  <c r="H120" i="77"/>
  <c r="J125" i="77"/>
  <c r="H140" i="77"/>
  <c r="J146" i="77"/>
  <c r="J152" i="77"/>
  <c r="H156" i="77"/>
  <c r="G167" i="77"/>
  <c r="H182" i="77"/>
  <c r="I195" i="77"/>
  <c r="J202" i="77"/>
  <c r="J213" i="77"/>
  <c r="H217" i="77"/>
  <c r="J226" i="77"/>
  <c r="H236" i="77"/>
  <c r="I251" i="77"/>
  <c r="I262" i="77"/>
  <c r="J269" i="77"/>
  <c r="G272" i="77"/>
  <c r="J279" i="77"/>
  <c r="J285" i="77"/>
  <c r="H289" i="77"/>
  <c r="I299" i="77"/>
  <c r="J306" i="77"/>
  <c r="J316" i="77"/>
  <c r="H352" i="77"/>
  <c r="H356" i="77"/>
  <c r="G376" i="77"/>
  <c r="H396" i="77"/>
  <c r="H400" i="77"/>
  <c r="J401" i="77"/>
  <c r="G404" i="77"/>
  <c r="I411" i="77"/>
  <c r="J353" i="77"/>
  <c r="G356" i="77"/>
  <c r="I363" i="77"/>
  <c r="G396" i="77"/>
  <c r="G400" i="77"/>
  <c r="F25" i="77"/>
  <c r="F30" i="77"/>
  <c r="F36" i="77"/>
  <c r="F41" i="77"/>
  <c r="F46" i="77"/>
  <c r="F52" i="77"/>
  <c r="G55" i="77"/>
  <c r="H56" i="77"/>
  <c r="J57" i="77"/>
  <c r="I61" i="77"/>
  <c r="J62" i="77"/>
  <c r="I63" i="77"/>
  <c r="I66" i="77"/>
  <c r="H67" i="77"/>
  <c r="J68" i="77"/>
  <c r="G71" i="77"/>
  <c r="H72" i="77"/>
  <c r="J73" i="77"/>
  <c r="I77" i="77"/>
  <c r="J78" i="77"/>
  <c r="I79" i="77"/>
  <c r="I82" i="77"/>
  <c r="H83" i="77"/>
  <c r="J84" i="77"/>
  <c r="G87" i="77"/>
  <c r="H88" i="77"/>
  <c r="J89" i="77"/>
  <c r="I96" i="77"/>
  <c r="J96" i="77"/>
  <c r="H105" i="77"/>
  <c r="J105" i="77"/>
  <c r="I105" i="77"/>
  <c r="J111" i="77"/>
  <c r="I111" i="77"/>
  <c r="H111" i="77"/>
  <c r="H117" i="77"/>
  <c r="J117" i="77"/>
  <c r="G122" i="77"/>
  <c r="J122" i="77"/>
  <c r="J131" i="77"/>
  <c r="H131" i="77"/>
  <c r="G131" i="77"/>
  <c r="G142" i="77"/>
  <c r="J142" i="77"/>
  <c r="I142" i="77"/>
  <c r="I148" i="77"/>
  <c r="J148" i="77"/>
  <c r="H148" i="77"/>
  <c r="G154" i="77"/>
  <c r="J154" i="77"/>
  <c r="J171" i="77"/>
  <c r="H171" i="77"/>
  <c r="G171" i="77"/>
  <c r="G174" i="77"/>
  <c r="I174" i="77"/>
  <c r="I181" i="77"/>
  <c r="H194" i="77"/>
  <c r="J194" i="77"/>
  <c r="I205" i="77"/>
  <c r="J205" i="77"/>
  <c r="H214" i="77"/>
  <c r="J214" i="77"/>
  <c r="I214" i="77"/>
  <c r="G219" i="77"/>
  <c r="J219" i="77"/>
  <c r="I219" i="77"/>
  <c r="G227" i="77"/>
  <c r="I227" i="77"/>
  <c r="J227" i="77"/>
  <c r="I233" i="77"/>
  <c r="H233" i="77"/>
  <c r="J233" i="77"/>
  <c r="G239" i="77"/>
  <c r="J239" i="77"/>
  <c r="I239" i="77"/>
  <c r="J276" i="77"/>
  <c r="H276" i="77"/>
  <c r="I276" i="77"/>
  <c r="G291" i="77"/>
  <c r="I291" i="77"/>
  <c r="J291" i="77"/>
  <c r="I297" i="77"/>
  <c r="H297" i="77"/>
  <c r="J297" i="77"/>
  <c r="G303" i="77"/>
  <c r="J303" i="77"/>
  <c r="I303" i="77"/>
  <c r="J332" i="77"/>
  <c r="H332" i="77"/>
  <c r="I332" i="77"/>
  <c r="I406" i="77"/>
  <c r="J406" i="77"/>
  <c r="I67" i="77"/>
  <c r="I83" i="77"/>
  <c r="G94" i="77"/>
  <c r="J94" i="77"/>
  <c r="I94" i="77"/>
  <c r="I100" i="77"/>
  <c r="J100" i="77"/>
  <c r="H100" i="77"/>
  <c r="G106" i="77"/>
  <c r="J106" i="77"/>
  <c r="J115" i="77"/>
  <c r="H115" i="77"/>
  <c r="G115" i="77"/>
  <c r="I128" i="77"/>
  <c r="J128" i="77"/>
  <c r="H137" i="77"/>
  <c r="J137" i="77"/>
  <c r="I137" i="77"/>
  <c r="J143" i="77"/>
  <c r="I143" i="77"/>
  <c r="H143" i="77"/>
  <c r="H149" i="77"/>
  <c r="J149" i="77"/>
  <c r="I160" i="77"/>
  <c r="J160" i="77"/>
  <c r="G162" i="77"/>
  <c r="I162" i="77"/>
  <c r="H162" i="77"/>
  <c r="J165" i="77"/>
  <c r="I165" i="77"/>
  <c r="G178" i="77"/>
  <c r="I178" i="77"/>
  <c r="J192" i="77"/>
  <c r="H192" i="77"/>
  <c r="G192" i="77"/>
  <c r="G203" i="77"/>
  <c r="J203" i="77"/>
  <c r="I203" i="77"/>
  <c r="I209" i="77"/>
  <c r="J209" i="77"/>
  <c r="H209" i="77"/>
  <c r="G215" i="77"/>
  <c r="J215" i="77"/>
  <c r="J220" i="77"/>
  <c r="I220" i="77"/>
  <c r="H220" i="77"/>
  <c r="H250" i="77"/>
  <c r="J250" i="77"/>
  <c r="I261" i="77"/>
  <c r="J261" i="77"/>
  <c r="H270" i="77"/>
  <c r="I270" i="77"/>
  <c r="J270" i="77"/>
  <c r="J280" i="77"/>
  <c r="G280" i="77"/>
  <c r="H280" i="77"/>
  <c r="I280" i="77"/>
  <c r="J317" i="77"/>
  <c r="G317" i="77"/>
  <c r="H317" i="77"/>
  <c r="J336" i="77"/>
  <c r="H336" i="77"/>
  <c r="I336" i="77"/>
  <c r="G336" i="77"/>
  <c r="H385" i="77"/>
  <c r="J385" i="77"/>
  <c r="J95" i="77"/>
  <c r="I95" i="77"/>
  <c r="H95" i="77"/>
  <c r="H101" i="77"/>
  <c r="J101" i="77"/>
  <c r="I112" i="77"/>
  <c r="J112" i="77"/>
  <c r="G126" i="77"/>
  <c r="J126" i="77"/>
  <c r="I126" i="77"/>
  <c r="I132" i="77"/>
  <c r="J132" i="77"/>
  <c r="H132" i="77"/>
  <c r="G138" i="77"/>
  <c r="J138" i="77"/>
  <c r="J147" i="77"/>
  <c r="H147" i="77"/>
  <c r="G147" i="77"/>
  <c r="G158" i="77"/>
  <c r="J158" i="77"/>
  <c r="I158" i="77"/>
  <c r="J163" i="77"/>
  <c r="I163" i="77"/>
  <c r="H163" i="77"/>
  <c r="G166" i="77"/>
  <c r="I166" i="77"/>
  <c r="G186" i="77"/>
  <c r="I186" i="77"/>
  <c r="H186" i="77"/>
  <c r="H198" i="77"/>
  <c r="J198" i="77"/>
  <c r="I198" i="77"/>
  <c r="J204" i="77"/>
  <c r="I204" i="77"/>
  <c r="H204" i="77"/>
  <c r="H210" i="77"/>
  <c r="J210" i="77"/>
  <c r="J244" i="77"/>
  <c r="H244" i="77"/>
  <c r="I244" i="77"/>
  <c r="G259" i="77"/>
  <c r="I259" i="77"/>
  <c r="J259" i="77"/>
  <c r="I265" i="77"/>
  <c r="H265" i="77"/>
  <c r="J265" i="77"/>
  <c r="G271" i="77"/>
  <c r="J271" i="77"/>
  <c r="I271" i="77"/>
  <c r="J325" i="77"/>
  <c r="H325" i="77"/>
  <c r="I325" i="77"/>
  <c r="G325" i="77"/>
  <c r="J380" i="77"/>
  <c r="G380" i="77"/>
  <c r="H380" i="77"/>
  <c r="I380" i="77"/>
  <c r="F29" i="77"/>
  <c r="F34" i="77"/>
  <c r="F40" i="77"/>
  <c r="F45" i="77"/>
  <c r="F50" i="77"/>
  <c r="J53" i="77"/>
  <c r="I57" i="77"/>
  <c r="J58" i="77"/>
  <c r="I59" i="77"/>
  <c r="I62" i="77"/>
  <c r="H63" i="77"/>
  <c r="J64" i="77"/>
  <c r="G67" i="77"/>
  <c r="H68" i="77"/>
  <c r="J69" i="77"/>
  <c r="I73" i="77"/>
  <c r="J74" i="77"/>
  <c r="I75" i="77"/>
  <c r="I78" i="77"/>
  <c r="H79" i="77"/>
  <c r="J80" i="77"/>
  <c r="G83" i="77"/>
  <c r="H84" i="77"/>
  <c r="J85" i="77"/>
  <c r="I89" i="77"/>
  <c r="J90" i="77"/>
  <c r="I91" i="77"/>
  <c r="H93" i="77"/>
  <c r="I93" i="77"/>
  <c r="G95" i="77"/>
  <c r="J99" i="77"/>
  <c r="H99" i="77"/>
  <c r="G99" i="77"/>
  <c r="I101" i="77"/>
  <c r="G110" i="77"/>
  <c r="J110" i="77"/>
  <c r="I110" i="77"/>
  <c r="H112" i="77"/>
  <c r="I116" i="77"/>
  <c r="J116" i="77"/>
  <c r="H116" i="77"/>
  <c r="H121" i="77"/>
  <c r="J121" i="77"/>
  <c r="I121" i="77"/>
  <c r="J127" i="77"/>
  <c r="I127" i="77"/>
  <c r="H127" i="77"/>
  <c r="H133" i="77"/>
  <c r="J133" i="77"/>
  <c r="I138" i="77"/>
  <c r="I144" i="77"/>
  <c r="J144" i="77"/>
  <c r="I147" i="77"/>
  <c r="H153" i="77"/>
  <c r="J153" i="77"/>
  <c r="I153" i="77"/>
  <c r="J159" i="77"/>
  <c r="I159" i="77"/>
  <c r="H159" i="77"/>
  <c r="G163" i="77"/>
  <c r="H166" i="77"/>
  <c r="J187" i="77"/>
  <c r="I187" i="77"/>
  <c r="H187" i="77"/>
  <c r="I193" i="77"/>
  <c r="J193" i="77"/>
  <c r="H193" i="77"/>
  <c r="G199" i="77"/>
  <c r="J199" i="77"/>
  <c r="G204" i="77"/>
  <c r="J208" i="77"/>
  <c r="H208" i="77"/>
  <c r="G208" i="77"/>
  <c r="I210" i="77"/>
  <c r="I221" i="77"/>
  <c r="H221" i="77"/>
  <c r="I229" i="77"/>
  <c r="J229" i="77"/>
  <c r="H238" i="77"/>
  <c r="I238" i="77"/>
  <c r="J238" i="77"/>
  <c r="G244" i="77"/>
  <c r="J248" i="77"/>
  <c r="G248" i="77"/>
  <c r="H248" i="77"/>
  <c r="I248" i="77"/>
  <c r="H282" i="77"/>
  <c r="J282" i="77"/>
  <c r="I293" i="77"/>
  <c r="J293" i="77"/>
  <c r="H302" i="77"/>
  <c r="I302" i="77"/>
  <c r="J302" i="77"/>
  <c r="J309" i="77"/>
  <c r="H309" i="77"/>
  <c r="I309" i="77"/>
  <c r="G309" i="77"/>
  <c r="I358" i="77"/>
  <c r="J358" i="77"/>
  <c r="J368" i="77"/>
  <c r="H368" i="77"/>
  <c r="I368" i="77"/>
  <c r="I107" i="77"/>
  <c r="I123" i="77"/>
  <c r="I139" i="77"/>
  <c r="I155" i="77"/>
  <c r="I167" i="77"/>
  <c r="I175" i="77"/>
  <c r="I179" i="77"/>
  <c r="I200" i="77"/>
  <c r="I216" i="77"/>
  <c r="H222" i="77"/>
  <c r="I222" i="77"/>
  <c r="J222" i="77"/>
  <c r="J228" i="77"/>
  <c r="H228" i="77"/>
  <c r="I228" i="77"/>
  <c r="H234" i="77"/>
  <c r="J234" i="77"/>
  <c r="I245" i="77"/>
  <c r="J245" i="77"/>
  <c r="H254" i="77"/>
  <c r="I254" i="77"/>
  <c r="J254" i="77"/>
  <c r="J260" i="77"/>
  <c r="H260" i="77"/>
  <c r="I260" i="77"/>
  <c r="H266" i="77"/>
  <c r="J266" i="77"/>
  <c r="I277" i="77"/>
  <c r="J277" i="77"/>
  <c r="H286" i="77"/>
  <c r="I286" i="77"/>
  <c r="J286" i="77"/>
  <c r="J292" i="77"/>
  <c r="H292" i="77"/>
  <c r="I292" i="77"/>
  <c r="H298" i="77"/>
  <c r="J298" i="77"/>
  <c r="J344" i="77"/>
  <c r="H344" i="77"/>
  <c r="I344" i="77"/>
  <c r="J360" i="77"/>
  <c r="G360" i="77"/>
  <c r="H360" i="77"/>
  <c r="J372" i="77"/>
  <c r="G372" i="77"/>
  <c r="H372" i="77"/>
  <c r="J408" i="77"/>
  <c r="G408" i="77"/>
  <c r="H408" i="77"/>
  <c r="I98" i="77"/>
  <c r="G103" i="77"/>
  <c r="H104" i="77"/>
  <c r="I109" i="77"/>
  <c r="I114" i="77"/>
  <c r="G119" i="77"/>
  <c r="I125" i="77"/>
  <c r="I130" i="77"/>
  <c r="G135" i="77"/>
  <c r="H136" i="77"/>
  <c r="I141" i="77"/>
  <c r="I146" i="77"/>
  <c r="G151" i="77"/>
  <c r="H152" i="77"/>
  <c r="I157" i="77"/>
  <c r="H170" i="77"/>
  <c r="G183" i="77"/>
  <c r="I191" i="77"/>
  <c r="G196" i="77"/>
  <c r="H197" i="77"/>
  <c r="I202" i="77"/>
  <c r="I207" i="77"/>
  <c r="G212" i="77"/>
  <c r="H213" i="77"/>
  <c r="G223" i="77"/>
  <c r="J223" i="77"/>
  <c r="J232" i="77"/>
  <c r="G232" i="77"/>
  <c r="H232" i="77"/>
  <c r="G243" i="77"/>
  <c r="I243" i="77"/>
  <c r="J243" i="77"/>
  <c r="I249" i="77"/>
  <c r="H249" i="77"/>
  <c r="J249" i="77"/>
  <c r="G255" i="77"/>
  <c r="J255" i="77"/>
  <c r="J264" i="77"/>
  <c r="G264" i="77"/>
  <c r="H264" i="77"/>
  <c r="G275" i="77"/>
  <c r="I275" i="77"/>
  <c r="J275" i="77"/>
  <c r="I281" i="77"/>
  <c r="H281" i="77"/>
  <c r="J281" i="77"/>
  <c r="G287" i="77"/>
  <c r="J287" i="77"/>
  <c r="J296" i="77"/>
  <c r="G296" i="77"/>
  <c r="H296" i="77"/>
  <c r="I331" i="77"/>
  <c r="J331" i="77"/>
  <c r="J340" i="77"/>
  <c r="G340" i="77"/>
  <c r="H340" i="77"/>
  <c r="H369" i="77"/>
  <c r="J384" i="77"/>
  <c r="G384" i="77"/>
  <c r="H384" i="77"/>
  <c r="J392" i="77"/>
  <c r="H392" i="77"/>
  <c r="I392" i="77"/>
  <c r="I226" i="77"/>
  <c r="I231" i="77"/>
  <c r="G236" i="77"/>
  <c r="H237" i="77"/>
  <c r="I242" i="77"/>
  <c r="I247" i="77"/>
  <c r="G252" i="77"/>
  <c r="H253" i="77"/>
  <c r="I258" i="77"/>
  <c r="I263" i="77"/>
  <c r="G268" i="77"/>
  <c r="H269" i="77"/>
  <c r="I274" i="77"/>
  <c r="I279" i="77"/>
  <c r="G284" i="77"/>
  <c r="H285" i="77"/>
  <c r="I290" i="77"/>
  <c r="I295" i="77"/>
  <c r="G300" i="77"/>
  <c r="H301" i="77"/>
  <c r="I306" i="77"/>
  <c r="G321" i="77"/>
  <c r="G348" i="77"/>
  <c r="G352" i="77"/>
  <c r="G388" i="77"/>
  <c r="I224" i="77"/>
  <c r="I240" i="77"/>
  <c r="I256" i="77"/>
  <c r="I272" i="77"/>
  <c r="I288" i="77"/>
  <c r="I304" i="77"/>
  <c r="I313" i="77"/>
  <c r="I356" i="77"/>
  <c r="I364" i="77"/>
  <c r="I376" i="77"/>
  <c r="I404" i="77"/>
  <c r="I412" i="77"/>
  <c r="I329" i="77"/>
  <c r="G329" i="77"/>
  <c r="J329" i="77"/>
  <c r="H329" i="77"/>
  <c r="H354" i="77"/>
  <c r="G354" i="77"/>
  <c r="I354" i="77"/>
  <c r="G371" i="77"/>
  <c r="H371" i="77"/>
  <c r="J371" i="77"/>
  <c r="I371" i="77"/>
  <c r="G343" i="77"/>
  <c r="H343" i="77"/>
  <c r="I343" i="77"/>
  <c r="J354" i="77"/>
  <c r="I361" i="77"/>
  <c r="G361" i="77"/>
  <c r="J361" i="77"/>
  <c r="H361" i="77"/>
  <c r="H386" i="77"/>
  <c r="G386" i="77"/>
  <c r="I386" i="77"/>
  <c r="J386" i="77"/>
  <c r="G407" i="77"/>
  <c r="H407" i="77"/>
  <c r="I407" i="77"/>
  <c r="J407" i="77"/>
  <c r="I164" i="77"/>
  <c r="H164" i="77"/>
  <c r="J164" i="77"/>
  <c r="I168" i="77"/>
  <c r="H168" i="77"/>
  <c r="J168" i="77"/>
  <c r="G168" i="77"/>
  <c r="H173" i="77"/>
  <c r="G173" i="77"/>
  <c r="J173" i="77"/>
  <c r="I173" i="77"/>
  <c r="I180" i="77"/>
  <c r="H180" i="77"/>
  <c r="J180" i="77"/>
  <c r="I184" i="77"/>
  <c r="H184" i="77"/>
  <c r="J184" i="77"/>
  <c r="G184" i="77"/>
  <c r="H189" i="77"/>
  <c r="G189" i="77"/>
  <c r="J189" i="77"/>
  <c r="I189" i="77"/>
  <c r="I333" i="77"/>
  <c r="G333" i="77"/>
  <c r="H333" i="77"/>
  <c r="H350" i="77"/>
  <c r="G350" i="77"/>
  <c r="J350" i="77"/>
  <c r="I350" i="77"/>
  <c r="G375" i="77"/>
  <c r="H375" i="77"/>
  <c r="I375" i="77"/>
  <c r="G164" i="77"/>
  <c r="H169" i="77"/>
  <c r="G169" i="77"/>
  <c r="J169" i="77"/>
  <c r="G180" i="77"/>
  <c r="H185" i="77"/>
  <c r="G185" i="77"/>
  <c r="J185" i="77"/>
  <c r="J333" i="77"/>
  <c r="G339" i="77"/>
  <c r="H339" i="77"/>
  <c r="J339" i="77"/>
  <c r="I339" i="77"/>
  <c r="I365" i="77"/>
  <c r="G365" i="77"/>
  <c r="H365" i="77"/>
  <c r="J375" i="77"/>
  <c r="H382" i="77"/>
  <c r="G382" i="77"/>
  <c r="J382" i="77"/>
  <c r="I382" i="77"/>
  <c r="I397" i="77"/>
  <c r="G397" i="77"/>
  <c r="H397" i="77"/>
  <c r="J397" i="77"/>
  <c r="I393" i="77"/>
  <c r="G393" i="77"/>
  <c r="J393" i="77"/>
  <c r="G403" i="77"/>
  <c r="H403" i="77"/>
  <c r="J403" i="77"/>
  <c r="H161" i="77"/>
  <c r="G161" i="77"/>
  <c r="I172" i="77"/>
  <c r="H172" i="77"/>
  <c r="H177" i="77"/>
  <c r="G177" i="77"/>
  <c r="I188" i="77"/>
  <c r="H188" i="77"/>
  <c r="G308" i="77"/>
  <c r="H308" i="77"/>
  <c r="J308" i="77"/>
  <c r="I308" i="77"/>
  <c r="I314" i="77"/>
  <c r="G314" i="77"/>
  <c r="J314" i="77"/>
  <c r="H314" i="77"/>
  <c r="H319" i="77"/>
  <c r="G319" i="77"/>
  <c r="J319" i="77"/>
  <c r="I319" i="77"/>
  <c r="G324" i="77"/>
  <c r="H324" i="77"/>
  <c r="J324" i="77"/>
  <c r="I324" i="77"/>
  <c r="H393" i="77"/>
  <c r="I403" i="77"/>
  <c r="G53" i="77"/>
  <c r="H54" i="77"/>
  <c r="G56" i="77"/>
  <c r="G57" i="77"/>
  <c r="H58" i="77"/>
  <c r="G60" i="77"/>
  <c r="G61" i="77"/>
  <c r="H62" i="77"/>
  <c r="G64" i="77"/>
  <c r="G65" i="77"/>
  <c r="H66" i="77"/>
  <c r="G68" i="77"/>
  <c r="G69" i="77"/>
  <c r="H70" i="77"/>
  <c r="G72" i="77"/>
  <c r="G73" i="77"/>
  <c r="H74" i="77"/>
  <c r="G76" i="77"/>
  <c r="G77" i="77"/>
  <c r="H78" i="77"/>
  <c r="G80" i="77"/>
  <c r="G81" i="77"/>
  <c r="H82" i="77"/>
  <c r="G84" i="77"/>
  <c r="G85" i="77"/>
  <c r="H86" i="77"/>
  <c r="G88" i="77"/>
  <c r="G89" i="77"/>
  <c r="H90" i="77"/>
  <c r="G92" i="77"/>
  <c r="G93" i="77"/>
  <c r="H94" i="77"/>
  <c r="G96" i="77"/>
  <c r="G97" i="77"/>
  <c r="H98" i="77"/>
  <c r="G100" i="77"/>
  <c r="G101" i="77"/>
  <c r="H102" i="77"/>
  <c r="G104" i="77"/>
  <c r="G105" i="77"/>
  <c r="H106" i="77"/>
  <c r="G108" i="77"/>
  <c r="G109" i="77"/>
  <c r="H110" i="77"/>
  <c r="G112" i="77"/>
  <c r="G113" i="77"/>
  <c r="H114" i="77"/>
  <c r="G116" i="77"/>
  <c r="G117" i="77"/>
  <c r="H118" i="77"/>
  <c r="G120" i="77"/>
  <c r="G121" i="77"/>
  <c r="H122" i="77"/>
  <c r="G124" i="77"/>
  <c r="G125" i="77"/>
  <c r="H126" i="77"/>
  <c r="G128" i="77"/>
  <c r="G129" i="77"/>
  <c r="H130" i="77"/>
  <c r="G132" i="77"/>
  <c r="G133" i="77"/>
  <c r="H134" i="77"/>
  <c r="G136" i="77"/>
  <c r="G137" i="77"/>
  <c r="H138" i="77"/>
  <c r="G140" i="77"/>
  <c r="G141" i="77"/>
  <c r="H142" i="77"/>
  <c r="G144" i="77"/>
  <c r="G145" i="77"/>
  <c r="H146" i="77"/>
  <c r="G148" i="77"/>
  <c r="G149" i="77"/>
  <c r="H150" i="77"/>
  <c r="G152" i="77"/>
  <c r="G153" i="77"/>
  <c r="H154" i="77"/>
  <c r="G156" i="77"/>
  <c r="G157" i="77"/>
  <c r="H158" i="77"/>
  <c r="G160" i="77"/>
  <c r="I161" i="77"/>
  <c r="H165" i="77"/>
  <c r="G165" i="77"/>
  <c r="G172" i="77"/>
  <c r="I176" i="77"/>
  <c r="H176" i="77"/>
  <c r="I177" i="77"/>
  <c r="H181" i="77"/>
  <c r="G181" i="77"/>
  <c r="G188" i="77"/>
  <c r="I310" i="77"/>
  <c r="G310" i="77"/>
  <c r="J310" i="77"/>
  <c r="H315" i="77"/>
  <c r="G315" i="77"/>
  <c r="J315" i="77"/>
  <c r="G320" i="77"/>
  <c r="H320" i="77"/>
  <c r="J320" i="77"/>
  <c r="I326" i="77"/>
  <c r="G326" i="77"/>
  <c r="J326" i="77"/>
  <c r="G335" i="77"/>
  <c r="H335" i="77"/>
  <c r="J335" i="77"/>
  <c r="H346" i="77"/>
  <c r="G346" i="77"/>
  <c r="J346" i="77"/>
  <c r="I357" i="77"/>
  <c r="G357" i="77"/>
  <c r="J357" i="77"/>
  <c r="G367" i="77"/>
  <c r="H367" i="77"/>
  <c r="J367" i="77"/>
  <c r="H378" i="77"/>
  <c r="G378" i="77"/>
  <c r="J378" i="77"/>
  <c r="I389" i="77"/>
  <c r="G389" i="77"/>
  <c r="J389" i="77"/>
  <c r="G399" i="77"/>
  <c r="H399" i="77"/>
  <c r="J399" i="77"/>
  <c r="H410" i="77"/>
  <c r="G410" i="77"/>
  <c r="J410" i="77"/>
  <c r="J162" i="77"/>
  <c r="J166" i="77"/>
  <c r="J170" i="77"/>
  <c r="J174" i="77"/>
  <c r="J178" i="77"/>
  <c r="J182" i="77"/>
  <c r="J186" i="77"/>
  <c r="H307" i="77"/>
  <c r="G307" i="77"/>
  <c r="G312" i="77"/>
  <c r="H312" i="77"/>
  <c r="I318" i="77"/>
  <c r="G318" i="77"/>
  <c r="H323" i="77"/>
  <c r="G323" i="77"/>
  <c r="J328" i="77"/>
  <c r="G328" i="77"/>
  <c r="H328" i="77"/>
  <c r="H330" i="77"/>
  <c r="G330" i="77"/>
  <c r="H334" i="77"/>
  <c r="G334" i="77"/>
  <c r="J334" i="77"/>
  <c r="H338" i="77"/>
  <c r="G338" i="77"/>
  <c r="I338" i="77"/>
  <c r="I341" i="77"/>
  <c r="G341" i="77"/>
  <c r="I345" i="77"/>
  <c r="G345" i="77"/>
  <c r="J345" i="77"/>
  <c r="I349" i="77"/>
  <c r="G349" i="77"/>
  <c r="H349" i="77"/>
  <c r="G351" i="77"/>
  <c r="H351" i="77"/>
  <c r="G355" i="77"/>
  <c r="H355" i="77"/>
  <c r="J355" i="77"/>
  <c r="G359" i="77"/>
  <c r="H359" i="77"/>
  <c r="I359" i="77"/>
  <c r="H362" i="77"/>
  <c r="G362" i="77"/>
  <c r="H366" i="77"/>
  <c r="G366" i="77"/>
  <c r="J366" i="77"/>
  <c r="H370" i="77"/>
  <c r="G370" i="77"/>
  <c r="I370" i="77"/>
  <c r="I373" i="77"/>
  <c r="G373" i="77"/>
  <c r="I377" i="77"/>
  <c r="G377" i="77"/>
  <c r="J377" i="77"/>
  <c r="I381" i="77"/>
  <c r="G381" i="77"/>
  <c r="H381" i="77"/>
  <c r="G383" i="77"/>
  <c r="H383" i="77"/>
  <c r="G387" i="77"/>
  <c r="H387" i="77"/>
  <c r="J387" i="77"/>
  <c r="G391" i="77"/>
  <c r="H391" i="77"/>
  <c r="I391" i="77"/>
  <c r="H394" i="77"/>
  <c r="G394" i="77"/>
  <c r="H398" i="77"/>
  <c r="G398" i="77"/>
  <c r="J398" i="77"/>
  <c r="H402" i="77"/>
  <c r="G402" i="77"/>
  <c r="I402" i="77"/>
  <c r="I405" i="77"/>
  <c r="G405" i="77"/>
  <c r="I409" i="77"/>
  <c r="G409" i="77"/>
  <c r="J409" i="77"/>
  <c r="F27" i="77"/>
  <c r="F31" i="77"/>
  <c r="F35" i="77"/>
  <c r="F39" i="77"/>
  <c r="F43" i="77"/>
  <c r="F47" i="77"/>
  <c r="G190" i="77"/>
  <c r="H191" i="77"/>
  <c r="G193" i="77"/>
  <c r="G194" i="77"/>
  <c r="H195" i="77"/>
  <c r="G197" i="77"/>
  <c r="G198" i="77"/>
  <c r="H199" i="77"/>
  <c r="G201" i="77"/>
  <c r="G202" i="77"/>
  <c r="H203" i="77"/>
  <c r="G205" i="77"/>
  <c r="G206" i="77"/>
  <c r="H207" i="77"/>
  <c r="G209" i="77"/>
  <c r="G210" i="77"/>
  <c r="H211" i="77"/>
  <c r="G213" i="77"/>
  <c r="G214" i="77"/>
  <c r="H215" i="77"/>
  <c r="G217" i="77"/>
  <c r="G218" i="77"/>
  <c r="H219" i="77"/>
  <c r="G221" i="77"/>
  <c r="G222" i="77"/>
  <c r="H223" i="77"/>
  <c r="G225" i="77"/>
  <c r="G226" i="77"/>
  <c r="H227" i="77"/>
  <c r="G229" i="77"/>
  <c r="G230" i="77"/>
  <c r="H231" i="77"/>
  <c r="G233" i="77"/>
  <c r="G234" i="77"/>
  <c r="H235" i="77"/>
  <c r="G237" i="77"/>
  <c r="G238" i="77"/>
  <c r="H239" i="77"/>
  <c r="G241" i="77"/>
  <c r="G242" i="77"/>
  <c r="H243" i="77"/>
  <c r="G245" i="77"/>
  <c r="G246" i="77"/>
  <c r="H247" i="77"/>
  <c r="G249" i="77"/>
  <c r="G250" i="77"/>
  <c r="H251" i="77"/>
  <c r="G253" i="77"/>
  <c r="G254" i="77"/>
  <c r="H255" i="77"/>
  <c r="G257" i="77"/>
  <c r="G258" i="77"/>
  <c r="H259" i="77"/>
  <c r="G261" i="77"/>
  <c r="G262" i="77"/>
  <c r="H263" i="77"/>
  <c r="G265" i="77"/>
  <c r="G266" i="77"/>
  <c r="H267" i="77"/>
  <c r="G269" i="77"/>
  <c r="G270" i="77"/>
  <c r="H271" i="77"/>
  <c r="G273" i="77"/>
  <c r="G274" i="77"/>
  <c r="H275" i="77"/>
  <c r="G277" i="77"/>
  <c r="G278" i="77"/>
  <c r="H279" i="77"/>
  <c r="G281" i="77"/>
  <c r="G282" i="77"/>
  <c r="H283" i="77"/>
  <c r="G285" i="77"/>
  <c r="G286" i="77"/>
  <c r="H287" i="77"/>
  <c r="G289" i="77"/>
  <c r="G290" i="77"/>
  <c r="H291" i="77"/>
  <c r="G293" i="77"/>
  <c r="G294" i="77"/>
  <c r="H295" i="77"/>
  <c r="G297" i="77"/>
  <c r="G298" i="77"/>
  <c r="H299" i="77"/>
  <c r="G301" i="77"/>
  <c r="G302" i="77"/>
  <c r="H303" i="77"/>
  <c r="G305" i="77"/>
  <c r="G306" i="77"/>
  <c r="I307" i="77"/>
  <c r="H311" i="77"/>
  <c r="G311" i="77"/>
  <c r="I312" i="77"/>
  <c r="G316" i="77"/>
  <c r="H316" i="77"/>
  <c r="H318" i="77"/>
  <c r="I322" i="77"/>
  <c r="G322" i="77"/>
  <c r="I323" i="77"/>
  <c r="H327" i="77"/>
  <c r="G327" i="77"/>
  <c r="I328" i="77"/>
  <c r="I330" i="77"/>
  <c r="I334" i="77"/>
  <c r="J338" i="77"/>
  <c r="H341" i="77"/>
  <c r="H345" i="77"/>
  <c r="J349" i="77"/>
  <c r="I351" i="77"/>
  <c r="I355" i="77"/>
  <c r="J359" i="77"/>
  <c r="I362" i="77"/>
  <c r="I366" i="77"/>
  <c r="J370" i="77"/>
  <c r="H373" i="77"/>
  <c r="H377" i="77"/>
  <c r="J381" i="77"/>
  <c r="I383" i="77"/>
  <c r="I387" i="77"/>
  <c r="J391" i="77"/>
  <c r="I394" i="77"/>
  <c r="I398" i="77"/>
  <c r="J402" i="77"/>
  <c r="H405" i="77"/>
  <c r="H409" i="77"/>
  <c r="G331" i="77"/>
  <c r="H331" i="77"/>
  <c r="I337" i="77"/>
  <c r="G337" i="77"/>
  <c r="H342" i="77"/>
  <c r="G342" i="77"/>
  <c r="G347" i="77"/>
  <c r="H347" i="77"/>
  <c r="I353" i="77"/>
  <c r="G353" i="77"/>
  <c r="H358" i="77"/>
  <c r="G358" i="77"/>
  <c r="G363" i="77"/>
  <c r="H363" i="77"/>
  <c r="I369" i="77"/>
  <c r="G369" i="77"/>
  <c r="H374" i="77"/>
  <c r="G374" i="77"/>
  <c r="G379" i="77"/>
  <c r="H379" i="77"/>
  <c r="I385" i="77"/>
  <c r="G385" i="77"/>
  <c r="H390" i="77"/>
  <c r="G390" i="77"/>
  <c r="G395" i="77"/>
  <c r="H395" i="77"/>
  <c r="I401" i="77"/>
  <c r="G401" i="77"/>
  <c r="H406" i="77"/>
  <c r="G406" i="77"/>
  <c r="G411" i="77"/>
  <c r="H411" i="77"/>
  <c r="I91" i="76"/>
  <c r="H99" i="76"/>
  <c r="G171" i="76"/>
  <c r="J319" i="76"/>
  <c r="G370" i="76"/>
  <c r="F29" i="76"/>
  <c r="H95" i="76"/>
  <c r="I99" i="76"/>
  <c r="G107" i="76"/>
  <c r="G159" i="76"/>
  <c r="H207" i="76"/>
  <c r="J228" i="76"/>
  <c r="G237" i="76"/>
  <c r="I239" i="76"/>
  <c r="I241" i="76"/>
  <c r="I271" i="76"/>
  <c r="G277" i="76"/>
  <c r="G285" i="76"/>
  <c r="J308" i="76"/>
  <c r="I317" i="76"/>
  <c r="G330" i="76"/>
  <c r="J332" i="76"/>
  <c r="G354" i="76"/>
  <c r="G358" i="76"/>
  <c r="H359" i="76"/>
  <c r="H370" i="76"/>
  <c r="H378" i="76"/>
  <c r="H394" i="76"/>
  <c r="I396" i="76"/>
  <c r="I401" i="76"/>
  <c r="J375" i="76"/>
  <c r="G378" i="76"/>
  <c r="G394" i="76"/>
  <c r="F40" i="76"/>
  <c r="I95" i="76"/>
  <c r="G103" i="76"/>
  <c r="H107" i="76"/>
  <c r="G147" i="76"/>
  <c r="G179" i="76"/>
  <c r="G211" i="76"/>
  <c r="G245" i="76"/>
  <c r="G249" i="76"/>
  <c r="J266" i="76"/>
  <c r="H285" i="76"/>
  <c r="H354" i="76"/>
  <c r="H358" i="76"/>
  <c r="J369" i="76"/>
  <c r="I370" i="76"/>
  <c r="I378" i="76"/>
  <c r="I394" i="76"/>
  <c r="J123" i="76"/>
  <c r="I123" i="76"/>
  <c r="H123" i="76"/>
  <c r="G123" i="76"/>
  <c r="J151" i="76"/>
  <c r="I151" i="76"/>
  <c r="H151" i="76"/>
  <c r="G151" i="76"/>
  <c r="J187" i="76"/>
  <c r="H187" i="76"/>
  <c r="I187" i="76"/>
  <c r="G187" i="76"/>
  <c r="J223" i="76"/>
  <c r="I223" i="76"/>
  <c r="J261" i="76"/>
  <c r="I261" i="76"/>
  <c r="H261" i="76"/>
  <c r="G261" i="76"/>
  <c r="J386" i="76"/>
  <c r="G386" i="76"/>
  <c r="I386" i="76"/>
  <c r="H386" i="76"/>
  <c r="J398" i="76"/>
  <c r="H398" i="76"/>
  <c r="I398" i="76"/>
  <c r="G398" i="76"/>
  <c r="F33" i="76"/>
  <c r="F44" i="76"/>
  <c r="F54" i="76"/>
  <c r="J253" i="76"/>
  <c r="H253" i="76"/>
  <c r="I253" i="76"/>
  <c r="G253" i="76"/>
  <c r="J269" i="76"/>
  <c r="G269" i="76"/>
  <c r="I269" i="76"/>
  <c r="H269" i="76"/>
  <c r="J289" i="76"/>
  <c r="H289" i="76"/>
  <c r="I289" i="76"/>
  <c r="G289" i="76"/>
  <c r="J374" i="76"/>
  <c r="G374" i="76"/>
  <c r="I374" i="76"/>
  <c r="H374" i="76"/>
  <c r="F83" i="76"/>
  <c r="F85" i="76"/>
  <c r="F80" i="76"/>
  <c r="F74" i="76"/>
  <c r="F69" i="76"/>
  <c r="F64" i="76"/>
  <c r="F58" i="76"/>
  <c r="F53" i="76"/>
  <c r="F48" i="76"/>
  <c r="F42" i="76"/>
  <c r="F37" i="76"/>
  <c r="F32" i="76"/>
  <c r="F26" i="76"/>
  <c r="F84" i="76"/>
  <c r="F78" i="76"/>
  <c r="F73" i="76"/>
  <c r="F68" i="76"/>
  <c r="F62" i="76"/>
  <c r="F57" i="76"/>
  <c r="F52" i="76"/>
  <c r="F46" i="76"/>
  <c r="F41" i="76"/>
  <c r="F36" i="76"/>
  <c r="F30" i="76"/>
  <c r="F25" i="76"/>
  <c r="F82" i="76"/>
  <c r="F77" i="76"/>
  <c r="F72" i="76"/>
  <c r="F66" i="76"/>
  <c r="F61" i="76"/>
  <c r="F34" i="76"/>
  <c r="F45" i="76"/>
  <c r="F56" i="76"/>
  <c r="F76" i="76"/>
  <c r="J127" i="76"/>
  <c r="H127" i="76"/>
  <c r="I127" i="76"/>
  <c r="G127" i="76"/>
  <c r="J382" i="76"/>
  <c r="H382" i="76"/>
  <c r="I382" i="76"/>
  <c r="G382" i="76"/>
  <c r="J402" i="76"/>
  <c r="G402" i="76"/>
  <c r="I402" i="76"/>
  <c r="H402" i="76"/>
  <c r="F28" i="76"/>
  <c r="F38" i="76"/>
  <c r="F49" i="76"/>
  <c r="F60" i="76"/>
  <c r="F81" i="76"/>
  <c r="J111" i="76"/>
  <c r="I111" i="76"/>
  <c r="H111" i="76"/>
  <c r="G111" i="76"/>
  <c r="J115" i="76"/>
  <c r="I115" i="76"/>
  <c r="H115" i="76"/>
  <c r="G115" i="76"/>
  <c r="J215" i="76"/>
  <c r="G215" i="76"/>
  <c r="I215" i="76"/>
  <c r="H215" i="76"/>
  <c r="J244" i="76"/>
  <c r="I244" i="76"/>
  <c r="I255" i="76"/>
  <c r="J255" i="76"/>
  <c r="J273" i="76"/>
  <c r="I273" i="76"/>
  <c r="H273" i="76"/>
  <c r="G273" i="76"/>
  <c r="J293" i="76"/>
  <c r="G293" i="76"/>
  <c r="I293" i="76"/>
  <c r="H293" i="76"/>
  <c r="J337" i="76"/>
  <c r="I337" i="76"/>
  <c r="J119" i="76"/>
  <c r="I119" i="76"/>
  <c r="J139" i="76"/>
  <c r="G139" i="76"/>
  <c r="J163" i="76"/>
  <c r="H163" i="76"/>
  <c r="J167" i="76"/>
  <c r="G167" i="76"/>
  <c r="J175" i="76"/>
  <c r="I175" i="76"/>
  <c r="J203" i="76"/>
  <c r="H203" i="76"/>
  <c r="J225" i="76"/>
  <c r="H225" i="76"/>
  <c r="J229" i="76"/>
  <c r="G229" i="76"/>
  <c r="J346" i="76"/>
  <c r="I346" i="76"/>
  <c r="J350" i="76"/>
  <c r="G350" i="76"/>
  <c r="J366" i="76"/>
  <c r="H366" i="76"/>
  <c r="G87" i="76"/>
  <c r="G91" i="76"/>
  <c r="G119" i="76"/>
  <c r="J131" i="76"/>
  <c r="H131" i="76"/>
  <c r="J135" i="76"/>
  <c r="G135" i="76"/>
  <c r="H139" i="76"/>
  <c r="G163" i="76"/>
  <c r="H167" i="76"/>
  <c r="G175" i="76"/>
  <c r="J183" i="76"/>
  <c r="G183" i="76"/>
  <c r="J191" i="76"/>
  <c r="I191" i="76"/>
  <c r="G203" i="76"/>
  <c r="J219" i="76"/>
  <c r="H219" i="76"/>
  <c r="G225" i="76"/>
  <c r="H229" i="76"/>
  <c r="J276" i="76"/>
  <c r="J281" i="76"/>
  <c r="H281" i="76"/>
  <c r="H282" i="76"/>
  <c r="J297" i="76"/>
  <c r="G297" i="76"/>
  <c r="J298" i="76"/>
  <c r="J301" i="76"/>
  <c r="I301" i="76"/>
  <c r="J305" i="76"/>
  <c r="G305" i="76"/>
  <c r="I324" i="76"/>
  <c r="J334" i="76"/>
  <c r="G334" i="76"/>
  <c r="J338" i="76"/>
  <c r="I338" i="76"/>
  <c r="G346" i="76"/>
  <c r="H350" i="76"/>
  <c r="J362" i="76"/>
  <c r="I362" i="76"/>
  <c r="G366" i="76"/>
  <c r="I380" i="76"/>
  <c r="J390" i="76"/>
  <c r="H390" i="76"/>
  <c r="H391" i="76"/>
  <c r="J406" i="76"/>
  <c r="G406" i="76"/>
  <c r="J407" i="76"/>
  <c r="J410" i="76"/>
  <c r="I410" i="76"/>
  <c r="H87" i="76"/>
  <c r="H91" i="76"/>
  <c r="G95" i="76"/>
  <c r="G99" i="76"/>
  <c r="H119" i="76"/>
  <c r="G131" i="76"/>
  <c r="H135" i="76"/>
  <c r="I139" i="76"/>
  <c r="J155" i="76"/>
  <c r="I155" i="76"/>
  <c r="J159" i="76"/>
  <c r="H159" i="76"/>
  <c r="I163" i="76"/>
  <c r="I167" i="76"/>
  <c r="J171" i="76"/>
  <c r="H171" i="76"/>
  <c r="H175" i="76"/>
  <c r="H183" i="76"/>
  <c r="G191" i="76"/>
  <c r="J199" i="76"/>
  <c r="G199" i="76"/>
  <c r="I203" i="76"/>
  <c r="J207" i="76"/>
  <c r="I207" i="76"/>
  <c r="G219" i="76"/>
  <c r="I225" i="76"/>
  <c r="I229" i="76"/>
  <c r="J233" i="76"/>
  <c r="G233" i="76"/>
  <c r="J234" i="76"/>
  <c r="J237" i="76"/>
  <c r="I237" i="76"/>
  <c r="J241" i="76"/>
  <c r="G241" i="76"/>
  <c r="I260" i="76"/>
  <c r="J265" i="76"/>
  <c r="I265" i="76"/>
  <c r="J277" i="76"/>
  <c r="H277" i="76"/>
  <c r="G281" i="76"/>
  <c r="H297" i="76"/>
  <c r="G301" i="76"/>
  <c r="I303" i="76"/>
  <c r="H305" i="76"/>
  <c r="J317" i="76"/>
  <c r="H317" i="76"/>
  <c r="J325" i="76"/>
  <c r="I325" i="76"/>
  <c r="J330" i="76"/>
  <c r="H330" i="76"/>
  <c r="H334" i="76"/>
  <c r="G338" i="76"/>
  <c r="H346" i="76"/>
  <c r="J348" i="76"/>
  <c r="I350" i="76"/>
  <c r="G362" i="76"/>
  <c r="I364" i="76"/>
  <c r="I366" i="76"/>
  <c r="G390" i="76"/>
  <c r="H406" i="76"/>
  <c r="G410" i="76"/>
  <c r="I412" i="76"/>
  <c r="G170" i="76"/>
  <c r="H170" i="76"/>
  <c r="J170" i="76"/>
  <c r="I170" i="76"/>
  <c r="I176" i="76"/>
  <c r="G176" i="76"/>
  <c r="J176" i="76"/>
  <c r="H176" i="76"/>
  <c r="H181" i="76"/>
  <c r="G181" i="76"/>
  <c r="J181" i="76"/>
  <c r="I181" i="76"/>
  <c r="G186" i="76"/>
  <c r="H186" i="76"/>
  <c r="J186" i="76"/>
  <c r="I186" i="76"/>
  <c r="I192" i="76"/>
  <c r="G192" i="76"/>
  <c r="J192" i="76"/>
  <c r="H192" i="76"/>
  <c r="H197" i="76"/>
  <c r="G197" i="76"/>
  <c r="J197" i="76"/>
  <c r="I197" i="76"/>
  <c r="G202" i="76"/>
  <c r="H202" i="76"/>
  <c r="J202" i="76"/>
  <c r="I202" i="76"/>
  <c r="I208" i="76"/>
  <c r="G208" i="76"/>
  <c r="J208" i="76"/>
  <c r="H208" i="76"/>
  <c r="H213" i="76"/>
  <c r="G213" i="76"/>
  <c r="J213" i="76"/>
  <c r="I213" i="76"/>
  <c r="G218" i="76"/>
  <c r="H218" i="76"/>
  <c r="J218" i="76"/>
  <c r="I218" i="76"/>
  <c r="I238" i="76"/>
  <c r="G238" i="76"/>
  <c r="H238" i="76"/>
  <c r="J238" i="76"/>
  <c r="H259" i="76"/>
  <c r="G259" i="76"/>
  <c r="I259" i="76"/>
  <c r="J259" i="76"/>
  <c r="G280" i="76"/>
  <c r="H280" i="76"/>
  <c r="I280" i="76"/>
  <c r="J280" i="76"/>
  <c r="I302" i="76"/>
  <c r="G302" i="76"/>
  <c r="H302" i="76"/>
  <c r="J302" i="76"/>
  <c r="H323" i="76"/>
  <c r="G323" i="76"/>
  <c r="I323" i="76"/>
  <c r="J323" i="76"/>
  <c r="I339" i="76"/>
  <c r="G339" i="76"/>
  <c r="H339" i="76"/>
  <c r="J339" i="76"/>
  <c r="H356" i="76"/>
  <c r="G356" i="76"/>
  <c r="J356" i="76"/>
  <c r="I356" i="76"/>
  <c r="I363" i="76"/>
  <c r="G363" i="76"/>
  <c r="H363" i="76"/>
  <c r="J363" i="76"/>
  <c r="G381" i="76"/>
  <c r="H381" i="76"/>
  <c r="I381" i="76"/>
  <c r="J381" i="76"/>
  <c r="H404" i="76"/>
  <c r="G404" i="76"/>
  <c r="J404" i="76"/>
  <c r="I404" i="76"/>
  <c r="I88" i="76"/>
  <c r="J88" i="76"/>
  <c r="H88" i="76"/>
  <c r="H101" i="76"/>
  <c r="J101" i="76"/>
  <c r="I101" i="76"/>
  <c r="I104" i="76"/>
  <c r="J104" i="76"/>
  <c r="H104" i="76"/>
  <c r="H109" i="76"/>
  <c r="J109" i="76"/>
  <c r="I109" i="76"/>
  <c r="I112" i="76"/>
  <c r="J112" i="76"/>
  <c r="H112" i="76"/>
  <c r="H117" i="76"/>
  <c r="J117" i="76"/>
  <c r="I117" i="76"/>
  <c r="I120" i="76"/>
  <c r="J120" i="76"/>
  <c r="H120" i="76"/>
  <c r="H125" i="76"/>
  <c r="J125" i="76"/>
  <c r="I125" i="76"/>
  <c r="I128" i="76"/>
  <c r="J128" i="76"/>
  <c r="H128" i="76"/>
  <c r="G138" i="76"/>
  <c r="J138" i="76"/>
  <c r="I138" i="76"/>
  <c r="I144" i="76"/>
  <c r="J144" i="76"/>
  <c r="H144" i="76"/>
  <c r="H149" i="76"/>
  <c r="J149" i="76"/>
  <c r="I149" i="76"/>
  <c r="I152" i="76"/>
  <c r="J152" i="76"/>
  <c r="H152" i="76"/>
  <c r="H157" i="76"/>
  <c r="J157" i="76"/>
  <c r="I157" i="76"/>
  <c r="I160" i="76"/>
  <c r="J160" i="76"/>
  <c r="H160" i="76"/>
  <c r="I172" i="76"/>
  <c r="G172" i="76"/>
  <c r="J172" i="76"/>
  <c r="H172" i="76"/>
  <c r="G182" i="76"/>
  <c r="H182" i="76"/>
  <c r="J182" i="76"/>
  <c r="I182" i="76"/>
  <c r="I188" i="76"/>
  <c r="G188" i="76"/>
  <c r="J188" i="76"/>
  <c r="H188" i="76"/>
  <c r="G198" i="76"/>
  <c r="H198" i="76"/>
  <c r="J198" i="76"/>
  <c r="I198" i="76"/>
  <c r="H209" i="76"/>
  <c r="G209" i="76"/>
  <c r="J209" i="76"/>
  <c r="I209" i="76"/>
  <c r="G296" i="76"/>
  <c r="H296" i="76"/>
  <c r="I296" i="76"/>
  <c r="J296" i="76"/>
  <c r="I318" i="76"/>
  <c r="G318" i="76"/>
  <c r="H318" i="76"/>
  <c r="J318" i="76"/>
  <c r="G373" i="76"/>
  <c r="H373" i="76"/>
  <c r="I373" i="76"/>
  <c r="J373" i="76"/>
  <c r="I399" i="76"/>
  <c r="G399" i="76"/>
  <c r="J399" i="76"/>
  <c r="H399" i="76"/>
  <c r="G88" i="76"/>
  <c r="G101" i="76"/>
  <c r="G104" i="76"/>
  <c r="G109" i="76"/>
  <c r="G112" i="76"/>
  <c r="G117" i="76"/>
  <c r="G120" i="76"/>
  <c r="G125" i="76"/>
  <c r="G128" i="76"/>
  <c r="H138" i="76"/>
  <c r="G144" i="76"/>
  <c r="G149" i="76"/>
  <c r="G152" i="76"/>
  <c r="G157" i="76"/>
  <c r="G160" i="76"/>
  <c r="H173" i="76"/>
  <c r="G173" i="76"/>
  <c r="J173" i="76"/>
  <c r="I173" i="76"/>
  <c r="G178" i="76"/>
  <c r="H178" i="76"/>
  <c r="J178" i="76"/>
  <c r="I178" i="76"/>
  <c r="I184" i="76"/>
  <c r="G184" i="76"/>
  <c r="J184" i="76"/>
  <c r="H184" i="76"/>
  <c r="H189" i="76"/>
  <c r="G189" i="76"/>
  <c r="J189" i="76"/>
  <c r="I189" i="76"/>
  <c r="G194" i="76"/>
  <c r="H194" i="76"/>
  <c r="J194" i="76"/>
  <c r="I194" i="76"/>
  <c r="I200" i="76"/>
  <c r="G200" i="76"/>
  <c r="J200" i="76"/>
  <c r="H200" i="76"/>
  <c r="H205" i="76"/>
  <c r="G205" i="76"/>
  <c r="J205" i="76"/>
  <c r="I205" i="76"/>
  <c r="G210" i="76"/>
  <c r="H210" i="76"/>
  <c r="J210" i="76"/>
  <c r="I210" i="76"/>
  <c r="I216" i="76"/>
  <c r="G216" i="76"/>
  <c r="J216" i="76"/>
  <c r="H216" i="76"/>
  <c r="H221" i="76"/>
  <c r="G221" i="76"/>
  <c r="J221" i="76"/>
  <c r="I221" i="76"/>
  <c r="H227" i="76"/>
  <c r="G227" i="76"/>
  <c r="I227" i="76"/>
  <c r="J227" i="76"/>
  <c r="G248" i="76"/>
  <c r="H248" i="76"/>
  <c r="I248" i="76"/>
  <c r="J248" i="76"/>
  <c r="I270" i="76"/>
  <c r="G270" i="76"/>
  <c r="H270" i="76"/>
  <c r="J270" i="76"/>
  <c r="H291" i="76"/>
  <c r="G291" i="76"/>
  <c r="I291" i="76"/>
  <c r="J291" i="76"/>
  <c r="G312" i="76"/>
  <c r="H312" i="76"/>
  <c r="I312" i="76"/>
  <c r="J312" i="76"/>
  <c r="I335" i="76"/>
  <c r="G335" i="76"/>
  <c r="J335" i="76"/>
  <c r="H335" i="76"/>
  <c r="G341" i="76"/>
  <c r="H341" i="76"/>
  <c r="I341" i="76"/>
  <c r="J341" i="76"/>
  <c r="H360" i="76"/>
  <c r="G360" i="76"/>
  <c r="I360" i="76"/>
  <c r="J360" i="76"/>
  <c r="G377" i="76"/>
  <c r="H377" i="76"/>
  <c r="J377" i="76"/>
  <c r="I377" i="76"/>
  <c r="H384" i="76"/>
  <c r="G384" i="76"/>
  <c r="I384" i="76"/>
  <c r="J384" i="76"/>
  <c r="G393" i="76"/>
  <c r="H393" i="76"/>
  <c r="J393" i="76"/>
  <c r="I393" i="76"/>
  <c r="G90" i="76"/>
  <c r="J90" i="76"/>
  <c r="I90" i="76"/>
  <c r="H93" i="76"/>
  <c r="J93" i="76"/>
  <c r="I93" i="76"/>
  <c r="I96" i="76"/>
  <c r="J96" i="76"/>
  <c r="H96" i="76"/>
  <c r="G98" i="76"/>
  <c r="J98" i="76"/>
  <c r="I98" i="76"/>
  <c r="G106" i="76"/>
  <c r="J106" i="76"/>
  <c r="I106" i="76"/>
  <c r="G114" i="76"/>
  <c r="J114" i="76"/>
  <c r="I114" i="76"/>
  <c r="G122" i="76"/>
  <c r="J122" i="76"/>
  <c r="I122" i="76"/>
  <c r="G130" i="76"/>
  <c r="J130" i="76"/>
  <c r="I130" i="76"/>
  <c r="H133" i="76"/>
  <c r="J133" i="76"/>
  <c r="I133" i="76"/>
  <c r="I136" i="76"/>
  <c r="J136" i="76"/>
  <c r="H136" i="76"/>
  <c r="H141" i="76"/>
  <c r="J141" i="76"/>
  <c r="I141" i="76"/>
  <c r="G146" i="76"/>
  <c r="J146" i="76"/>
  <c r="I146" i="76"/>
  <c r="G154" i="76"/>
  <c r="J154" i="76"/>
  <c r="I154" i="76"/>
  <c r="G162" i="76"/>
  <c r="J162" i="76"/>
  <c r="I162" i="76"/>
  <c r="H165" i="76"/>
  <c r="J165" i="76"/>
  <c r="I165" i="76"/>
  <c r="I168" i="76"/>
  <c r="J168" i="76"/>
  <c r="H168" i="76"/>
  <c r="H177" i="76"/>
  <c r="G177" i="76"/>
  <c r="J177" i="76"/>
  <c r="I177" i="76"/>
  <c r="H193" i="76"/>
  <c r="G193" i="76"/>
  <c r="J193" i="76"/>
  <c r="I193" i="76"/>
  <c r="I204" i="76"/>
  <c r="G204" i="76"/>
  <c r="J204" i="76"/>
  <c r="H204" i="76"/>
  <c r="G214" i="76"/>
  <c r="H214" i="76"/>
  <c r="J214" i="76"/>
  <c r="I214" i="76"/>
  <c r="I220" i="76"/>
  <c r="G220" i="76"/>
  <c r="J220" i="76"/>
  <c r="H220" i="76"/>
  <c r="G232" i="76"/>
  <c r="H232" i="76"/>
  <c r="I232" i="76"/>
  <c r="J232" i="76"/>
  <c r="I254" i="76"/>
  <c r="G254" i="76"/>
  <c r="H254" i="76"/>
  <c r="J254" i="76"/>
  <c r="H275" i="76"/>
  <c r="G275" i="76"/>
  <c r="I275" i="76"/>
  <c r="J275" i="76"/>
  <c r="I331" i="76"/>
  <c r="G331" i="76"/>
  <c r="H331" i="76"/>
  <c r="J331" i="76"/>
  <c r="G349" i="76"/>
  <c r="H349" i="76"/>
  <c r="I349" i="76"/>
  <c r="J349" i="76"/>
  <c r="I367" i="76"/>
  <c r="G367" i="76"/>
  <c r="J367" i="76"/>
  <c r="H367" i="76"/>
  <c r="H89" i="76"/>
  <c r="J89" i="76"/>
  <c r="I89" i="76"/>
  <c r="I92" i="76"/>
  <c r="J92" i="76"/>
  <c r="H92" i="76"/>
  <c r="G94" i="76"/>
  <c r="J94" i="76"/>
  <c r="I94" i="76"/>
  <c r="H97" i="76"/>
  <c r="J97" i="76"/>
  <c r="I97" i="76"/>
  <c r="I100" i="76"/>
  <c r="J100" i="76"/>
  <c r="H100" i="76"/>
  <c r="G102" i="76"/>
  <c r="J102" i="76"/>
  <c r="I102" i="76"/>
  <c r="H105" i="76"/>
  <c r="J105" i="76"/>
  <c r="I105" i="76"/>
  <c r="I108" i="76"/>
  <c r="J108" i="76"/>
  <c r="H108" i="76"/>
  <c r="G110" i="76"/>
  <c r="J110" i="76"/>
  <c r="I110" i="76"/>
  <c r="H113" i="76"/>
  <c r="J113" i="76"/>
  <c r="I113" i="76"/>
  <c r="I116" i="76"/>
  <c r="J116" i="76"/>
  <c r="H116" i="76"/>
  <c r="G118" i="76"/>
  <c r="J118" i="76"/>
  <c r="I118" i="76"/>
  <c r="H121" i="76"/>
  <c r="J121" i="76"/>
  <c r="I121" i="76"/>
  <c r="I124" i="76"/>
  <c r="J124" i="76"/>
  <c r="H124" i="76"/>
  <c r="G126" i="76"/>
  <c r="J126" i="76"/>
  <c r="I126" i="76"/>
  <c r="H129" i="76"/>
  <c r="J129" i="76"/>
  <c r="I129" i="76"/>
  <c r="I132" i="76"/>
  <c r="J132" i="76"/>
  <c r="H132" i="76"/>
  <c r="G134" i="76"/>
  <c r="J134" i="76"/>
  <c r="I134" i="76"/>
  <c r="H137" i="76"/>
  <c r="J137" i="76"/>
  <c r="I137" i="76"/>
  <c r="I140" i="76"/>
  <c r="J140" i="76"/>
  <c r="H140" i="76"/>
  <c r="G142" i="76"/>
  <c r="J142" i="76"/>
  <c r="I142" i="76"/>
  <c r="H145" i="76"/>
  <c r="J145" i="76"/>
  <c r="I145" i="76"/>
  <c r="I148" i="76"/>
  <c r="J148" i="76"/>
  <c r="H148" i="76"/>
  <c r="G150" i="76"/>
  <c r="J150" i="76"/>
  <c r="I150" i="76"/>
  <c r="H153" i="76"/>
  <c r="J153" i="76"/>
  <c r="I153" i="76"/>
  <c r="I156" i="76"/>
  <c r="J156" i="76"/>
  <c r="H156" i="76"/>
  <c r="G158" i="76"/>
  <c r="J158" i="76"/>
  <c r="I158" i="76"/>
  <c r="H161" i="76"/>
  <c r="J161" i="76"/>
  <c r="I161" i="76"/>
  <c r="I164" i="76"/>
  <c r="J164" i="76"/>
  <c r="H164" i="76"/>
  <c r="G166" i="76"/>
  <c r="J166" i="76"/>
  <c r="I166" i="76"/>
  <c r="H169" i="76"/>
  <c r="G169" i="76"/>
  <c r="J169" i="76"/>
  <c r="I169" i="76"/>
  <c r="G174" i="76"/>
  <c r="H174" i="76"/>
  <c r="J174" i="76"/>
  <c r="I174" i="76"/>
  <c r="I180" i="76"/>
  <c r="G180" i="76"/>
  <c r="J180" i="76"/>
  <c r="H180" i="76"/>
  <c r="H185" i="76"/>
  <c r="G185" i="76"/>
  <c r="J185" i="76"/>
  <c r="I185" i="76"/>
  <c r="G190" i="76"/>
  <c r="H190" i="76"/>
  <c r="J190" i="76"/>
  <c r="I190" i="76"/>
  <c r="I196" i="76"/>
  <c r="G196" i="76"/>
  <c r="J196" i="76"/>
  <c r="H196" i="76"/>
  <c r="H201" i="76"/>
  <c r="G201" i="76"/>
  <c r="J201" i="76"/>
  <c r="I201" i="76"/>
  <c r="G206" i="76"/>
  <c r="H206" i="76"/>
  <c r="J206" i="76"/>
  <c r="I206" i="76"/>
  <c r="I212" i="76"/>
  <c r="G212" i="76"/>
  <c r="J212" i="76"/>
  <c r="H212" i="76"/>
  <c r="H217" i="76"/>
  <c r="G217" i="76"/>
  <c r="J217" i="76"/>
  <c r="I217" i="76"/>
  <c r="I222" i="76"/>
  <c r="G222" i="76"/>
  <c r="H222" i="76"/>
  <c r="J222" i="76"/>
  <c r="H243" i="76"/>
  <c r="G243" i="76"/>
  <c r="I243" i="76"/>
  <c r="J243" i="76"/>
  <c r="G264" i="76"/>
  <c r="H264" i="76"/>
  <c r="I264" i="76"/>
  <c r="J264" i="76"/>
  <c r="I286" i="76"/>
  <c r="G286" i="76"/>
  <c r="H286" i="76"/>
  <c r="J286" i="76"/>
  <c r="H307" i="76"/>
  <c r="G307" i="76"/>
  <c r="I307" i="76"/>
  <c r="J307" i="76"/>
  <c r="H328" i="76"/>
  <c r="G328" i="76"/>
  <c r="I328" i="76"/>
  <c r="J328" i="76"/>
  <c r="G345" i="76"/>
  <c r="H345" i="76"/>
  <c r="J345" i="76"/>
  <c r="I345" i="76"/>
  <c r="H352" i="76"/>
  <c r="G352" i="76"/>
  <c r="I352" i="76"/>
  <c r="J352" i="76"/>
  <c r="I371" i="76"/>
  <c r="G371" i="76"/>
  <c r="H371" i="76"/>
  <c r="J371" i="76"/>
  <c r="H388" i="76"/>
  <c r="G388" i="76"/>
  <c r="J388" i="76"/>
  <c r="I388" i="76"/>
  <c r="G409" i="76"/>
  <c r="H409" i="76"/>
  <c r="J409" i="76"/>
  <c r="I409" i="76"/>
  <c r="G224" i="76"/>
  <c r="H224" i="76"/>
  <c r="H226" i="76"/>
  <c r="I230" i="76"/>
  <c r="G230" i="76"/>
  <c r="I231" i="76"/>
  <c r="H235" i="76"/>
  <c r="G235" i="76"/>
  <c r="I236" i="76"/>
  <c r="G240" i="76"/>
  <c r="H240" i="76"/>
  <c r="H242" i="76"/>
  <c r="I246" i="76"/>
  <c r="G246" i="76"/>
  <c r="I247" i="76"/>
  <c r="H251" i="76"/>
  <c r="G251" i="76"/>
  <c r="I252" i="76"/>
  <c r="G256" i="76"/>
  <c r="H256" i="76"/>
  <c r="H258" i="76"/>
  <c r="I262" i="76"/>
  <c r="G262" i="76"/>
  <c r="I263" i="76"/>
  <c r="H267" i="76"/>
  <c r="G267" i="76"/>
  <c r="I268" i="76"/>
  <c r="G272" i="76"/>
  <c r="H272" i="76"/>
  <c r="H274" i="76"/>
  <c r="I278" i="76"/>
  <c r="G278" i="76"/>
  <c r="I279" i="76"/>
  <c r="H283" i="76"/>
  <c r="G283" i="76"/>
  <c r="I284" i="76"/>
  <c r="G288" i="76"/>
  <c r="H288" i="76"/>
  <c r="H290" i="76"/>
  <c r="I294" i="76"/>
  <c r="G294" i="76"/>
  <c r="I295" i="76"/>
  <c r="H299" i="76"/>
  <c r="G299" i="76"/>
  <c r="I300" i="76"/>
  <c r="G304" i="76"/>
  <c r="H304" i="76"/>
  <c r="H306" i="76"/>
  <c r="I310" i="76"/>
  <c r="G310" i="76"/>
  <c r="I311" i="76"/>
  <c r="H315" i="76"/>
  <c r="G315" i="76"/>
  <c r="I316" i="76"/>
  <c r="G320" i="76"/>
  <c r="H320" i="76"/>
  <c r="H322" i="76"/>
  <c r="I326" i="76"/>
  <c r="G326" i="76"/>
  <c r="I327" i="76"/>
  <c r="G329" i="76"/>
  <c r="H329" i="76"/>
  <c r="J329" i="76"/>
  <c r="G333" i="76"/>
  <c r="H333" i="76"/>
  <c r="I333" i="76"/>
  <c r="H336" i="76"/>
  <c r="G336" i="76"/>
  <c r="H340" i="76"/>
  <c r="G340" i="76"/>
  <c r="J340" i="76"/>
  <c r="H344" i="76"/>
  <c r="G344" i="76"/>
  <c r="I344" i="76"/>
  <c r="I347" i="76"/>
  <c r="G347" i="76"/>
  <c r="I351" i="76"/>
  <c r="G351" i="76"/>
  <c r="J351" i="76"/>
  <c r="I355" i="76"/>
  <c r="G355" i="76"/>
  <c r="H355" i="76"/>
  <c r="G357" i="76"/>
  <c r="H357" i="76"/>
  <c r="G361" i="76"/>
  <c r="H361" i="76"/>
  <c r="J361" i="76"/>
  <c r="G365" i="76"/>
  <c r="H365" i="76"/>
  <c r="I365" i="76"/>
  <c r="H368" i="76"/>
  <c r="G368" i="76"/>
  <c r="H372" i="76"/>
  <c r="G372" i="76"/>
  <c r="J372" i="76"/>
  <c r="H376" i="76"/>
  <c r="G376" i="76"/>
  <c r="I376" i="76"/>
  <c r="I379" i="76"/>
  <c r="G379" i="76"/>
  <c r="I383" i="76"/>
  <c r="G383" i="76"/>
  <c r="J383" i="76"/>
  <c r="I387" i="76"/>
  <c r="G387" i="76"/>
  <c r="H387" i="76"/>
  <c r="H223" i="76"/>
  <c r="G223" i="76"/>
  <c r="I224" i="76"/>
  <c r="G228" i="76"/>
  <c r="H228" i="76"/>
  <c r="H230" i="76"/>
  <c r="I234" i="76"/>
  <c r="G234" i="76"/>
  <c r="I235" i="76"/>
  <c r="H239" i="76"/>
  <c r="G239" i="76"/>
  <c r="I240" i="76"/>
  <c r="G244" i="76"/>
  <c r="H244" i="76"/>
  <c r="H246" i="76"/>
  <c r="I250" i="76"/>
  <c r="G250" i="76"/>
  <c r="I251" i="76"/>
  <c r="H255" i="76"/>
  <c r="G255" i="76"/>
  <c r="I256" i="76"/>
  <c r="G260" i="76"/>
  <c r="H260" i="76"/>
  <c r="H262" i="76"/>
  <c r="I266" i="76"/>
  <c r="G266" i="76"/>
  <c r="I267" i="76"/>
  <c r="H271" i="76"/>
  <c r="G271" i="76"/>
  <c r="I272" i="76"/>
  <c r="G276" i="76"/>
  <c r="H276" i="76"/>
  <c r="H278" i="76"/>
  <c r="I282" i="76"/>
  <c r="G282" i="76"/>
  <c r="I283" i="76"/>
  <c r="H287" i="76"/>
  <c r="G287" i="76"/>
  <c r="I288" i="76"/>
  <c r="G292" i="76"/>
  <c r="H292" i="76"/>
  <c r="H294" i="76"/>
  <c r="I298" i="76"/>
  <c r="G298" i="76"/>
  <c r="I299" i="76"/>
  <c r="H303" i="76"/>
  <c r="G303" i="76"/>
  <c r="I304" i="76"/>
  <c r="G308" i="76"/>
  <c r="H308" i="76"/>
  <c r="H310" i="76"/>
  <c r="I314" i="76"/>
  <c r="G314" i="76"/>
  <c r="I315" i="76"/>
  <c r="H319" i="76"/>
  <c r="G319" i="76"/>
  <c r="I320" i="76"/>
  <c r="G324" i="76"/>
  <c r="H324" i="76"/>
  <c r="H326" i="76"/>
  <c r="I329" i="76"/>
  <c r="J333" i="76"/>
  <c r="I336" i="76"/>
  <c r="I340" i="76"/>
  <c r="J344" i="76"/>
  <c r="H347" i="76"/>
  <c r="H351" i="76"/>
  <c r="J355" i="76"/>
  <c r="I357" i="76"/>
  <c r="I361" i="76"/>
  <c r="J365" i="76"/>
  <c r="I368" i="76"/>
  <c r="I372" i="76"/>
  <c r="J376" i="76"/>
  <c r="H379" i="76"/>
  <c r="H383" i="76"/>
  <c r="J387" i="76"/>
  <c r="I226" i="76"/>
  <c r="G226" i="76"/>
  <c r="H231" i="76"/>
  <c r="G231" i="76"/>
  <c r="G236" i="76"/>
  <c r="H236" i="76"/>
  <c r="I242" i="76"/>
  <c r="G242" i="76"/>
  <c r="H247" i="76"/>
  <c r="G247" i="76"/>
  <c r="G252" i="76"/>
  <c r="H252" i="76"/>
  <c r="I258" i="76"/>
  <c r="G258" i="76"/>
  <c r="H263" i="76"/>
  <c r="G263" i="76"/>
  <c r="G268" i="76"/>
  <c r="H268" i="76"/>
  <c r="I274" i="76"/>
  <c r="G274" i="76"/>
  <c r="H279" i="76"/>
  <c r="G279" i="76"/>
  <c r="G284" i="76"/>
  <c r="H284" i="76"/>
  <c r="I290" i="76"/>
  <c r="G290" i="76"/>
  <c r="H295" i="76"/>
  <c r="G295" i="76"/>
  <c r="G300" i="76"/>
  <c r="H300" i="76"/>
  <c r="I306" i="76"/>
  <c r="G306" i="76"/>
  <c r="H311" i="76"/>
  <c r="G311" i="76"/>
  <c r="G316" i="76"/>
  <c r="H316" i="76"/>
  <c r="I322" i="76"/>
  <c r="G322" i="76"/>
  <c r="H327" i="76"/>
  <c r="G327" i="76"/>
  <c r="G389" i="76"/>
  <c r="H389" i="76"/>
  <c r="J389" i="76"/>
  <c r="I395" i="76"/>
  <c r="G395" i="76"/>
  <c r="J395" i="76"/>
  <c r="H400" i="76"/>
  <c r="G400" i="76"/>
  <c r="J400" i="76"/>
  <c r="G405" i="76"/>
  <c r="H405" i="76"/>
  <c r="J405" i="76"/>
  <c r="I411" i="76"/>
  <c r="G411" i="76"/>
  <c r="J411" i="76"/>
  <c r="H392" i="76"/>
  <c r="G392" i="76"/>
  <c r="G397" i="76"/>
  <c r="H397" i="76"/>
  <c r="I403" i="76"/>
  <c r="G403" i="76"/>
  <c r="H408" i="76"/>
  <c r="G408" i="76"/>
  <c r="F27" i="76"/>
  <c r="F31" i="76"/>
  <c r="F35" i="76"/>
  <c r="F39" i="76"/>
  <c r="F43" i="76"/>
  <c r="F47" i="76"/>
  <c r="F51" i="76"/>
  <c r="F55" i="76"/>
  <c r="F59" i="76"/>
  <c r="F63" i="76"/>
  <c r="F67" i="76"/>
  <c r="F71" i="76"/>
  <c r="F75" i="76"/>
  <c r="F79" i="76"/>
  <c r="H332" i="76"/>
  <c r="G332" i="76"/>
  <c r="G337" i="76"/>
  <c r="H337" i="76"/>
  <c r="I343" i="76"/>
  <c r="G343" i="76"/>
  <c r="H348" i="76"/>
  <c r="G348" i="76"/>
  <c r="G353" i="76"/>
  <c r="H353" i="76"/>
  <c r="I359" i="76"/>
  <c r="G359" i="76"/>
  <c r="H364" i="76"/>
  <c r="G364" i="76"/>
  <c r="G369" i="76"/>
  <c r="H369" i="76"/>
  <c r="I375" i="76"/>
  <c r="G375" i="76"/>
  <c r="H380" i="76"/>
  <c r="G380" i="76"/>
  <c r="G385" i="76"/>
  <c r="H385" i="76"/>
  <c r="I391" i="76"/>
  <c r="G391" i="76"/>
  <c r="I392" i="76"/>
  <c r="H396" i="76"/>
  <c r="G396" i="76"/>
  <c r="I397" i="76"/>
  <c r="G401" i="76"/>
  <c r="H401" i="76"/>
  <c r="H403" i="76"/>
  <c r="I407" i="76"/>
  <c r="G407" i="76"/>
  <c r="I408" i="76"/>
  <c r="H412" i="76"/>
  <c r="G412" i="76"/>
  <c r="G48" i="55"/>
  <c r="I48" i="55"/>
  <c r="I54" i="55"/>
  <c r="J145" i="55"/>
  <c r="H145" i="55"/>
  <c r="G145" i="55"/>
  <c r="G172" i="55"/>
  <c r="I172" i="55"/>
  <c r="I214" i="55"/>
  <c r="J214" i="55"/>
  <c r="G53" i="55"/>
  <c r="J65" i="55"/>
  <c r="H65" i="55"/>
  <c r="J82" i="55"/>
  <c r="J99" i="55"/>
  <c r="J129" i="55"/>
  <c r="G129" i="55"/>
  <c r="J156" i="55"/>
  <c r="I156" i="55"/>
  <c r="G168" i="55"/>
  <c r="J173" i="55"/>
  <c r="I173" i="55"/>
  <c r="H173" i="55"/>
  <c r="H207" i="55"/>
  <c r="J207" i="55"/>
  <c r="I207" i="55"/>
  <c r="H214" i="55"/>
  <c r="I317" i="55"/>
  <c r="G317" i="55"/>
  <c r="F35" i="55"/>
  <c r="H49" i="55"/>
  <c r="J56" i="55"/>
  <c r="I61" i="55"/>
  <c r="G65" i="55"/>
  <c r="H97" i="55"/>
  <c r="I99" i="55"/>
  <c r="I110" i="55"/>
  <c r="J110" i="55"/>
  <c r="H119" i="55"/>
  <c r="J119" i="55"/>
  <c r="I119" i="55"/>
  <c r="G124" i="55"/>
  <c r="J124" i="55"/>
  <c r="I124" i="55"/>
  <c r="I129" i="55"/>
  <c r="H135" i="55"/>
  <c r="J135" i="55"/>
  <c r="I135" i="55"/>
  <c r="G140" i="55"/>
  <c r="J140" i="55"/>
  <c r="I140" i="55"/>
  <c r="I146" i="55"/>
  <c r="J146" i="55"/>
  <c r="H146" i="55"/>
  <c r="G152" i="55"/>
  <c r="J152" i="55"/>
  <c r="J157" i="55"/>
  <c r="J163" i="55"/>
  <c r="G173" i="55"/>
  <c r="H177" i="55"/>
  <c r="I179" i="55"/>
  <c r="H190" i="55"/>
  <c r="H217" i="55"/>
  <c r="H219" i="55"/>
  <c r="J219" i="55"/>
  <c r="I219" i="55"/>
  <c r="H231" i="55"/>
  <c r="G247" i="55"/>
  <c r="H247" i="55"/>
  <c r="H340" i="55"/>
  <c r="G60" i="55"/>
  <c r="I66" i="55"/>
  <c r="J66" i="55"/>
  <c r="J69" i="55"/>
  <c r="I78" i="55"/>
  <c r="H87" i="55"/>
  <c r="J87" i="55"/>
  <c r="I87" i="55"/>
  <c r="J92" i="55"/>
  <c r="I98" i="55"/>
  <c r="J98" i="55"/>
  <c r="H98" i="55"/>
  <c r="G104" i="55"/>
  <c r="J104" i="55"/>
  <c r="I109" i="55"/>
  <c r="H115" i="55"/>
  <c r="H131" i="55"/>
  <c r="J131" i="55"/>
  <c r="I178" i="55"/>
  <c r="J178" i="55"/>
  <c r="H178" i="55"/>
  <c r="G184" i="55"/>
  <c r="J184" i="55"/>
  <c r="J189" i="55"/>
  <c r="I189" i="55"/>
  <c r="H189" i="55"/>
  <c r="H211" i="55"/>
  <c r="I211" i="55"/>
  <c r="J211" i="55"/>
  <c r="I279" i="55"/>
  <c r="J291" i="55"/>
  <c r="H291" i="55"/>
  <c r="G291" i="55"/>
  <c r="I291" i="55"/>
  <c r="J303" i="55"/>
  <c r="H303" i="55"/>
  <c r="G303" i="55"/>
  <c r="I303" i="55"/>
  <c r="J396" i="55"/>
  <c r="H396" i="55"/>
  <c r="G396" i="55"/>
  <c r="I396" i="55"/>
  <c r="F34" i="55"/>
  <c r="I50" i="55"/>
  <c r="J50" i="55"/>
  <c r="J54" i="55"/>
  <c r="H75" i="55"/>
  <c r="I75" i="55"/>
  <c r="I77" i="55"/>
  <c r="J88" i="55"/>
  <c r="I104" i="55"/>
  <c r="J113" i="55"/>
  <c r="G113" i="55"/>
  <c r="I131" i="55"/>
  <c r="I142" i="55"/>
  <c r="J142" i="55"/>
  <c r="I145" i="55"/>
  <c r="H151" i="55"/>
  <c r="I151" i="55"/>
  <c r="J162" i="55"/>
  <c r="I184" i="55"/>
  <c r="G192" i="55"/>
  <c r="J192" i="55"/>
  <c r="J201" i="55"/>
  <c r="H201" i="55"/>
  <c r="I201" i="55"/>
  <c r="G201" i="55"/>
  <c r="J205" i="55"/>
  <c r="G205" i="55"/>
  <c r="I205" i="55"/>
  <c r="I253" i="55"/>
  <c r="G253" i="55"/>
  <c r="I301" i="55"/>
  <c r="G301" i="55"/>
  <c r="H332" i="55"/>
  <c r="H408" i="55"/>
  <c r="J45" i="55"/>
  <c r="I45" i="55"/>
  <c r="H46" i="55"/>
  <c r="G49" i="55"/>
  <c r="G64" i="55"/>
  <c r="I64" i="55"/>
  <c r="I65" i="55"/>
  <c r="I67" i="55"/>
  <c r="I70" i="55"/>
  <c r="H70" i="55"/>
  <c r="G76" i="55"/>
  <c r="J81" i="55"/>
  <c r="H81" i="55"/>
  <c r="G81" i="55"/>
  <c r="I83" i="55"/>
  <c r="I94" i="55"/>
  <c r="J94" i="55"/>
  <c r="H103" i="55"/>
  <c r="G108" i="55"/>
  <c r="J108" i="55"/>
  <c r="I108" i="55"/>
  <c r="H110" i="55"/>
  <c r="I114" i="55"/>
  <c r="J114" i="55"/>
  <c r="H114" i="55"/>
  <c r="G120" i="55"/>
  <c r="J120" i="55"/>
  <c r="H125" i="55"/>
  <c r="I130" i="55"/>
  <c r="J130" i="55"/>
  <c r="H130" i="55"/>
  <c r="H141" i="55"/>
  <c r="H147" i="55"/>
  <c r="J147" i="55"/>
  <c r="I152" i="55"/>
  <c r="J161" i="55"/>
  <c r="H161" i="55"/>
  <c r="G161" i="55"/>
  <c r="J174" i="55"/>
  <c r="H183" i="55"/>
  <c r="J183" i="55"/>
  <c r="I183" i="55"/>
  <c r="G196" i="55"/>
  <c r="I198" i="55"/>
  <c r="J213" i="55"/>
  <c r="I213" i="55"/>
  <c r="H213" i="55"/>
  <c r="G213" i="55"/>
  <c r="G217" i="55"/>
  <c r="I251" i="55"/>
  <c r="J315" i="55"/>
  <c r="I315" i="55"/>
  <c r="H315" i="55"/>
  <c r="G315" i="55"/>
  <c r="J344" i="55"/>
  <c r="H344" i="55"/>
  <c r="G344" i="55"/>
  <c r="I344" i="55"/>
  <c r="I403" i="55"/>
  <c r="H403" i="55"/>
  <c r="H195" i="55"/>
  <c r="I195" i="55"/>
  <c r="J197" i="55"/>
  <c r="I197" i="55"/>
  <c r="I216" i="55"/>
  <c r="J275" i="55"/>
  <c r="I275" i="55"/>
  <c r="H275" i="55"/>
  <c r="H295" i="55"/>
  <c r="I355" i="55"/>
  <c r="I80" i="55"/>
  <c r="H86" i="55"/>
  <c r="I96" i="55"/>
  <c r="G101" i="55"/>
  <c r="I107" i="55"/>
  <c r="H118" i="55"/>
  <c r="I123" i="55"/>
  <c r="I128" i="55"/>
  <c r="I139" i="55"/>
  <c r="I144" i="55"/>
  <c r="G149" i="55"/>
  <c r="H150" i="55"/>
  <c r="I160" i="55"/>
  <c r="G165" i="55"/>
  <c r="I176" i="55"/>
  <c r="G181" i="55"/>
  <c r="H182" i="55"/>
  <c r="I187" i="55"/>
  <c r="J195" i="55"/>
  <c r="G197" i="55"/>
  <c r="G200" i="55"/>
  <c r="I200" i="55"/>
  <c r="I203" i="55"/>
  <c r="I206" i="55"/>
  <c r="H206" i="55"/>
  <c r="J212" i="55"/>
  <c r="J216" i="55"/>
  <c r="I218" i="55"/>
  <c r="J218" i="55"/>
  <c r="J221" i="55"/>
  <c r="G221" i="55"/>
  <c r="J223" i="55"/>
  <c r="I223" i="55"/>
  <c r="J239" i="55"/>
  <c r="H239" i="55"/>
  <c r="J243" i="55"/>
  <c r="G243" i="55"/>
  <c r="G275" i="55"/>
  <c r="G280" i="55"/>
  <c r="J287" i="55"/>
  <c r="I287" i="55"/>
  <c r="H287" i="55"/>
  <c r="J356" i="55"/>
  <c r="I356" i="55"/>
  <c r="H356" i="55"/>
  <c r="J368" i="55"/>
  <c r="H368" i="55"/>
  <c r="G368" i="55"/>
  <c r="G409" i="55"/>
  <c r="G255" i="55"/>
  <c r="G307" i="55"/>
  <c r="G311" i="55"/>
  <c r="G319" i="55"/>
  <c r="G336" i="55"/>
  <c r="G352" i="55"/>
  <c r="G360" i="55"/>
  <c r="G372" i="55"/>
  <c r="G384" i="55"/>
  <c r="H225" i="55"/>
  <c r="J225" i="55"/>
  <c r="G230" i="55"/>
  <c r="J230" i="55"/>
  <c r="I236" i="55"/>
  <c r="J236" i="55"/>
  <c r="G246" i="55"/>
  <c r="J246" i="55"/>
  <c r="I252" i="55"/>
  <c r="J252" i="55"/>
  <c r="H257" i="55"/>
  <c r="J257" i="55"/>
  <c r="G262" i="55"/>
  <c r="J262" i="55"/>
  <c r="I268" i="55"/>
  <c r="J268" i="55"/>
  <c r="H273" i="55"/>
  <c r="J273" i="55"/>
  <c r="G278" i="55"/>
  <c r="J278" i="55"/>
  <c r="I284" i="55"/>
  <c r="G294" i="55"/>
  <c r="J294" i="55"/>
  <c r="I300" i="55"/>
  <c r="H321" i="55"/>
  <c r="J321" i="55"/>
  <c r="G326" i="55"/>
  <c r="J326" i="55"/>
  <c r="H370" i="55"/>
  <c r="J370" i="55"/>
  <c r="I370" i="55"/>
  <c r="J375" i="55"/>
  <c r="I381" i="55"/>
  <c r="J381" i="55"/>
  <c r="H381" i="55"/>
  <c r="H386" i="55"/>
  <c r="J386" i="55"/>
  <c r="I386" i="55"/>
  <c r="G391" i="55"/>
  <c r="J391" i="55"/>
  <c r="I391" i="55"/>
  <c r="J397" i="55"/>
  <c r="J402" i="55"/>
  <c r="G407" i="55"/>
  <c r="I407" i="55"/>
  <c r="F41" i="55"/>
  <c r="F37" i="55"/>
  <c r="F33" i="55"/>
  <c r="F29" i="55"/>
  <c r="F25" i="55"/>
  <c r="F30" i="55"/>
  <c r="F31" i="55"/>
  <c r="F32" i="55"/>
  <c r="I224" i="55"/>
  <c r="J224" i="55"/>
  <c r="G225" i="55"/>
  <c r="H229" i="55"/>
  <c r="J229" i="55"/>
  <c r="H230" i="55"/>
  <c r="G234" i="55"/>
  <c r="J234" i="55"/>
  <c r="G236" i="55"/>
  <c r="G241" i="55"/>
  <c r="H246" i="55"/>
  <c r="G250" i="55"/>
  <c r="J250" i="55"/>
  <c r="G252" i="55"/>
  <c r="I256" i="55"/>
  <c r="J256" i="55"/>
  <c r="G257" i="55"/>
  <c r="H261" i="55"/>
  <c r="H262" i="55"/>
  <c r="G266" i="55"/>
  <c r="J266" i="55"/>
  <c r="G268" i="55"/>
  <c r="I272" i="55"/>
  <c r="J272" i="55"/>
  <c r="G273" i="55"/>
  <c r="J277" i="55"/>
  <c r="H278" i="55"/>
  <c r="G282" i="55"/>
  <c r="J282" i="55"/>
  <c r="G284" i="55"/>
  <c r="I288" i="55"/>
  <c r="J288" i="55"/>
  <c r="H293" i="55"/>
  <c r="J293" i="55"/>
  <c r="H294" i="55"/>
  <c r="J298" i="55"/>
  <c r="G300" i="55"/>
  <c r="H309" i="55"/>
  <c r="J309" i="55"/>
  <c r="G314" i="55"/>
  <c r="J314" i="55"/>
  <c r="J320" i="55"/>
  <c r="G321" i="55"/>
  <c r="H325" i="55"/>
  <c r="H326" i="55"/>
  <c r="H330" i="55"/>
  <c r="J330" i="55"/>
  <c r="G330" i="55"/>
  <c r="I333" i="55"/>
  <c r="J333" i="55"/>
  <c r="I337" i="55"/>
  <c r="J337" i="55"/>
  <c r="H337" i="55"/>
  <c r="I341" i="55"/>
  <c r="J341" i="55"/>
  <c r="G341" i="55"/>
  <c r="G343" i="55"/>
  <c r="J343" i="55"/>
  <c r="G347" i="55"/>
  <c r="I347" i="55"/>
  <c r="G351" i="55"/>
  <c r="J351" i="55"/>
  <c r="H358" i="55"/>
  <c r="I358" i="55"/>
  <c r="H362" i="55"/>
  <c r="J362" i="55"/>
  <c r="G362" i="55"/>
  <c r="G370" i="55"/>
  <c r="H375" i="55"/>
  <c r="G381" i="55"/>
  <c r="G386" i="55"/>
  <c r="H391" i="55"/>
  <c r="G397" i="55"/>
  <c r="H407" i="55"/>
  <c r="F26" i="55"/>
  <c r="F27" i="55"/>
  <c r="F28" i="55"/>
  <c r="F42" i="55"/>
  <c r="F43" i="55"/>
  <c r="F44" i="55"/>
  <c r="G222" i="55"/>
  <c r="J222" i="55"/>
  <c r="G224" i="55"/>
  <c r="I225" i="55"/>
  <c r="I228" i="55"/>
  <c r="J228" i="55"/>
  <c r="G229" i="55"/>
  <c r="I230" i="55"/>
  <c r="H233" i="55"/>
  <c r="J233" i="55"/>
  <c r="H234" i="55"/>
  <c r="H236" i="55"/>
  <c r="G238" i="55"/>
  <c r="J238" i="55"/>
  <c r="G240" i="55"/>
  <c r="I244" i="55"/>
  <c r="J244" i="55"/>
  <c r="I246" i="55"/>
  <c r="H249" i="55"/>
  <c r="J249" i="55"/>
  <c r="H250" i="55"/>
  <c r="H252" i="55"/>
  <c r="G254" i="55"/>
  <c r="J254" i="55"/>
  <c r="G256" i="55"/>
  <c r="I257" i="55"/>
  <c r="I260" i="55"/>
  <c r="J260" i="55"/>
  <c r="G261" i="55"/>
  <c r="I262" i="55"/>
  <c r="J265" i="55"/>
  <c r="H266" i="55"/>
  <c r="H268" i="55"/>
  <c r="G270" i="55"/>
  <c r="J270" i="55"/>
  <c r="G272" i="55"/>
  <c r="I273" i="55"/>
  <c r="I276" i="55"/>
  <c r="J276" i="55"/>
  <c r="G277" i="55"/>
  <c r="I278" i="55"/>
  <c r="J281" i="55"/>
  <c r="H282" i="55"/>
  <c r="J286" i="55"/>
  <c r="G288" i="55"/>
  <c r="I292" i="55"/>
  <c r="G293" i="55"/>
  <c r="I294" i="55"/>
  <c r="H297" i="55"/>
  <c r="J297" i="55"/>
  <c r="H298" i="55"/>
  <c r="H300" i="55"/>
  <c r="G304" i="55"/>
  <c r="I308" i="55"/>
  <c r="J308" i="55"/>
  <c r="G309" i="55"/>
  <c r="H314" i="55"/>
  <c r="J318" i="55"/>
  <c r="I321" i="55"/>
  <c r="I324" i="55"/>
  <c r="J324" i="55"/>
  <c r="I326" i="55"/>
  <c r="I330" i="55"/>
  <c r="G333" i="55"/>
  <c r="G337" i="55"/>
  <c r="H341" i="55"/>
  <c r="H343" i="55"/>
  <c r="H347" i="55"/>
  <c r="I351" i="55"/>
  <c r="G358" i="55"/>
  <c r="I362" i="55"/>
  <c r="F38" i="55"/>
  <c r="F39" i="55"/>
  <c r="F40" i="55"/>
  <c r="G46" i="55"/>
  <c r="G47" i="55"/>
  <c r="H48" i="55"/>
  <c r="G50" i="55"/>
  <c r="G51" i="55"/>
  <c r="H52" i="55"/>
  <c r="G54" i="55"/>
  <c r="H56" i="55"/>
  <c r="G58" i="55"/>
  <c r="G59" i="55"/>
  <c r="H60" i="55"/>
  <c r="G62" i="55"/>
  <c r="G63" i="55"/>
  <c r="H64" i="55"/>
  <c r="G66" i="55"/>
  <c r="G67" i="55"/>
  <c r="H68" i="55"/>
  <c r="G70" i="55"/>
  <c r="H72" i="55"/>
  <c r="G74" i="55"/>
  <c r="G75" i="55"/>
  <c r="H76" i="55"/>
  <c r="G78" i="55"/>
  <c r="G79" i="55"/>
  <c r="H80" i="55"/>
  <c r="G83" i="55"/>
  <c r="H84" i="55"/>
  <c r="G86" i="55"/>
  <c r="G87" i="55"/>
  <c r="H88" i="55"/>
  <c r="G90" i="55"/>
  <c r="G91" i="55"/>
  <c r="H92" i="55"/>
  <c r="G94" i="55"/>
  <c r="G95" i="55"/>
  <c r="H96" i="55"/>
  <c r="G98" i="55"/>
  <c r="G99" i="55"/>
  <c r="G102" i="55"/>
  <c r="G103" i="55"/>
  <c r="H104" i="55"/>
  <c r="G106" i="55"/>
  <c r="G107" i="55"/>
  <c r="H108" i="55"/>
  <c r="G110" i="55"/>
  <c r="G111" i="55"/>
  <c r="H112" i="55"/>
  <c r="G114" i="55"/>
  <c r="G115" i="55"/>
  <c r="H116" i="55"/>
  <c r="G118" i="55"/>
  <c r="G119" i="55"/>
  <c r="H120" i="55"/>
  <c r="G122" i="55"/>
  <c r="G123" i="55"/>
  <c r="H124" i="55"/>
  <c r="G126" i="55"/>
  <c r="G127" i="55"/>
  <c r="H128" i="55"/>
  <c r="G130" i="55"/>
  <c r="G131" i="55"/>
  <c r="G134" i="55"/>
  <c r="G135" i="55"/>
  <c r="G138" i="55"/>
  <c r="G139" i="55"/>
  <c r="H140" i="55"/>
  <c r="G142" i="55"/>
  <c r="H144" i="55"/>
  <c r="G146" i="55"/>
  <c r="G147" i="55"/>
  <c r="H148" i="55"/>
  <c r="G150" i="55"/>
  <c r="G151" i="55"/>
  <c r="H152" i="55"/>
  <c r="G154" i="55"/>
  <c r="H156" i="55"/>
  <c r="G159" i="55"/>
  <c r="H160" i="55"/>
  <c r="G163" i="55"/>
  <c r="H164" i="55"/>
  <c r="G166" i="55"/>
  <c r="H168" i="55"/>
  <c r="G170" i="55"/>
  <c r="H172" i="55"/>
  <c r="G175" i="55"/>
  <c r="H176" i="55"/>
  <c r="G178" i="55"/>
  <c r="H180" i="55"/>
  <c r="G182" i="55"/>
  <c r="G183" i="55"/>
  <c r="H184" i="55"/>
  <c r="G186" i="55"/>
  <c r="G187" i="55"/>
  <c r="G190" i="55"/>
  <c r="H192" i="55"/>
  <c r="G195" i="55"/>
  <c r="H196" i="55"/>
  <c r="G199" i="55"/>
  <c r="H200" i="55"/>
  <c r="G203" i="55"/>
  <c r="H204" i="55"/>
  <c r="G206" i="55"/>
  <c r="G207" i="55"/>
  <c r="H208" i="55"/>
  <c r="G210" i="55"/>
  <c r="G211" i="55"/>
  <c r="G214" i="55"/>
  <c r="G215" i="55"/>
  <c r="G218" i="55"/>
  <c r="G219" i="55"/>
  <c r="H220" i="55"/>
  <c r="H222" i="55"/>
  <c r="H224" i="55"/>
  <c r="G226" i="55"/>
  <c r="J226" i="55"/>
  <c r="G228" i="55"/>
  <c r="I229" i="55"/>
  <c r="I232" i="55"/>
  <c r="J232" i="55"/>
  <c r="G233" i="55"/>
  <c r="I234" i="55"/>
  <c r="H237" i="55"/>
  <c r="J237" i="55"/>
  <c r="H238" i="55"/>
  <c r="G242" i="55"/>
  <c r="G244" i="55"/>
  <c r="I245" i="55"/>
  <c r="I248" i="55"/>
  <c r="J248" i="55"/>
  <c r="G249" i="55"/>
  <c r="I250" i="55"/>
  <c r="H253" i="55"/>
  <c r="J253" i="55"/>
  <c r="H254" i="55"/>
  <c r="H256" i="55"/>
  <c r="G260" i="55"/>
  <c r="I264" i="55"/>
  <c r="J264" i="55"/>
  <c r="G265" i="55"/>
  <c r="I266" i="55"/>
  <c r="H269" i="55"/>
  <c r="J269" i="55"/>
  <c r="H270" i="55"/>
  <c r="H272" i="55"/>
  <c r="J274" i="55"/>
  <c r="G276" i="55"/>
  <c r="I277" i="55"/>
  <c r="I280" i="55"/>
  <c r="J280" i="55"/>
  <c r="G281" i="55"/>
  <c r="I282" i="55"/>
  <c r="H285" i="55"/>
  <c r="J285" i="55"/>
  <c r="H286" i="55"/>
  <c r="H288" i="55"/>
  <c r="G290" i="55"/>
  <c r="J290" i="55"/>
  <c r="I293" i="55"/>
  <c r="J296" i="55"/>
  <c r="G297" i="55"/>
  <c r="I298" i="55"/>
  <c r="H301" i="55"/>
  <c r="J301" i="55"/>
  <c r="G306" i="55"/>
  <c r="J306" i="55"/>
  <c r="G308" i="55"/>
  <c r="I309" i="55"/>
  <c r="I312" i="55"/>
  <c r="J312" i="55"/>
  <c r="G313" i="55"/>
  <c r="I314" i="55"/>
  <c r="H317" i="55"/>
  <c r="J317" i="55"/>
  <c r="H318" i="55"/>
  <c r="G322" i="55"/>
  <c r="G324" i="55"/>
  <c r="J328" i="55"/>
  <c r="I328" i="55"/>
  <c r="H333" i="55"/>
  <c r="G335" i="55"/>
  <c r="J335" i="55"/>
  <c r="H335" i="55"/>
  <c r="J338" i="55"/>
  <c r="H342" i="55"/>
  <c r="J342" i="55"/>
  <c r="I342" i="55"/>
  <c r="I343" i="55"/>
  <c r="H346" i="55"/>
  <c r="J346" i="55"/>
  <c r="G346" i="55"/>
  <c r="I349" i="55"/>
  <c r="I353" i="55"/>
  <c r="J353" i="55"/>
  <c r="H353" i="55"/>
  <c r="I357" i="55"/>
  <c r="J357" i="55"/>
  <c r="G357" i="55"/>
  <c r="G359" i="55"/>
  <c r="J359" i="55"/>
  <c r="J363" i="55"/>
  <c r="J369" i="55"/>
  <c r="G369" i="55"/>
  <c r="H374" i="55"/>
  <c r="J374" i="55"/>
  <c r="I374" i="55"/>
  <c r="G374" i="55"/>
  <c r="J379" i="55"/>
  <c r="H379" i="55"/>
  <c r="J395" i="55"/>
  <c r="H395" i="55"/>
  <c r="I401" i="55"/>
  <c r="J401" i="55"/>
  <c r="H401" i="55"/>
  <c r="G401" i="55"/>
  <c r="H406" i="55"/>
  <c r="J406" i="55"/>
  <c r="I406" i="55"/>
  <c r="G406" i="55"/>
  <c r="G411" i="55"/>
  <c r="J411" i="55"/>
  <c r="I411" i="55"/>
  <c r="H411" i="55"/>
  <c r="G367" i="55"/>
  <c r="J367" i="55"/>
  <c r="H378" i="55"/>
  <c r="J378" i="55"/>
  <c r="I389" i="55"/>
  <c r="J389" i="55"/>
  <c r="G399" i="55"/>
  <c r="J399" i="55"/>
  <c r="I405" i="55"/>
  <c r="J405" i="55"/>
  <c r="J410" i="55"/>
  <c r="I329" i="55"/>
  <c r="J329" i="55"/>
  <c r="G339" i="55"/>
  <c r="J339" i="55"/>
  <c r="H350" i="55"/>
  <c r="J350" i="55"/>
  <c r="G355" i="55"/>
  <c r="J355" i="55"/>
  <c r="I361" i="55"/>
  <c r="J361" i="55"/>
  <c r="J366" i="55"/>
  <c r="H367" i="55"/>
  <c r="G371" i="55"/>
  <c r="I377" i="55"/>
  <c r="J377" i="55"/>
  <c r="G378" i="55"/>
  <c r="H382" i="55"/>
  <c r="J387" i="55"/>
  <c r="G389" i="55"/>
  <c r="I393" i="55"/>
  <c r="J393" i="55"/>
  <c r="H398" i="55"/>
  <c r="J398" i="55"/>
  <c r="H399" i="55"/>
  <c r="G403" i="55"/>
  <c r="J403" i="55"/>
  <c r="G405" i="55"/>
  <c r="I409" i="55"/>
  <c r="J409" i="55"/>
  <c r="G206" i="54"/>
  <c r="H206" i="54"/>
  <c r="J206" i="54"/>
  <c r="I206" i="54"/>
  <c r="H222" i="54"/>
  <c r="J254" i="54"/>
  <c r="H254" i="54"/>
  <c r="G218" i="54"/>
  <c r="H218" i="54"/>
  <c r="J218" i="54"/>
  <c r="I218" i="54"/>
  <c r="J248" i="54"/>
  <c r="I248" i="54"/>
  <c r="G214" i="54"/>
  <c r="J214" i="54"/>
  <c r="I214" i="54"/>
  <c r="G210" i="54"/>
  <c r="H210" i="54"/>
  <c r="J210" i="54"/>
  <c r="I210" i="54"/>
  <c r="J269" i="54"/>
  <c r="J285" i="54"/>
  <c r="G285" i="54"/>
  <c r="J289" i="54"/>
  <c r="I289" i="54"/>
  <c r="G293" i="54"/>
  <c r="J317" i="54"/>
  <c r="I317" i="54"/>
  <c r="J330" i="54"/>
  <c r="H330" i="54"/>
  <c r="J362" i="54"/>
  <c r="H362" i="54"/>
  <c r="J370" i="54"/>
  <c r="I370" i="54"/>
  <c r="J378" i="54"/>
  <c r="G378" i="54"/>
  <c r="J382" i="54"/>
  <c r="I382" i="54"/>
  <c r="J398" i="54"/>
  <c r="H398" i="54"/>
  <c r="H205" i="54"/>
  <c r="G205" i="54"/>
  <c r="H209" i="54"/>
  <c r="G209" i="54"/>
  <c r="H213" i="54"/>
  <c r="G213" i="54"/>
  <c r="H217" i="54"/>
  <c r="G217" i="54"/>
  <c r="H221" i="54"/>
  <c r="G221" i="54"/>
  <c r="I225" i="54"/>
  <c r="J229" i="54"/>
  <c r="G229" i="54"/>
  <c r="J253" i="54"/>
  <c r="I253" i="54"/>
  <c r="G269" i="54"/>
  <c r="H285" i="54"/>
  <c r="G289" i="54"/>
  <c r="I291" i="54"/>
  <c r="G317" i="54"/>
  <c r="J321" i="54"/>
  <c r="G321" i="54"/>
  <c r="G330" i="54"/>
  <c r="I334" i="54"/>
  <c r="J342" i="54"/>
  <c r="I342" i="54"/>
  <c r="H343" i="54"/>
  <c r="I353" i="54"/>
  <c r="G362" i="54"/>
  <c r="G370" i="54"/>
  <c r="H378" i="54"/>
  <c r="G382" i="54"/>
  <c r="G398" i="54"/>
  <c r="G204" i="54"/>
  <c r="I205" i="54"/>
  <c r="I208" i="54"/>
  <c r="G208" i="54"/>
  <c r="I209" i="54"/>
  <c r="I212" i="54"/>
  <c r="G212" i="54"/>
  <c r="I213" i="54"/>
  <c r="I216" i="54"/>
  <c r="G216" i="54"/>
  <c r="I220" i="54"/>
  <c r="G220" i="54"/>
  <c r="I221" i="54"/>
  <c r="I227" i="54"/>
  <c r="H229" i="54"/>
  <c r="J241" i="54"/>
  <c r="J249" i="54"/>
  <c r="I249" i="54"/>
  <c r="G253" i="54"/>
  <c r="J257" i="54"/>
  <c r="G257" i="54"/>
  <c r="J261" i="54"/>
  <c r="I261" i="54"/>
  <c r="I269" i="54"/>
  <c r="I275" i="54"/>
  <c r="J277" i="54"/>
  <c r="H277" i="54"/>
  <c r="J281" i="54"/>
  <c r="G281" i="54"/>
  <c r="I285" i="54"/>
  <c r="H289" i="54"/>
  <c r="I293" i="54"/>
  <c r="J307" i="54"/>
  <c r="H317" i="54"/>
  <c r="H321" i="54"/>
  <c r="I330" i="54"/>
  <c r="I332" i="54"/>
  <c r="J338" i="54"/>
  <c r="G338" i="54"/>
  <c r="G342" i="54"/>
  <c r="J346" i="54"/>
  <c r="G346" i="54"/>
  <c r="J350" i="54"/>
  <c r="I350" i="54"/>
  <c r="I362" i="54"/>
  <c r="H370" i="54"/>
  <c r="I378" i="54"/>
  <c r="H382" i="54"/>
  <c r="H391" i="54"/>
  <c r="I398" i="54"/>
  <c r="J406" i="54"/>
  <c r="G406" i="54"/>
  <c r="J407" i="54"/>
  <c r="J410" i="54"/>
  <c r="I410" i="54"/>
  <c r="F38" i="54"/>
  <c r="J205" i="54"/>
  <c r="H208" i="54"/>
  <c r="J209" i="54"/>
  <c r="H212" i="54"/>
  <c r="J213" i="54"/>
  <c r="J215" i="54"/>
  <c r="G215" i="54"/>
  <c r="J217" i="54"/>
  <c r="J219" i="54"/>
  <c r="G219" i="54"/>
  <c r="J221" i="54"/>
  <c r="H225" i="54"/>
  <c r="I229" i="54"/>
  <c r="J243" i="54"/>
  <c r="G249" i="54"/>
  <c r="H253" i="54"/>
  <c r="H257" i="54"/>
  <c r="G261" i="54"/>
  <c r="G277" i="54"/>
  <c r="I321" i="54"/>
  <c r="H338" i="54"/>
  <c r="H342" i="54"/>
  <c r="H346" i="54"/>
  <c r="G350" i="54"/>
  <c r="I352" i="54"/>
  <c r="I369" i="54"/>
  <c r="J374" i="54"/>
  <c r="I374" i="54"/>
  <c r="J386" i="54"/>
  <c r="H386" i="54"/>
  <c r="H406" i="54"/>
  <c r="G410" i="54"/>
  <c r="I412" i="54"/>
  <c r="G226" i="54"/>
  <c r="G231" i="54"/>
  <c r="G236" i="54"/>
  <c r="H236" i="54"/>
  <c r="I242" i="54"/>
  <c r="G242" i="54"/>
  <c r="H247" i="54"/>
  <c r="G247" i="54"/>
  <c r="H252" i="54"/>
  <c r="G258" i="54"/>
  <c r="H263" i="54"/>
  <c r="G263" i="54"/>
  <c r="G268" i="54"/>
  <c r="H268" i="54"/>
  <c r="I274" i="54"/>
  <c r="G274" i="54"/>
  <c r="G279" i="54"/>
  <c r="G284" i="54"/>
  <c r="H284" i="54"/>
  <c r="H295" i="54"/>
  <c r="G295" i="54"/>
  <c r="G300" i="54"/>
  <c r="H300" i="54"/>
  <c r="I306" i="54"/>
  <c r="G306" i="54"/>
  <c r="G311" i="54"/>
  <c r="G316" i="54"/>
  <c r="H316" i="54"/>
  <c r="I322" i="54"/>
  <c r="G322" i="54"/>
  <c r="H327" i="54"/>
  <c r="G327" i="54"/>
  <c r="H361" i="54"/>
  <c r="I367" i="54"/>
  <c r="G367" i="54"/>
  <c r="J367" i="54"/>
  <c r="H367" i="54"/>
  <c r="H372" i="54"/>
  <c r="G372" i="54"/>
  <c r="J372" i="54"/>
  <c r="I372" i="54"/>
  <c r="G377" i="54"/>
  <c r="H377" i="54"/>
  <c r="J377" i="54"/>
  <c r="I377" i="54"/>
  <c r="I383" i="54"/>
  <c r="G383" i="54"/>
  <c r="J383" i="54"/>
  <c r="H383" i="54"/>
  <c r="H388" i="54"/>
  <c r="G388" i="54"/>
  <c r="J388" i="54"/>
  <c r="I388" i="54"/>
  <c r="I399" i="54"/>
  <c r="G399" i="54"/>
  <c r="J399" i="54"/>
  <c r="H399" i="54"/>
  <c r="H404" i="54"/>
  <c r="G404" i="54"/>
  <c r="J404" i="54"/>
  <c r="I404" i="54"/>
  <c r="G409" i="54"/>
  <c r="H409" i="54"/>
  <c r="J409" i="54"/>
  <c r="I409" i="54"/>
  <c r="G224" i="54"/>
  <c r="H224" i="54"/>
  <c r="H226" i="54"/>
  <c r="I230" i="54"/>
  <c r="G230" i="54"/>
  <c r="I231" i="54"/>
  <c r="H235" i="54"/>
  <c r="G235" i="54"/>
  <c r="I236" i="54"/>
  <c r="G240" i="54"/>
  <c r="H240" i="54"/>
  <c r="H242" i="54"/>
  <c r="I246" i="54"/>
  <c r="G246" i="54"/>
  <c r="I247" i="54"/>
  <c r="H251" i="54"/>
  <c r="G251" i="54"/>
  <c r="I252" i="54"/>
  <c r="G256" i="54"/>
  <c r="H256" i="54"/>
  <c r="I262" i="54"/>
  <c r="G262" i="54"/>
  <c r="I263" i="54"/>
  <c r="H267" i="54"/>
  <c r="G267" i="54"/>
  <c r="I268" i="54"/>
  <c r="G272" i="54"/>
  <c r="H272" i="54"/>
  <c r="H274" i="54"/>
  <c r="I279" i="54"/>
  <c r="H283" i="54"/>
  <c r="I284" i="54"/>
  <c r="G288" i="54"/>
  <c r="H288" i="54"/>
  <c r="I294" i="54"/>
  <c r="G294" i="54"/>
  <c r="I295" i="54"/>
  <c r="I300" i="54"/>
  <c r="G304" i="54"/>
  <c r="H304" i="54"/>
  <c r="H306" i="54"/>
  <c r="I310" i="54"/>
  <c r="G310" i="54"/>
  <c r="I311" i="54"/>
  <c r="H315" i="54"/>
  <c r="G315" i="54"/>
  <c r="I316" i="54"/>
  <c r="G320" i="54"/>
  <c r="H320" i="54"/>
  <c r="H322" i="54"/>
  <c r="I326" i="54"/>
  <c r="G326" i="54"/>
  <c r="I327" i="54"/>
  <c r="G329" i="54"/>
  <c r="H329" i="54"/>
  <c r="J329" i="54"/>
  <c r="G333" i="54"/>
  <c r="H333" i="54"/>
  <c r="I333" i="54"/>
  <c r="H336" i="54"/>
  <c r="G336" i="54"/>
  <c r="H340" i="54"/>
  <c r="G340" i="54"/>
  <c r="J340" i="54"/>
  <c r="H344" i="54"/>
  <c r="G344" i="54"/>
  <c r="I344" i="54"/>
  <c r="I347" i="54"/>
  <c r="G347" i="54"/>
  <c r="I355" i="54"/>
  <c r="G355" i="54"/>
  <c r="H355" i="54"/>
  <c r="I363" i="54"/>
  <c r="G363" i="54"/>
  <c r="J363" i="54"/>
  <c r="H368" i="54"/>
  <c r="G368" i="54"/>
  <c r="J368" i="54"/>
  <c r="G373" i="54"/>
  <c r="H373" i="54"/>
  <c r="J373" i="54"/>
  <c r="H384" i="54"/>
  <c r="G384" i="54"/>
  <c r="J384" i="54"/>
  <c r="G395" i="54"/>
  <c r="J395" i="54"/>
  <c r="G405" i="54"/>
  <c r="H405" i="54"/>
  <c r="J405" i="54"/>
  <c r="G411" i="54"/>
  <c r="H223" i="54"/>
  <c r="G223" i="54"/>
  <c r="I224" i="54"/>
  <c r="J226" i="54"/>
  <c r="H228" i="54"/>
  <c r="H230" i="54"/>
  <c r="G234" i="54"/>
  <c r="I235" i="54"/>
  <c r="J236" i="54"/>
  <c r="H239" i="54"/>
  <c r="G239" i="54"/>
  <c r="I240" i="54"/>
  <c r="J242" i="54"/>
  <c r="G244" i="54"/>
  <c r="H244" i="54"/>
  <c r="H246" i="54"/>
  <c r="J247" i="54"/>
  <c r="I250" i="54"/>
  <c r="G250" i="54"/>
  <c r="I251" i="54"/>
  <c r="H255" i="54"/>
  <c r="G255" i="54"/>
  <c r="I256" i="54"/>
  <c r="G260" i="54"/>
  <c r="H260" i="54"/>
  <c r="H262" i="54"/>
  <c r="J263" i="54"/>
  <c r="I266" i="54"/>
  <c r="G266" i="54"/>
  <c r="I267" i="54"/>
  <c r="J268" i="54"/>
  <c r="H271" i="54"/>
  <c r="G271" i="54"/>
  <c r="I272" i="54"/>
  <c r="J274" i="54"/>
  <c r="H278" i="54"/>
  <c r="J279" i="54"/>
  <c r="I283" i="54"/>
  <c r="J284" i="54"/>
  <c r="H287" i="54"/>
  <c r="G287" i="54"/>
  <c r="I288" i="54"/>
  <c r="H294" i="54"/>
  <c r="J295" i="54"/>
  <c r="I298" i="54"/>
  <c r="G298" i="54"/>
  <c r="I299" i="54"/>
  <c r="J300" i="54"/>
  <c r="I304" i="54"/>
  <c r="J306" i="54"/>
  <c r="G308" i="54"/>
  <c r="H308" i="54"/>
  <c r="H310" i="54"/>
  <c r="J311" i="54"/>
  <c r="G314" i="54"/>
  <c r="I315" i="54"/>
  <c r="J316" i="54"/>
  <c r="H319" i="54"/>
  <c r="G319" i="54"/>
  <c r="I320" i="54"/>
  <c r="J322" i="54"/>
  <c r="H326" i="54"/>
  <c r="J327" i="54"/>
  <c r="I329" i="54"/>
  <c r="J333" i="54"/>
  <c r="I336" i="54"/>
  <c r="I340" i="54"/>
  <c r="J344" i="54"/>
  <c r="H347" i="54"/>
  <c r="J355" i="54"/>
  <c r="H363" i="54"/>
  <c r="I368" i="54"/>
  <c r="I373" i="54"/>
  <c r="I384" i="54"/>
  <c r="I405" i="54"/>
  <c r="I223" i="54"/>
  <c r="J224" i="54"/>
  <c r="H227" i="54"/>
  <c r="G227" i="54"/>
  <c r="I228" i="54"/>
  <c r="J230" i="54"/>
  <c r="G232" i="54"/>
  <c r="H232" i="54"/>
  <c r="J235" i="54"/>
  <c r="I238" i="54"/>
  <c r="G238" i="54"/>
  <c r="I239" i="54"/>
  <c r="J240" i="54"/>
  <c r="H243" i="54"/>
  <c r="G243" i="54"/>
  <c r="I244" i="54"/>
  <c r="J246" i="54"/>
  <c r="G248" i="54"/>
  <c r="H248" i="54"/>
  <c r="H250" i="54"/>
  <c r="J251" i="54"/>
  <c r="I254" i="54"/>
  <c r="G254" i="54"/>
  <c r="I255" i="54"/>
  <c r="J256" i="54"/>
  <c r="I260" i="54"/>
  <c r="J262" i="54"/>
  <c r="G264" i="54"/>
  <c r="H264" i="54"/>
  <c r="H266" i="54"/>
  <c r="J267" i="54"/>
  <c r="I270" i="54"/>
  <c r="G270" i="54"/>
  <c r="I271" i="54"/>
  <c r="J272" i="54"/>
  <c r="H275" i="54"/>
  <c r="G275" i="54"/>
  <c r="J278" i="54"/>
  <c r="G280" i="54"/>
  <c r="H280" i="54"/>
  <c r="J283" i="54"/>
  <c r="I287" i="54"/>
  <c r="J288" i="54"/>
  <c r="H291" i="54"/>
  <c r="G291" i="54"/>
  <c r="J294" i="54"/>
  <c r="H298" i="54"/>
  <c r="J299" i="54"/>
  <c r="I302" i="54"/>
  <c r="G302" i="54"/>
  <c r="J304" i="54"/>
  <c r="H307" i="54"/>
  <c r="G307" i="54"/>
  <c r="I308" i="54"/>
  <c r="J310" i="54"/>
  <c r="G312" i="54"/>
  <c r="H312" i="54"/>
  <c r="H314" i="54"/>
  <c r="J315" i="54"/>
  <c r="I319" i="54"/>
  <c r="J320" i="54"/>
  <c r="H323" i="54"/>
  <c r="G323" i="54"/>
  <c r="I324" i="54"/>
  <c r="J326" i="54"/>
  <c r="I328" i="54"/>
  <c r="I331" i="54"/>
  <c r="I335" i="54"/>
  <c r="G335" i="54"/>
  <c r="J335" i="54"/>
  <c r="J336" i="54"/>
  <c r="I339" i="54"/>
  <c r="G339" i="54"/>
  <c r="H339" i="54"/>
  <c r="G341" i="54"/>
  <c r="H341" i="54"/>
  <c r="G345" i="54"/>
  <c r="H345" i="54"/>
  <c r="J345" i="54"/>
  <c r="J347" i="54"/>
  <c r="G349" i="54"/>
  <c r="H349" i="54"/>
  <c r="I349" i="54"/>
  <c r="H352" i="54"/>
  <c r="G352" i="54"/>
  <c r="H356" i="54"/>
  <c r="G356" i="54"/>
  <c r="J356" i="54"/>
  <c r="H360" i="54"/>
  <c r="G360" i="54"/>
  <c r="G365" i="54"/>
  <c r="H365" i="54"/>
  <c r="I371" i="54"/>
  <c r="G371" i="54"/>
  <c r="H376" i="54"/>
  <c r="G376" i="54"/>
  <c r="G381" i="54"/>
  <c r="H381" i="54"/>
  <c r="I387" i="54"/>
  <c r="G387" i="54"/>
  <c r="H392" i="54"/>
  <c r="G392" i="54"/>
  <c r="I403" i="54"/>
  <c r="G403" i="54"/>
  <c r="H408" i="54"/>
  <c r="G408" i="54"/>
  <c r="F27" i="54"/>
  <c r="H332" i="54"/>
  <c r="G332" i="54"/>
  <c r="G337" i="54"/>
  <c r="H337" i="54"/>
  <c r="I343" i="54"/>
  <c r="G343" i="54"/>
  <c r="H348" i="54"/>
  <c r="G348" i="54"/>
  <c r="G353" i="54"/>
  <c r="I359" i="54"/>
  <c r="G359" i="54"/>
  <c r="I360" i="54"/>
  <c r="I365" i="54"/>
  <c r="G369" i="54"/>
  <c r="H369" i="54"/>
  <c r="H371" i="54"/>
  <c r="I375" i="54"/>
  <c r="G375" i="54"/>
  <c r="I376" i="54"/>
  <c r="H380" i="54"/>
  <c r="G380" i="54"/>
  <c r="I381" i="54"/>
  <c r="H387" i="54"/>
  <c r="I391" i="54"/>
  <c r="G391" i="54"/>
  <c r="I392" i="54"/>
  <c r="H396" i="54"/>
  <c r="G396" i="54"/>
  <c r="G401" i="54"/>
  <c r="H401" i="54"/>
  <c r="H403" i="54"/>
  <c r="I407" i="54"/>
  <c r="G407" i="54"/>
  <c r="I408" i="54"/>
  <c r="H412" i="54"/>
  <c r="G412" i="54"/>
  <c r="H55" i="53"/>
  <c r="H71" i="53"/>
  <c r="H77" i="53"/>
  <c r="G82" i="53"/>
  <c r="I88" i="53"/>
  <c r="J103" i="53"/>
  <c r="H103" i="53"/>
  <c r="G103" i="53"/>
  <c r="G114" i="53"/>
  <c r="J114" i="53"/>
  <c r="I120" i="53"/>
  <c r="J120" i="53"/>
  <c r="J135" i="53"/>
  <c r="H135" i="53"/>
  <c r="G135" i="53"/>
  <c r="H141" i="53"/>
  <c r="J141" i="53"/>
  <c r="J167" i="53"/>
  <c r="H173" i="53"/>
  <c r="J173" i="53"/>
  <c r="G198" i="53"/>
  <c r="I204" i="53"/>
  <c r="J204" i="53"/>
  <c r="G218" i="53"/>
  <c r="G281" i="53"/>
  <c r="J370" i="53"/>
  <c r="H47" i="53"/>
  <c r="J48" i="53"/>
  <c r="J50" i="53"/>
  <c r="G55" i="53"/>
  <c r="H69" i="53"/>
  <c r="I71" i="53"/>
  <c r="G74" i="53"/>
  <c r="J74" i="53"/>
  <c r="J80" i="53"/>
  <c r="J95" i="53"/>
  <c r="H95" i="53"/>
  <c r="G95" i="53"/>
  <c r="H101" i="53"/>
  <c r="J101" i="53"/>
  <c r="I103" i="53"/>
  <c r="I112" i="53"/>
  <c r="H133" i="53"/>
  <c r="J133" i="53"/>
  <c r="I135" i="53"/>
  <c r="G138" i="53"/>
  <c r="J138" i="53"/>
  <c r="I144" i="53"/>
  <c r="J144" i="53"/>
  <c r="J159" i="53"/>
  <c r="H159" i="53"/>
  <c r="G159" i="53"/>
  <c r="H165" i="53"/>
  <c r="J165" i="53"/>
  <c r="G170" i="53"/>
  <c r="J170" i="53"/>
  <c r="I176" i="53"/>
  <c r="J176" i="53"/>
  <c r="G190" i="53"/>
  <c r="J190" i="53"/>
  <c r="I199" i="53"/>
  <c r="G199" i="53"/>
  <c r="J205" i="53"/>
  <c r="J256" i="53"/>
  <c r="J285" i="53"/>
  <c r="H285" i="53"/>
  <c r="G321" i="53"/>
  <c r="F28" i="53"/>
  <c r="J39" i="53"/>
  <c r="H39" i="53"/>
  <c r="J42" i="53"/>
  <c r="I55" i="53"/>
  <c r="G66" i="53"/>
  <c r="J66" i="53"/>
  <c r="I72" i="53"/>
  <c r="J72" i="53"/>
  <c r="H87" i="53"/>
  <c r="H93" i="53"/>
  <c r="J93" i="53"/>
  <c r="I95" i="53"/>
  <c r="J98" i="53"/>
  <c r="I104" i="53"/>
  <c r="J119" i="53"/>
  <c r="G119" i="53"/>
  <c r="J125" i="53"/>
  <c r="G130" i="53"/>
  <c r="I136" i="53"/>
  <c r="G151" i="53"/>
  <c r="H157" i="53"/>
  <c r="J157" i="53"/>
  <c r="I159" i="53"/>
  <c r="G162" i="53"/>
  <c r="I168" i="53"/>
  <c r="J168" i="53"/>
  <c r="G186" i="53"/>
  <c r="J186" i="53"/>
  <c r="I196" i="53"/>
  <c r="J196" i="53"/>
  <c r="H211" i="53"/>
  <c r="J240" i="53"/>
  <c r="I240" i="53"/>
  <c r="J283" i="53"/>
  <c r="I283" i="53"/>
  <c r="J309" i="53"/>
  <c r="I309" i="53"/>
  <c r="H309" i="53"/>
  <c r="G309" i="53"/>
  <c r="J325" i="53"/>
  <c r="H325" i="53"/>
  <c r="I325" i="53"/>
  <c r="J346" i="53"/>
  <c r="F25" i="53"/>
  <c r="G39" i="53"/>
  <c r="G58" i="53"/>
  <c r="J58" i="53"/>
  <c r="H85" i="53"/>
  <c r="J85" i="53"/>
  <c r="J90" i="53"/>
  <c r="I96" i="53"/>
  <c r="G111" i="53"/>
  <c r="H117" i="53"/>
  <c r="I119" i="53"/>
  <c r="J122" i="53"/>
  <c r="J128" i="53"/>
  <c r="H143" i="53"/>
  <c r="G143" i="53"/>
  <c r="I151" i="53"/>
  <c r="J154" i="53"/>
  <c r="I160" i="53"/>
  <c r="J160" i="53"/>
  <c r="J175" i="53"/>
  <c r="H175" i="53"/>
  <c r="G175" i="53"/>
  <c r="J200" i="53"/>
  <c r="J203" i="53"/>
  <c r="G203" i="53"/>
  <c r="I203" i="53"/>
  <c r="H203" i="53"/>
  <c r="J207" i="53"/>
  <c r="I207" i="53"/>
  <c r="H207" i="53"/>
  <c r="H209" i="53"/>
  <c r="J209" i="53"/>
  <c r="J217" i="53"/>
  <c r="I261" i="53"/>
  <c r="J277" i="53"/>
  <c r="H277" i="53"/>
  <c r="G325" i="53"/>
  <c r="J407" i="53"/>
  <c r="H407" i="53"/>
  <c r="G182" i="53"/>
  <c r="J191" i="53"/>
  <c r="H201" i="53"/>
  <c r="J201" i="53"/>
  <c r="G214" i="53"/>
  <c r="J220" i="53"/>
  <c r="J245" i="53"/>
  <c r="J297" i="53"/>
  <c r="H297" i="53"/>
  <c r="I305" i="53"/>
  <c r="J313" i="53"/>
  <c r="G313" i="53"/>
  <c r="I317" i="53"/>
  <c r="J378" i="53"/>
  <c r="I378" i="53"/>
  <c r="I180" i="53"/>
  <c r="J180" i="53"/>
  <c r="G187" i="53"/>
  <c r="H193" i="53"/>
  <c r="J193" i="53"/>
  <c r="H195" i="53"/>
  <c r="I215" i="53"/>
  <c r="J216" i="53"/>
  <c r="J219" i="53"/>
  <c r="G219" i="53"/>
  <c r="J233" i="53"/>
  <c r="J241" i="53"/>
  <c r="I241" i="53"/>
  <c r="G245" i="53"/>
  <c r="J249" i="53"/>
  <c r="G249" i="53"/>
  <c r="J253" i="53"/>
  <c r="I253" i="53"/>
  <c r="J269" i="53"/>
  <c r="H269" i="53"/>
  <c r="J273" i="53"/>
  <c r="G297" i="53"/>
  <c r="J299" i="53"/>
  <c r="G305" i="53"/>
  <c r="H313" i="53"/>
  <c r="G317" i="53"/>
  <c r="J332" i="53"/>
  <c r="J354" i="53"/>
  <c r="H354" i="53"/>
  <c r="H374" i="53"/>
  <c r="G378" i="53"/>
  <c r="J402" i="53"/>
  <c r="I402" i="53"/>
  <c r="J410" i="53"/>
  <c r="G410" i="53"/>
  <c r="G36" i="53"/>
  <c r="G40" i="53"/>
  <c r="G41" i="53"/>
  <c r="H42" i="53"/>
  <c r="G44" i="53"/>
  <c r="G45" i="53"/>
  <c r="G48" i="53"/>
  <c r="G49" i="53"/>
  <c r="H50" i="53"/>
  <c r="G52" i="53"/>
  <c r="G53" i="53"/>
  <c r="H54" i="53"/>
  <c r="G57" i="53"/>
  <c r="H58" i="53"/>
  <c r="H62" i="53"/>
  <c r="G64" i="53"/>
  <c r="G65" i="53"/>
  <c r="G68" i="53"/>
  <c r="G69" i="53"/>
  <c r="G72" i="53"/>
  <c r="H74" i="53"/>
  <c r="H78" i="53"/>
  <c r="G80" i="53"/>
  <c r="G81" i="53"/>
  <c r="H82" i="53"/>
  <c r="G85" i="53"/>
  <c r="H86" i="53"/>
  <c r="G89" i="53"/>
  <c r="G92" i="53"/>
  <c r="G93" i="53"/>
  <c r="H94" i="53"/>
  <c r="G97" i="53"/>
  <c r="G100" i="53"/>
  <c r="G101" i="53"/>
  <c r="H102" i="53"/>
  <c r="H110" i="53"/>
  <c r="G112" i="53"/>
  <c r="G113" i="53"/>
  <c r="H118" i="53"/>
  <c r="G120" i="53"/>
  <c r="G124" i="53"/>
  <c r="H126" i="53"/>
  <c r="G128" i="53"/>
  <c r="G132" i="53"/>
  <c r="G133" i="53"/>
  <c r="H134" i="53"/>
  <c r="G137" i="53"/>
  <c r="H138" i="53"/>
  <c r="G141" i="53"/>
  <c r="H142" i="53"/>
  <c r="G144" i="53"/>
  <c r="G145" i="53"/>
  <c r="G149" i="53"/>
  <c r="H150" i="53"/>
  <c r="G153" i="53"/>
  <c r="G157" i="53"/>
  <c r="H158" i="53"/>
  <c r="G160" i="53"/>
  <c r="H162" i="53"/>
  <c r="G164" i="53"/>
  <c r="G165" i="53"/>
  <c r="G168" i="53"/>
  <c r="G169" i="53"/>
  <c r="H170" i="53"/>
  <c r="G172" i="53"/>
  <c r="G173" i="53"/>
  <c r="H174" i="53"/>
  <c r="G176" i="53"/>
  <c r="G177" i="53"/>
  <c r="H178" i="53"/>
  <c r="G180" i="53"/>
  <c r="G184" i="53"/>
  <c r="G185" i="53"/>
  <c r="H186" i="53"/>
  <c r="H190" i="53"/>
  <c r="G192" i="53"/>
  <c r="G193" i="53"/>
  <c r="G196" i="53"/>
  <c r="G197" i="53"/>
  <c r="H198" i="53"/>
  <c r="G201" i="53"/>
  <c r="G204" i="53"/>
  <c r="H206" i="53"/>
  <c r="G208" i="53"/>
  <c r="G209" i="53"/>
  <c r="G212" i="53"/>
  <c r="H214" i="53"/>
  <c r="G216" i="53"/>
  <c r="G217" i="53"/>
  <c r="H218" i="53"/>
  <c r="G221" i="53"/>
  <c r="H222" i="53"/>
  <c r="I226" i="53"/>
  <c r="G226" i="53"/>
  <c r="H231" i="53"/>
  <c r="G231" i="53"/>
  <c r="I232" i="53"/>
  <c r="G236" i="53"/>
  <c r="H236" i="53"/>
  <c r="H238" i="53"/>
  <c r="I242" i="53"/>
  <c r="G242" i="53"/>
  <c r="I243" i="53"/>
  <c r="G247" i="53"/>
  <c r="I248" i="53"/>
  <c r="H254" i="53"/>
  <c r="I258" i="53"/>
  <c r="G258" i="53"/>
  <c r="H263" i="53"/>
  <c r="G263" i="53"/>
  <c r="I264" i="53"/>
  <c r="G268" i="53"/>
  <c r="H268" i="53"/>
  <c r="H270" i="53"/>
  <c r="I274" i="53"/>
  <c r="G279" i="53"/>
  <c r="I280" i="53"/>
  <c r="G284" i="53"/>
  <c r="H286" i="53"/>
  <c r="I291" i="53"/>
  <c r="H295" i="53"/>
  <c r="G295" i="53"/>
  <c r="I296" i="53"/>
  <c r="H302" i="53"/>
  <c r="I306" i="53"/>
  <c r="G311" i="53"/>
  <c r="I312" i="53"/>
  <c r="G316" i="53"/>
  <c r="I323" i="53"/>
  <c r="H327" i="53"/>
  <c r="G327" i="53"/>
  <c r="H331" i="53"/>
  <c r="H36" i="53"/>
  <c r="I37" i="53"/>
  <c r="I42" i="53"/>
  <c r="H44" i="53"/>
  <c r="I45" i="53"/>
  <c r="H48" i="53"/>
  <c r="I50" i="53"/>
  <c r="H52" i="53"/>
  <c r="I53" i="53"/>
  <c r="H56" i="53"/>
  <c r="I58" i="53"/>
  <c r="I61" i="53"/>
  <c r="I62" i="53"/>
  <c r="I65" i="53"/>
  <c r="I66" i="53"/>
  <c r="I69" i="53"/>
  <c r="H72" i="53"/>
  <c r="I73" i="53"/>
  <c r="I74" i="53"/>
  <c r="I78" i="53"/>
  <c r="H80" i="53"/>
  <c r="I82" i="53"/>
  <c r="I85" i="53"/>
  <c r="I86" i="53"/>
  <c r="H88" i="53"/>
  <c r="I89" i="53"/>
  <c r="I90" i="53"/>
  <c r="H92" i="53"/>
  <c r="I93" i="53"/>
  <c r="I94" i="53"/>
  <c r="H100" i="53"/>
  <c r="I101" i="53"/>
  <c r="I102" i="53"/>
  <c r="H104" i="53"/>
  <c r="H108" i="53"/>
  <c r="I109" i="53"/>
  <c r="I110" i="53"/>
  <c r="H112" i="53"/>
  <c r="I113" i="53"/>
  <c r="I114" i="53"/>
  <c r="I117" i="53"/>
  <c r="I118" i="53"/>
  <c r="H120" i="53"/>
  <c r="I122" i="53"/>
  <c r="H124" i="53"/>
  <c r="I125" i="53"/>
  <c r="I126" i="53"/>
  <c r="H128" i="53"/>
  <c r="I130" i="53"/>
  <c r="H132" i="53"/>
  <c r="I133" i="53"/>
  <c r="I134" i="53"/>
  <c r="H136" i="53"/>
  <c r="I137" i="53"/>
  <c r="I138" i="53"/>
  <c r="I141" i="53"/>
  <c r="I142" i="53"/>
  <c r="H144" i="53"/>
  <c r="I146" i="53"/>
  <c r="H152" i="53"/>
  <c r="I153" i="53"/>
  <c r="I154" i="53"/>
  <c r="I157" i="53"/>
  <c r="I158" i="53"/>
  <c r="H160" i="53"/>
  <c r="I162" i="53"/>
  <c r="I165" i="53"/>
  <c r="H168" i="53"/>
  <c r="I169" i="53"/>
  <c r="I170" i="53"/>
  <c r="H172" i="53"/>
  <c r="I173" i="53"/>
  <c r="H176" i="53"/>
  <c r="I177" i="53"/>
  <c r="H180" i="53"/>
  <c r="I181" i="53"/>
  <c r="I182" i="53"/>
  <c r="I185" i="53"/>
  <c r="I186" i="53"/>
  <c r="H188" i="53"/>
  <c r="I189" i="53"/>
  <c r="I190" i="53"/>
  <c r="I193" i="53"/>
  <c r="H196" i="53"/>
  <c r="I197" i="53"/>
  <c r="I201" i="53"/>
  <c r="H204" i="53"/>
  <c r="I205" i="53"/>
  <c r="H208" i="53"/>
  <c r="I209" i="53"/>
  <c r="H212" i="53"/>
  <c r="H216" i="53"/>
  <c r="I218" i="53"/>
  <c r="H220" i="53"/>
  <c r="I221" i="53"/>
  <c r="G224" i="53"/>
  <c r="H226" i="53"/>
  <c r="I230" i="53"/>
  <c r="G230" i="53"/>
  <c r="I231" i="53"/>
  <c r="H235" i="53"/>
  <c r="G235" i="53"/>
  <c r="I236" i="53"/>
  <c r="G240" i="53"/>
  <c r="H240" i="53"/>
  <c r="H242" i="53"/>
  <c r="I246" i="53"/>
  <c r="G246" i="53"/>
  <c r="H251" i="53"/>
  <c r="G251" i="53"/>
  <c r="I252" i="53"/>
  <c r="G256" i="53"/>
  <c r="H256" i="53"/>
  <c r="H258" i="53"/>
  <c r="I262" i="53"/>
  <c r="I263" i="53"/>
  <c r="H267" i="53"/>
  <c r="I268" i="53"/>
  <c r="G272" i="53"/>
  <c r="H272" i="53"/>
  <c r="H274" i="53"/>
  <c r="I278" i="53"/>
  <c r="H283" i="53"/>
  <c r="G283" i="53"/>
  <c r="G288" i="53"/>
  <c r="H288" i="53"/>
  <c r="I294" i="53"/>
  <c r="G294" i="53"/>
  <c r="I295" i="53"/>
  <c r="H299" i="53"/>
  <c r="G299" i="53"/>
  <c r="G304" i="53"/>
  <c r="H306" i="53"/>
  <c r="H315" i="53"/>
  <c r="G315" i="53"/>
  <c r="I316" i="53"/>
  <c r="G320" i="53"/>
  <c r="H320" i="53"/>
  <c r="I326" i="53"/>
  <c r="G326" i="53"/>
  <c r="I327" i="53"/>
  <c r="G329" i="53"/>
  <c r="H329" i="53"/>
  <c r="J329" i="53"/>
  <c r="G333" i="53"/>
  <c r="I333" i="53"/>
  <c r="H336" i="53"/>
  <c r="G336" i="53"/>
  <c r="G340" i="53"/>
  <c r="H344" i="53"/>
  <c r="I344" i="53"/>
  <c r="G347" i="53"/>
  <c r="I351" i="53"/>
  <c r="J351" i="53"/>
  <c r="H223" i="53"/>
  <c r="G223" i="53"/>
  <c r="G228" i="53"/>
  <c r="H228" i="53"/>
  <c r="G234" i="53"/>
  <c r="H239" i="53"/>
  <c r="G239" i="53"/>
  <c r="G244" i="53"/>
  <c r="H244" i="53"/>
  <c r="H255" i="53"/>
  <c r="G255" i="53"/>
  <c r="G260" i="53"/>
  <c r="H260" i="53"/>
  <c r="I266" i="53"/>
  <c r="G266" i="53"/>
  <c r="H271" i="53"/>
  <c r="G271" i="53"/>
  <c r="G276" i="53"/>
  <c r="H276" i="53"/>
  <c r="I282" i="53"/>
  <c r="H287" i="53"/>
  <c r="G292" i="53"/>
  <c r="I298" i="53"/>
  <c r="G298" i="53"/>
  <c r="H303" i="53"/>
  <c r="G303" i="53"/>
  <c r="G308" i="53"/>
  <c r="H308" i="53"/>
  <c r="I314" i="53"/>
  <c r="G314" i="53"/>
  <c r="H319" i="53"/>
  <c r="G324" i="53"/>
  <c r="G356" i="53"/>
  <c r="I356" i="53"/>
  <c r="I367" i="53"/>
  <c r="G367" i="53"/>
  <c r="J367" i="53"/>
  <c r="H367" i="53"/>
  <c r="H372" i="53"/>
  <c r="G372" i="53"/>
  <c r="J372" i="53"/>
  <c r="I372" i="53"/>
  <c r="G377" i="53"/>
  <c r="J377" i="53"/>
  <c r="I383" i="53"/>
  <c r="G383" i="53"/>
  <c r="J383" i="53"/>
  <c r="H383" i="53"/>
  <c r="H388" i="53"/>
  <c r="J388" i="53"/>
  <c r="J393" i="53"/>
  <c r="I399" i="53"/>
  <c r="G399" i="53"/>
  <c r="J399" i="53"/>
  <c r="H399" i="53"/>
  <c r="H404" i="53"/>
  <c r="G404" i="53"/>
  <c r="J404" i="53"/>
  <c r="I404" i="53"/>
  <c r="G409" i="53"/>
  <c r="H409" i="53"/>
  <c r="J409" i="53"/>
  <c r="I409" i="53"/>
  <c r="I222" i="53"/>
  <c r="I223" i="53"/>
  <c r="G227" i="53"/>
  <c r="I228" i="53"/>
  <c r="G232" i="53"/>
  <c r="H234" i="53"/>
  <c r="I238" i="53"/>
  <c r="G238" i="53"/>
  <c r="I239" i="53"/>
  <c r="H243" i="53"/>
  <c r="G243" i="53"/>
  <c r="I244" i="53"/>
  <c r="G248" i="53"/>
  <c r="H248" i="53"/>
  <c r="I254" i="53"/>
  <c r="G254" i="53"/>
  <c r="I255" i="53"/>
  <c r="H259" i="53"/>
  <c r="G259" i="53"/>
  <c r="I260" i="53"/>
  <c r="G264" i="53"/>
  <c r="H264" i="53"/>
  <c r="H266" i="53"/>
  <c r="I270" i="53"/>
  <c r="G270" i="53"/>
  <c r="I271" i="53"/>
  <c r="G275" i="53"/>
  <c r="I276" i="53"/>
  <c r="G280" i="53"/>
  <c r="H282" i="53"/>
  <c r="I286" i="53"/>
  <c r="I287" i="53"/>
  <c r="H291" i="53"/>
  <c r="G291" i="53"/>
  <c r="H296" i="53"/>
  <c r="H298" i="53"/>
  <c r="I302" i="53"/>
  <c r="G302" i="53"/>
  <c r="I303" i="53"/>
  <c r="G307" i="53"/>
  <c r="I308" i="53"/>
  <c r="G312" i="53"/>
  <c r="H312" i="53"/>
  <c r="H314" i="53"/>
  <c r="G318" i="53"/>
  <c r="I319" i="53"/>
  <c r="H323" i="53"/>
  <c r="G323" i="53"/>
  <c r="H328" i="53"/>
  <c r="I328" i="53"/>
  <c r="G331" i="53"/>
  <c r="I335" i="53"/>
  <c r="I339" i="53"/>
  <c r="G339" i="53"/>
  <c r="H339" i="53"/>
  <c r="H341" i="53"/>
  <c r="G345" i="53"/>
  <c r="H345" i="53"/>
  <c r="J345" i="53"/>
  <c r="G349" i="53"/>
  <c r="I349" i="53"/>
  <c r="H352" i="53"/>
  <c r="G352" i="53"/>
  <c r="J352" i="53"/>
  <c r="G357" i="53"/>
  <c r="H357" i="53"/>
  <c r="J357" i="53"/>
  <c r="I363" i="53"/>
  <c r="G363" i="53"/>
  <c r="J363" i="53"/>
  <c r="H368" i="53"/>
  <c r="G368" i="53"/>
  <c r="J368" i="53"/>
  <c r="H373" i="53"/>
  <c r="I379" i="53"/>
  <c r="G379" i="53"/>
  <c r="J379" i="53"/>
  <c r="G384" i="53"/>
  <c r="G389" i="53"/>
  <c r="H389" i="53"/>
  <c r="J389" i="53"/>
  <c r="I395" i="53"/>
  <c r="H400" i="53"/>
  <c r="G400" i="53"/>
  <c r="J400" i="53"/>
  <c r="I411" i="53"/>
  <c r="J411" i="53"/>
  <c r="G355" i="53"/>
  <c r="H360" i="53"/>
  <c r="G360" i="53"/>
  <c r="H365" i="53"/>
  <c r="I371" i="53"/>
  <c r="H376" i="53"/>
  <c r="G376" i="53"/>
  <c r="G381" i="53"/>
  <c r="H381" i="53"/>
  <c r="I387" i="53"/>
  <c r="G387" i="53"/>
  <c r="H392" i="53"/>
  <c r="G392" i="53"/>
  <c r="G397" i="53"/>
  <c r="H397" i="53"/>
  <c r="G408" i="53"/>
  <c r="G332" i="53"/>
  <c r="G337" i="53"/>
  <c r="H337" i="53"/>
  <c r="I343" i="53"/>
  <c r="G343" i="53"/>
  <c r="H348" i="53"/>
  <c r="G348" i="53"/>
  <c r="G353" i="53"/>
  <c r="I359" i="53"/>
  <c r="G359" i="53"/>
  <c r="I360" i="53"/>
  <c r="H364" i="53"/>
  <c r="G364" i="53"/>
  <c r="G369" i="53"/>
  <c r="H369" i="53"/>
  <c r="H371" i="53"/>
  <c r="G375" i="53"/>
  <c r="I376" i="53"/>
  <c r="I381" i="53"/>
  <c r="G385" i="53"/>
  <c r="H385" i="53"/>
  <c r="H387" i="53"/>
  <c r="I391" i="53"/>
  <c r="G391" i="53"/>
  <c r="I392" i="53"/>
  <c r="H396" i="53"/>
  <c r="G396" i="53"/>
  <c r="I397" i="53"/>
  <c r="G401" i="53"/>
  <c r="H401" i="53"/>
  <c r="H403" i="53"/>
  <c r="I407" i="53"/>
  <c r="G407" i="53"/>
  <c r="H412" i="53"/>
  <c r="G412" i="53"/>
  <c r="J151" i="52"/>
  <c r="H151" i="52"/>
  <c r="G151" i="52"/>
  <c r="J31" i="52"/>
  <c r="I31" i="52"/>
  <c r="H31" i="52"/>
  <c r="G116" i="52"/>
  <c r="H116" i="52"/>
  <c r="J125" i="52"/>
  <c r="I125" i="52"/>
  <c r="J137" i="52"/>
  <c r="I137" i="52"/>
  <c r="J149" i="52"/>
  <c r="I149" i="52"/>
  <c r="G149" i="52"/>
  <c r="G152" i="52"/>
  <c r="H152" i="52"/>
  <c r="J169" i="52"/>
  <c r="I169" i="52"/>
  <c r="H303" i="52"/>
  <c r="G303" i="52"/>
  <c r="I303" i="52"/>
  <c r="G31" i="52"/>
  <c r="J43" i="52"/>
  <c r="I43" i="52"/>
  <c r="H43" i="52"/>
  <c r="H76" i="52"/>
  <c r="H96" i="52"/>
  <c r="J99" i="52"/>
  <c r="H99" i="52"/>
  <c r="G99" i="52"/>
  <c r="J105" i="52"/>
  <c r="I105" i="52"/>
  <c r="G105" i="52"/>
  <c r="G125" i="52"/>
  <c r="G137" i="52"/>
  <c r="J163" i="52"/>
  <c r="H163" i="52"/>
  <c r="G163" i="52"/>
  <c r="G169" i="52"/>
  <c r="J183" i="52"/>
  <c r="I183" i="52"/>
  <c r="H183" i="52"/>
  <c r="J197" i="52"/>
  <c r="I197" i="52"/>
  <c r="I217" i="52"/>
  <c r="J229" i="52"/>
  <c r="I229" i="52"/>
  <c r="J241" i="52"/>
  <c r="H241" i="52"/>
  <c r="J271" i="52"/>
  <c r="H271" i="52"/>
  <c r="G271" i="52"/>
  <c r="J281" i="52"/>
  <c r="H281" i="52"/>
  <c r="G281" i="52"/>
  <c r="J297" i="52"/>
  <c r="I297" i="52"/>
  <c r="H297" i="52"/>
  <c r="I366" i="52"/>
  <c r="J366" i="52"/>
  <c r="I147" i="52"/>
  <c r="G147" i="52"/>
  <c r="J181" i="52"/>
  <c r="I181" i="52"/>
  <c r="G305" i="52"/>
  <c r="H305" i="52"/>
  <c r="G313" i="52"/>
  <c r="I313" i="52"/>
  <c r="J375" i="52"/>
  <c r="I375" i="52"/>
  <c r="H375" i="52"/>
  <c r="G375" i="52"/>
  <c r="J36" i="52"/>
  <c r="H36" i="52"/>
  <c r="H46" i="52"/>
  <c r="G100" i="52"/>
  <c r="H100" i="52"/>
  <c r="H107" i="52"/>
  <c r="G107" i="52"/>
  <c r="J145" i="52"/>
  <c r="I145" i="52"/>
  <c r="I151" i="52"/>
  <c r="G164" i="52"/>
  <c r="H164" i="52"/>
  <c r="G181" i="52"/>
  <c r="I201" i="52"/>
  <c r="J213" i="52"/>
  <c r="I213" i="52"/>
  <c r="I233" i="52"/>
  <c r="G263" i="52"/>
  <c r="J282" i="52"/>
  <c r="H282" i="52"/>
  <c r="I298" i="52"/>
  <c r="H298" i="52"/>
  <c r="G345" i="52"/>
  <c r="J345" i="52"/>
  <c r="J376" i="52"/>
  <c r="H376" i="52"/>
  <c r="G376" i="52"/>
  <c r="G315" i="52"/>
  <c r="G317" i="52"/>
  <c r="H318" i="52"/>
  <c r="G332" i="52"/>
  <c r="G343" i="52"/>
  <c r="G344" i="52"/>
  <c r="G351" i="52"/>
  <c r="G352" i="52"/>
  <c r="I354" i="52"/>
  <c r="G365" i="52"/>
  <c r="G379" i="52"/>
  <c r="J398" i="52"/>
  <c r="G407" i="52"/>
  <c r="G408" i="52"/>
  <c r="G27" i="52"/>
  <c r="G47" i="52"/>
  <c r="G53" i="52"/>
  <c r="G55" i="52"/>
  <c r="H56" i="52"/>
  <c r="G131" i="52"/>
  <c r="H132" i="52"/>
  <c r="H168" i="52"/>
  <c r="J253" i="52"/>
  <c r="G258" i="52"/>
  <c r="G259" i="52"/>
  <c r="G285" i="52"/>
  <c r="H286" i="52"/>
  <c r="I315" i="52"/>
  <c r="H317" i="52"/>
  <c r="G323" i="52"/>
  <c r="H331" i="52"/>
  <c r="H332" i="52"/>
  <c r="H343" i="52"/>
  <c r="H344" i="52"/>
  <c r="G349" i="52"/>
  <c r="H351" i="52"/>
  <c r="H352" i="52"/>
  <c r="J382" i="52"/>
  <c r="G391" i="52"/>
  <c r="G392" i="52"/>
  <c r="J402" i="52"/>
  <c r="H407" i="52"/>
  <c r="H408" i="52"/>
  <c r="J35" i="52"/>
  <c r="H35" i="52"/>
  <c r="G60" i="52"/>
  <c r="H60" i="52"/>
  <c r="J69" i="52"/>
  <c r="I69" i="52"/>
  <c r="J75" i="52"/>
  <c r="I75" i="52"/>
  <c r="J79" i="52"/>
  <c r="G79" i="52"/>
  <c r="J89" i="52"/>
  <c r="I89" i="52"/>
  <c r="J91" i="52"/>
  <c r="G91" i="52"/>
  <c r="J95" i="52"/>
  <c r="I95" i="52"/>
  <c r="J109" i="52"/>
  <c r="G109" i="52"/>
  <c r="J115" i="52"/>
  <c r="H115" i="52"/>
  <c r="J129" i="52"/>
  <c r="G129" i="52"/>
  <c r="J167" i="52"/>
  <c r="H167" i="52"/>
  <c r="G176" i="52"/>
  <c r="H176" i="52"/>
  <c r="H188" i="52"/>
  <c r="G188" i="52"/>
  <c r="H192" i="52"/>
  <c r="G192" i="52"/>
  <c r="H196" i="52"/>
  <c r="G196" i="52"/>
  <c r="H200" i="52"/>
  <c r="G200" i="52"/>
  <c r="H204" i="52"/>
  <c r="G204" i="52"/>
  <c r="H208" i="52"/>
  <c r="G208" i="52"/>
  <c r="H212" i="52"/>
  <c r="G212" i="52"/>
  <c r="H216" i="52"/>
  <c r="G216" i="52"/>
  <c r="H220" i="52"/>
  <c r="G220" i="52"/>
  <c r="H224" i="52"/>
  <c r="G224" i="52"/>
  <c r="H228" i="52"/>
  <c r="G228" i="52"/>
  <c r="H232" i="52"/>
  <c r="G232" i="52"/>
  <c r="I235" i="52"/>
  <c r="H235" i="52"/>
  <c r="J235" i="52"/>
  <c r="J238" i="52"/>
  <c r="H238" i="52"/>
  <c r="G238" i="52"/>
  <c r="H240" i="52"/>
  <c r="I240" i="52"/>
  <c r="I243" i="52"/>
  <c r="H243" i="52"/>
  <c r="J243" i="52"/>
  <c r="J246" i="52"/>
  <c r="H246" i="52"/>
  <c r="G246" i="52"/>
  <c r="J248" i="52"/>
  <c r="I248" i="52"/>
  <c r="J254" i="52"/>
  <c r="H254" i="52"/>
  <c r="I254" i="52"/>
  <c r="H275" i="52"/>
  <c r="I275" i="52"/>
  <c r="J328" i="52"/>
  <c r="H328" i="52"/>
  <c r="G328" i="52"/>
  <c r="G335" i="52"/>
  <c r="H335" i="52"/>
  <c r="J360" i="52"/>
  <c r="H360" i="52"/>
  <c r="G377" i="52"/>
  <c r="J377" i="52"/>
  <c r="J400" i="52"/>
  <c r="H400" i="52"/>
  <c r="J33" i="52"/>
  <c r="I33" i="52"/>
  <c r="G35" i="52"/>
  <c r="J38" i="52"/>
  <c r="J45" i="52"/>
  <c r="G45" i="52"/>
  <c r="J57" i="52"/>
  <c r="I57" i="52"/>
  <c r="J59" i="52"/>
  <c r="G59" i="52"/>
  <c r="J63" i="52"/>
  <c r="I63" i="52"/>
  <c r="H64" i="52"/>
  <c r="G69" i="52"/>
  <c r="G75" i="52"/>
  <c r="J77" i="52"/>
  <c r="G77" i="52"/>
  <c r="H79" i="52"/>
  <c r="G81" i="52"/>
  <c r="J83" i="52"/>
  <c r="H83" i="52"/>
  <c r="H84" i="52"/>
  <c r="G89" i="52"/>
  <c r="H91" i="52"/>
  <c r="G93" i="52"/>
  <c r="G95" i="52"/>
  <c r="J97" i="52"/>
  <c r="G97" i="52"/>
  <c r="I109" i="52"/>
  <c r="G115" i="52"/>
  <c r="I129" i="52"/>
  <c r="J135" i="52"/>
  <c r="H135" i="52"/>
  <c r="H136" i="52"/>
  <c r="G144" i="52"/>
  <c r="H144" i="52"/>
  <c r="G156" i="52"/>
  <c r="H156" i="52"/>
  <c r="J165" i="52"/>
  <c r="I165" i="52"/>
  <c r="G167" i="52"/>
  <c r="J171" i="52"/>
  <c r="I171" i="52"/>
  <c r="H172" i="52"/>
  <c r="J175" i="52"/>
  <c r="G175" i="52"/>
  <c r="J185" i="52"/>
  <c r="I185" i="52"/>
  <c r="I187" i="52"/>
  <c r="G187" i="52"/>
  <c r="I188" i="52"/>
  <c r="I191" i="52"/>
  <c r="G191" i="52"/>
  <c r="I192" i="52"/>
  <c r="I195" i="52"/>
  <c r="G195" i="52"/>
  <c r="I196" i="52"/>
  <c r="I199" i="52"/>
  <c r="G199" i="52"/>
  <c r="I200" i="52"/>
  <c r="I203" i="52"/>
  <c r="G203" i="52"/>
  <c r="I204" i="52"/>
  <c r="I207" i="52"/>
  <c r="G207" i="52"/>
  <c r="I208" i="52"/>
  <c r="I211" i="52"/>
  <c r="G211" i="52"/>
  <c r="I212" i="52"/>
  <c r="I215" i="52"/>
  <c r="G215" i="52"/>
  <c r="I216" i="52"/>
  <c r="I219" i="52"/>
  <c r="G219" i="52"/>
  <c r="I220" i="52"/>
  <c r="I223" i="52"/>
  <c r="G223" i="52"/>
  <c r="I224" i="52"/>
  <c r="I227" i="52"/>
  <c r="G227" i="52"/>
  <c r="I228" i="52"/>
  <c r="I231" i="52"/>
  <c r="G231" i="52"/>
  <c r="I232" i="52"/>
  <c r="G235" i="52"/>
  <c r="I238" i="52"/>
  <c r="G240" i="52"/>
  <c r="G243" i="52"/>
  <c r="I246" i="52"/>
  <c r="G248" i="52"/>
  <c r="G254" i="52"/>
  <c r="J273" i="52"/>
  <c r="I273" i="52"/>
  <c r="G275" i="52"/>
  <c r="H283" i="52"/>
  <c r="G283" i="52"/>
  <c r="I283" i="52"/>
  <c r="J289" i="52"/>
  <c r="G289" i="52"/>
  <c r="J293" i="52"/>
  <c r="I293" i="52"/>
  <c r="I310" i="52"/>
  <c r="H310" i="52"/>
  <c r="I322" i="52"/>
  <c r="H322" i="52"/>
  <c r="I326" i="52"/>
  <c r="H326" i="52"/>
  <c r="I335" i="52"/>
  <c r="I338" i="52"/>
  <c r="J338" i="52"/>
  <c r="J348" i="52"/>
  <c r="G348" i="52"/>
  <c r="G360" i="52"/>
  <c r="J367" i="52"/>
  <c r="H367" i="52"/>
  <c r="I367" i="52"/>
  <c r="G367" i="52"/>
  <c r="J372" i="52"/>
  <c r="H372" i="52"/>
  <c r="G372" i="52"/>
  <c r="G393" i="52"/>
  <c r="J393" i="52"/>
  <c r="G400" i="52"/>
  <c r="F25" i="52"/>
  <c r="J17" i="52"/>
  <c r="J16" i="52"/>
  <c r="H30" i="52"/>
  <c r="G33" i="52"/>
  <c r="I35" i="52"/>
  <c r="J39" i="52"/>
  <c r="H39" i="52"/>
  <c r="J41" i="52"/>
  <c r="G41" i="52"/>
  <c r="I45" i="52"/>
  <c r="J51" i="52"/>
  <c r="H51" i="52"/>
  <c r="H52" i="52"/>
  <c r="G57" i="52"/>
  <c r="H59" i="52"/>
  <c r="G61" i="52"/>
  <c r="G63" i="52"/>
  <c r="J65" i="52"/>
  <c r="G65" i="52"/>
  <c r="H75" i="52"/>
  <c r="I77" i="52"/>
  <c r="I79" i="52"/>
  <c r="I81" i="52"/>
  <c r="G83" i="52"/>
  <c r="I91" i="52"/>
  <c r="I93" i="52"/>
  <c r="H95" i="52"/>
  <c r="I97" i="52"/>
  <c r="J103" i="52"/>
  <c r="H103" i="52"/>
  <c r="H104" i="52"/>
  <c r="G112" i="52"/>
  <c r="H112" i="52"/>
  <c r="I115" i="52"/>
  <c r="G124" i="52"/>
  <c r="H124" i="52"/>
  <c r="J133" i="52"/>
  <c r="I133" i="52"/>
  <c r="G135" i="52"/>
  <c r="J139" i="52"/>
  <c r="I139" i="52"/>
  <c r="H140" i="52"/>
  <c r="J143" i="52"/>
  <c r="G143" i="52"/>
  <c r="J153" i="52"/>
  <c r="I153" i="52"/>
  <c r="J155" i="52"/>
  <c r="G155" i="52"/>
  <c r="J159" i="52"/>
  <c r="I159" i="52"/>
  <c r="H160" i="52"/>
  <c r="G165" i="52"/>
  <c r="I167" i="52"/>
  <c r="G171" i="52"/>
  <c r="J173" i="52"/>
  <c r="G173" i="52"/>
  <c r="H175" i="52"/>
  <c r="G177" i="52"/>
  <c r="J179" i="52"/>
  <c r="H179" i="52"/>
  <c r="H180" i="52"/>
  <c r="G185" i="52"/>
  <c r="H187" i="52"/>
  <c r="J188" i="52"/>
  <c r="J190" i="52"/>
  <c r="G190" i="52"/>
  <c r="H191" i="52"/>
  <c r="J192" i="52"/>
  <c r="J194" i="52"/>
  <c r="G194" i="52"/>
  <c r="H195" i="52"/>
  <c r="J196" i="52"/>
  <c r="J198" i="52"/>
  <c r="G198" i="52"/>
  <c r="H199" i="52"/>
  <c r="J200" i="52"/>
  <c r="J202" i="52"/>
  <c r="G202" i="52"/>
  <c r="H203" i="52"/>
  <c r="J204" i="52"/>
  <c r="J206" i="52"/>
  <c r="G206" i="52"/>
  <c r="H207" i="52"/>
  <c r="J208" i="52"/>
  <c r="J210" i="52"/>
  <c r="G210" i="52"/>
  <c r="H211" i="52"/>
  <c r="J212" i="52"/>
  <c r="J214" i="52"/>
  <c r="G214" i="52"/>
  <c r="H215" i="52"/>
  <c r="J216" i="52"/>
  <c r="J218" i="52"/>
  <c r="G218" i="52"/>
  <c r="H219" i="52"/>
  <c r="J220" i="52"/>
  <c r="J222" i="52"/>
  <c r="G222" i="52"/>
  <c r="H223" i="52"/>
  <c r="J224" i="52"/>
  <c r="J226" i="52"/>
  <c r="G226" i="52"/>
  <c r="H227" i="52"/>
  <c r="J228" i="52"/>
  <c r="J230" i="52"/>
  <c r="G230" i="52"/>
  <c r="H231" i="52"/>
  <c r="J232" i="52"/>
  <c r="J234" i="52"/>
  <c r="H234" i="52"/>
  <c r="G234" i="52"/>
  <c r="H236" i="52"/>
  <c r="I236" i="52"/>
  <c r="I239" i="52"/>
  <c r="H239" i="52"/>
  <c r="J239" i="52"/>
  <c r="J240" i="52"/>
  <c r="J242" i="52"/>
  <c r="H242" i="52"/>
  <c r="G242" i="52"/>
  <c r="H244" i="52"/>
  <c r="I244" i="52"/>
  <c r="I247" i="52"/>
  <c r="H247" i="52"/>
  <c r="J247" i="52"/>
  <c r="J251" i="52"/>
  <c r="H251" i="52"/>
  <c r="H270" i="52"/>
  <c r="G273" i="52"/>
  <c r="H287" i="52"/>
  <c r="I287" i="52"/>
  <c r="H289" i="52"/>
  <c r="G291" i="52"/>
  <c r="G293" i="52"/>
  <c r="H295" i="52"/>
  <c r="G295" i="52"/>
  <c r="H302" i="52"/>
  <c r="I306" i="52"/>
  <c r="H306" i="52"/>
  <c r="H327" i="52"/>
  <c r="G327" i="52"/>
  <c r="J336" i="52"/>
  <c r="H336" i="52"/>
  <c r="G336" i="52"/>
  <c r="J339" i="52"/>
  <c r="H339" i="52"/>
  <c r="H348" i="52"/>
  <c r="I350" i="52"/>
  <c r="J368" i="52"/>
  <c r="H368" i="52"/>
  <c r="J370" i="52"/>
  <c r="J383" i="52"/>
  <c r="H383" i="52"/>
  <c r="I383" i="52"/>
  <c r="G383" i="52"/>
  <c r="J388" i="52"/>
  <c r="H388" i="52"/>
  <c r="G388" i="52"/>
  <c r="G409" i="52"/>
  <c r="J409" i="52"/>
  <c r="J29" i="52"/>
  <c r="G29" i="52"/>
  <c r="G39" i="52"/>
  <c r="I41" i="52"/>
  <c r="J49" i="52"/>
  <c r="I49" i="52"/>
  <c r="G51" i="52"/>
  <c r="I59" i="52"/>
  <c r="I61" i="52"/>
  <c r="H63" i="52"/>
  <c r="I65" i="52"/>
  <c r="J71" i="52"/>
  <c r="H71" i="52"/>
  <c r="H72" i="52"/>
  <c r="G80" i="52"/>
  <c r="H80" i="52"/>
  <c r="I83" i="52"/>
  <c r="G92" i="52"/>
  <c r="H92" i="52"/>
  <c r="J101" i="52"/>
  <c r="I101" i="52"/>
  <c r="G103" i="52"/>
  <c r="J107" i="52"/>
  <c r="I107" i="52"/>
  <c r="H108" i="52"/>
  <c r="J111" i="52"/>
  <c r="G111" i="52"/>
  <c r="J121" i="52"/>
  <c r="I121" i="52"/>
  <c r="J123" i="52"/>
  <c r="G123" i="52"/>
  <c r="J127" i="52"/>
  <c r="I127" i="52"/>
  <c r="H128" i="52"/>
  <c r="G133" i="52"/>
  <c r="I135" i="52"/>
  <c r="G139" i="52"/>
  <c r="J141" i="52"/>
  <c r="G141" i="52"/>
  <c r="H143" i="52"/>
  <c r="G145" i="52"/>
  <c r="J147" i="52"/>
  <c r="H147" i="52"/>
  <c r="H148" i="52"/>
  <c r="G153" i="52"/>
  <c r="H155" i="52"/>
  <c r="G157" i="52"/>
  <c r="G159" i="52"/>
  <c r="J161" i="52"/>
  <c r="G161" i="52"/>
  <c r="H171" i="52"/>
  <c r="I173" i="52"/>
  <c r="I175" i="52"/>
  <c r="I177" i="52"/>
  <c r="G179" i="52"/>
  <c r="J187" i="52"/>
  <c r="G189" i="52"/>
  <c r="H189" i="52"/>
  <c r="H190" i="52"/>
  <c r="J191" i="52"/>
  <c r="G193" i="52"/>
  <c r="H193" i="52"/>
  <c r="H194" i="52"/>
  <c r="J195" i="52"/>
  <c r="G197" i="52"/>
  <c r="H197" i="52"/>
  <c r="H198" i="52"/>
  <c r="J199" i="52"/>
  <c r="G201" i="52"/>
  <c r="H201" i="52"/>
  <c r="H202" i="52"/>
  <c r="J203" i="52"/>
  <c r="G205" i="52"/>
  <c r="H205" i="52"/>
  <c r="H206" i="52"/>
  <c r="J207" i="52"/>
  <c r="G209" i="52"/>
  <c r="H209" i="52"/>
  <c r="H210" i="52"/>
  <c r="J211" i="52"/>
  <c r="G213" i="52"/>
  <c r="H213" i="52"/>
  <c r="H214" i="52"/>
  <c r="J215" i="52"/>
  <c r="G217" i="52"/>
  <c r="H217" i="52"/>
  <c r="H218" i="52"/>
  <c r="J219" i="52"/>
  <c r="G221" i="52"/>
  <c r="H221" i="52"/>
  <c r="H222" i="52"/>
  <c r="J223" i="52"/>
  <c r="G225" i="52"/>
  <c r="H225" i="52"/>
  <c r="H226" i="52"/>
  <c r="J227" i="52"/>
  <c r="G229" i="52"/>
  <c r="H229" i="52"/>
  <c r="H230" i="52"/>
  <c r="J231" i="52"/>
  <c r="G233" i="52"/>
  <c r="H233" i="52"/>
  <c r="I234" i="52"/>
  <c r="G236" i="52"/>
  <c r="G239" i="52"/>
  <c r="I242" i="52"/>
  <c r="G244" i="52"/>
  <c r="G247" i="52"/>
  <c r="J256" i="52"/>
  <c r="G256" i="52"/>
  <c r="J277" i="52"/>
  <c r="G277" i="52"/>
  <c r="H284" i="52"/>
  <c r="G287" i="52"/>
  <c r="I289" i="52"/>
  <c r="I291" i="52"/>
  <c r="H293" i="52"/>
  <c r="I295" i="52"/>
  <c r="J301" i="52"/>
  <c r="H301" i="52"/>
  <c r="G301" i="52"/>
  <c r="H307" i="52"/>
  <c r="G307" i="52"/>
  <c r="J313" i="52"/>
  <c r="H313" i="52"/>
  <c r="I327" i="52"/>
  <c r="G339" i="52"/>
  <c r="J347" i="52"/>
  <c r="G347" i="52"/>
  <c r="H347" i="52"/>
  <c r="J359" i="52"/>
  <c r="H359" i="52"/>
  <c r="I359" i="52"/>
  <c r="G359" i="52"/>
  <c r="J364" i="52"/>
  <c r="H364" i="52"/>
  <c r="G364" i="52"/>
  <c r="G368" i="52"/>
  <c r="G381" i="52"/>
  <c r="J384" i="52"/>
  <c r="H384" i="52"/>
  <c r="J386" i="52"/>
  <c r="J399" i="52"/>
  <c r="H399" i="52"/>
  <c r="I399" i="52"/>
  <c r="G399" i="52"/>
  <c r="J404" i="52"/>
  <c r="H404" i="52"/>
  <c r="G404" i="52"/>
  <c r="J363" i="52"/>
  <c r="I363" i="52"/>
  <c r="J371" i="52"/>
  <c r="H371" i="52"/>
  <c r="J380" i="52"/>
  <c r="H380" i="52"/>
  <c r="J387" i="52"/>
  <c r="H387" i="52"/>
  <c r="J396" i="52"/>
  <c r="H396" i="52"/>
  <c r="J403" i="52"/>
  <c r="H403" i="52"/>
  <c r="J412" i="52"/>
  <c r="H412" i="52"/>
  <c r="G237" i="52"/>
  <c r="I237" i="52"/>
  <c r="G241" i="52"/>
  <c r="I241" i="52"/>
  <c r="G245" i="52"/>
  <c r="I245" i="52"/>
  <c r="J250" i="52"/>
  <c r="H250" i="52"/>
  <c r="J263" i="52"/>
  <c r="H263" i="52"/>
  <c r="J269" i="52"/>
  <c r="G269" i="52"/>
  <c r="H279" i="52"/>
  <c r="G279" i="52"/>
  <c r="I290" i="52"/>
  <c r="H290" i="52"/>
  <c r="H299" i="52"/>
  <c r="I299" i="52"/>
  <c r="J305" i="52"/>
  <c r="I305" i="52"/>
  <c r="J309" i="52"/>
  <c r="G309" i="52"/>
  <c r="H319" i="52"/>
  <c r="I319" i="52"/>
  <c r="J321" i="52"/>
  <c r="G321" i="52"/>
  <c r="J325" i="52"/>
  <c r="I325" i="52"/>
  <c r="J340" i="52"/>
  <c r="H340" i="52"/>
  <c r="G363" i="52"/>
  <c r="G371" i="52"/>
  <c r="J379" i="52"/>
  <c r="H379" i="52"/>
  <c r="G380" i="52"/>
  <c r="G387" i="52"/>
  <c r="J395" i="52"/>
  <c r="H395" i="52"/>
  <c r="G396" i="52"/>
  <c r="G403" i="52"/>
  <c r="J411" i="52"/>
  <c r="H411" i="52"/>
  <c r="G412" i="52"/>
  <c r="I34" i="52"/>
  <c r="G34" i="52"/>
  <c r="I54" i="52"/>
  <c r="H54" i="52"/>
  <c r="G54" i="52"/>
  <c r="I118" i="52"/>
  <c r="H118" i="52"/>
  <c r="G118" i="52"/>
  <c r="I150" i="52"/>
  <c r="H150" i="52"/>
  <c r="G150" i="52"/>
  <c r="I182" i="52"/>
  <c r="H182" i="52"/>
  <c r="G182" i="52"/>
  <c r="I249" i="52"/>
  <c r="G249" i="52"/>
  <c r="J249" i="52"/>
  <c r="H249" i="52"/>
  <c r="G300" i="52"/>
  <c r="I300" i="52"/>
  <c r="H300" i="52"/>
  <c r="J300" i="52"/>
  <c r="I341" i="52"/>
  <c r="H341" i="52"/>
  <c r="G341" i="52"/>
  <c r="J341" i="52"/>
  <c r="I373" i="52"/>
  <c r="H373" i="52"/>
  <c r="G373" i="52"/>
  <c r="J373" i="52"/>
  <c r="G28" i="52"/>
  <c r="I28" i="52"/>
  <c r="H34" i="52"/>
  <c r="I38" i="52"/>
  <c r="G38" i="52"/>
  <c r="G44" i="52"/>
  <c r="I44" i="52"/>
  <c r="J54" i="52"/>
  <c r="I66" i="52"/>
  <c r="H66" i="52"/>
  <c r="G66" i="52"/>
  <c r="I82" i="52"/>
  <c r="H82" i="52"/>
  <c r="G82" i="52"/>
  <c r="I98" i="52"/>
  <c r="H98" i="52"/>
  <c r="G98" i="52"/>
  <c r="I114" i="52"/>
  <c r="H114" i="52"/>
  <c r="G114" i="52"/>
  <c r="J118" i="52"/>
  <c r="I130" i="52"/>
  <c r="H130" i="52"/>
  <c r="G130" i="52"/>
  <c r="I146" i="52"/>
  <c r="H146" i="52"/>
  <c r="G146" i="52"/>
  <c r="J150" i="52"/>
  <c r="I162" i="52"/>
  <c r="H162" i="52"/>
  <c r="G162" i="52"/>
  <c r="I178" i="52"/>
  <c r="H178" i="52"/>
  <c r="G178" i="52"/>
  <c r="J182" i="52"/>
  <c r="G255" i="52"/>
  <c r="I255" i="52"/>
  <c r="J255" i="52"/>
  <c r="H255" i="52"/>
  <c r="I278" i="52"/>
  <c r="G278" i="52"/>
  <c r="H278" i="52"/>
  <c r="J278" i="52"/>
  <c r="G40" i="52"/>
  <c r="I40" i="52"/>
  <c r="I50" i="52"/>
  <c r="G50" i="52"/>
  <c r="G26" i="52"/>
  <c r="H26" i="52"/>
  <c r="I26" i="52"/>
  <c r="J26" i="52"/>
  <c r="G32" i="52"/>
  <c r="I32" i="52"/>
  <c r="J34" i="52"/>
  <c r="J40" i="52"/>
  <c r="I42" i="52"/>
  <c r="G42" i="52"/>
  <c r="G48" i="52"/>
  <c r="I48" i="52"/>
  <c r="J50" i="52"/>
  <c r="I62" i="52"/>
  <c r="H62" i="52"/>
  <c r="G62" i="52"/>
  <c r="I78" i="52"/>
  <c r="H78" i="52"/>
  <c r="G78" i="52"/>
  <c r="I94" i="52"/>
  <c r="H94" i="52"/>
  <c r="G94" i="52"/>
  <c r="I110" i="52"/>
  <c r="H110" i="52"/>
  <c r="G110" i="52"/>
  <c r="I126" i="52"/>
  <c r="H126" i="52"/>
  <c r="G126" i="52"/>
  <c r="I142" i="52"/>
  <c r="H142" i="52"/>
  <c r="G142" i="52"/>
  <c r="I158" i="52"/>
  <c r="H158" i="52"/>
  <c r="G158" i="52"/>
  <c r="I174" i="52"/>
  <c r="H174" i="52"/>
  <c r="G174" i="52"/>
  <c r="I70" i="52"/>
  <c r="H70" i="52"/>
  <c r="G70" i="52"/>
  <c r="I86" i="52"/>
  <c r="H86" i="52"/>
  <c r="G86" i="52"/>
  <c r="I102" i="52"/>
  <c r="H102" i="52"/>
  <c r="G102" i="52"/>
  <c r="I134" i="52"/>
  <c r="H134" i="52"/>
  <c r="G134" i="52"/>
  <c r="I166" i="52"/>
  <c r="H166" i="52"/>
  <c r="G166" i="52"/>
  <c r="I30" i="52"/>
  <c r="G30" i="52"/>
  <c r="H32" i="52"/>
  <c r="G36" i="52"/>
  <c r="I36" i="52"/>
  <c r="H42" i="52"/>
  <c r="I46" i="52"/>
  <c r="G46" i="52"/>
  <c r="H48" i="52"/>
  <c r="I58" i="52"/>
  <c r="H58" i="52"/>
  <c r="G58" i="52"/>
  <c r="J62" i="52"/>
  <c r="I74" i="52"/>
  <c r="H74" i="52"/>
  <c r="G74" i="52"/>
  <c r="J78" i="52"/>
  <c r="I90" i="52"/>
  <c r="H90" i="52"/>
  <c r="G90" i="52"/>
  <c r="J94" i="52"/>
  <c r="I106" i="52"/>
  <c r="H106" i="52"/>
  <c r="G106" i="52"/>
  <c r="J110" i="52"/>
  <c r="I122" i="52"/>
  <c r="H122" i="52"/>
  <c r="G122" i="52"/>
  <c r="J126" i="52"/>
  <c r="I138" i="52"/>
  <c r="H138" i="52"/>
  <c r="G138" i="52"/>
  <c r="J142" i="52"/>
  <c r="I154" i="52"/>
  <c r="H154" i="52"/>
  <c r="G154" i="52"/>
  <c r="J158" i="52"/>
  <c r="I170" i="52"/>
  <c r="H170" i="52"/>
  <c r="G170" i="52"/>
  <c r="J174" i="52"/>
  <c r="I186" i="52"/>
  <c r="H186" i="52"/>
  <c r="G186" i="52"/>
  <c r="H378" i="52"/>
  <c r="G378" i="52"/>
  <c r="I378" i="52"/>
  <c r="J378" i="52"/>
  <c r="I389" i="52"/>
  <c r="H389" i="52"/>
  <c r="G389" i="52"/>
  <c r="J389" i="52"/>
  <c r="H394" i="52"/>
  <c r="G394" i="52"/>
  <c r="I394" i="52"/>
  <c r="J394" i="52"/>
  <c r="I405" i="52"/>
  <c r="H405" i="52"/>
  <c r="G405" i="52"/>
  <c r="J405" i="52"/>
  <c r="H410" i="52"/>
  <c r="G410" i="52"/>
  <c r="I410" i="52"/>
  <c r="J410" i="52"/>
  <c r="H29" i="52"/>
  <c r="H33" i="52"/>
  <c r="H37" i="52"/>
  <c r="H41" i="52"/>
  <c r="H45" i="52"/>
  <c r="H49" i="52"/>
  <c r="I52" i="52"/>
  <c r="H53" i="52"/>
  <c r="I56" i="52"/>
  <c r="H57" i="52"/>
  <c r="I60" i="52"/>
  <c r="H61" i="52"/>
  <c r="I64" i="52"/>
  <c r="H65" i="52"/>
  <c r="I68" i="52"/>
  <c r="H69" i="52"/>
  <c r="I72" i="52"/>
  <c r="H73" i="52"/>
  <c r="I76" i="52"/>
  <c r="H77" i="52"/>
  <c r="I80" i="52"/>
  <c r="H81" i="52"/>
  <c r="I84" i="52"/>
  <c r="H85" i="52"/>
  <c r="I88" i="52"/>
  <c r="H89" i="52"/>
  <c r="I92" i="52"/>
  <c r="H93" i="52"/>
  <c r="I96" i="52"/>
  <c r="H97" i="52"/>
  <c r="I100" i="52"/>
  <c r="H101" i="52"/>
  <c r="I104" i="52"/>
  <c r="H105" i="52"/>
  <c r="I108" i="52"/>
  <c r="H109" i="52"/>
  <c r="I112" i="52"/>
  <c r="H113" i="52"/>
  <c r="I116" i="52"/>
  <c r="H117" i="52"/>
  <c r="I120" i="52"/>
  <c r="H121" i="52"/>
  <c r="I124" i="52"/>
  <c r="H125" i="52"/>
  <c r="I128" i="52"/>
  <c r="H129" i="52"/>
  <c r="I132" i="52"/>
  <c r="H133" i="52"/>
  <c r="I136" i="52"/>
  <c r="H137" i="52"/>
  <c r="I140" i="52"/>
  <c r="H141" i="52"/>
  <c r="I144" i="52"/>
  <c r="H145" i="52"/>
  <c r="I148" i="52"/>
  <c r="H149" i="52"/>
  <c r="I152" i="52"/>
  <c r="H153" i="52"/>
  <c r="I156" i="52"/>
  <c r="H157" i="52"/>
  <c r="I160" i="52"/>
  <c r="H161" i="52"/>
  <c r="I164" i="52"/>
  <c r="H165" i="52"/>
  <c r="I168" i="52"/>
  <c r="H169" i="52"/>
  <c r="I172" i="52"/>
  <c r="H173" i="52"/>
  <c r="I176" i="52"/>
  <c r="H177" i="52"/>
  <c r="I180" i="52"/>
  <c r="H181" i="52"/>
  <c r="I184" i="52"/>
  <c r="H185" i="52"/>
  <c r="I253" i="52"/>
  <c r="G253" i="52"/>
  <c r="I260" i="52"/>
  <c r="G260" i="52"/>
  <c r="J260" i="52"/>
  <c r="G262" i="52"/>
  <c r="H262" i="52"/>
  <c r="J262" i="52"/>
  <c r="H265" i="52"/>
  <c r="G265" i="52"/>
  <c r="J265" i="52"/>
  <c r="G272" i="52"/>
  <c r="I272" i="52"/>
  <c r="H272" i="52"/>
  <c r="G280" i="52"/>
  <c r="I280" i="52"/>
  <c r="H280" i="52"/>
  <c r="G308" i="52"/>
  <c r="I308" i="52"/>
  <c r="H308" i="52"/>
  <c r="J308" i="52"/>
  <c r="J52" i="52"/>
  <c r="J56" i="52"/>
  <c r="J60" i="52"/>
  <c r="J64" i="52"/>
  <c r="J68" i="52"/>
  <c r="J72" i="52"/>
  <c r="J76" i="52"/>
  <c r="J80" i="52"/>
  <c r="J84" i="52"/>
  <c r="J88" i="52"/>
  <c r="J92" i="52"/>
  <c r="J96" i="52"/>
  <c r="J100" i="52"/>
  <c r="J104" i="52"/>
  <c r="J108" i="52"/>
  <c r="J112" i="52"/>
  <c r="J116" i="52"/>
  <c r="J120" i="52"/>
  <c r="J124" i="52"/>
  <c r="J128" i="52"/>
  <c r="J132" i="52"/>
  <c r="J136" i="52"/>
  <c r="J140" i="52"/>
  <c r="J144" i="52"/>
  <c r="J148" i="52"/>
  <c r="J152" i="52"/>
  <c r="J156" i="52"/>
  <c r="J160" i="52"/>
  <c r="J164" i="52"/>
  <c r="J168" i="52"/>
  <c r="J172" i="52"/>
  <c r="J176" i="52"/>
  <c r="J180" i="52"/>
  <c r="J184" i="52"/>
  <c r="I257" i="52"/>
  <c r="G257" i="52"/>
  <c r="I274" i="52"/>
  <c r="G274" i="52"/>
  <c r="H274" i="52"/>
  <c r="G316" i="52"/>
  <c r="I316" i="52"/>
  <c r="H316" i="52"/>
  <c r="J316" i="52"/>
  <c r="I357" i="52"/>
  <c r="H357" i="52"/>
  <c r="G357" i="52"/>
  <c r="J357" i="52"/>
  <c r="G251" i="52"/>
  <c r="I251" i="52"/>
  <c r="H257" i="52"/>
  <c r="H261" i="52"/>
  <c r="G261" i="52"/>
  <c r="J261" i="52"/>
  <c r="I264" i="52"/>
  <c r="G264" i="52"/>
  <c r="J264" i="52"/>
  <c r="I266" i="52"/>
  <c r="G266" i="52"/>
  <c r="H266" i="52"/>
  <c r="J274" i="52"/>
  <c r="G276" i="52"/>
  <c r="I276" i="52"/>
  <c r="H276" i="52"/>
  <c r="G292" i="52"/>
  <c r="I292" i="52"/>
  <c r="H292" i="52"/>
  <c r="J292" i="52"/>
  <c r="G324" i="52"/>
  <c r="I324" i="52"/>
  <c r="H324" i="52"/>
  <c r="J324" i="52"/>
  <c r="H248" i="52"/>
  <c r="H252" i="52"/>
  <c r="H256" i="52"/>
  <c r="G268" i="52"/>
  <c r="I268" i="52"/>
  <c r="I282" i="52"/>
  <c r="G282" i="52"/>
  <c r="G296" i="52"/>
  <c r="I296" i="52"/>
  <c r="H296" i="52"/>
  <c r="G312" i="52"/>
  <c r="I312" i="52"/>
  <c r="H312" i="52"/>
  <c r="H346" i="52"/>
  <c r="G346" i="52"/>
  <c r="I346" i="52"/>
  <c r="J346" i="52"/>
  <c r="I270" i="52"/>
  <c r="G270" i="52"/>
  <c r="G284" i="52"/>
  <c r="I284" i="52"/>
  <c r="G288" i="52"/>
  <c r="I288" i="52"/>
  <c r="H288" i="52"/>
  <c r="G304" i="52"/>
  <c r="I304" i="52"/>
  <c r="H304" i="52"/>
  <c r="G320" i="52"/>
  <c r="I320" i="52"/>
  <c r="H320" i="52"/>
  <c r="H362" i="52"/>
  <c r="G362" i="52"/>
  <c r="I362" i="52"/>
  <c r="J362" i="52"/>
  <c r="J286" i="52"/>
  <c r="J290" i="52"/>
  <c r="J294" i="52"/>
  <c r="J298" i="52"/>
  <c r="J302" i="52"/>
  <c r="J306" i="52"/>
  <c r="J310" i="52"/>
  <c r="J314" i="52"/>
  <c r="J318" i="52"/>
  <c r="J322" i="52"/>
  <c r="J326" i="52"/>
  <c r="H330" i="52"/>
  <c r="G330" i="52"/>
  <c r="H334" i="52"/>
  <c r="G334" i="52"/>
  <c r="H338" i="52"/>
  <c r="G338" i="52"/>
  <c r="I349" i="52"/>
  <c r="H349" i="52"/>
  <c r="H354" i="52"/>
  <c r="G354" i="52"/>
  <c r="I365" i="52"/>
  <c r="H365" i="52"/>
  <c r="H370" i="52"/>
  <c r="G370" i="52"/>
  <c r="I381" i="52"/>
  <c r="H381" i="52"/>
  <c r="H386" i="52"/>
  <c r="G386" i="52"/>
  <c r="I397" i="52"/>
  <c r="H397" i="52"/>
  <c r="H402" i="52"/>
  <c r="G402" i="52"/>
  <c r="H269" i="52"/>
  <c r="H273" i="52"/>
  <c r="J275" i="52"/>
  <c r="H277" i="52"/>
  <c r="J279" i="52"/>
  <c r="J283" i="52"/>
  <c r="G286" i="52"/>
  <c r="J287" i="52"/>
  <c r="G290" i="52"/>
  <c r="J291" i="52"/>
  <c r="G294" i="52"/>
  <c r="J295" i="52"/>
  <c r="G298" i="52"/>
  <c r="J299" i="52"/>
  <c r="G302" i="52"/>
  <c r="J303" i="52"/>
  <c r="G306" i="52"/>
  <c r="J307" i="52"/>
  <c r="G310" i="52"/>
  <c r="J311" i="52"/>
  <c r="G314" i="52"/>
  <c r="J315" i="52"/>
  <c r="G318" i="52"/>
  <c r="J319" i="52"/>
  <c r="G322" i="52"/>
  <c r="J323" i="52"/>
  <c r="G326" i="52"/>
  <c r="J327" i="52"/>
  <c r="I329" i="52"/>
  <c r="H329" i="52"/>
  <c r="I330" i="52"/>
  <c r="I333" i="52"/>
  <c r="H333" i="52"/>
  <c r="I334" i="52"/>
  <c r="I337" i="52"/>
  <c r="H337" i="52"/>
  <c r="H342" i="52"/>
  <c r="G342" i="52"/>
  <c r="I353" i="52"/>
  <c r="H353" i="52"/>
  <c r="H358" i="52"/>
  <c r="G358" i="52"/>
  <c r="I369" i="52"/>
  <c r="H369" i="52"/>
  <c r="H374" i="52"/>
  <c r="G374" i="52"/>
  <c r="I385" i="52"/>
  <c r="H385" i="52"/>
  <c r="H390" i="52"/>
  <c r="G390" i="52"/>
  <c r="I401" i="52"/>
  <c r="H401" i="52"/>
  <c r="H406" i="52"/>
  <c r="G406" i="52"/>
  <c r="J329" i="52"/>
  <c r="J333" i="52"/>
  <c r="J337" i="52"/>
  <c r="J342" i="52"/>
  <c r="I345" i="52"/>
  <c r="H345" i="52"/>
  <c r="H350" i="52"/>
  <c r="G350" i="52"/>
  <c r="J353" i="52"/>
  <c r="J358" i="52"/>
  <c r="I361" i="52"/>
  <c r="H361" i="52"/>
  <c r="H366" i="52"/>
  <c r="G366" i="52"/>
  <c r="J369" i="52"/>
  <c r="J374" i="52"/>
  <c r="I377" i="52"/>
  <c r="H377" i="52"/>
  <c r="H382" i="52"/>
  <c r="G382" i="52"/>
  <c r="J385" i="52"/>
  <c r="J390" i="52"/>
  <c r="I393" i="52"/>
  <c r="H393" i="52"/>
  <c r="H398" i="52"/>
  <c r="G398" i="52"/>
  <c r="J401" i="52"/>
  <c r="J406" i="52"/>
  <c r="I409" i="52"/>
  <c r="H409" i="52"/>
  <c r="I328" i="52"/>
  <c r="J331" i="52"/>
  <c r="I332" i="52"/>
  <c r="J335" i="52"/>
  <c r="I336" i="52"/>
  <c r="I340" i="52"/>
  <c r="I344" i="52"/>
  <c r="I348" i="52"/>
  <c r="I352" i="52"/>
  <c r="I356" i="52"/>
  <c r="I360" i="52"/>
  <c r="I364" i="52"/>
  <c r="I368" i="52"/>
  <c r="I372" i="52"/>
  <c r="I376" i="52"/>
  <c r="I380" i="52"/>
  <c r="I384" i="52"/>
  <c r="I388" i="52"/>
  <c r="I392" i="52"/>
  <c r="I396" i="52"/>
  <c r="I400" i="52"/>
  <c r="I404" i="52"/>
  <c r="I408" i="52"/>
  <c r="I412" i="52"/>
  <c r="G77" i="51"/>
  <c r="H136" i="51"/>
  <c r="J167" i="51"/>
  <c r="G192" i="51"/>
  <c r="G224" i="51"/>
  <c r="G241" i="51"/>
  <c r="G275" i="51"/>
  <c r="G385" i="51"/>
  <c r="G389" i="51"/>
  <c r="G33" i="51"/>
  <c r="J34" i="51"/>
  <c r="I49" i="51"/>
  <c r="J96" i="51"/>
  <c r="H109" i="51"/>
  <c r="H133" i="51"/>
  <c r="J135" i="51"/>
  <c r="H161" i="51"/>
  <c r="J162" i="51"/>
  <c r="H173" i="51"/>
  <c r="J188" i="51"/>
  <c r="J204" i="51"/>
  <c r="J220" i="51"/>
  <c r="G259" i="51"/>
  <c r="G279" i="51"/>
  <c r="I283" i="51"/>
  <c r="I290" i="51"/>
  <c r="I291" i="51"/>
  <c r="J301" i="51"/>
  <c r="H311" i="51"/>
  <c r="J312" i="51"/>
  <c r="G315" i="51"/>
  <c r="H326" i="51"/>
  <c r="I330" i="51"/>
  <c r="G350" i="51"/>
  <c r="G354" i="51"/>
  <c r="G366" i="51"/>
  <c r="H398" i="51"/>
  <c r="J70" i="51"/>
  <c r="H128" i="51"/>
  <c r="G208" i="51"/>
  <c r="G233" i="51"/>
  <c r="G249" i="51"/>
  <c r="G257" i="51"/>
  <c r="G283" i="51"/>
  <c r="G291" i="51"/>
  <c r="G295" i="51"/>
  <c r="G330" i="51"/>
  <c r="G338" i="51"/>
  <c r="J380" i="51"/>
  <c r="G387" i="51"/>
  <c r="H406" i="51"/>
  <c r="J51" i="51"/>
  <c r="J64" i="51"/>
  <c r="J102" i="51"/>
  <c r="G109" i="51"/>
  <c r="I128" i="51"/>
  <c r="I129" i="51"/>
  <c r="G133" i="51"/>
  <c r="I136" i="51"/>
  <c r="I141" i="51"/>
  <c r="G161" i="51"/>
  <c r="I164" i="51"/>
  <c r="I165" i="51"/>
  <c r="G173" i="51"/>
  <c r="H283" i="51"/>
  <c r="J285" i="51"/>
  <c r="H290" i="51"/>
  <c r="H291" i="51"/>
  <c r="G311" i="51"/>
  <c r="G326" i="51"/>
  <c r="H330" i="51"/>
  <c r="H374" i="51"/>
  <c r="G398" i="51"/>
  <c r="J37" i="51"/>
  <c r="I37" i="51"/>
  <c r="J41" i="51"/>
  <c r="G41" i="51"/>
  <c r="H47" i="51"/>
  <c r="J47" i="51"/>
  <c r="G60" i="51"/>
  <c r="J60" i="51"/>
  <c r="I66" i="51"/>
  <c r="J66" i="51"/>
  <c r="J69" i="51"/>
  <c r="I69" i="51"/>
  <c r="J73" i="51"/>
  <c r="G73" i="51"/>
  <c r="H79" i="51"/>
  <c r="J79" i="51"/>
  <c r="G92" i="51"/>
  <c r="J92" i="51"/>
  <c r="I98" i="51"/>
  <c r="J98" i="51"/>
  <c r="J101" i="51"/>
  <c r="I101" i="51"/>
  <c r="J105" i="51"/>
  <c r="G105" i="51"/>
  <c r="G116" i="51"/>
  <c r="H116" i="51"/>
  <c r="G120" i="51"/>
  <c r="I120" i="51"/>
  <c r="J137" i="51"/>
  <c r="G137" i="51"/>
  <c r="G148" i="51"/>
  <c r="H148" i="51"/>
  <c r="G152" i="51"/>
  <c r="I152" i="51"/>
  <c r="J169" i="51"/>
  <c r="G169" i="51"/>
  <c r="G180" i="51"/>
  <c r="H180" i="51"/>
  <c r="J183" i="51"/>
  <c r="H183" i="51"/>
  <c r="J187" i="51"/>
  <c r="H187" i="51"/>
  <c r="J191" i="51"/>
  <c r="H191" i="51"/>
  <c r="J195" i="51"/>
  <c r="H195" i="51"/>
  <c r="J199" i="51"/>
  <c r="H199" i="51"/>
  <c r="J203" i="51"/>
  <c r="H203" i="51"/>
  <c r="J207" i="51"/>
  <c r="H207" i="51"/>
  <c r="J211" i="51"/>
  <c r="H211" i="51"/>
  <c r="J215" i="51"/>
  <c r="H215" i="51"/>
  <c r="J219" i="51"/>
  <c r="H219" i="51"/>
  <c r="J223" i="51"/>
  <c r="H223" i="51"/>
  <c r="J227" i="51"/>
  <c r="H227" i="51"/>
  <c r="G262" i="51"/>
  <c r="H262" i="51"/>
  <c r="G266" i="51"/>
  <c r="H266" i="51"/>
  <c r="I266" i="51"/>
  <c r="J271" i="51"/>
  <c r="I271" i="51"/>
  <c r="G278" i="51"/>
  <c r="I278" i="51"/>
  <c r="J287" i="51"/>
  <c r="G287" i="51"/>
  <c r="H287" i="51"/>
  <c r="J322" i="51"/>
  <c r="G322" i="51"/>
  <c r="I322" i="51"/>
  <c r="J358" i="51"/>
  <c r="H358" i="51"/>
  <c r="G361" i="51"/>
  <c r="I361" i="51"/>
  <c r="H361" i="51"/>
  <c r="J370" i="51"/>
  <c r="G370" i="51"/>
  <c r="J373" i="51"/>
  <c r="I373" i="51"/>
  <c r="H373" i="51"/>
  <c r="J378" i="51"/>
  <c r="G378" i="51"/>
  <c r="J397" i="51"/>
  <c r="I397" i="51"/>
  <c r="J401" i="51"/>
  <c r="H401" i="51"/>
  <c r="J405" i="51"/>
  <c r="I405" i="51"/>
  <c r="H405" i="51"/>
  <c r="I408" i="51"/>
  <c r="J408" i="51"/>
  <c r="G37" i="51"/>
  <c r="H39" i="51"/>
  <c r="J39" i="51"/>
  <c r="H41" i="51"/>
  <c r="J43" i="51"/>
  <c r="G52" i="51"/>
  <c r="J52" i="51"/>
  <c r="J56" i="51"/>
  <c r="I58" i="51"/>
  <c r="J58" i="51"/>
  <c r="J61" i="51"/>
  <c r="I61" i="51"/>
  <c r="J62" i="51"/>
  <c r="J65" i="51"/>
  <c r="G65" i="51"/>
  <c r="G69" i="51"/>
  <c r="H71" i="51"/>
  <c r="J71" i="51"/>
  <c r="H73" i="51"/>
  <c r="J75" i="51"/>
  <c r="G84" i="51"/>
  <c r="J84" i="51"/>
  <c r="J88" i="51"/>
  <c r="I90" i="51"/>
  <c r="J90" i="51"/>
  <c r="J93" i="51"/>
  <c r="I93" i="51"/>
  <c r="J94" i="51"/>
  <c r="J97" i="51"/>
  <c r="G97" i="51"/>
  <c r="G101" i="51"/>
  <c r="H103" i="51"/>
  <c r="J103" i="51"/>
  <c r="H105" i="51"/>
  <c r="J113" i="51"/>
  <c r="H113" i="51"/>
  <c r="G114" i="51"/>
  <c r="I116" i="51"/>
  <c r="H120" i="51"/>
  <c r="J125" i="51"/>
  <c r="H125" i="51"/>
  <c r="H137" i="51"/>
  <c r="J145" i="51"/>
  <c r="H145" i="51"/>
  <c r="G146" i="51"/>
  <c r="I148" i="51"/>
  <c r="H152" i="51"/>
  <c r="J157" i="51"/>
  <c r="H157" i="51"/>
  <c r="H169" i="51"/>
  <c r="J177" i="51"/>
  <c r="H177" i="51"/>
  <c r="G178" i="51"/>
  <c r="I180" i="51"/>
  <c r="G182" i="51"/>
  <c r="I182" i="51"/>
  <c r="G183" i="51"/>
  <c r="G186" i="51"/>
  <c r="I186" i="51"/>
  <c r="G187" i="51"/>
  <c r="G190" i="51"/>
  <c r="I190" i="51"/>
  <c r="G191" i="51"/>
  <c r="G194" i="51"/>
  <c r="I194" i="51"/>
  <c r="G195" i="51"/>
  <c r="G198" i="51"/>
  <c r="I198" i="51"/>
  <c r="G199" i="51"/>
  <c r="G202" i="51"/>
  <c r="I202" i="51"/>
  <c r="G203" i="51"/>
  <c r="G206" i="51"/>
  <c r="I206" i="51"/>
  <c r="G207" i="51"/>
  <c r="G210" i="51"/>
  <c r="I210" i="51"/>
  <c r="G211" i="51"/>
  <c r="G214" i="51"/>
  <c r="I214" i="51"/>
  <c r="G215" i="51"/>
  <c r="G218" i="51"/>
  <c r="I218" i="51"/>
  <c r="G219" i="51"/>
  <c r="G222" i="51"/>
  <c r="I222" i="51"/>
  <c r="G223" i="51"/>
  <c r="G226" i="51"/>
  <c r="I226" i="51"/>
  <c r="G227" i="51"/>
  <c r="H229" i="51"/>
  <c r="J229" i="51"/>
  <c r="I232" i="51"/>
  <c r="J232" i="51"/>
  <c r="H232" i="51"/>
  <c r="J235" i="51"/>
  <c r="I235" i="51"/>
  <c r="G235" i="51"/>
  <c r="H237" i="51"/>
  <c r="J237" i="51"/>
  <c r="I240" i="51"/>
  <c r="J240" i="51"/>
  <c r="H240" i="51"/>
  <c r="J243" i="51"/>
  <c r="I243" i="51"/>
  <c r="G243" i="51"/>
  <c r="H245" i="51"/>
  <c r="J245" i="51"/>
  <c r="I248" i="51"/>
  <c r="J248" i="51"/>
  <c r="H248" i="51"/>
  <c r="J251" i="51"/>
  <c r="I251" i="51"/>
  <c r="G251" i="51"/>
  <c r="H253" i="51"/>
  <c r="J253" i="51"/>
  <c r="I256" i="51"/>
  <c r="J256" i="51"/>
  <c r="H256" i="51"/>
  <c r="I262" i="51"/>
  <c r="J264" i="51"/>
  <c r="G264" i="51"/>
  <c r="J267" i="51"/>
  <c r="H267" i="51"/>
  <c r="G271" i="51"/>
  <c r="G274" i="51"/>
  <c r="H274" i="51"/>
  <c r="H278" i="51"/>
  <c r="I287" i="51"/>
  <c r="G302" i="51"/>
  <c r="I302" i="51"/>
  <c r="H302" i="51"/>
  <c r="H314" i="51"/>
  <c r="H322" i="51"/>
  <c r="J334" i="51"/>
  <c r="I334" i="51"/>
  <c r="G341" i="51"/>
  <c r="H341" i="51"/>
  <c r="H345" i="51"/>
  <c r="I352" i="51"/>
  <c r="G358" i="51"/>
  <c r="H370" i="51"/>
  <c r="G373" i="51"/>
  <c r="H378" i="51"/>
  <c r="J393" i="51"/>
  <c r="I393" i="51"/>
  <c r="G393" i="51"/>
  <c r="G397" i="51"/>
  <c r="G401" i="51"/>
  <c r="G405" i="51"/>
  <c r="J409" i="51"/>
  <c r="H409" i="51"/>
  <c r="J30" i="51"/>
  <c r="J32" i="51"/>
  <c r="J35" i="51"/>
  <c r="H37" i="51"/>
  <c r="I41" i="51"/>
  <c r="G44" i="51"/>
  <c r="J44" i="51"/>
  <c r="J48" i="51"/>
  <c r="I50" i="51"/>
  <c r="J50" i="51"/>
  <c r="J53" i="51"/>
  <c r="I53" i="51"/>
  <c r="J54" i="51"/>
  <c r="J57" i="51"/>
  <c r="G57" i="51"/>
  <c r="G61" i="51"/>
  <c r="H63" i="51"/>
  <c r="J63" i="51"/>
  <c r="H65" i="51"/>
  <c r="J67" i="51"/>
  <c r="H69" i="51"/>
  <c r="I73" i="51"/>
  <c r="G76" i="51"/>
  <c r="J76" i="51"/>
  <c r="J80" i="51"/>
  <c r="I82" i="51"/>
  <c r="J82" i="51"/>
  <c r="J85" i="51"/>
  <c r="I85" i="51"/>
  <c r="J86" i="51"/>
  <c r="J89" i="51"/>
  <c r="G89" i="51"/>
  <c r="G93" i="51"/>
  <c r="H95" i="51"/>
  <c r="J95" i="51"/>
  <c r="H97" i="51"/>
  <c r="J99" i="51"/>
  <c r="H101" i="51"/>
  <c r="I105" i="51"/>
  <c r="H108" i="51"/>
  <c r="G113" i="51"/>
  <c r="J117" i="51"/>
  <c r="H117" i="51"/>
  <c r="J121" i="51"/>
  <c r="I121" i="51"/>
  <c r="G125" i="51"/>
  <c r="I137" i="51"/>
  <c r="H140" i="51"/>
  <c r="G145" i="51"/>
  <c r="J149" i="51"/>
  <c r="H149" i="51"/>
  <c r="J153" i="51"/>
  <c r="I153" i="51"/>
  <c r="G157" i="51"/>
  <c r="I169" i="51"/>
  <c r="H172" i="51"/>
  <c r="G177" i="51"/>
  <c r="H181" i="51"/>
  <c r="I181" i="51"/>
  <c r="H182" i="51"/>
  <c r="I183" i="51"/>
  <c r="H185" i="51"/>
  <c r="I185" i="51"/>
  <c r="H186" i="51"/>
  <c r="I187" i="51"/>
  <c r="H189" i="51"/>
  <c r="I189" i="51"/>
  <c r="H190" i="51"/>
  <c r="I191" i="51"/>
  <c r="H193" i="51"/>
  <c r="I193" i="51"/>
  <c r="H194" i="51"/>
  <c r="I195" i="51"/>
  <c r="H197" i="51"/>
  <c r="I197" i="51"/>
  <c r="H198" i="51"/>
  <c r="I199" i="51"/>
  <c r="H201" i="51"/>
  <c r="I201" i="51"/>
  <c r="H202" i="51"/>
  <c r="I203" i="51"/>
  <c r="H205" i="51"/>
  <c r="I205" i="51"/>
  <c r="H206" i="51"/>
  <c r="I207" i="51"/>
  <c r="H209" i="51"/>
  <c r="I209" i="51"/>
  <c r="H210" i="51"/>
  <c r="I211" i="51"/>
  <c r="H213" i="51"/>
  <c r="I213" i="51"/>
  <c r="H214" i="51"/>
  <c r="I215" i="51"/>
  <c r="H217" i="51"/>
  <c r="I217" i="51"/>
  <c r="H218" i="51"/>
  <c r="I219" i="51"/>
  <c r="H221" i="51"/>
  <c r="I221" i="51"/>
  <c r="H222" i="51"/>
  <c r="I223" i="51"/>
  <c r="H225" i="51"/>
  <c r="I225" i="51"/>
  <c r="H226" i="51"/>
  <c r="I227" i="51"/>
  <c r="G229" i="51"/>
  <c r="G232" i="51"/>
  <c r="H235" i="51"/>
  <c r="G237" i="51"/>
  <c r="G240" i="51"/>
  <c r="H243" i="51"/>
  <c r="G245" i="51"/>
  <c r="G248" i="51"/>
  <c r="H251" i="51"/>
  <c r="G253" i="51"/>
  <c r="G256" i="51"/>
  <c r="G267" i="51"/>
  <c r="J269" i="51"/>
  <c r="H271" i="51"/>
  <c r="I274" i="51"/>
  <c r="G294" i="51"/>
  <c r="H294" i="51"/>
  <c r="G298" i="51"/>
  <c r="H298" i="51"/>
  <c r="I298" i="51"/>
  <c r="J303" i="51"/>
  <c r="I303" i="51"/>
  <c r="G310" i="51"/>
  <c r="I310" i="51"/>
  <c r="I314" i="51"/>
  <c r="J318" i="51"/>
  <c r="G318" i="51"/>
  <c r="H318" i="51"/>
  <c r="G334" i="51"/>
  <c r="I341" i="51"/>
  <c r="I345" i="51"/>
  <c r="G353" i="51"/>
  <c r="H353" i="51"/>
  <c r="G362" i="51"/>
  <c r="G365" i="51"/>
  <c r="I365" i="51"/>
  <c r="J369" i="51"/>
  <c r="G369" i="51"/>
  <c r="I369" i="51"/>
  <c r="J386" i="51"/>
  <c r="H386" i="51"/>
  <c r="G386" i="51"/>
  <c r="H393" i="51"/>
  <c r="H397" i="51"/>
  <c r="I401" i="51"/>
  <c r="G403" i="51"/>
  <c r="G409" i="51"/>
  <c r="G36" i="51"/>
  <c r="J36" i="51"/>
  <c r="J40" i="51"/>
  <c r="I42" i="51"/>
  <c r="J42" i="51"/>
  <c r="J45" i="51"/>
  <c r="I45" i="51"/>
  <c r="J46" i="51"/>
  <c r="J49" i="51"/>
  <c r="G49" i="51"/>
  <c r="G53" i="51"/>
  <c r="H55" i="51"/>
  <c r="J55" i="51"/>
  <c r="H57" i="51"/>
  <c r="J59" i="51"/>
  <c r="H61" i="51"/>
  <c r="I65" i="51"/>
  <c r="G68" i="51"/>
  <c r="J68" i="51"/>
  <c r="J72" i="51"/>
  <c r="I74" i="51"/>
  <c r="J74" i="51"/>
  <c r="J77" i="51"/>
  <c r="I77" i="51"/>
  <c r="J78" i="51"/>
  <c r="J81" i="51"/>
  <c r="G81" i="51"/>
  <c r="G85" i="51"/>
  <c r="H87" i="51"/>
  <c r="J87" i="51"/>
  <c r="H89" i="51"/>
  <c r="J91" i="51"/>
  <c r="H93" i="51"/>
  <c r="I97" i="51"/>
  <c r="G100" i="51"/>
  <c r="J100" i="51"/>
  <c r="J104" i="51"/>
  <c r="I108" i="51"/>
  <c r="G112" i="51"/>
  <c r="H112" i="51"/>
  <c r="I113" i="51"/>
  <c r="G117" i="51"/>
  <c r="J119" i="51"/>
  <c r="G121" i="51"/>
  <c r="G124" i="51"/>
  <c r="H124" i="51"/>
  <c r="I125" i="51"/>
  <c r="H132" i="51"/>
  <c r="I140" i="51"/>
  <c r="G144" i="51"/>
  <c r="H144" i="51"/>
  <c r="I145" i="51"/>
  <c r="G149" i="51"/>
  <c r="J151" i="51"/>
  <c r="G153" i="51"/>
  <c r="G156" i="51"/>
  <c r="H156" i="51"/>
  <c r="I157" i="51"/>
  <c r="H164" i="51"/>
  <c r="I172" i="51"/>
  <c r="G176" i="51"/>
  <c r="H176" i="51"/>
  <c r="I177" i="51"/>
  <c r="G181" i="51"/>
  <c r="J182" i="51"/>
  <c r="I184" i="51"/>
  <c r="H184" i="51"/>
  <c r="G185" i="51"/>
  <c r="J186" i="51"/>
  <c r="I188" i="51"/>
  <c r="H188" i="51"/>
  <c r="G189" i="51"/>
  <c r="J190" i="51"/>
  <c r="I192" i="51"/>
  <c r="H192" i="51"/>
  <c r="G193" i="51"/>
  <c r="J194" i="51"/>
  <c r="I196" i="51"/>
  <c r="H196" i="51"/>
  <c r="G197" i="51"/>
  <c r="J198" i="51"/>
  <c r="I200" i="51"/>
  <c r="H200" i="51"/>
  <c r="G201" i="51"/>
  <c r="J202" i="51"/>
  <c r="I204" i="51"/>
  <c r="H204" i="51"/>
  <c r="G205" i="51"/>
  <c r="J206" i="51"/>
  <c r="I208" i="51"/>
  <c r="H208" i="51"/>
  <c r="G209" i="51"/>
  <c r="J210" i="51"/>
  <c r="I212" i="51"/>
  <c r="H212" i="51"/>
  <c r="G213" i="51"/>
  <c r="J214" i="51"/>
  <c r="I216" i="51"/>
  <c r="H216" i="51"/>
  <c r="G217" i="51"/>
  <c r="J218" i="51"/>
  <c r="I220" i="51"/>
  <c r="H220" i="51"/>
  <c r="G221" i="51"/>
  <c r="J222" i="51"/>
  <c r="I224" i="51"/>
  <c r="H224" i="51"/>
  <c r="G225" i="51"/>
  <c r="J226" i="51"/>
  <c r="I228" i="51"/>
  <c r="J228" i="51"/>
  <c r="H228" i="51"/>
  <c r="I229" i="51"/>
  <c r="J231" i="51"/>
  <c r="I231" i="51"/>
  <c r="G231" i="51"/>
  <c r="H233" i="51"/>
  <c r="J233" i="51"/>
  <c r="I236" i="51"/>
  <c r="J236" i="51"/>
  <c r="H236" i="51"/>
  <c r="I237" i="51"/>
  <c r="J239" i="51"/>
  <c r="I239" i="51"/>
  <c r="G239" i="51"/>
  <c r="H241" i="51"/>
  <c r="J241" i="51"/>
  <c r="I244" i="51"/>
  <c r="J244" i="51"/>
  <c r="H244" i="51"/>
  <c r="I245" i="51"/>
  <c r="J247" i="51"/>
  <c r="I247" i="51"/>
  <c r="G247" i="51"/>
  <c r="H249" i="51"/>
  <c r="J249" i="51"/>
  <c r="I252" i="51"/>
  <c r="J252" i="51"/>
  <c r="H252" i="51"/>
  <c r="I253" i="51"/>
  <c r="J255" i="51"/>
  <c r="I255" i="51"/>
  <c r="G255" i="51"/>
  <c r="H257" i="51"/>
  <c r="J257" i="51"/>
  <c r="I267" i="51"/>
  <c r="G270" i="51"/>
  <c r="I270" i="51"/>
  <c r="H270" i="51"/>
  <c r="H282" i="51"/>
  <c r="I294" i="51"/>
  <c r="J296" i="51"/>
  <c r="G296" i="51"/>
  <c r="J299" i="51"/>
  <c r="H299" i="51"/>
  <c r="G303" i="51"/>
  <c r="G306" i="51"/>
  <c r="H306" i="51"/>
  <c r="H310" i="51"/>
  <c r="I318" i="51"/>
  <c r="H334" i="51"/>
  <c r="J342" i="51"/>
  <c r="H342" i="51"/>
  <c r="G342" i="51"/>
  <c r="I353" i="51"/>
  <c r="H362" i="51"/>
  <c r="H365" i="51"/>
  <c r="H369" i="51"/>
  <c r="G374" i="51"/>
  <c r="J389" i="51"/>
  <c r="I389" i="51"/>
  <c r="J394" i="51"/>
  <c r="H394" i="51"/>
  <c r="J396" i="51"/>
  <c r="I396" i="51"/>
  <c r="G406" i="51"/>
  <c r="I409" i="51"/>
  <c r="J412" i="51"/>
  <c r="I412" i="51"/>
  <c r="G230" i="51"/>
  <c r="J230" i="51"/>
  <c r="G234" i="51"/>
  <c r="J234" i="51"/>
  <c r="G238" i="51"/>
  <c r="J238" i="51"/>
  <c r="G242" i="51"/>
  <c r="J242" i="51"/>
  <c r="G246" i="51"/>
  <c r="J246" i="51"/>
  <c r="G250" i="51"/>
  <c r="J250" i="51"/>
  <c r="G254" i="51"/>
  <c r="J254" i="51"/>
  <c r="J263" i="51"/>
  <c r="H263" i="51"/>
  <c r="J275" i="51"/>
  <c r="H275" i="51"/>
  <c r="J295" i="51"/>
  <c r="H295" i="51"/>
  <c r="J307" i="51"/>
  <c r="H307" i="51"/>
  <c r="J338" i="51"/>
  <c r="I338" i="51"/>
  <c r="G357" i="51"/>
  <c r="I357" i="51"/>
  <c r="J377" i="51"/>
  <c r="I377" i="51"/>
  <c r="J385" i="51"/>
  <c r="H385" i="51"/>
  <c r="J402" i="51"/>
  <c r="H402" i="51"/>
  <c r="J410" i="51"/>
  <c r="H410" i="51"/>
  <c r="I118" i="51"/>
  <c r="H118" i="51"/>
  <c r="H123" i="51"/>
  <c r="G123" i="51"/>
  <c r="I134" i="51"/>
  <c r="H134" i="51"/>
  <c r="H139" i="51"/>
  <c r="G139" i="51"/>
  <c r="I150" i="51"/>
  <c r="H150" i="51"/>
  <c r="H155" i="51"/>
  <c r="G155" i="51"/>
  <c r="I166" i="51"/>
  <c r="H166" i="51"/>
  <c r="H332" i="51"/>
  <c r="I332" i="51"/>
  <c r="G332" i="51"/>
  <c r="J332" i="51"/>
  <c r="H356" i="51"/>
  <c r="G356" i="51"/>
  <c r="J356" i="51"/>
  <c r="I106" i="51"/>
  <c r="H106" i="51"/>
  <c r="G118" i="51"/>
  <c r="I122" i="51"/>
  <c r="H122" i="51"/>
  <c r="I123" i="51"/>
  <c r="G150" i="51"/>
  <c r="G166" i="51"/>
  <c r="I170" i="51"/>
  <c r="H170" i="51"/>
  <c r="H175" i="51"/>
  <c r="G175" i="51"/>
  <c r="H261" i="51"/>
  <c r="G261" i="51"/>
  <c r="J261" i="51"/>
  <c r="I261" i="51"/>
  <c r="I268" i="51"/>
  <c r="H268" i="51"/>
  <c r="J268" i="51"/>
  <c r="H277" i="51"/>
  <c r="G277" i="51"/>
  <c r="J277" i="51"/>
  <c r="I277" i="51"/>
  <c r="I284" i="51"/>
  <c r="H284" i="51"/>
  <c r="J284" i="51"/>
  <c r="I288" i="51"/>
  <c r="H288" i="51"/>
  <c r="J288" i="51"/>
  <c r="G288" i="51"/>
  <c r="H293" i="51"/>
  <c r="G293" i="51"/>
  <c r="J293" i="51"/>
  <c r="I293" i="51"/>
  <c r="H360" i="51"/>
  <c r="G360" i="51"/>
  <c r="J360" i="51"/>
  <c r="I360" i="51"/>
  <c r="G31" i="51"/>
  <c r="H32" i="51"/>
  <c r="G34" i="51"/>
  <c r="G35" i="51"/>
  <c r="H36" i="51"/>
  <c r="G39" i="51"/>
  <c r="G47" i="51"/>
  <c r="H48" i="51"/>
  <c r="G51" i="51"/>
  <c r="H52" i="51"/>
  <c r="G55" i="51"/>
  <c r="H56" i="51"/>
  <c r="G59" i="51"/>
  <c r="H68" i="51"/>
  <c r="G70" i="51"/>
  <c r="H72" i="51"/>
  <c r="G74" i="51"/>
  <c r="H76" i="51"/>
  <c r="G78" i="51"/>
  <c r="H80" i="51"/>
  <c r="H84" i="51"/>
  <c r="G91" i="51"/>
  <c r="H92" i="51"/>
  <c r="G94" i="51"/>
  <c r="H96" i="51"/>
  <c r="H100" i="51"/>
  <c r="I110" i="51"/>
  <c r="H110" i="51"/>
  <c r="I126" i="51"/>
  <c r="H126" i="51"/>
  <c r="J134" i="51"/>
  <c r="H147" i="51"/>
  <c r="G147" i="51"/>
  <c r="J166" i="51"/>
  <c r="G170" i="51"/>
  <c r="I174" i="51"/>
  <c r="H174" i="51"/>
  <c r="I175" i="51"/>
  <c r="H179" i="51"/>
  <c r="G179" i="51"/>
  <c r="G268" i="51"/>
  <c r="H273" i="51"/>
  <c r="G273" i="51"/>
  <c r="J273" i="51"/>
  <c r="G284" i="51"/>
  <c r="H289" i="51"/>
  <c r="G289" i="51"/>
  <c r="J289" i="51"/>
  <c r="H305" i="51"/>
  <c r="G305" i="51"/>
  <c r="J305" i="51"/>
  <c r="I327" i="51"/>
  <c r="H327" i="51"/>
  <c r="G327" i="51"/>
  <c r="J327" i="51"/>
  <c r="G337" i="51"/>
  <c r="I337" i="51"/>
  <c r="H337" i="51"/>
  <c r="J337" i="51"/>
  <c r="I411" i="51"/>
  <c r="H411" i="51"/>
  <c r="J411" i="51"/>
  <c r="G411" i="51"/>
  <c r="H107" i="51"/>
  <c r="G107" i="51"/>
  <c r="H171" i="51"/>
  <c r="G171" i="51"/>
  <c r="G321" i="51"/>
  <c r="I321" i="51"/>
  <c r="H321" i="51"/>
  <c r="J321" i="51"/>
  <c r="H340" i="51"/>
  <c r="G340" i="51"/>
  <c r="J340" i="51"/>
  <c r="I359" i="51"/>
  <c r="H359" i="51"/>
  <c r="J359" i="51"/>
  <c r="G359" i="51"/>
  <c r="I363" i="51"/>
  <c r="H363" i="51"/>
  <c r="J363" i="51"/>
  <c r="G363" i="51"/>
  <c r="F29" i="51"/>
  <c r="F25" i="51"/>
  <c r="I107" i="51"/>
  <c r="H111" i="51"/>
  <c r="G111" i="51"/>
  <c r="H127" i="51"/>
  <c r="G127" i="51"/>
  <c r="G134" i="51"/>
  <c r="I138" i="51"/>
  <c r="H138" i="51"/>
  <c r="I139" i="51"/>
  <c r="H143" i="51"/>
  <c r="G143" i="51"/>
  <c r="I154" i="51"/>
  <c r="H154" i="51"/>
  <c r="I155" i="51"/>
  <c r="H159" i="51"/>
  <c r="G159" i="51"/>
  <c r="I171" i="51"/>
  <c r="I272" i="51"/>
  <c r="H272" i="51"/>
  <c r="J272" i="51"/>
  <c r="G272" i="51"/>
  <c r="I300" i="51"/>
  <c r="H300" i="51"/>
  <c r="J300" i="51"/>
  <c r="I304" i="51"/>
  <c r="H304" i="51"/>
  <c r="J304" i="51"/>
  <c r="G304" i="51"/>
  <c r="H309" i="51"/>
  <c r="G309" i="51"/>
  <c r="J309" i="51"/>
  <c r="I309" i="51"/>
  <c r="I316" i="51"/>
  <c r="H316" i="51"/>
  <c r="J316" i="51"/>
  <c r="I319" i="51"/>
  <c r="H319" i="51"/>
  <c r="G319" i="51"/>
  <c r="J319" i="51"/>
  <c r="G329" i="51"/>
  <c r="I329" i="51"/>
  <c r="H329" i="51"/>
  <c r="J329" i="51"/>
  <c r="I340" i="51"/>
  <c r="I356" i="51"/>
  <c r="H400" i="51"/>
  <c r="G400" i="51"/>
  <c r="J400" i="51"/>
  <c r="H404" i="51"/>
  <c r="G404" i="51"/>
  <c r="J404" i="51"/>
  <c r="I404" i="51"/>
  <c r="F26" i="51"/>
  <c r="F28" i="51"/>
  <c r="G30" i="51"/>
  <c r="G38" i="51"/>
  <c r="H40" i="51"/>
  <c r="G42" i="51"/>
  <c r="G43" i="51"/>
  <c r="H44" i="51"/>
  <c r="G46" i="51"/>
  <c r="G50" i="51"/>
  <c r="G54" i="51"/>
  <c r="G58" i="51"/>
  <c r="H60" i="51"/>
  <c r="G62" i="51"/>
  <c r="G63" i="51"/>
  <c r="H64" i="51"/>
  <c r="G66" i="51"/>
  <c r="G67" i="51"/>
  <c r="G71" i="51"/>
  <c r="G75" i="51"/>
  <c r="G79" i="51"/>
  <c r="G82" i="51"/>
  <c r="G83" i="51"/>
  <c r="G86" i="51"/>
  <c r="G87" i="51"/>
  <c r="H88" i="51"/>
  <c r="G90" i="51"/>
  <c r="G95" i="51"/>
  <c r="G98" i="51"/>
  <c r="G99" i="51"/>
  <c r="G102" i="51"/>
  <c r="G103" i="51"/>
  <c r="H104" i="51"/>
  <c r="G106" i="51"/>
  <c r="J107" i="51"/>
  <c r="I111" i="51"/>
  <c r="H115" i="51"/>
  <c r="G115" i="51"/>
  <c r="J118" i="51"/>
  <c r="G122" i="51"/>
  <c r="J123" i="51"/>
  <c r="H131" i="51"/>
  <c r="G131" i="51"/>
  <c r="G138" i="51"/>
  <c r="J139" i="51"/>
  <c r="I142" i="51"/>
  <c r="H142" i="51"/>
  <c r="I143" i="51"/>
  <c r="J150" i="51"/>
  <c r="G154" i="51"/>
  <c r="J155" i="51"/>
  <c r="I158" i="51"/>
  <c r="H158" i="51"/>
  <c r="I159" i="51"/>
  <c r="H163" i="51"/>
  <c r="G163" i="51"/>
  <c r="H30" i="51"/>
  <c r="I31" i="51"/>
  <c r="I32" i="51"/>
  <c r="H34" i="51"/>
  <c r="I35" i="51"/>
  <c r="I36" i="51"/>
  <c r="H38" i="51"/>
  <c r="I39" i="51"/>
  <c r="I40" i="51"/>
  <c r="H42" i="51"/>
  <c r="I43" i="51"/>
  <c r="I44" i="51"/>
  <c r="H46" i="51"/>
  <c r="I47" i="51"/>
  <c r="I48" i="51"/>
  <c r="H50" i="51"/>
  <c r="I51" i="51"/>
  <c r="I52" i="51"/>
  <c r="H54" i="51"/>
  <c r="I55" i="51"/>
  <c r="I56" i="51"/>
  <c r="H58" i="51"/>
  <c r="I59" i="51"/>
  <c r="I60" i="51"/>
  <c r="H62" i="51"/>
  <c r="I63" i="51"/>
  <c r="I64" i="51"/>
  <c r="H66" i="51"/>
  <c r="I67" i="51"/>
  <c r="I68" i="51"/>
  <c r="H70" i="51"/>
  <c r="I71" i="51"/>
  <c r="I72" i="51"/>
  <c r="H74" i="51"/>
  <c r="I75" i="51"/>
  <c r="I76" i="51"/>
  <c r="H78" i="51"/>
  <c r="I79" i="51"/>
  <c r="I80" i="51"/>
  <c r="H82" i="51"/>
  <c r="I83" i="51"/>
  <c r="I84" i="51"/>
  <c r="H86" i="51"/>
  <c r="I87" i="51"/>
  <c r="I88" i="51"/>
  <c r="H90" i="51"/>
  <c r="I91" i="51"/>
  <c r="I92" i="51"/>
  <c r="H94" i="51"/>
  <c r="I95" i="51"/>
  <c r="I96" i="51"/>
  <c r="H98" i="51"/>
  <c r="I99" i="51"/>
  <c r="I100" i="51"/>
  <c r="H102" i="51"/>
  <c r="I103" i="51"/>
  <c r="I104" i="51"/>
  <c r="J106" i="51"/>
  <c r="G110" i="51"/>
  <c r="J111" i="51"/>
  <c r="I114" i="51"/>
  <c r="H114" i="51"/>
  <c r="I115" i="51"/>
  <c r="H119" i="51"/>
  <c r="G119" i="51"/>
  <c r="J122" i="51"/>
  <c r="G126" i="51"/>
  <c r="J127" i="51"/>
  <c r="I130" i="51"/>
  <c r="H130" i="51"/>
  <c r="I131" i="51"/>
  <c r="H135" i="51"/>
  <c r="G135" i="51"/>
  <c r="J138" i="51"/>
  <c r="G142" i="51"/>
  <c r="J143" i="51"/>
  <c r="I146" i="51"/>
  <c r="H146" i="51"/>
  <c r="I147" i="51"/>
  <c r="H151" i="51"/>
  <c r="G151" i="51"/>
  <c r="J154" i="51"/>
  <c r="G158" i="51"/>
  <c r="J159" i="51"/>
  <c r="I162" i="51"/>
  <c r="H162" i="51"/>
  <c r="I163" i="51"/>
  <c r="H167" i="51"/>
  <c r="G167" i="51"/>
  <c r="J170" i="51"/>
  <c r="G174" i="51"/>
  <c r="J175" i="51"/>
  <c r="I178" i="51"/>
  <c r="H178" i="51"/>
  <c r="I179" i="51"/>
  <c r="I273" i="51"/>
  <c r="I289" i="51"/>
  <c r="I305" i="51"/>
  <c r="H324" i="51"/>
  <c r="I324" i="51"/>
  <c r="G324" i="51"/>
  <c r="J324" i="51"/>
  <c r="I335" i="51"/>
  <c r="H335" i="51"/>
  <c r="G335" i="51"/>
  <c r="J335" i="51"/>
  <c r="J108" i="51"/>
  <c r="J112" i="51"/>
  <c r="J116" i="51"/>
  <c r="J120" i="51"/>
  <c r="J124" i="51"/>
  <c r="J128" i="51"/>
  <c r="J132" i="51"/>
  <c r="J136" i="51"/>
  <c r="J140" i="51"/>
  <c r="J144" i="51"/>
  <c r="J148" i="51"/>
  <c r="J152" i="51"/>
  <c r="J156" i="51"/>
  <c r="J160" i="51"/>
  <c r="J164" i="51"/>
  <c r="J168" i="51"/>
  <c r="J172" i="51"/>
  <c r="J176" i="51"/>
  <c r="J180" i="51"/>
  <c r="I260" i="51"/>
  <c r="H260" i="51"/>
  <c r="H265" i="51"/>
  <c r="G265" i="51"/>
  <c r="I276" i="51"/>
  <c r="H276" i="51"/>
  <c r="H281" i="51"/>
  <c r="G281" i="51"/>
  <c r="I292" i="51"/>
  <c r="H292" i="51"/>
  <c r="H297" i="51"/>
  <c r="G297" i="51"/>
  <c r="I308" i="51"/>
  <c r="H308" i="51"/>
  <c r="H313" i="51"/>
  <c r="G313" i="51"/>
  <c r="H364" i="51"/>
  <c r="G364" i="51"/>
  <c r="J364" i="51"/>
  <c r="I367" i="51"/>
  <c r="H367" i="51"/>
  <c r="J367" i="51"/>
  <c r="G367" i="51"/>
  <c r="H372" i="51"/>
  <c r="G372" i="51"/>
  <c r="J372" i="51"/>
  <c r="I372" i="51"/>
  <c r="I379" i="51"/>
  <c r="H379" i="51"/>
  <c r="J379" i="51"/>
  <c r="I383" i="51"/>
  <c r="H383" i="51"/>
  <c r="J383" i="51"/>
  <c r="G383" i="51"/>
  <c r="G258" i="51"/>
  <c r="J258" i="51"/>
  <c r="G260" i="51"/>
  <c r="I264" i="51"/>
  <c r="H264" i="51"/>
  <c r="I265" i="51"/>
  <c r="H269" i="51"/>
  <c r="G269" i="51"/>
  <c r="G276" i="51"/>
  <c r="I280" i="51"/>
  <c r="H280" i="51"/>
  <c r="I281" i="51"/>
  <c r="H285" i="51"/>
  <c r="G285" i="51"/>
  <c r="G292" i="51"/>
  <c r="I296" i="51"/>
  <c r="H296" i="51"/>
  <c r="I297" i="51"/>
  <c r="H301" i="51"/>
  <c r="G301" i="51"/>
  <c r="G308" i="51"/>
  <c r="I312" i="51"/>
  <c r="H312" i="51"/>
  <c r="I313" i="51"/>
  <c r="G317" i="51"/>
  <c r="I317" i="51"/>
  <c r="H317" i="51"/>
  <c r="H320" i="51"/>
  <c r="I320" i="51"/>
  <c r="G320" i="51"/>
  <c r="I323" i="51"/>
  <c r="H323" i="51"/>
  <c r="G323" i="51"/>
  <c r="G325" i="51"/>
  <c r="I325" i="51"/>
  <c r="H325" i="51"/>
  <c r="H328" i="51"/>
  <c r="I328" i="51"/>
  <c r="G328" i="51"/>
  <c r="I331" i="51"/>
  <c r="H331" i="51"/>
  <c r="G331" i="51"/>
  <c r="G333" i="51"/>
  <c r="I333" i="51"/>
  <c r="H333" i="51"/>
  <c r="H336" i="51"/>
  <c r="I336" i="51"/>
  <c r="G336" i="51"/>
  <c r="I339" i="51"/>
  <c r="H339" i="51"/>
  <c r="J339" i="51"/>
  <c r="G339" i="51"/>
  <c r="H344" i="51"/>
  <c r="G344" i="51"/>
  <c r="J344" i="51"/>
  <c r="I344" i="51"/>
  <c r="I351" i="51"/>
  <c r="H351" i="51"/>
  <c r="J351" i="51"/>
  <c r="I355" i="51"/>
  <c r="H355" i="51"/>
  <c r="J355" i="51"/>
  <c r="G355" i="51"/>
  <c r="I364" i="51"/>
  <c r="H368" i="51"/>
  <c r="G368" i="51"/>
  <c r="J368" i="51"/>
  <c r="G379" i="51"/>
  <c r="H384" i="51"/>
  <c r="G384" i="51"/>
  <c r="J384" i="51"/>
  <c r="H388" i="51"/>
  <c r="G388" i="51"/>
  <c r="J388" i="51"/>
  <c r="I388" i="51"/>
  <c r="I395" i="51"/>
  <c r="H395" i="51"/>
  <c r="J395" i="51"/>
  <c r="I399" i="51"/>
  <c r="H399" i="51"/>
  <c r="J399" i="51"/>
  <c r="G399" i="51"/>
  <c r="J262" i="51"/>
  <c r="J266" i="51"/>
  <c r="J270" i="51"/>
  <c r="J274" i="51"/>
  <c r="J278" i="51"/>
  <c r="J282" i="51"/>
  <c r="J286" i="51"/>
  <c r="J290" i="51"/>
  <c r="J294" i="51"/>
  <c r="J298" i="51"/>
  <c r="J302" i="51"/>
  <c r="J306" i="51"/>
  <c r="J310" i="51"/>
  <c r="J314" i="51"/>
  <c r="I343" i="51"/>
  <c r="H343" i="51"/>
  <c r="H348" i="51"/>
  <c r="G348" i="51"/>
  <c r="I371" i="51"/>
  <c r="H371" i="51"/>
  <c r="H376" i="51"/>
  <c r="G376" i="51"/>
  <c r="I387" i="51"/>
  <c r="H387" i="51"/>
  <c r="H392" i="51"/>
  <c r="G392" i="51"/>
  <c r="I403" i="51"/>
  <c r="H403" i="51"/>
  <c r="H408" i="51"/>
  <c r="G408" i="51"/>
  <c r="G343" i="51"/>
  <c r="I347" i="51"/>
  <c r="H347" i="51"/>
  <c r="I348" i="51"/>
  <c r="H352" i="51"/>
  <c r="G352" i="51"/>
  <c r="G371" i="51"/>
  <c r="I375" i="51"/>
  <c r="H375" i="51"/>
  <c r="I376" i="51"/>
  <c r="H380" i="51"/>
  <c r="G380" i="51"/>
  <c r="I391" i="51"/>
  <c r="H391" i="51"/>
  <c r="I392" i="51"/>
  <c r="H396" i="51"/>
  <c r="G396" i="51"/>
  <c r="I407" i="51"/>
  <c r="H407" i="51"/>
  <c r="H412" i="51"/>
  <c r="G412" i="51"/>
  <c r="J341" i="51"/>
  <c r="J345" i="51"/>
  <c r="J349" i="51"/>
  <c r="J353" i="51"/>
  <c r="J357" i="51"/>
  <c r="I358" i="51"/>
  <c r="J361" i="51"/>
  <c r="I362" i="51"/>
  <c r="J365" i="51"/>
  <c r="I366" i="51"/>
  <c r="I370" i="51"/>
  <c r="I374" i="51"/>
  <c r="I378" i="51"/>
  <c r="I382" i="51"/>
  <c r="I386" i="51"/>
  <c r="I390" i="51"/>
  <c r="I394" i="51"/>
  <c r="I398" i="51"/>
  <c r="I402" i="51"/>
  <c r="I406" i="51"/>
  <c r="I410" i="51"/>
  <c r="J59" i="50"/>
  <c r="I59" i="50"/>
  <c r="H59" i="50"/>
  <c r="I233" i="50"/>
  <c r="G233" i="50"/>
  <c r="J91" i="50"/>
  <c r="I91" i="50"/>
  <c r="H91" i="50"/>
  <c r="J143" i="50"/>
  <c r="I143" i="50"/>
  <c r="H143" i="50"/>
  <c r="J75" i="50"/>
  <c r="H75" i="50"/>
  <c r="G75" i="50"/>
  <c r="G91" i="50"/>
  <c r="J127" i="50"/>
  <c r="H127" i="50"/>
  <c r="G127" i="50"/>
  <c r="G143" i="50"/>
  <c r="G167" i="50"/>
  <c r="G203" i="50"/>
  <c r="J319" i="50"/>
  <c r="I319" i="50"/>
  <c r="I348" i="50"/>
  <c r="J369" i="50"/>
  <c r="I369" i="50"/>
  <c r="J398" i="50"/>
  <c r="I398" i="50"/>
  <c r="H398" i="50"/>
  <c r="G398" i="50"/>
  <c r="J301" i="50"/>
  <c r="H301" i="50"/>
  <c r="G301" i="50"/>
  <c r="J362" i="50"/>
  <c r="I362" i="50"/>
  <c r="H362" i="50"/>
  <c r="G362" i="50"/>
  <c r="G59" i="50"/>
  <c r="H79" i="50"/>
  <c r="J111" i="50"/>
  <c r="H111" i="50"/>
  <c r="G111" i="50"/>
  <c r="H131" i="50"/>
  <c r="J159" i="50"/>
  <c r="H159" i="50"/>
  <c r="G159" i="50"/>
  <c r="J237" i="50"/>
  <c r="I237" i="50"/>
  <c r="H237" i="50"/>
  <c r="J273" i="50"/>
  <c r="H273" i="50"/>
  <c r="G273" i="50"/>
  <c r="I301" i="50"/>
  <c r="H317" i="50"/>
  <c r="G317" i="50"/>
  <c r="J324" i="50"/>
  <c r="I324" i="50"/>
  <c r="J359" i="50"/>
  <c r="H359" i="50"/>
  <c r="J375" i="50"/>
  <c r="H407" i="50"/>
  <c r="I412" i="50"/>
  <c r="G207" i="50"/>
  <c r="J228" i="50"/>
  <c r="G261" i="50"/>
  <c r="G265" i="50"/>
  <c r="G338" i="50"/>
  <c r="G346" i="50"/>
  <c r="G386" i="50"/>
  <c r="G390" i="50"/>
  <c r="I401" i="50"/>
  <c r="J31" i="50"/>
  <c r="G31" i="50"/>
  <c r="J39" i="50"/>
  <c r="I39" i="50"/>
  <c r="J67" i="50"/>
  <c r="H67" i="50"/>
  <c r="J95" i="50"/>
  <c r="G95" i="50"/>
  <c r="J123" i="50"/>
  <c r="I123" i="50"/>
  <c r="G123" i="50"/>
  <c r="J147" i="50"/>
  <c r="G147" i="50"/>
  <c r="J163" i="50"/>
  <c r="G163" i="50"/>
  <c r="I163" i="50"/>
  <c r="J183" i="50"/>
  <c r="H183" i="50"/>
  <c r="J199" i="50"/>
  <c r="H199" i="50"/>
  <c r="I199" i="50"/>
  <c r="J215" i="50"/>
  <c r="H215" i="50"/>
  <c r="G215" i="50"/>
  <c r="J241" i="50"/>
  <c r="H241" i="50"/>
  <c r="G241" i="50"/>
  <c r="J249" i="50"/>
  <c r="G249" i="50"/>
  <c r="J253" i="50"/>
  <c r="I253" i="50"/>
  <c r="J289" i="50"/>
  <c r="I289" i="50"/>
  <c r="H289" i="50"/>
  <c r="G289" i="50"/>
  <c r="J293" i="50"/>
  <c r="H293" i="50"/>
  <c r="I293" i="50"/>
  <c r="J309" i="50"/>
  <c r="G309" i="50"/>
  <c r="I309" i="50"/>
  <c r="H309" i="50"/>
  <c r="H343" i="50"/>
  <c r="J343" i="50"/>
  <c r="J358" i="50"/>
  <c r="H358" i="50"/>
  <c r="I358" i="50"/>
  <c r="J378" i="50"/>
  <c r="I378" i="50"/>
  <c r="H378" i="50"/>
  <c r="J394" i="50"/>
  <c r="H394" i="50"/>
  <c r="I394" i="50"/>
  <c r="G394" i="50"/>
  <c r="H31" i="50"/>
  <c r="G39" i="50"/>
  <c r="J47" i="50"/>
  <c r="G47" i="50"/>
  <c r="J55" i="50"/>
  <c r="I55" i="50"/>
  <c r="G67" i="50"/>
  <c r="J83" i="50"/>
  <c r="H83" i="50"/>
  <c r="H95" i="50"/>
  <c r="J107" i="50"/>
  <c r="I107" i="50"/>
  <c r="H107" i="50"/>
  <c r="J115" i="50"/>
  <c r="G115" i="50"/>
  <c r="H115" i="50"/>
  <c r="H123" i="50"/>
  <c r="H147" i="50"/>
  <c r="H163" i="50"/>
  <c r="G183" i="50"/>
  <c r="G199" i="50"/>
  <c r="I215" i="50"/>
  <c r="J219" i="50"/>
  <c r="I219" i="50"/>
  <c r="J229" i="50"/>
  <c r="H229" i="50"/>
  <c r="I229" i="50"/>
  <c r="I239" i="50"/>
  <c r="I241" i="50"/>
  <c r="H249" i="50"/>
  <c r="G253" i="50"/>
  <c r="I255" i="50"/>
  <c r="I260" i="50"/>
  <c r="J277" i="50"/>
  <c r="I277" i="50"/>
  <c r="H277" i="50"/>
  <c r="G277" i="50"/>
  <c r="G293" i="50"/>
  <c r="G358" i="50"/>
  <c r="G378" i="50"/>
  <c r="J402" i="50"/>
  <c r="I402" i="50"/>
  <c r="H402" i="50"/>
  <c r="G402" i="50"/>
  <c r="I31" i="50"/>
  <c r="J35" i="50"/>
  <c r="H35" i="50"/>
  <c r="H39" i="50"/>
  <c r="H47" i="50"/>
  <c r="G55" i="50"/>
  <c r="J63" i="50"/>
  <c r="G63" i="50"/>
  <c r="I67" i="50"/>
  <c r="J71" i="50"/>
  <c r="I71" i="50"/>
  <c r="G83" i="50"/>
  <c r="I95" i="50"/>
  <c r="J99" i="50"/>
  <c r="G99" i="50"/>
  <c r="I99" i="50"/>
  <c r="G107" i="50"/>
  <c r="I115" i="50"/>
  <c r="J119" i="50"/>
  <c r="H119" i="50"/>
  <c r="J135" i="50"/>
  <c r="H135" i="50"/>
  <c r="I135" i="50"/>
  <c r="I147" i="50"/>
  <c r="J151" i="50"/>
  <c r="H151" i="50"/>
  <c r="G151" i="50"/>
  <c r="I183" i="50"/>
  <c r="J187" i="50"/>
  <c r="I187" i="50"/>
  <c r="G187" i="50"/>
  <c r="J211" i="50"/>
  <c r="G211" i="50"/>
  <c r="G219" i="50"/>
  <c r="G229" i="50"/>
  <c r="I249" i="50"/>
  <c r="H253" i="50"/>
  <c r="I271" i="50"/>
  <c r="J271" i="50"/>
  <c r="J281" i="50"/>
  <c r="I281" i="50"/>
  <c r="H281" i="50"/>
  <c r="J285" i="50"/>
  <c r="G285" i="50"/>
  <c r="I285" i="50"/>
  <c r="H285" i="50"/>
  <c r="J305" i="50"/>
  <c r="H305" i="50"/>
  <c r="I305" i="50"/>
  <c r="G305" i="50"/>
  <c r="J330" i="50"/>
  <c r="I330" i="50"/>
  <c r="H330" i="50"/>
  <c r="I332" i="50"/>
  <c r="I337" i="50"/>
  <c r="J374" i="50"/>
  <c r="G374" i="50"/>
  <c r="I374" i="50"/>
  <c r="J382" i="50"/>
  <c r="G382" i="50"/>
  <c r="I382" i="50"/>
  <c r="J385" i="50"/>
  <c r="I385" i="50"/>
  <c r="I396" i="50"/>
  <c r="J396" i="50"/>
  <c r="J406" i="50"/>
  <c r="I406" i="50"/>
  <c r="H406" i="50"/>
  <c r="J410" i="50"/>
  <c r="G410" i="50"/>
  <c r="I410" i="50"/>
  <c r="H410" i="50"/>
  <c r="F27" i="50"/>
  <c r="F28" i="50"/>
  <c r="F30" i="50"/>
  <c r="G35" i="50"/>
  <c r="I47" i="50"/>
  <c r="J51" i="50"/>
  <c r="H51" i="50"/>
  <c r="H55" i="50"/>
  <c r="H63" i="50"/>
  <c r="G71" i="50"/>
  <c r="J79" i="50"/>
  <c r="G79" i="50"/>
  <c r="I83" i="50"/>
  <c r="J87" i="50"/>
  <c r="I87" i="50"/>
  <c r="H99" i="50"/>
  <c r="G119" i="50"/>
  <c r="G135" i="50"/>
  <c r="I151" i="50"/>
  <c r="J155" i="50"/>
  <c r="I155" i="50"/>
  <c r="J171" i="50"/>
  <c r="I171" i="50"/>
  <c r="H171" i="50"/>
  <c r="J179" i="50"/>
  <c r="G179" i="50"/>
  <c r="H179" i="50"/>
  <c r="H187" i="50"/>
  <c r="H211" i="50"/>
  <c r="H219" i="50"/>
  <c r="J225" i="50"/>
  <c r="I225" i="50"/>
  <c r="G225" i="50"/>
  <c r="J233" i="50"/>
  <c r="H233" i="50"/>
  <c r="J245" i="50"/>
  <c r="G245" i="50"/>
  <c r="H245" i="50"/>
  <c r="J257" i="50"/>
  <c r="G257" i="50"/>
  <c r="J269" i="50"/>
  <c r="H269" i="50"/>
  <c r="I269" i="50"/>
  <c r="G281" i="50"/>
  <c r="I303" i="50"/>
  <c r="G330" i="50"/>
  <c r="J364" i="50"/>
  <c r="I364" i="50"/>
  <c r="H374" i="50"/>
  <c r="H382" i="50"/>
  <c r="G406" i="50"/>
  <c r="J342" i="50"/>
  <c r="G342" i="50"/>
  <c r="J350" i="50"/>
  <c r="H350" i="50"/>
  <c r="J354" i="50"/>
  <c r="G354" i="50"/>
  <c r="J366" i="50"/>
  <c r="H366" i="50"/>
  <c r="J370" i="50"/>
  <c r="G370" i="50"/>
  <c r="J103" i="50"/>
  <c r="H103" i="50"/>
  <c r="J131" i="50"/>
  <c r="G131" i="50"/>
  <c r="J139" i="50"/>
  <c r="I139" i="50"/>
  <c r="J167" i="50"/>
  <c r="H167" i="50"/>
  <c r="J195" i="50"/>
  <c r="G195" i="50"/>
  <c r="J203" i="50"/>
  <c r="I203" i="50"/>
  <c r="J292" i="50"/>
  <c r="J297" i="50"/>
  <c r="H297" i="50"/>
  <c r="H298" i="50"/>
  <c r="J313" i="50"/>
  <c r="G313" i="50"/>
  <c r="J314" i="50"/>
  <c r="J317" i="50"/>
  <c r="I317" i="50"/>
  <c r="J321" i="50"/>
  <c r="G321" i="50"/>
  <c r="J334" i="50"/>
  <c r="H334" i="50"/>
  <c r="H342" i="50"/>
  <c r="G350" i="50"/>
  <c r="H354" i="50"/>
  <c r="G366" i="50"/>
  <c r="H370" i="50"/>
  <c r="I222" i="50"/>
  <c r="G222" i="50"/>
  <c r="H227" i="50"/>
  <c r="G227" i="50"/>
  <c r="G232" i="50"/>
  <c r="H232" i="50"/>
  <c r="I238" i="50"/>
  <c r="G238" i="50"/>
  <c r="H243" i="50"/>
  <c r="G243" i="50"/>
  <c r="G248" i="50"/>
  <c r="H248" i="50"/>
  <c r="I254" i="50"/>
  <c r="G254" i="50"/>
  <c r="H259" i="50"/>
  <c r="G259" i="50"/>
  <c r="G264" i="50"/>
  <c r="H264" i="50"/>
  <c r="I270" i="50"/>
  <c r="G270" i="50"/>
  <c r="H275" i="50"/>
  <c r="G275" i="50"/>
  <c r="G280" i="50"/>
  <c r="H280" i="50"/>
  <c r="I286" i="50"/>
  <c r="G286" i="50"/>
  <c r="H291" i="50"/>
  <c r="G291" i="50"/>
  <c r="G296" i="50"/>
  <c r="H296" i="50"/>
  <c r="I302" i="50"/>
  <c r="G302" i="50"/>
  <c r="H307" i="50"/>
  <c r="G307" i="50"/>
  <c r="G312" i="50"/>
  <c r="H312" i="50"/>
  <c r="I318" i="50"/>
  <c r="G318" i="50"/>
  <c r="H323" i="50"/>
  <c r="G323" i="50"/>
  <c r="H328" i="50"/>
  <c r="G328" i="50"/>
  <c r="I328" i="50"/>
  <c r="I331" i="50"/>
  <c r="G331" i="50"/>
  <c r="I335" i="50"/>
  <c r="G335" i="50"/>
  <c r="J335" i="50"/>
  <c r="I339" i="50"/>
  <c r="G339" i="50"/>
  <c r="H339" i="50"/>
  <c r="G341" i="50"/>
  <c r="H341" i="50"/>
  <c r="G345" i="50"/>
  <c r="H345" i="50"/>
  <c r="J345" i="50"/>
  <c r="G349" i="50"/>
  <c r="H349" i="50"/>
  <c r="I349" i="50"/>
  <c r="H352" i="50"/>
  <c r="G352" i="50"/>
  <c r="H356" i="50"/>
  <c r="G356" i="50"/>
  <c r="J356" i="50"/>
  <c r="I356" i="50"/>
  <c r="G361" i="50"/>
  <c r="H361" i="50"/>
  <c r="J361" i="50"/>
  <c r="I361" i="50"/>
  <c r="I367" i="50"/>
  <c r="G367" i="50"/>
  <c r="J367" i="50"/>
  <c r="H367" i="50"/>
  <c r="H372" i="50"/>
  <c r="G372" i="50"/>
  <c r="J372" i="50"/>
  <c r="I372" i="50"/>
  <c r="G377" i="50"/>
  <c r="H377" i="50"/>
  <c r="J377" i="50"/>
  <c r="I377" i="50"/>
  <c r="I383" i="50"/>
  <c r="G383" i="50"/>
  <c r="J383" i="50"/>
  <c r="H383" i="50"/>
  <c r="H388" i="50"/>
  <c r="G388" i="50"/>
  <c r="J388" i="50"/>
  <c r="I388" i="50"/>
  <c r="G393" i="50"/>
  <c r="H393" i="50"/>
  <c r="J393" i="50"/>
  <c r="I393" i="50"/>
  <c r="I399" i="50"/>
  <c r="G399" i="50"/>
  <c r="J399" i="50"/>
  <c r="H399" i="50"/>
  <c r="H404" i="50"/>
  <c r="G404" i="50"/>
  <c r="J404" i="50"/>
  <c r="I404" i="50"/>
  <c r="G409" i="50"/>
  <c r="H409" i="50"/>
  <c r="J409" i="50"/>
  <c r="I409" i="50"/>
  <c r="G32" i="50"/>
  <c r="G33" i="50"/>
  <c r="H34" i="50"/>
  <c r="G36" i="50"/>
  <c r="G37" i="50"/>
  <c r="H38" i="50"/>
  <c r="G40" i="50"/>
  <c r="G41" i="50"/>
  <c r="H42" i="50"/>
  <c r="G44" i="50"/>
  <c r="G45" i="50"/>
  <c r="H46" i="50"/>
  <c r="G48" i="50"/>
  <c r="G49" i="50"/>
  <c r="H50" i="50"/>
  <c r="G52" i="50"/>
  <c r="G53" i="50"/>
  <c r="H54" i="50"/>
  <c r="G56" i="50"/>
  <c r="G57" i="50"/>
  <c r="H58" i="50"/>
  <c r="G60" i="50"/>
  <c r="G61" i="50"/>
  <c r="H62" i="50"/>
  <c r="G64" i="50"/>
  <c r="G65" i="50"/>
  <c r="H66" i="50"/>
  <c r="G68" i="50"/>
  <c r="G69" i="50"/>
  <c r="H70" i="50"/>
  <c r="G72" i="50"/>
  <c r="G73" i="50"/>
  <c r="H74" i="50"/>
  <c r="G76" i="50"/>
  <c r="G77" i="50"/>
  <c r="H78" i="50"/>
  <c r="G80" i="50"/>
  <c r="G81" i="50"/>
  <c r="H82" i="50"/>
  <c r="G84" i="50"/>
  <c r="G85" i="50"/>
  <c r="H86" i="50"/>
  <c r="G88" i="50"/>
  <c r="G89" i="50"/>
  <c r="H90" i="50"/>
  <c r="G92" i="50"/>
  <c r="G93" i="50"/>
  <c r="H94" i="50"/>
  <c r="G96" i="50"/>
  <c r="G97" i="50"/>
  <c r="H98" i="50"/>
  <c r="G100" i="50"/>
  <c r="G101" i="50"/>
  <c r="H102" i="50"/>
  <c r="G104" i="50"/>
  <c r="G105" i="50"/>
  <c r="H106" i="50"/>
  <c r="G108" i="50"/>
  <c r="G109" i="50"/>
  <c r="H110" i="50"/>
  <c r="G112" i="50"/>
  <c r="G113" i="50"/>
  <c r="H114" i="50"/>
  <c r="G116" i="50"/>
  <c r="G117" i="50"/>
  <c r="H118" i="50"/>
  <c r="G120" i="50"/>
  <c r="G121" i="50"/>
  <c r="H122" i="50"/>
  <c r="G124" i="50"/>
  <c r="G125" i="50"/>
  <c r="H126" i="50"/>
  <c r="G128" i="50"/>
  <c r="G129" i="50"/>
  <c r="H130" i="50"/>
  <c r="G132" i="50"/>
  <c r="G133" i="50"/>
  <c r="H134" i="50"/>
  <c r="G136" i="50"/>
  <c r="G137" i="50"/>
  <c r="H138" i="50"/>
  <c r="G140" i="50"/>
  <c r="G141" i="50"/>
  <c r="H142" i="50"/>
  <c r="G144" i="50"/>
  <c r="G145" i="50"/>
  <c r="H146" i="50"/>
  <c r="G148" i="50"/>
  <c r="G149" i="50"/>
  <c r="H150" i="50"/>
  <c r="G152" i="50"/>
  <c r="G153" i="50"/>
  <c r="H154" i="50"/>
  <c r="G156" i="50"/>
  <c r="G157" i="50"/>
  <c r="H158" i="50"/>
  <c r="G160" i="50"/>
  <c r="G161" i="50"/>
  <c r="H162" i="50"/>
  <c r="G164" i="50"/>
  <c r="G165" i="50"/>
  <c r="H166" i="50"/>
  <c r="G168" i="50"/>
  <c r="G169" i="50"/>
  <c r="H170" i="50"/>
  <c r="G172" i="50"/>
  <c r="G173" i="50"/>
  <c r="H174" i="50"/>
  <c r="G176" i="50"/>
  <c r="G177" i="50"/>
  <c r="H178" i="50"/>
  <c r="G180" i="50"/>
  <c r="G181" i="50"/>
  <c r="H182" i="50"/>
  <c r="G184" i="50"/>
  <c r="G185" i="50"/>
  <c r="H186" i="50"/>
  <c r="G188" i="50"/>
  <c r="G189" i="50"/>
  <c r="H190" i="50"/>
  <c r="G192" i="50"/>
  <c r="G193" i="50"/>
  <c r="H194" i="50"/>
  <c r="G196" i="50"/>
  <c r="G197" i="50"/>
  <c r="H198" i="50"/>
  <c r="G200" i="50"/>
  <c r="G201" i="50"/>
  <c r="H202" i="50"/>
  <c r="G204" i="50"/>
  <c r="G205" i="50"/>
  <c r="H206" i="50"/>
  <c r="G208" i="50"/>
  <c r="G209" i="50"/>
  <c r="H210" i="50"/>
  <c r="G212" i="50"/>
  <c r="G213" i="50"/>
  <c r="H214" i="50"/>
  <c r="G216" i="50"/>
  <c r="G217" i="50"/>
  <c r="H218" i="50"/>
  <c r="G220" i="50"/>
  <c r="G221" i="50"/>
  <c r="H222" i="50"/>
  <c r="I226" i="50"/>
  <c r="G226" i="50"/>
  <c r="I227" i="50"/>
  <c r="H231" i="50"/>
  <c r="G231" i="50"/>
  <c r="I232" i="50"/>
  <c r="G236" i="50"/>
  <c r="H236" i="50"/>
  <c r="H238" i="50"/>
  <c r="I242" i="50"/>
  <c r="G242" i="50"/>
  <c r="I243" i="50"/>
  <c r="H247" i="50"/>
  <c r="G247" i="50"/>
  <c r="I248" i="50"/>
  <c r="G252" i="50"/>
  <c r="H252" i="50"/>
  <c r="H254" i="50"/>
  <c r="I258" i="50"/>
  <c r="G258" i="50"/>
  <c r="I259" i="50"/>
  <c r="H263" i="50"/>
  <c r="G263" i="50"/>
  <c r="I264" i="50"/>
  <c r="G268" i="50"/>
  <c r="H268" i="50"/>
  <c r="H270" i="50"/>
  <c r="I274" i="50"/>
  <c r="G274" i="50"/>
  <c r="I275" i="50"/>
  <c r="H279" i="50"/>
  <c r="G279" i="50"/>
  <c r="I280" i="50"/>
  <c r="G284" i="50"/>
  <c r="H284" i="50"/>
  <c r="H286" i="50"/>
  <c r="I290" i="50"/>
  <c r="G290" i="50"/>
  <c r="I291" i="50"/>
  <c r="H295" i="50"/>
  <c r="G295" i="50"/>
  <c r="I296" i="50"/>
  <c r="G300" i="50"/>
  <c r="H300" i="50"/>
  <c r="H302" i="50"/>
  <c r="I306" i="50"/>
  <c r="G306" i="50"/>
  <c r="I307" i="50"/>
  <c r="H311" i="50"/>
  <c r="G311" i="50"/>
  <c r="I312" i="50"/>
  <c r="G316" i="50"/>
  <c r="H316" i="50"/>
  <c r="H318" i="50"/>
  <c r="I322" i="50"/>
  <c r="G322" i="50"/>
  <c r="I323" i="50"/>
  <c r="H327" i="50"/>
  <c r="G327" i="50"/>
  <c r="J328" i="50"/>
  <c r="H331" i="50"/>
  <c r="H335" i="50"/>
  <c r="J339" i="50"/>
  <c r="I341" i="50"/>
  <c r="I345" i="50"/>
  <c r="J349" i="50"/>
  <c r="I352" i="50"/>
  <c r="G357" i="50"/>
  <c r="H357" i="50"/>
  <c r="J357" i="50"/>
  <c r="I363" i="50"/>
  <c r="G363" i="50"/>
  <c r="J363" i="50"/>
  <c r="H368" i="50"/>
  <c r="G368" i="50"/>
  <c r="J368" i="50"/>
  <c r="G373" i="50"/>
  <c r="H373" i="50"/>
  <c r="J373" i="50"/>
  <c r="I379" i="50"/>
  <c r="G379" i="50"/>
  <c r="J379" i="50"/>
  <c r="H384" i="50"/>
  <c r="G384" i="50"/>
  <c r="J384" i="50"/>
  <c r="G389" i="50"/>
  <c r="H389" i="50"/>
  <c r="J389" i="50"/>
  <c r="I395" i="50"/>
  <c r="G395" i="50"/>
  <c r="J395" i="50"/>
  <c r="H400" i="50"/>
  <c r="G400" i="50"/>
  <c r="J400" i="50"/>
  <c r="G405" i="50"/>
  <c r="H405" i="50"/>
  <c r="J405" i="50"/>
  <c r="I411" i="50"/>
  <c r="G411" i="50"/>
  <c r="J411" i="50"/>
  <c r="J17" i="50"/>
  <c r="H32" i="50"/>
  <c r="I33" i="50"/>
  <c r="I34" i="50"/>
  <c r="H36" i="50"/>
  <c r="I37" i="50"/>
  <c r="I38" i="50"/>
  <c r="H40" i="50"/>
  <c r="I41" i="50"/>
  <c r="I42" i="50"/>
  <c r="H44" i="50"/>
  <c r="I45" i="50"/>
  <c r="I46" i="50"/>
  <c r="H48" i="50"/>
  <c r="I49" i="50"/>
  <c r="I50" i="50"/>
  <c r="H52" i="50"/>
  <c r="I53" i="50"/>
  <c r="I54" i="50"/>
  <c r="H56" i="50"/>
  <c r="I57" i="50"/>
  <c r="I58" i="50"/>
  <c r="H60" i="50"/>
  <c r="I61" i="50"/>
  <c r="I62" i="50"/>
  <c r="H64" i="50"/>
  <c r="I65" i="50"/>
  <c r="I66" i="50"/>
  <c r="H68" i="50"/>
  <c r="I69" i="50"/>
  <c r="I70" i="50"/>
  <c r="H72" i="50"/>
  <c r="I73" i="50"/>
  <c r="I74" i="50"/>
  <c r="H76" i="50"/>
  <c r="I77" i="50"/>
  <c r="I78" i="50"/>
  <c r="H80" i="50"/>
  <c r="I81" i="50"/>
  <c r="I82" i="50"/>
  <c r="H84" i="50"/>
  <c r="I85" i="50"/>
  <c r="I86" i="50"/>
  <c r="H88" i="50"/>
  <c r="I89" i="50"/>
  <c r="I90" i="50"/>
  <c r="H92" i="50"/>
  <c r="I93" i="50"/>
  <c r="I94" i="50"/>
  <c r="H96" i="50"/>
  <c r="I97" i="50"/>
  <c r="I98" i="50"/>
  <c r="H100" i="50"/>
  <c r="I101" i="50"/>
  <c r="I102" i="50"/>
  <c r="H104" i="50"/>
  <c r="I105" i="50"/>
  <c r="I106" i="50"/>
  <c r="H108" i="50"/>
  <c r="I109" i="50"/>
  <c r="I110" i="50"/>
  <c r="H112" i="50"/>
  <c r="I113" i="50"/>
  <c r="I114" i="50"/>
  <c r="H116" i="50"/>
  <c r="I117" i="50"/>
  <c r="I118" i="50"/>
  <c r="H120" i="50"/>
  <c r="I121" i="50"/>
  <c r="I122" i="50"/>
  <c r="H124" i="50"/>
  <c r="I125" i="50"/>
  <c r="I126" i="50"/>
  <c r="H128" i="50"/>
  <c r="I129" i="50"/>
  <c r="I130" i="50"/>
  <c r="H132" i="50"/>
  <c r="I133" i="50"/>
  <c r="I134" i="50"/>
  <c r="H136" i="50"/>
  <c r="I137" i="50"/>
  <c r="I138" i="50"/>
  <c r="H140" i="50"/>
  <c r="I141" i="50"/>
  <c r="I142" i="50"/>
  <c r="H144" i="50"/>
  <c r="I145" i="50"/>
  <c r="I146" i="50"/>
  <c r="H148" i="50"/>
  <c r="I149" i="50"/>
  <c r="I150" i="50"/>
  <c r="H152" i="50"/>
  <c r="I153" i="50"/>
  <c r="I154" i="50"/>
  <c r="H156" i="50"/>
  <c r="I157" i="50"/>
  <c r="I158" i="50"/>
  <c r="H160" i="50"/>
  <c r="I161" i="50"/>
  <c r="I162" i="50"/>
  <c r="H164" i="50"/>
  <c r="I165" i="50"/>
  <c r="I166" i="50"/>
  <c r="H168" i="50"/>
  <c r="I169" i="50"/>
  <c r="I170" i="50"/>
  <c r="H172" i="50"/>
  <c r="I173" i="50"/>
  <c r="I174" i="50"/>
  <c r="H176" i="50"/>
  <c r="I177" i="50"/>
  <c r="I178" i="50"/>
  <c r="H180" i="50"/>
  <c r="I181" i="50"/>
  <c r="I182" i="50"/>
  <c r="H184" i="50"/>
  <c r="I185" i="50"/>
  <c r="I186" i="50"/>
  <c r="H188" i="50"/>
  <c r="I189" i="50"/>
  <c r="I190" i="50"/>
  <c r="H192" i="50"/>
  <c r="I193" i="50"/>
  <c r="I194" i="50"/>
  <c r="H196" i="50"/>
  <c r="I197" i="50"/>
  <c r="I198" i="50"/>
  <c r="H200" i="50"/>
  <c r="I201" i="50"/>
  <c r="I202" i="50"/>
  <c r="H204" i="50"/>
  <c r="I205" i="50"/>
  <c r="I206" i="50"/>
  <c r="H208" i="50"/>
  <c r="I209" i="50"/>
  <c r="I210" i="50"/>
  <c r="H212" i="50"/>
  <c r="I213" i="50"/>
  <c r="I214" i="50"/>
  <c r="H216" i="50"/>
  <c r="I217" i="50"/>
  <c r="I218" i="50"/>
  <c r="H220" i="50"/>
  <c r="I221" i="50"/>
  <c r="J222" i="50"/>
  <c r="G224" i="50"/>
  <c r="H224" i="50"/>
  <c r="H226" i="50"/>
  <c r="J227" i="50"/>
  <c r="I230" i="50"/>
  <c r="G230" i="50"/>
  <c r="I231" i="50"/>
  <c r="J232" i="50"/>
  <c r="H235" i="50"/>
  <c r="G235" i="50"/>
  <c r="I236" i="50"/>
  <c r="J238" i="50"/>
  <c r="G240" i="50"/>
  <c r="H240" i="50"/>
  <c r="H242" i="50"/>
  <c r="J243" i="50"/>
  <c r="I246" i="50"/>
  <c r="G246" i="50"/>
  <c r="I247" i="50"/>
  <c r="J248" i="50"/>
  <c r="H251" i="50"/>
  <c r="G251" i="50"/>
  <c r="I252" i="50"/>
  <c r="J254" i="50"/>
  <c r="G256" i="50"/>
  <c r="H256" i="50"/>
  <c r="H258" i="50"/>
  <c r="J259" i="50"/>
  <c r="I262" i="50"/>
  <c r="G262" i="50"/>
  <c r="I263" i="50"/>
  <c r="J264" i="50"/>
  <c r="H267" i="50"/>
  <c r="G267" i="50"/>
  <c r="I268" i="50"/>
  <c r="J270" i="50"/>
  <c r="G272" i="50"/>
  <c r="H272" i="50"/>
  <c r="H274" i="50"/>
  <c r="J275" i="50"/>
  <c r="I278" i="50"/>
  <c r="G278" i="50"/>
  <c r="I279" i="50"/>
  <c r="J280" i="50"/>
  <c r="H283" i="50"/>
  <c r="G283" i="50"/>
  <c r="I284" i="50"/>
  <c r="J286" i="50"/>
  <c r="G288" i="50"/>
  <c r="H288" i="50"/>
  <c r="H290" i="50"/>
  <c r="J291" i="50"/>
  <c r="I294" i="50"/>
  <c r="G294" i="50"/>
  <c r="I295" i="50"/>
  <c r="J296" i="50"/>
  <c r="H299" i="50"/>
  <c r="G299" i="50"/>
  <c r="I300" i="50"/>
  <c r="J302" i="50"/>
  <c r="G304" i="50"/>
  <c r="H304" i="50"/>
  <c r="H306" i="50"/>
  <c r="J307" i="50"/>
  <c r="I310" i="50"/>
  <c r="G310" i="50"/>
  <c r="I311" i="50"/>
  <c r="J312" i="50"/>
  <c r="H315" i="50"/>
  <c r="G315" i="50"/>
  <c r="I316" i="50"/>
  <c r="J318" i="50"/>
  <c r="G320" i="50"/>
  <c r="H320" i="50"/>
  <c r="H322" i="50"/>
  <c r="J323" i="50"/>
  <c r="I326" i="50"/>
  <c r="G326" i="50"/>
  <c r="I327" i="50"/>
  <c r="G329" i="50"/>
  <c r="H329" i="50"/>
  <c r="J329" i="50"/>
  <c r="J331" i="50"/>
  <c r="G333" i="50"/>
  <c r="H333" i="50"/>
  <c r="I333" i="50"/>
  <c r="H336" i="50"/>
  <c r="G336" i="50"/>
  <c r="H340" i="50"/>
  <c r="G340" i="50"/>
  <c r="J340" i="50"/>
  <c r="J341" i="50"/>
  <c r="H344" i="50"/>
  <c r="G344" i="50"/>
  <c r="I344" i="50"/>
  <c r="I347" i="50"/>
  <c r="G347" i="50"/>
  <c r="I351" i="50"/>
  <c r="G351" i="50"/>
  <c r="J351" i="50"/>
  <c r="J352" i="50"/>
  <c r="I355" i="50"/>
  <c r="G355" i="50"/>
  <c r="H355" i="50"/>
  <c r="I357" i="50"/>
  <c r="H363" i="50"/>
  <c r="I368" i="50"/>
  <c r="I373" i="50"/>
  <c r="H379" i="50"/>
  <c r="I384" i="50"/>
  <c r="I389" i="50"/>
  <c r="H395" i="50"/>
  <c r="I400" i="50"/>
  <c r="I405" i="50"/>
  <c r="H411" i="50"/>
  <c r="J32" i="50"/>
  <c r="J33" i="50"/>
  <c r="J34" i="50"/>
  <c r="J36" i="50"/>
  <c r="J37" i="50"/>
  <c r="J38" i="50"/>
  <c r="J40" i="50"/>
  <c r="J41" i="50"/>
  <c r="J42" i="50"/>
  <c r="J44" i="50"/>
  <c r="J45" i="50"/>
  <c r="J46" i="50"/>
  <c r="J48" i="50"/>
  <c r="J49" i="50"/>
  <c r="J50" i="50"/>
  <c r="J52" i="50"/>
  <c r="J53" i="50"/>
  <c r="J54" i="50"/>
  <c r="J56" i="50"/>
  <c r="J57" i="50"/>
  <c r="J58" i="50"/>
  <c r="J60" i="50"/>
  <c r="J61" i="50"/>
  <c r="J62" i="50"/>
  <c r="J64" i="50"/>
  <c r="J65" i="50"/>
  <c r="J66" i="50"/>
  <c r="J68" i="50"/>
  <c r="J69" i="50"/>
  <c r="J70" i="50"/>
  <c r="J72" i="50"/>
  <c r="J73" i="50"/>
  <c r="J74" i="50"/>
  <c r="J76" i="50"/>
  <c r="J77" i="50"/>
  <c r="J78" i="50"/>
  <c r="J80" i="50"/>
  <c r="J81" i="50"/>
  <c r="J82" i="50"/>
  <c r="J84" i="50"/>
  <c r="J85" i="50"/>
  <c r="J86" i="50"/>
  <c r="J88" i="50"/>
  <c r="J89" i="50"/>
  <c r="J90" i="50"/>
  <c r="J92" i="50"/>
  <c r="J93" i="50"/>
  <c r="J94" i="50"/>
  <c r="J96" i="50"/>
  <c r="J97" i="50"/>
  <c r="J98" i="50"/>
  <c r="J100" i="50"/>
  <c r="J101" i="50"/>
  <c r="J102" i="50"/>
  <c r="J104" i="50"/>
  <c r="J105" i="50"/>
  <c r="J106" i="50"/>
  <c r="J108" i="50"/>
  <c r="J109" i="50"/>
  <c r="J110" i="50"/>
  <c r="J112" i="50"/>
  <c r="J113" i="50"/>
  <c r="J114" i="50"/>
  <c r="J116" i="50"/>
  <c r="J117" i="50"/>
  <c r="J118" i="50"/>
  <c r="J120" i="50"/>
  <c r="J121" i="50"/>
  <c r="J122" i="50"/>
  <c r="J124" i="50"/>
  <c r="J125" i="50"/>
  <c r="J126" i="50"/>
  <c r="J128" i="50"/>
  <c r="J129" i="50"/>
  <c r="J130" i="50"/>
  <c r="J132" i="50"/>
  <c r="J133" i="50"/>
  <c r="J134" i="50"/>
  <c r="J136" i="50"/>
  <c r="J137" i="50"/>
  <c r="J138" i="50"/>
  <c r="J140" i="50"/>
  <c r="J141" i="50"/>
  <c r="J142" i="50"/>
  <c r="J144" i="50"/>
  <c r="J145" i="50"/>
  <c r="J146" i="50"/>
  <c r="J148" i="50"/>
  <c r="J149" i="50"/>
  <c r="J150" i="50"/>
  <c r="J152" i="50"/>
  <c r="J153" i="50"/>
  <c r="J154" i="50"/>
  <c r="J156" i="50"/>
  <c r="J157" i="50"/>
  <c r="J158" i="50"/>
  <c r="J160" i="50"/>
  <c r="J161" i="50"/>
  <c r="J162" i="50"/>
  <c r="J164" i="50"/>
  <c r="J165" i="50"/>
  <c r="J166" i="50"/>
  <c r="J168" i="50"/>
  <c r="J169" i="50"/>
  <c r="J170" i="50"/>
  <c r="J172" i="50"/>
  <c r="J173" i="50"/>
  <c r="J174" i="50"/>
  <c r="J176" i="50"/>
  <c r="J177" i="50"/>
  <c r="J178" i="50"/>
  <c r="J180" i="50"/>
  <c r="J181" i="50"/>
  <c r="J182" i="50"/>
  <c r="J184" i="50"/>
  <c r="J185" i="50"/>
  <c r="J186" i="50"/>
  <c r="J188" i="50"/>
  <c r="J189" i="50"/>
  <c r="J190" i="50"/>
  <c r="J192" i="50"/>
  <c r="J193" i="50"/>
  <c r="J194" i="50"/>
  <c r="J196" i="50"/>
  <c r="J197" i="50"/>
  <c r="J198" i="50"/>
  <c r="J200" i="50"/>
  <c r="J201" i="50"/>
  <c r="J202" i="50"/>
  <c r="J204" i="50"/>
  <c r="J205" i="50"/>
  <c r="J206" i="50"/>
  <c r="J208" i="50"/>
  <c r="J209" i="50"/>
  <c r="J210" i="50"/>
  <c r="J212" i="50"/>
  <c r="J213" i="50"/>
  <c r="J214" i="50"/>
  <c r="J216" i="50"/>
  <c r="J217" i="50"/>
  <c r="J218" i="50"/>
  <c r="J220" i="50"/>
  <c r="J221" i="50"/>
  <c r="H223" i="50"/>
  <c r="G223" i="50"/>
  <c r="I224" i="50"/>
  <c r="J226" i="50"/>
  <c r="G228" i="50"/>
  <c r="H228" i="50"/>
  <c r="H230" i="50"/>
  <c r="J231" i="50"/>
  <c r="I234" i="50"/>
  <c r="G234" i="50"/>
  <c r="I235" i="50"/>
  <c r="J236" i="50"/>
  <c r="H239" i="50"/>
  <c r="G239" i="50"/>
  <c r="I240" i="50"/>
  <c r="J242" i="50"/>
  <c r="G244" i="50"/>
  <c r="H244" i="50"/>
  <c r="H246" i="50"/>
  <c r="J247" i="50"/>
  <c r="I250" i="50"/>
  <c r="G250" i="50"/>
  <c r="I251" i="50"/>
  <c r="J252" i="50"/>
  <c r="H255" i="50"/>
  <c r="G255" i="50"/>
  <c r="I256" i="50"/>
  <c r="J258" i="50"/>
  <c r="G260" i="50"/>
  <c r="H260" i="50"/>
  <c r="H262" i="50"/>
  <c r="J263" i="50"/>
  <c r="I266" i="50"/>
  <c r="G266" i="50"/>
  <c r="I267" i="50"/>
  <c r="J268" i="50"/>
  <c r="H271" i="50"/>
  <c r="G271" i="50"/>
  <c r="I272" i="50"/>
  <c r="J274" i="50"/>
  <c r="G276" i="50"/>
  <c r="H276" i="50"/>
  <c r="H278" i="50"/>
  <c r="J279" i="50"/>
  <c r="I282" i="50"/>
  <c r="G282" i="50"/>
  <c r="I283" i="50"/>
  <c r="J284" i="50"/>
  <c r="H287" i="50"/>
  <c r="G287" i="50"/>
  <c r="I288" i="50"/>
  <c r="J290" i="50"/>
  <c r="G292" i="50"/>
  <c r="H292" i="50"/>
  <c r="H294" i="50"/>
  <c r="J295" i="50"/>
  <c r="I298" i="50"/>
  <c r="G298" i="50"/>
  <c r="I299" i="50"/>
  <c r="J300" i="50"/>
  <c r="H303" i="50"/>
  <c r="G303" i="50"/>
  <c r="I304" i="50"/>
  <c r="J306" i="50"/>
  <c r="G308" i="50"/>
  <c r="H308" i="50"/>
  <c r="H310" i="50"/>
  <c r="J311" i="50"/>
  <c r="I314" i="50"/>
  <c r="G314" i="50"/>
  <c r="I315" i="50"/>
  <c r="J316" i="50"/>
  <c r="H319" i="50"/>
  <c r="G319" i="50"/>
  <c r="I320" i="50"/>
  <c r="J322" i="50"/>
  <c r="G324" i="50"/>
  <c r="H324" i="50"/>
  <c r="H326" i="50"/>
  <c r="J327" i="50"/>
  <c r="I329" i="50"/>
  <c r="J333" i="50"/>
  <c r="I336" i="50"/>
  <c r="I340" i="50"/>
  <c r="J344" i="50"/>
  <c r="H347" i="50"/>
  <c r="H351" i="50"/>
  <c r="J355" i="50"/>
  <c r="H360" i="50"/>
  <c r="G360" i="50"/>
  <c r="G365" i="50"/>
  <c r="H365" i="50"/>
  <c r="I371" i="50"/>
  <c r="G371" i="50"/>
  <c r="H376" i="50"/>
  <c r="G376" i="50"/>
  <c r="G381" i="50"/>
  <c r="H381" i="50"/>
  <c r="I387" i="50"/>
  <c r="G387" i="50"/>
  <c r="H392" i="50"/>
  <c r="G392" i="50"/>
  <c r="G397" i="50"/>
  <c r="H397" i="50"/>
  <c r="I403" i="50"/>
  <c r="G403" i="50"/>
  <c r="H408" i="50"/>
  <c r="G408" i="50"/>
  <c r="H332" i="50"/>
  <c r="G332" i="50"/>
  <c r="G337" i="50"/>
  <c r="H337" i="50"/>
  <c r="I343" i="50"/>
  <c r="G343" i="50"/>
  <c r="H348" i="50"/>
  <c r="G348" i="50"/>
  <c r="G353" i="50"/>
  <c r="H353" i="50"/>
  <c r="I359" i="50"/>
  <c r="G359" i="50"/>
  <c r="I360" i="50"/>
  <c r="H364" i="50"/>
  <c r="G364" i="50"/>
  <c r="I365" i="50"/>
  <c r="G369" i="50"/>
  <c r="H369" i="50"/>
  <c r="H371" i="50"/>
  <c r="I375" i="50"/>
  <c r="G375" i="50"/>
  <c r="I376" i="50"/>
  <c r="H380" i="50"/>
  <c r="G380" i="50"/>
  <c r="I381" i="50"/>
  <c r="G385" i="50"/>
  <c r="H385" i="50"/>
  <c r="H387" i="50"/>
  <c r="I391" i="50"/>
  <c r="G391" i="50"/>
  <c r="I392" i="50"/>
  <c r="H396" i="50"/>
  <c r="G396" i="50"/>
  <c r="I397" i="50"/>
  <c r="G401" i="50"/>
  <c r="H401" i="50"/>
  <c r="H403" i="50"/>
  <c r="I407" i="50"/>
  <c r="G407" i="50"/>
  <c r="I408" i="50"/>
  <c r="H412" i="50"/>
  <c r="G412" i="50"/>
  <c r="F26" i="49"/>
  <c r="H169" i="49"/>
  <c r="J169" i="49"/>
  <c r="I172" i="49"/>
  <c r="J172" i="49"/>
  <c r="J179" i="49"/>
  <c r="I179" i="49"/>
  <c r="G179" i="49"/>
  <c r="G182" i="49"/>
  <c r="J182" i="49"/>
  <c r="H185" i="49"/>
  <c r="J185" i="49"/>
  <c r="I188" i="49"/>
  <c r="J188" i="49"/>
  <c r="J195" i="49"/>
  <c r="I195" i="49"/>
  <c r="G195" i="49"/>
  <c r="G198" i="49"/>
  <c r="J198" i="49"/>
  <c r="H201" i="49"/>
  <c r="J201" i="49"/>
  <c r="I204" i="49"/>
  <c r="J204" i="49"/>
  <c r="J211" i="49"/>
  <c r="I211" i="49"/>
  <c r="G211" i="49"/>
  <c r="G214" i="49"/>
  <c r="J214" i="49"/>
  <c r="H217" i="49"/>
  <c r="J217" i="49"/>
  <c r="I220" i="49"/>
  <c r="J220" i="49"/>
  <c r="J313" i="49"/>
  <c r="I313" i="49"/>
  <c r="H313" i="49"/>
  <c r="G313" i="49"/>
  <c r="J338" i="49"/>
  <c r="I338" i="49"/>
  <c r="H338" i="49"/>
  <c r="G338" i="49"/>
  <c r="F27" i="49"/>
  <c r="F28" i="49"/>
  <c r="F30" i="49"/>
  <c r="G170" i="49"/>
  <c r="J170" i="49"/>
  <c r="H173" i="49"/>
  <c r="J173" i="49"/>
  <c r="I176" i="49"/>
  <c r="J176" i="49"/>
  <c r="H179" i="49"/>
  <c r="J183" i="49"/>
  <c r="G183" i="49"/>
  <c r="I183" i="49"/>
  <c r="G186" i="49"/>
  <c r="J186" i="49"/>
  <c r="H189" i="49"/>
  <c r="J189" i="49"/>
  <c r="I192" i="49"/>
  <c r="J192" i="49"/>
  <c r="H195" i="49"/>
  <c r="J199" i="49"/>
  <c r="G199" i="49"/>
  <c r="I199" i="49"/>
  <c r="G202" i="49"/>
  <c r="J202" i="49"/>
  <c r="H205" i="49"/>
  <c r="J205" i="49"/>
  <c r="I208" i="49"/>
  <c r="J208" i="49"/>
  <c r="H211" i="49"/>
  <c r="J215" i="49"/>
  <c r="G215" i="49"/>
  <c r="I215" i="49"/>
  <c r="G218" i="49"/>
  <c r="J218" i="49"/>
  <c r="H221" i="49"/>
  <c r="J221" i="49"/>
  <c r="J224" i="49"/>
  <c r="J256" i="49"/>
  <c r="I256" i="49"/>
  <c r="J273" i="49"/>
  <c r="I273" i="49"/>
  <c r="H273" i="49"/>
  <c r="G273" i="49"/>
  <c r="J277" i="49"/>
  <c r="I277" i="49"/>
  <c r="H277" i="49"/>
  <c r="G277" i="49"/>
  <c r="J285" i="49"/>
  <c r="I285" i="49"/>
  <c r="H285" i="49"/>
  <c r="G285" i="49"/>
  <c r="J320" i="49"/>
  <c r="I320" i="49"/>
  <c r="J332" i="49"/>
  <c r="I332" i="49"/>
  <c r="J342" i="49"/>
  <c r="I342" i="49"/>
  <c r="H342" i="49"/>
  <c r="G342" i="49"/>
  <c r="J370" i="49"/>
  <c r="I370" i="49"/>
  <c r="H370" i="49"/>
  <c r="G370" i="49"/>
  <c r="J374" i="49"/>
  <c r="I374" i="49"/>
  <c r="H374" i="49"/>
  <c r="G374" i="49"/>
  <c r="J382" i="49"/>
  <c r="I382" i="49"/>
  <c r="H382" i="49"/>
  <c r="G382" i="49"/>
  <c r="J396" i="49"/>
  <c r="I396" i="49"/>
  <c r="J410" i="49"/>
  <c r="I410" i="49"/>
  <c r="H410" i="49"/>
  <c r="G410" i="49"/>
  <c r="J171" i="49"/>
  <c r="I171" i="49"/>
  <c r="G171" i="49"/>
  <c r="G174" i="49"/>
  <c r="J174" i="49"/>
  <c r="H177" i="49"/>
  <c r="J177" i="49"/>
  <c r="I180" i="49"/>
  <c r="J180" i="49"/>
  <c r="J187" i="49"/>
  <c r="I187" i="49"/>
  <c r="G187" i="49"/>
  <c r="G190" i="49"/>
  <c r="J190" i="49"/>
  <c r="H193" i="49"/>
  <c r="J193" i="49"/>
  <c r="I196" i="49"/>
  <c r="J196" i="49"/>
  <c r="J203" i="49"/>
  <c r="I203" i="49"/>
  <c r="G203" i="49"/>
  <c r="G206" i="49"/>
  <c r="J206" i="49"/>
  <c r="H209" i="49"/>
  <c r="J209" i="49"/>
  <c r="I212" i="49"/>
  <c r="J212" i="49"/>
  <c r="J219" i="49"/>
  <c r="I219" i="49"/>
  <c r="G219" i="49"/>
  <c r="J278" i="49"/>
  <c r="H278" i="49"/>
  <c r="J299" i="49"/>
  <c r="I299" i="49"/>
  <c r="J343" i="49"/>
  <c r="H343" i="49"/>
  <c r="J375" i="49"/>
  <c r="H375" i="49"/>
  <c r="F25" i="49"/>
  <c r="H35" i="49"/>
  <c r="H43" i="49"/>
  <c r="H51" i="49"/>
  <c r="H59" i="49"/>
  <c r="H67" i="49"/>
  <c r="H75" i="49"/>
  <c r="H83" i="49"/>
  <c r="H91" i="49"/>
  <c r="H99" i="49"/>
  <c r="H107" i="49"/>
  <c r="H115" i="49"/>
  <c r="H123" i="49"/>
  <c r="H131" i="49"/>
  <c r="H139" i="49"/>
  <c r="H147" i="49"/>
  <c r="H155" i="49"/>
  <c r="H163" i="49"/>
  <c r="J167" i="49"/>
  <c r="I167" i="49"/>
  <c r="J168" i="49"/>
  <c r="H171" i="49"/>
  <c r="J175" i="49"/>
  <c r="G175" i="49"/>
  <c r="I175" i="49"/>
  <c r="G178" i="49"/>
  <c r="J178" i="49"/>
  <c r="H181" i="49"/>
  <c r="J181" i="49"/>
  <c r="I184" i="49"/>
  <c r="J184" i="49"/>
  <c r="H187" i="49"/>
  <c r="J191" i="49"/>
  <c r="G191" i="49"/>
  <c r="I191" i="49"/>
  <c r="G194" i="49"/>
  <c r="J194" i="49"/>
  <c r="H197" i="49"/>
  <c r="J197" i="49"/>
  <c r="I200" i="49"/>
  <c r="J200" i="49"/>
  <c r="H203" i="49"/>
  <c r="J207" i="49"/>
  <c r="G207" i="49"/>
  <c r="I207" i="49"/>
  <c r="G210" i="49"/>
  <c r="J210" i="49"/>
  <c r="H213" i="49"/>
  <c r="J213" i="49"/>
  <c r="I216" i="49"/>
  <c r="J216" i="49"/>
  <c r="H219" i="49"/>
  <c r="J241" i="49"/>
  <c r="G241" i="49"/>
  <c r="I241" i="49"/>
  <c r="J249" i="49"/>
  <c r="I249" i="49"/>
  <c r="H249" i="49"/>
  <c r="G249" i="49"/>
  <c r="J353" i="49"/>
  <c r="I353" i="49"/>
  <c r="H233" i="49"/>
  <c r="I245" i="49"/>
  <c r="I253" i="49"/>
  <c r="H257" i="49"/>
  <c r="H261" i="49"/>
  <c r="H269" i="49"/>
  <c r="I281" i="49"/>
  <c r="H297" i="49"/>
  <c r="I305" i="49"/>
  <c r="I309" i="49"/>
  <c r="I317" i="49"/>
  <c r="H321" i="49"/>
  <c r="I346" i="49"/>
  <c r="I378" i="49"/>
  <c r="I402" i="49"/>
  <c r="I412" i="49"/>
  <c r="G245" i="49"/>
  <c r="G253" i="49"/>
  <c r="G281" i="49"/>
  <c r="H289" i="49"/>
  <c r="H301" i="49"/>
  <c r="G305" i="49"/>
  <c r="G309" i="49"/>
  <c r="G317" i="49"/>
  <c r="H334" i="49"/>
  <c r="G346" i="49"/>
  <c r="H350" i="49"/>
  <c r="H362" i="49"/>
  <c r="G378" i="49"/>
  <c r="H386" i="49"/>
  <c r="H390" i="49"/>
  <c r="H398" i="49"/>
  <c r="G402" i="49"/>
  <c r="H223" i="49"/>
  <c r="G223" i="49"/>
  <c r="G228" i="49"/>
  <c r="H228" i="49"/>
  <c r="I234" i="49"/>
  <c r="G234" i="49"/>
  <c r="H239" i="49"/>
  <c r="G239" i="49"/>
  <c r="G244" i="49"/>
  <c r="H244" i="49"/>
  <c r="I250" i="49"/>
  <c r="G250" i="49"/>
  <c r="H255" i="49"/>
  <c r="G255" i="49"/>
  <c r="G260" i="49"/>
  <c r="H260" i="49"/>
  <c r="I266" i="49"/>
  <c r="G266" i="49"/>
  <c r="H271" i="49"/>
  <c r="G271" i="49"/>
  <c r="G276" i="49"/>
  <c r="H276" i="49"/>
  <c r="I282" i="49"/>
  <c r="G282" i="49"/>
  <c r="H287" i="49"/>
  <c r="G287" i="49"/>
  <c r="G292" i="49"/>
  <c r="H292" i="49"/>
  <c r="I298" i="49"/>
  <c r="G298" i="49"/>
  <c r="H303" i="49"/>
  <c r="G303" i="49"/>
  <c r="G308" i="49"/>
  <c r="H308" i="49"/>
  <c r="I314" i="49"/>
  <c r="G314" i="49"/>
  <c r="H319" i="49"/>
  <c r="G319" i="49"/>
  <c r="G324" i="49"/>
  <c r="H324" i="49"/>
  <c r="H356" i="49"/>
  <c r="G356" i="49"/>
  <c r="J356" i="49"/>
  <c r="I356" i="49"/>
  <c r="G361" i="49"/>
  <c r="H361" i="49"/>
  <c r="J361" i="49"/>
  <c r="I361" i="49"/>
  <c r="I367" i="49"/>
  <c r="G367" i="49"/>
  <c r="J367" i="49"/>
  <c r="H367" i="49"/>
  <c r="H372" i="49"/>
  <c r="G372" i="49"/>
  <c r="J372" i="49"/>
  <c r="I372" i="49"/>
  <c r="G377" i="49"/>
  <c r="H377" i="49"/>
  <c r="J377" i="49"/>
  <c r="I377" i="49"/>
  <c r="I383" i="49"/>
  <c r="G383" i="49"/>
  <c r="J383" i="49"/>
  <c r="H383" i="49"/>
  <c r="H388" i="49"/>
  <c r="G388" i="49"/>
  <c r="J388" i="49"/>
  <c r="I388" i="49"/>
  <c r="G393" i="49"/>
  <c r="H393" i="49"/>
  <c r="J393" i="49"/>
  <c r="I393" i="49"/>
  <c r="I399" i="49"/>
  <c r="G399" i="49"/>
  <c r="J399" i="49"/>
  <c r="H399" i="49"/>
  <c r="H404" i="49"/>
  <c r="G404" i="49"/>
  <c r="J404" i="49"/>
  <c r="I404" i="49"/>
  <c r="G409" i="49"/>
  <c r="H409" i="49"/>
  <c r="J409" i="49"/>
  <c r="I409" i="49"/>
  <c r="I222" i="49"/>
  <c r="G222" i="49"/>
  <c r="I223" i="49"/>
  <c r="H227" i="49"/>
  <c r="G227" i="49"/>
  <c r="I228" i="49"/>
  <c r="G232" i="49"/>
  <c r="H232" i="49"/>
  <c r="H234" i="49"/>
  <c r="I238" i="49"/>
  <c r="G238" i="49"/>
  <c r="I239" i="49"/>
  <c r="H243" i="49"/>
  <c r="G243" i="49"/>
  <c r="I244" i="49"/>
  <c r="G248" i="49"/>
  <c r="H248" i="49"/>
  <c r="H250" i="49"/>
  <c r="I254" i="49"/>
  <c r="G254" i="49"/>
  <c r="I255" i="49"/>
  <c r="H259" i="49"/>
  <c r="G259" i="49"/>
  <c r="I260" i="49"/>
  <c r="G264" i="49"/>
  <c r="H264" i="49"/>
  <c r="H266" i="49"/>
  <c r="I270" i="49"/>
  <c r="G270" i="49"/>
  <c r="I271" i="49"/>
  <c r="H275" i="49"/>
  <c r="G275" i="49"/>
  <c r="I276" i="49"/>
  <c r="G280" i="49"/>
  <c r="H280" i="49"/>
  <c r="H282" i="49"/>
  <c r="I286" i="49"/>
  <c r="G286" i="49"/>
  <c r="I287" i="49"/>
  <c r="H291" i="49"/>
  <c r="G291" i="49"/>
  <c r="I292" i="49"/>
  <c r="G296" i="49"/>
  <c r="H296" i="49"/>
  <c r="H298" i="49"/>
  <c r="I302" i="49"/>
  <c r="G302" i="49"/>
  <c r="I303" i="49"/>
  <c r="H307" i="49"/>
  <c r="G307" i="49"/>
  <c r="I308" i="49"/>
  <c r="G312" i="49"/>
  <c r="H312" i="49"/>
  <c r="H314" i="49"/>
  <c r="I318" i="49"/>
  <c r="G318" i="49"/>
  <c r="I319" i="49"/>
  <c r="H323" i="49"/>
  <c r="G323" i="49"/>
  <c r="I324" i="49"/>
  <c r="H328" i="49"/>
  <c r="G328" i="49"/>
  <c r="I328" i="49"/>
  <c r="I331" i="49"/>
  <c r="G331" i="49"/>
  <c r="I335" i="49"/>
  <c r="G335" i="49"/>
  <c r="J335" i="49"/>
  <c r="I339" i="49"/>
  <c r="G339" i="49"/>
  <c r="H339" i="49"/>
  <c r="G341" i="49"/>
  <c r="H341" i="49"/>
  <c r="G345" i="49"/>
  <c r="H345" i="49"/>
  <c r="J345" i="49"/>
  <c r="G349" i="49"/>
  <c r="H349" i="49"/>
  <c r="I349" i="49"/>
  <c r="H352" i="49"/>
  <c r="G352" i="49"/>
  <c r="J352" i="49"/>
  <c r="G357" i="49"/>
  <c r="H357" i="49"/>
  <c r="J357" i="49"/>
  <c r="I363" i="49"/>
  <c r="G363" i="49"/>
  <c r="J363" i="49"/>
  <c r="H368" i="49"/>
  <c r="G368" i="49"/>
  <c r="J368" i="49"/>
  <c r="G373" i="49"/>
  <c r="H373" i="49"/>
  <c r="J373" i="49"/>
  <c r="I379" i="49"/>
  <c r="G379" i="49"/>
  <c r="J379" i="49"/>
  <c r="H384" i="49"/>
  <c r="G384" i="49"/>
  <c r="J384" i="49"/>
  <c r="G389" i="49"/>
  <c r="H389" i="49"/>
  <c r="J389" i="49"/>
  <c r="I395" i="49"/>
  <c r="G395" i="49"/>
  <c r="J395" i="49"/>
  <c r="H400" i="49"/>
  <c r="G400" i="49"/>
  <c r="J400" i="49"/>
  <c r="G405" i="49"/>
  <c r="H405" i="49"/>
  <c r="J405" i="49"/>
  <c r="I411" i="49"/>
  <c r="G411" i="49"/>
  <c r="J411" i="49"/>
  <c r="J17" i="49"/>
  <c r="J16" i="49"/>
  <c r="G32" i="49"/>
  <c r="G33" i="49"/>
  <c r="H34" i="49"/>
  <c r="G36" i="49"/>
  <c r="G37" i="49"/>
  <c r="H38" i="49"/>
  <c r="G40" i="49"/>
  <c r="G41" i="49"/>
  <c r="H42" i="49"/>
  <c r="G44" i="49"/>
  <c r="G45" i="49"/>
  <c r="H46" i="49"/>
  <c r="G48" i="49"/>
  <c r="G49" i="49"/>
  <c r="H50" i="49"/>
  <c r="G52" i="49"/>
  <c r="G53" i="49"/>
  <c r="H54" i="49"/>
  <c r="G56" i="49"/>
  <c r="G57" i="49"/>
  <c r="H58" i="49"/>
  <c r="G60" i="49"/>
  <c r="G61" i="49"/>
  <c r="H62" i="49"/>
  <c r="G64" i="49"/>
  <c r="G65" i="49"/>
  <c r="H66" i="49"/>
  <c r="G68" i="49"/>
  <c r="G69" i="49"/>
  <c r="H70" i="49"/>
  <c r="G72" i="49"/>
  <c r="G73" i="49"/>
  <c r="H74" i="49"/>
  <c r="G76" i="49"/>
  <c r="G77" i="49"/>
  <c r="H78" i="49"/>
  <c r="G80" i="49"/>
  <c r="G81" i="49"/>
  <c r="H82" i="49"/>
  <c r="G84" i="49"/>
  <c r="G85" i="49"/>
  <c r="H86" i="49"/>
  <c r="G88" i="49"/>
  <c r="G89" i="49"/>
  <c r="H90" i="49"/>
  <c r="G92" i="49"/>
  <c r="G93" i="49"/>
  <c r="H94" i="49"/>
  <c r="G96" i="49"/>
  <c r="G97" i="49"/>
  <c r="H98" i="49"/>
  <c r="G100" i="49"/>
  <c r="G101" i="49"/>
  <c r="H102" i="49"/>
  <c r="G104" i="49"/>
  <c r="G105" i="49"/>
  <c r="H106" i="49"/>
  <c r="G108" i="49"/>
  <c r="G109" i="49"/>
  <c r="H110" i="49"/>
  <c r="G112" i="49"/>
  <c r="G113" i="49"/>
  <c r="H114" i="49"/>
  <c r="G116" i="49"/>
  <c r="G117" i="49"/>
  <c r="H118" i="49"/>
  <c r="G120" i="49"/>
  <c r="G121" i="49"/>
  <c r="H122" i="49"/>
  <c r="G124" i="49"/>
  <c r="G125" i="49"/>
  <c r="H126" i="49"/>
  <c r="G128" i="49"/>
  <c r="G129" i="49"/>
  <c r="H130" i="49"/>
  <c r="G132" i="49"/>
  <c r="G133" i="49"/>
  <c r="H134" i="49"/>
  <c r="G136" i="49"/>
  <c r="G137" i="49"/>
  <c r="H138" i="49"/>
  <c r="G140" i="49"/>
  <c r="G141" i="49"/>
  <c r="H142" i="49"/>
  <c r="G144" i="49"/>
  <c r="G145" i="49"/>
  <c r="H146" i="49"/>
  <c r="G148" i="49"/>
  <c r="G149" i="49"/>
  <c r="H150" i="49"/>
  <c r="G152" i="49"/>
  <c r="G153" i="49"/>
  <c r="H154" i="49"/>
  <c r="G156" i="49"/>
  <c r="G157" i="49"/>
  <c r="H158" i="49"/>
  <c r="G160" i="49"/>
  <c r="G161" i="49"/>
  <c r="H162" i="49"/>
  <c r="G164" i="49"/>
  <c r="G165" i="49"/>
  <c r="H166" i="49"/>
  <c r="G168" i="49"/>
  <c r="G169" i="49"/>
  <c r="H170" i="49"/>
  <c r="G172" i="49"/>
  <c r="G173" i="49"/>
  <c r="H174" i="49"/>
  <c r="G176" i="49"/>
  <c r="G177" i="49"/>
  <c r="H178" i="49"/>
  <c r="G180" i="49"/>
  <c r="G181" i="49"/>
  <c r="H182" i="49"/>
  <c r="G184" i="49"/>
  <c r="G185" i="49"/>
  <c r="H186" i="49"/>
  <c r="G188" i="49"/>
  <c r="G189" i="49"/>
  <c r="H190" i="49"/>
  <c r="G192" i="49"/>
  <c r="G193" i="49"/>
  <c r="H194" i="49"/>
  <c r="G196" i="49"/>
  <c r="G197" i="49"/>
  <c r="H198" i="49"/>
  <c r="G200" i="49"/>
  <c r="G201" i="49"/>
  <c r="H202" i="49"/>
  <c r="G204" i="49"/>
  <c r="G205" i="49"/>
  <c r="H206" i="49"/>
  <c r="G208" i="49"/>
  <c r="G209" i="49"/>
  <c r="H210" i="49"/>
  <c r="G212" i="49"/>
  <c r="G213" i="49"/>
  <c r="H214" i="49"/>
  <c r="G216" i="49"/>
  <c r="G217" i="49"/>
  <c r="H218" i="49"/>
  <c r="G220" i="49"/>
  <c r="G221" i="49"/>
  <c r="H222" i="49"/>
  <c r="J223" i="49"/>
  <c r="I226" i="49"/>
  <c r="G226" i="49"/>
  <c r="I227" i="49"/>
  <c r="J228" i="49"/>
  <c r="H231" i="49"/>
  <c r="G231" i="49"/>
  <c r="I232" i="49"/>
  <c r="J234" i="49"/>
  <c r="G236" i="49"/>
  <c r="H236" i="49"/>
  <c r="H238" i="49"/>
  <c r="J239" i="49"/>
  <c r="I242" i="49"/>
  <c r="G242" i="49"/>
  <c r="I243" i="49"/>
  <c r="J244" i="49"/>
  <c r="H247" i="49"/>
  <c r="G247" i="49"/>
  <c r="I248" i="49"/>
  <c r="J250" i="49"/>
  <c r="G252" i="49"/>
  <c r="H252" i="49"/>
  <c r="H254" i="49"/>
  <c r="J255" i="49"/>
  <c r="I258" i="49"/>
  <c r="G258" i="49"/>
  <c r="I259" i="49"/>
  <c r="J260" i="49"/>
  <c r="H263" i="49"/>
  <c r="G263" i="49"/>
  <c r="I264" i="49"/>
  <c r="J266" i="49"/>
  <c r="G268" i="49"/>
  <c r="H268" i="49"/>
  <c r="H270" i="49"/>
  <c r="J271" i="49"/>
  <c r="I274" i="49"/>
  <c r="G274" i="49"/>
  <c r="I275" i="49"/>
  <c r="J276" i="49"/>
  <c r="H279" i="49"/>
  <c r="G279" i="49"/>
  <c r="I280" i="49"/>
  <c r="J282" i="49"/>
  <c r="G284" i="49"/>
  <c r="H284" i="49"/>
  <c r="H286" i="49"/>
  <c r="J287" i="49"/>
  <c r="I290" i="49"/>
  <c r="G290" i="49"/>
  <c r="I291" i="49"/>
  <c r="J292" i="49"/>
  <c r="H295" i="49"/>
  <c r="G295" i="49"/>
  <c r="I296" i="49"/>
  <c r="J298" i="49"/>
  <c r="G300" i="49"/>
  <c r="H300" i="49"/>
  <c r="H302" i="49"/>
  <c r="J303" i="49"/>
  <c r="I306" i="49"/>
  <c r="G306" i="49"/>
  <c r="I307" i="49"/>
  <c r="J308" i="49"/>
  <c r="H311" i="49"/>
  <c r="G311" i="49"/>
  <c r="I312" i="49"/>
  <c r="J314" i="49"/>
  <c r="G316" i="49"/>
  <c r="H316" i="49"/>
  <c r="H318" i="49"/>
  <c r="J319" i="49"/>
  <c r="I322" i="49"/>
  <c r="G322" i="49"/>
  <c r="I323" i="49"/>
  <c r="J324" i="49"/>
  <c r="H327" i="49"/>
  <c r="G327" i="49"/>
  <c r="J328" i="49"/>
  <c r="H331" i="49"/>
  <c r="H335" i="49"/>
  <c r="J339" i="49"/>
  <c r="I341" i="49"/>
  <c r="I345" i="49"/>
  <c r="J349" i="49"/>
  <c r="I352" i="49"/>
  <c r="I357" i="49"/>
  <c r="H363" i="49"/>
  <c r="I368" i="49"/>
  <c r="I373" i="49"/>
  <c r="H379" i="49"/>
  <c r="I384" i="49"/>
  <c r="I389" i="49"/>
  <c r="H395" i="49"/>
  <c r="I400" i="49"/>
  <c r="I405" i="49"/>
  <c r="H411" i="49"/>
  <c r="H32" i="49"/>
  <c r="I33" i="49"/>
  <c r="I34" i="49"/>
  <c r="H36" i="49"/>
  <c r="I37" i="49"/>
  <c r="I38" i="49"/>
  <c r="H40" i="49"/>
  <c r="I41" i="49"/>
  <c r="I42" i="49"/>
  <c r="H44" i="49"/>
  <c r="I45" i="49"/>
  <c r="I46" i="49"/>
  <c r="H48" i="49"/>
  <c r="I49" i="49"/>
  <c r="I50" i="49"/>
  <c r="H52" i="49"/>
  <c r="I53" i="49"/>
  <c r="I54" i="49"/>
  <c r="H56" i="49"/>
  <c r="I57" i="49"/>
  <c r="I58" i="49"/>
  <c r="H60" i="49"/>
  <c r="I61" i="49"/>
  <c r="I62" i="49"/>
  <c r="H64" i="49"/>
  <c r="I65" i="49"/>
  <c r="I66" i="49"/>
  <c r="H68" i="49"/>
  <c r="I69" i="49"/>
  <c r="I70" i="49"/>
  <c r="H72" i="49"/>
  <c r="I73" i="49"/>
  <c r="I74" i="49"/>
  <c r="H76" i="49"/>
  <c r="I77" i="49"/>
  <c r="I78" i="49"/>
  <c r="H80" i="49"/>
  <c r="I81" i="49"/>
  <c r="I82" i="49"/>
  <c r="H84" i="49"/>
  <c r="I85" i="49"/>
  <c r="I86" i="49"/>
  <c r="H88" i="49"/>
  <c r="I89" i="49"/>
  <c r="I90" i="49"/>
  <c r="H92" i="49"/>
  <c r="I93" i="49"/>
  <c r="I94" i="49"/>
  <c r="H96" i="49"/>
  <c r="I97" i="49"/>
  <c r="I98" i="49"/>
  <c r="H100" i="49"/>
  <c r="I101" i="49"/>
  <c r="I102" i="49"/>
  <c r="H104" i="49"/>
  <c r="I105" i="49"/>
  <c r="I106" i="49"/>
  <c r="H108" i="49"/>
  <c r="I109" i="49"/>
  <c r="I110" i="49"/>
  <c r="H112" i="49"/>
  <c r="I113" i="49"/>
  <c r="I114" i="49"/>
  <c r="H116" i="49"/>
  <c r="I117" i="49"/>
  <c r="I118" i="49"/>
  <c r="H120" i="49"/>
  <c r="I121" i="49"/>
  <c r="I122" i="49"/>
  <c r="H124" i="49"/>
  <c r="I125" i="49"/>
  <c r="I126" i="49"/>
  <c r="H128" i="49"/>
  <c r="I129" i="49"/>
  <c r="I130" i="49"/>
  <c r="H132" i="49"/>
  <c r="I133" i="49"/>
  <c r="I134" i="49"/>
  <c r="H136" i="49"/>
  <c r="I137" i="49"/>
  <c r="I138" i="49"/>
  <c r="H140" i="49"/>
  <c r="I141" i="49"/>
  <c r="I142" i="49"/>
  <c r="H144" i="49"/>
  <c r="I145" i="49"/>
  <c r="I146" i="49"/>
  <c r="H148" i="49"/>
  <c r="I149" i="49"/>
  <c r="I150" i="49"/>
  <c r="H152" i="49"/>
  <c r="I153" i="49"/>
  <c r="I154" i="49"/>
  <c r="H156" i="49"/>
  <c r="I157" i="49"/>
  <c r="I158" i="49"/>
  <c r="H160" i="49"/>
  <c r="I161" i="49"/>
  <c r="I162" i="49"/>
  <c r="H164" i="49"/>
  <c r="I165" i="49"/>
  <c r="I166" i="49"/>
  <c r="H168" i="49"/>
  <c r="I169" i="49"/>
  <c r="I170" i="49"/>
  <c r="H172" i="49"/>
  <c r="I173" i="49"/>
  <c r="I174" i="49"/>
  <c r="H176" i="49"/>
  <c r="I177" i="49"/>
  <c r="I178" i="49"/>
  <c r="H180" i="49"/>
  <c r="I181" i="49"/>
  <c r="I182" i="49"/>
  <c r="H184" i="49"/>
  <c r="I185" i="49"/>
  <c r="I186" i="49"/>
  <c r="H188" i="49"/>
  <c r="I189" i="49"/>
  <c r="I190" i="49"/>
  <c r="H192" i="49"/>
  <c r="I193" i="49"/>
  <c r="I194" i="49"/>
  <c r="H196" i="49"/>
  <c r="I197" i="49"/>
  <c r="I198" i="49"/>
  <c r="H200" i="49"/>
  <c r="I201" i="49"/>
  <c r="I202" i="49"/>
  <c r="H204" i="49"/>
  <c r="I205" i="49"/>
  <c r="I206" i="49"/>
  <c r="H208" i="49"/>
  <c r="I209" i="49"/>
  <c r="I210" i="49"/>
  <c r="H212" i="49"/>
  <c r="I213" i="49"/>
  <c r="I214" i="49"/>
  <c r="H216" i="49"/>
  <c r="I217" i="49"/>
  <c r="I218" i="49"/>
  <c r="H220" i="49"/>
  <c r="I221" i="49"/>
  <c r="J222" i="49"/>
  <c r="G224" i="49"/>
  <c r="H224" i="49"/>
  <c r="H226" i="49"/>
  <c r="J227" i="49"/>
  <c r="I230" i="49"/>
  <c r="G230" i="49"/>
  <c r="I231" i="49"/>
  <c r="J232" i="49"/>
  <c r="H235" i="49"/>
  <c r="G235" i="49"/>
  <c r="I236" i="49"/>
  <c r="J238" i="49"/>
  <c r="G240" i="49"/>
  <c r="H240" i="49"/>
  <c r="H242" i="49"/>
  <c r="J243" i="49"/>
  <c r="I246" i="49"/>
  <c r="G246" i="49"/>
  <c r="I247" i="49"/>
  <c r="J248" i="49"/>
  <c r="H251" i="49"/>
  <c r="G251" i="49"/>
  <c r="I252" i="49"/>
  <c r="J254" i="49"/>
  <c r="G256" i="49"/>
  <c r="H256" i="49"/>
  <c r="H258" i="49"/>
  <c r="J259" i="49"/>
  <c r="I262" i="49"/>
  <c r="G262" i="49"/>
  <c r="I263" i="49"/>
  <c r="J264" i="49"/>
  <c r="H267" i="49"/>
  <c r="G267" i="49"/>
  <c r="I268" i="49"/>
  <c r="J270" i="49"/>
  <c r="G272" i="49"/>
  <c r="H272" i="49"/>
  <c r="H274" i="49"/>
  <c r="J275" i="49"/>
  <c r="I278" i="49"/>
  <c r="G278" i="49"/>
  <c r="I279" i="49"/>
  <c r="J280" i="49"/>
  <c r="H283" i="49"/>
  <c r="G283" i="49"/>
  <c r="I284" i="49"/>
  <c r="J286" i="49"/>
  <c r="G288" i="49"/>
  <c r="H288" i="49"/>
  <c r="H290" i="49"/>
  <c r="J291" i="49"/>
  <c r="I294" i="49"/>
  <c r="G294" i="49"/>
  <c r="I295" i="49"/>
  <c r="J296" i="49"/>
  <c r="H299" i="49"/>
  <c r="G299" i="49"/>
  <c r="I300" i="49"/>
  <c r="J302" i="49"/>
  <c r="G304" i="49"/>
  <c r="H304" i="49"/>
  <c r="H306" i="49"/>
  <c r="J307" i="49"/>
  <c r="I310" i="49"/>
  <c r="G310" i="49"/>
  <c r="I311" i="49"/>
  <c r="J312" i="49"/>
  <c r="H315" i="49"/>
  <c r="G315" i="49"/>
  <c r="I316" i="49"/>
  <c r="J318" i="49"/>
  <c r="G320" i="49"/>
  <c r="H320" i="49"/>
  <c r="H322" i="49"/>
  <c r="J323" i="49"/>
  <c r="I326" i="49"/>
  <c r="G326" i="49"/>
  <c r="I327" i="49"/>
  <c r="G329" i="49"/>
  <c r="H329" i="49"/>
  <c r="J329" i="49"/>
  <c r="J331" i="49"/>
  <c r="G333" i="49"/>
  <c r="H333" i="49"/>
  <c r="I333" i="49"/>
  <c r="H336" i="49"/>
  <c r="G336" i="49"/>
  <c r="H340" i="49"/>
  <c r="G340" i="49"/>
  <c r="J340" i="49"/>
  <c r="J341" i="49"/>
  <c r="H344" i="49"/>
  <c r="G344" i="49"/>
  <c r="I344" i="49"/>
  <c r="I347" i="49"/>
  <c r="G347" i="49"/>
  <c r="I351" i="49"/>
  <c r="G351" i="49"/>
  <c r="J351" i="49"/>
  <c r="I355" i="49"/>
  <c r="G355" i="49"/>
  <c r="H360" i="49"/>
  <c r="G360" i="49"/>
  <c r="G365" i="49"/>
  <c r="H365" i="49"/>
  <c r="I371" i="49"/>
  <c r="G371" i="49"/>
  <c r="H376" i="49"/>
  <c r="G376" i="49"/>
  <c r="G381" i="49"/>
  <c r="H381" i="49"/>
  <c r="I387" i="49"/>
  <c r="G387" i="49"/>
  <c r="H392" i="49"/>
  <c r="G392" i="49"/>
  <c r="G397" i="49"/>
  <c r="H397" i="49"/>
  <c r="I403" i="49"/>
  <c r="G403" i="49"/>
  <c r="H408" i="49"/>
  <c r="G408" i="49"/>
  <c r="H332" i="49"/>
  <c r="G332" i="49"/>
  <c r="G337" i="49"/>
  <c r="H337" i="49"/>
  <c r="I343" i="49"/>
  <c r="G343" i="49"/>
  <c r="H348" i="49"/>
  <c r="G348" i="49"/>
  <c r="G353" i="49"/>
  <c r="H353" i="49"/>
  <c r="H355" i="49"/>
  <c r="I359" i="49"/>
  <c r="G359" i="49"/>
  <c r="I360" i="49"/>
  <c r="H364" i="49"/>
  <c r="G364" i="49"/>
  <c r="I365" i="49"/>
  <c r="G369" i="49"/>
  <c r="H369" i="49"/>
  <c r="H371" i="49"/>
  <c r="I375" i="49"/>
  <c r="G375" i="49"/>
  <c r="I376" i="49"/>
  <c r="H380" i="49"/>
  <c r="G380" i="49"/>
  <c r="I381" i="49"/>
  <c r="G385" i="49"/>
  <c r="H385" i="49"/>
  <c r="H387" i="49"/>
  <c r="I391" i="49"/>
  <c r="G391" i="49"/>
  <c r="I392" i="49"/>
  <c r="H396" i="49"/>
  <c r="G396" i="49"/>
  <c r="I397" i="49"/>
  <c r="G401" i="49"/>
  <c r="H401" i="49"/>
  <c r="H403" i="49"/>
  <c r="I407" i="49"/>
  <c r="G407" i="49"/>
  <c r="I408" i="49"/>
  <c r="H412" i="49"/>
  <c r="G412" i="49"/>
  <c r="J17" i="86"/>
  <c r="G42" i="86"/>
  <c r="H42" i="86"/>
  <c r="I42" i="86"/>
  <c r="J42" i="86"/>
  <c r="G27" i="86"/>
  <c r="H27" i="86"/>
  <c r="I27" i="86"/>
  <c r="J27" i="86"/>
  <c r="G37" i="86"/>
  <c r="H37" i="86"/>
  <c r="I37" i="86"/>
  <c r="J37" i="86"/>
  <c r="J17" i="85"/>
  <c r="G37" i="85"/>
  <c r="G26" i="83"/>
  <c r="H26" i="83"/>
  <c r="I26" i="83"/>
  <c r="J26" i="83"/>
  <c r="G25" i="83"/>
  <c r="H25" i="83"/>
  <c r="I25" i="83"/>
  <c r="J25" i="83"/>
  <c r="G29" i="82"/>
  <c r="H29" i="82"/>
  <c r="I29" i="82"/>
  <c r="J29" i="82"/>
  <c r="G27" i="82"/>
  <c r="H27" i="82"/>
  <c r="I27" i="82"/>
  <c r="J27" i="82"/>
  <c r="G26" i="82"/>
  <c r="H26" i="82"/>
  <c r="I26" i="82"/>
  <c r="J26" i="82"/>
  <c r="G28" i="82"/>
  <c r="H28" i="82"/>
  <c r="I28" i="82"/>
  <c r="J28" i="82"/>
  <c r="G25" i="82"/>
  <c r="H25" i="82"/>
  <c r="I25" i="82"/>
  <c r="J25" i="82"/>
  <c r="J17" i="81"/>
  <c r="J16" i="81"/>
  <c r="J17" i="80"/>
  <c r="G28" i="80"/>
  <c r="G25" i="80"/>
  <c r="G25" i="79"/>
  <c r="G27" i="79"/>
  <c r="J16" i="79"/>
  <c r="H26" i="79"/>
  <c r="I26" i="79"/>
  <c r="J26" i="79"/>
  <c r="G43" i="77"/>
  <c r="J17" i="77"/>
  <c r="G39" i="77"/>
  <c r="J17" i="76"/>
  <c r="G35" i="76"/>
  <c r="H35" i="76"/>
  <c r="I35" i="76"/>
  <c r="J35" i="76"/>
  <c r="G75" i="76"/>
  <c r="G67" i="76"/>
  <c r="G79" i="76"/>
  <c r="G63" i="76"/>
  <c r="G25" i="52"/>
  <c r="H25" i="52"/>
  <c r="I25" i="52"/>
  <c r="J25" i="52"/>
  <c r="D19" i="52"/>
  <c r="J17" i="51"/>
  <c r="G26" i="51"/>
  <c r="G27" i="50"/>
  <c r="J16" i="50"/>
  <c r="G26" i="50"/>
  <c r="G29" i="50"/>
  <c r="G25" i="50"/>
  <c r="G28" i="50"/>
  <c r="H28" i="50"/>
  <c r="I28" i="50"/>
  <c r="J28" i="50"/>
  <c r="G30" i="50"/>
  <c r="H30" i="50"/>
  <c r="I30" i="50"/>
  <c r="J30" i="50"/>
  <c r="H27" i="49"/>
  <c r="I27" i="49"/>
  <c r="J27" i="49"/>
  <c r="G27" i="49"/>
  <c r="G29" i="49"/>
  <c r="H29" i="49"/>
  <c r="I29" i="49"/>
  <c r="J29" i="49"/>
  <c r="G28" i="49"/>
  <c r="H28" i="49"/>
  <c r="I28" i="49"/>
  <c r="J28" i="49"/>
  <c r="G30" i="49"/>
  <c r="H30" i="49"/>
  <c r="I30" i="49"/>
  <c r="J30" i="49"/>
  <c r="G26" i="49"/>
  <c r="H26" i="49"/>
  <c r="I26" i="49"/>
  <c r="J26" i="49"/>
  <c r="G25" i="49"/>
  <c r="H25" i="49"/>
  <c r="I25" i="49"/>
  <c r="J25" i="49"/>
  <c r="G32" i="86"/>
  <c r="H32" i="86"/>
  <c r="I32" i="86"/>
  <c r="J32" i="86"/>
  <c r="G34" i="86"/>
  <c r="H34" i="86"/>
  <c r="I34" i="86"/>
  <c r="J34" i="86"/>
  <c r="G44" i="86"/>
  <c r="G26" i="86"/>
  <c r="J16" i="86"/>
  <c r="H26" i="86"/>
  <c r="I26" i="86"/>
  <c r="J26" i="86"/>
  <c r="G28" i="86"/>
  <c r="H28" i="86"/>
  <c r="I28" i="86"/>
  <c r="J28" i="86"/>
  <c r="H37" i="85"/>
  <c r="I37" i="85"/>
  <c r="J37" i="85"/>
  <c r="J16" i="85"/>
  <c r="G34" i="85"/>
  <c r="H34" i="85"/>
  <c r="I34" i="85"/>
  <c r="J34" i="85"/>
  <c r="G25" i="85"/>
  <c r="H25" i="85"/>
  <c r="I25" i="85"/>
  <c r="J25" i="85"/>
  <c r="D19" i="85"/>
  <c r="G27" i="85"/>
  <c r="H27" i="85"/>
  <c r="I27" i="85"/>
  <c r="J27" i="85"/>
  <c r="G26" i="85"/>
  <c r="H26" i="85"/>
  <c r="I26" i="85"/>
  <c r="J26" i="85"/>
  <c r="G29" i="85"/>
  <c r="H29" i="85"/>
  <c r="I29" i="85"/>
  <c r="J29" i="85"/>
  <c r="G32" i="85"/>
  <c r="H32" i="85"/>
  <c r="I32" i="85"/>
  <c r="J32" i="85"/>
  <c r="G38" i="85"/>
  <c r="H38" i="85"/>
  <c r="I38" i="85"/>
  <c r="J38" i="85"/>
  <c r="G30" i="85"/>
  <c r="H30" i="85"/>
  <c r="I30" i="85"/>
  <c r="J30" i="85"/>
  <c r="G36" i="85"/>
  <c r="H36" i="85"/>
  <c r="I36" i="85"/>
  <c r="J36" i="85"/>
  <c r="G31" i="85"/>
  <c r="H31" i="85"/>
  <c r="I31" i="85"/>
  <c r="J31" i="85"/>
  <c r="G33" i="85"/>
  <c r="H33" i="85"/>
  <c r="I33" i="85"/>
  <c r="J33" i="85"/>
  <c r="G35" i="85"/>
  <c r="H35" i="85"/>
  <c r="I35" i="85"/>
  <c r="J35" i="85"/>
  <c r="G28" i="85"/>
  <c r="H28" i="85"/>
  <c r="I28" i="85"/>
  <c r="J28" i="85"/>
  <c r="D19" i="83"/>
  <c r="D19" i="82"/>
  <c r="G27" i="81"/>
  <c r="H27" i="81"/>
  <c r="I27" i="81"/>
  <c r="J27" i="81"/>
  <c r="G25" i="81"/>
  <c r="H25" i="81"/>
  <c r="I25" i="81"/>
  <c r="J25" i="81"/>
  <c r="G30" i="81"/>
  <c r="H30" i="81"/>
  <c r="I30" i="81"/>
  <c r="J30" i="81"/>
  <c r="G26" i="81"/>
  <c r="H26" i="81"/>
  <c r="I26" i="81"/>
  <c r="J26" i="81"/>
  <c r="G29" i="81"/>
  <c r="H29" i="81"/>
  <c r="I29" i="81"/>
  <c r="J29" i="81"/>
  <c r="G28" i="81"/>
  <c r="H28" i="81"/>
  <c r="I28" i="81"/>
  <c r="J28" i="81"/>
  <c r="J16" i="80"/>
  <c r="H28" i="80"/>
  <c r="I28" i="80"/>
  <c r="J28" i="80"/>
  <c r="G27" i="80"/>
  <c r="G30" i="80"/>
  <c r="G26" i="80"/>
  <c r="H26" i="80"/>
  <c r="I26" i="80"/>
  <c r="J26" i="80"/>
  <c r="G29" i="80"/>
  <c r="H27" i="79"/>
  <c r="I27" i="79"/>
  <c r="J27" i="79"/>
  <c r="H25" i="79"/>
  <c r="I25" i="79"/>
  <c r="J25" i="79"/>
  <c r="G27" i="77"/>
  <c r="G31" i="77"/>
  <c r="G35" i="77"/>
  <c r="G47" i="77"/>
  <c r="G48" i="77"/>
  <c r="G32" i="77"/>
  <c r="G49" i="77"/>
  <c r="G33" i="77"/>
  <c r="J16" i="77"/>
  <c r="H31" i="77"/>
  <c r="I31" i="77"/>
  <c r="J31" i="77"/>
  <c r="G46" i="77"/>
  <c r="G41" i="77"/>
  <c r="G37" i="77"/>
  <c r="G50" i="77"/>
  <c r="H50" i="77"/>
  <c r="I50" i="77"/>
  <c r="J50" i="77"/>
  <c r="G26" i="77"/>
  <c r="G42" i="77"/>
  <c r="G34" i="77"/>
  <c r="G52" i="77"/>
  <c r="H52" i="77"/>
  <c r="I52" i="77"/>
  <c r="J52" i="77"/>
  <c r="G25" i="77"/>
  <c r="G36" i="77"/>
  <c r="G28" i="77"/>
  <c r="G40" i="77"/>
  <c r="H40" i="77"/>
  <c r="I40" i="77"/>
  <c r="J40" i="77"/>
  <c r="G44" i="77"/>
  <c r="G29" i="77"/>
  <c r="G45" i="77"/>
  <c r="G51" i="77"/>
  <c r="H51" i="77"/>
  <c r="I51" i="77"/>
  <c r="J51" i="77"/>
  <c r="G30" i="77"/>
  <c r="G38" i="77"/>
  <c r="G55" i="76"/>
  <c r="G43" i="76"/>
  <c r="H43" i="76"/>
  <c r="I43" i="76"/>
  <c r="J43" i="76"/>
  <c r="G71" i="76"/>
  <c r="G59" i="76"/>
  <c r="H59" i="76"/>
  <c r="I59" i="76"/>
  <c r="J59" i="76"/>
  <c r="H75" i="76"/>
  <c r="I75" i="76"/>
  <c r="J75" i="76"/>
  <c r="G73" i="76"/>
  <c r="G57" i="76"/>
  <c r="G72" i="76"/>
  <c r="G68" i="76"/>
  <c r="H68" i="76"/>
  <c r="I68" i="76"/>
  <c r="J68" i="76"/>
  <c r="G36" i="76"/>
  <c r="H36" i="76"/>
  <c r="I36" i="76"/>
  <c r="J36" i="76"/>
  <c r="G56" i="76"/>
  <c r="G84" i="76"/>
  <c r="G34" i="76"/>
  <c r="G66" i="76"/>
  <c r="G82" i="76"/>
  <c r="H82" i="76"/>
  <c r="I82" i="76"/>
  <c r="J82" i="76"/>
  <c r="G81" i="76"/>
  <c r="G30" i="76"/>
  <c r="H30" i="76"/>
  <c r="I30" i="76"/>
  <c r="J30" i="76"/>
  <c r="G76" i="76"/>
  <c r="H76" i="76"/>
  <c r="I76" i="76"/>
  <c r="J76" i="76"/>
  <c r="G69" i="76"/>
  <c r="G65" i="76"/>
  <c r="H65" i="76"/>
  <c r="I65" i="76"/>
  <c r="J65" i="76"/>
  <c r="G83" i="76"/>
  <c r="H83" i="76"/>
  <c r="I83" i="76"/>
  <c r="J83" i="76"/>
  <c r="G54" i="76"/>
  <c r="G86" i="76"/>
  <c r="G78" i="76"/>
  <c r="H78" i="76"/>
  <c r="I78" i="76"/>
  <c r="J78" i="76"/>
  <c r="G58" i="76"/>
  <c r="G77" i="76"/>
  <c r="H77" i="76"/>
  <c r="I77" i="76"/>
  <c r="J77" i="76"/>
  <c r="G48" i="76"/>
  <c r="G80" i="76"/>
  <c r="G64" i="76"/>
  <c r="H64" i="76"/>
  <c r="I64" i="76"/>
  <c r="J64" i="76"/>
  <c r="G53" i="76"/>
  <c r="G85" i="76"/>
  <c r="G62" i="76"/>
  <c r="H62" i="76"/>
  <c r="I62" i="76"/>
  <c r="J62" i="76"/>
  <c r="G60" i="76"/>
  <c r="G38" i="76"/>
  <c r="G70" i="76"/>
  <c r="H70" i="76"/>
  <c r="I70" i="76"/>
  <c r="J70" i="76"/>
  <c r="G61" i="76"/>
  <c r="H61" i="76"/>
  <c r="I61" i="76"/>
  <c r="J61" i="76"/>
  <c r="G74" i="76"/>
  <c r="H74" i="76"/>
  <c r="I74" i="76"/>
  <c r="J74" i="76"/>
  <c r="G29" i="51"/>
  <c r="G25" i="51"/>
  <c r="J16" i="51"/>
  <c r="H26" i="51"/>
  <c r="I26" i="51"/>
  <c r="J26" i="51"/>
  <c r="G27" i="51"/>
  <c r="H27" i="51"/>
  <c r="I27" i="51"/>
  <c r="J27" i="51"/>
  <c r="G28" i="51"/>
  <c r="H29" i="50"/>
  <c r="I29" i="50"/>
  <c r="J29" i="50"/>
  <c r="H26" i="50"/>
  <c r="I26" i="50"/>
  <c r="J26" i="50"/>
  <c r="D19" i="50"/>
  <c r="H25" i="50"/>
  <c r="I25" i="50"/>
  <c r="J25" i="50"/>
  <c r="H27" i="50"/>
  <c r="I27" i="50"/>
  <c r="J27" i="50"/>
  <c r="D19" i="49"/>
  <c r="H44" i="86"/>
  <c r="I44" i="86"/>
  <c r="J44" i="86"/>
  <c r="D19" i="81"/>
  <c r="H30" i="80"/>
  <c r="I30" i="80"/>
  <c r="J30" i="80"/>
  <c r="H29" i="80"/>
  <c r="I29" i="80"/>
  <c r="J29" i="80"/>
  <c r="H27" i="80"/>
  <c r="I27" i="80"/>
  <c r="J27" i="80"/>
  <c r="H25" i="80"/>
  <c r="I25" i="80"/>
  <c r="J25" i="80"/>
  <c r="D19" i="80"/>
  <c r="D19" i="79"/>
  <c r="H30" i="77"/>
  <c r="I30" i="77"/>
  <c r="J30" i="77"/>
  <c r="H44" i="77"/>
  <c r="I44" i="77"/>
  <c r="J44" i="77"/>
  <c r="H25" i="77"/>
  <c r="I25" i="77"/>
  <c r="J25" i="77"/>
  <c r="H26" i="77"/>
  <c r="I26" i="77"/>
  <c r="J26" i="77"/>
  <c r="H46" i="77"/>
  <c r="I46" i="77"/>
  <c r="J46" i="77"/>
  <c r="H32" i="77"/>
  <c r="I32" i="77"/>
  <c r="J32" i="77"/>
  <c r="H39" i="77"/>
  <c r="I39" i="77"/>
  <c r="J39" i="77"/>
  <c r="H43" i="77"/>
  <c r="I43" i="77"/>
  <c r="J43" i="77"/>
  <c r="H45" i="77"/>
  <c r="I45" i="77"/>
  <c r="J45" i="77"/>
  <c r="H28" i="77"/>
  <c r="I28" i="77"/>
  <c r="J28" i="77"/>
  <c r="H34" i="77"/>
  <c r="I34" i="77"/>
  <c r="J34" i="77"/>
  <c r="H37" i="77"/>
  <c r="I37" i="77"/>
  <c r="J37" i="77"/>
  <c r="H33" i="77"/>
  <c r="I33" i="77"/>
  <c r="J33" i="77"/>
  <c r="H47" i="77"/>
  <c r="I47" i="77"/>
  <c r="J47" i="77"/>
  <c r="H27" i="77"/>
  <c r="I27" i="77"/>
  <c r="J27" i="77"/>
  <c r="H48" i="77"/>
  <c r="I48" i="77"/>
  <c r="J48" i="77"/>
  <c r="H38" i="77"/>
  <c r="I38" i="77"/>
  <c r="J38" i="77"/>
  <c r="H29" i="77"/>
  <c r="I29" i="77"/>
  <c r="J29" i="77"/>
  <c r="H36" i="77"/>
  <c r="I36" i="77"/>
  <c r="J36" i="77"/>
  <c r="H42" i="77"/>
  <c r="I42" i="77"/>
  <c r="J42" i="77"/>
  <c r="H41" i="77"/>
  <c r="I41" i="77"/>
  <c r="J41" i="77"/>
  <c r="H49" i="77"/>
  <c r="I49" i="77"/>
  <c r="J49" i="77"/>
  <c r="H35" i="77"/>
  <c r="I35" i="77"/>
  <c r="J35" i="77"/>
  <c r="H60" i="76"/>
  <c r="I60" i="76"/>
  <c r="J60" i="76"/>
  <c r="H53" i="76"/>
  <c r="I53" i="76"/>
  <c r="J53" i="76"/>
  <c r="H80" i="76"/>
  <c r="I80" i="76"/>
  <c r="J80" i="76"/>
  <c r="H54" i="76"/>
  <c r="I54" i="76"/>
  <c r="J54" i="76"/>
  <c r="H69" i="76"/>
  <c r="I69" i="76"/>
  <c r="J69" i="76"/>
  <c r="H81" i="76"/>
  <c r="I81" i="76"/>
  <c r="J81" i="76"/>
  <c r="H66" i="76"/>
  <c r="I66" i="76"/>
  <c r="J66" i="76"/>
  <c r="H56" i="76"/>
  <c r="I56" i="76"/>
  <c r="J56" i="76"/>
  <c r="H72" i="76"/>
  <c r="I72" i="76"/>
  <c r="J72" i="76"/>
  <c r="H73" i="76"/>
  <c r="I73" i="76"/>
  <c r="J73" i="76"/>
  <c r="H85" i="76"/>
  <c r="I85" i="76"/>
  <c r="J85" i="76"/>
  <c r="H58" i="76"/>
  <c r="I58" i="76"/>
  <c r="J58" i="76"/>
  <c r="H86" i="76"/>
  <c r="I86" i="76"/>
  <c r="J86" i="76"/>
  <c r="H84" i="76"/>
  <c r="I84" i="76"/>
  <c r="J84" i="76"/>
  <c r="H57" i="76"/>
  <c r="I57" i="76"/>
  <c r="J57" i="76"/>
  <c r="H63" i="76"/>
  <c r="I63" i="76"/>
  <c r="J63" i="76"/>
  <c r="H71" i="76"/>
  <c r="I71" i="76"/>
  <c r="J71" i="76"/>
  <c r="H55" i="76"/>
  <c r="I55" i="76"/>
  <c r="J55" i="76"/>
  <c r="H67" i="76"/>
  <c r="I67" i="76"/>
  <c r="J67" i="76"/>
  <c r="H79" i="76"/>
  <c r="I79" i="76"/>
  <c r="J79" i="76"/>
  <c r="H25" i="51"/>
  <c r="I25" i="51"/>
  <c r="J25" i="51"/>
  <c r="H28" i="51"/>
  <c r="I28" i="51"/>
  <c r="J28" i="51"/>
  <c r="H29" i="51"/>
  <c r="I29" i="51"/>
  <c r="J29" i="51"/>
  <c r="D19" i="77"/>
  <c r="D19" i="51"/>
  <c r="F412" i="48"/>
  <c r="F411" i="48"/>
  <c r="H411" i="48"/>
  <c r="F410" i="48"/>
  <c r="G410" i="48"/>
  <c r="F409" i="48"/>
  <c r="F408" i="48"/>
  <c r="J408" i="48"/>
  <c r="F407" i="48"/>
  <c r="J407" i="48"/>
  <c r="F406" i="48"/>
  <c r="J406" i="48"/>
  <c r="F405" i="48"/>
  <c r="I405" i="48"/>
  <c r="F404" i="48"/>
  <c r="F403" i="48"/>
  <c r="J403" i="48"/>
  <c r="F402" i="48"/>
  <c r="J402" i="48"/>
  <c r="F401" i="48"/>
  <c r="J401" i="48"/>
  <c r="F400" i="48"/>
  <c r="I400" i="48"/>
  <c r="F399" i="48"/>
  <c r="F398" i="48"/>
  <c r="F397" i="48"/>
  <c r="J397" i="48"/>
  <c r="F396" i="48"/>
  <c r="J396" i="48"/>
  <c r="F395" i="48"/>
  <c r="H395" i="48"/>
  <c r="F394" i="48"/>
  <c r="J394" i="48"/>
  <c r="F393" i="48"/>
  <c r="F392" i="48"/>
  <c r="J392" i="48"/>
  <c r="F391" i="48"/>
  <c r="F390" i="48"/>
  <c r="I390" i="48"/>
  <c r="F389" i="48"/>
  <c r="I389" i="48"/>
  <c r="F388" i="48"/>
  <c r="F387" i="48"/>
  <c r="J387" i="48"/>
  <c r="F386" i="48"/>
  <c r="F385" i="48"/>
  <c r="I385" i="48"/>
  <c r="F384" i="48"/>
  <c r="I384" i="48"/>
  <c r="F383" i="48"/>
  <c r="F382" i="48"/>
  <c r="G382" i="48"/>
  <c r="F381" i="48"/>
  <c r="J381" i="48"/>
  <c r="F380" i="48"/>
  <c r="J380" i="48"/>
  <c r="F379" i="48"/>
  <c r="H379" i="48"/>
  <c r="F378" i="48"/>
  <c r="J378" i="48"/>
  <c r="F377" i="48"/>
  <c r="F376" i="48"/>
  <c r="J376" i="48"/>
  <c r="F375" i="48"/>
  <c r="J375" i="48"/>
  <c r="F374" i="48"/>
  <c r="G374" i="48"/>
  <c r="F373" i="48"/>
  <c r="I373" i="48"/>
  <c r="F372" i="48"/>
  <c r="F371" i="48"/>
  <c r="J371" i="48"/>
  <c r="F370" i="48"/>
  <c r="G370" i="48"/>
  <c r="F369" i="48"/>
  <c r="F368" i="48"/>
  <c r="I368" i="48"/>
  <c r="F367" i="48"/>
  <c r="F366" i="48"/>
  <c r="J366" i="48"/>
  <c r="F365" i="48"/>
  <c r="J365" i="48"/>
  <c r="F364" i="48"/>
  <c r="I364" i="48"/>
  <c r="F363" i="48"/>
  <c r="H363" i="48"/>
  <c r="F362" i="48"/>
  <c r="F361" i="48"/>
  <c r="J360" i="48"/>
  <c r="F360" i="48"/>
  <c r="F359" i="48"/>
  <c r="H359" i="48"/>
  <c r="F358" i="48"/>
  <c r="J358" i="48"/>
  <c r="F357" i="48"/>
  <c r="I357" i="48"/>
  <c r="F356" i="48"/>
  <c r="F355" i="48"/>
  <c r="F354" i="48"/>
  <c r="G354" i="48"/>
  <c r="F353" i="48"/>
  <c r="F352" i="48"/>
  <c r="F351" i="48"/>
  <c r="F350" i="48"/>
  <c r="J350" i="48"/>
  <c r="F349" i="48"/>
  <c r="F348" i="48"/>
  <c r="I348" i="48"/>
  <c r="F347" i="48"/>
  <c r="J347" i="48"/>
  <c r="F346" i="48"/>
  <c r="I346" i="48"/>
  <c r="F345" i="48"/>
  <c r="F344" i="48"/>
  <c r="F343" i="48"/>
  <c r="J343" i="48"/>
  <c r="F342" i="48"/>
  <c r="G342" i="48"/>
  <c r="F341" i="48"/>
  <c r="F340" i="48"/>
  <c r="F339" i="48"/>
  <c r="F338" i="48"/>
  <c r="I338" i="48"/>
  <c r="F337" i="48"/>
  <c r="I337" i="48"/>
  <c r="F336" i="48"/>
  <c r="J336" i="48"/>
  <c r="F335" i="48"/>
  <c r="H334" i="48"/>
  <c r="F334" i="48"/>
  <c r="J334" i="48"/>
  <c r="F333" i="48"/>
  <c r="J332" i="48"/>
  <c r="F332" i="48"/>
  <c r="I332" i="48"/>
  <c r="F331" i="48"/>
  <c r="F330" i="48"/>
  <c r="J330" i="48"/>
  <c r="F329" i="48"/>
  <c r="F328" i="48"/>
  <c r="F327" i="48"/>
  <c r="J327" i="48"/>
  <c r="F326" i="48"/>
  <c r="J326" i="48"/>
  <c r="F325" i="48"/>
  <c r="I325" i="48"/>
  <c r="F324" i="48"/>
  <c r="J324" i="48"/>
  <c r="F323" i="48"/>
  <c r="F322" i="48"/>
  <c r="J322" i="48"/>
  <c r="F321" i="48"/>
  <c r="F320" i="48"/>
  <c r="J320" i="48"/>
  <c r="F319" i="48"/>
  <c r="J319" i="48"/>
  <c r="F318" i="48"/>
  <c r="F317" i="48"/>
  <c r="J317" i="48"/>
  <c r="F316" i="48"/>
  <c r="J316" i="48"/>
  <c r="F315" i="48"/>
  <c r="J315" i="48"/>
  <c r="F314" i="48"/>
  <c r="J314" i="48"/>
  <c r="F313" i="48"/>
  <c r="G313" i="48"/>
  <c r="F312" i="48"/>
  <c r="F311" i="48"/>
  <c r="J311" i="48"/>
  <c r="F310" i="48"/>
  <c r="J310" i="48"/>
  <c r="F309" i="48"/>
  <c r="F308" i="48"/>
  <c r="F307" i="48"/>
  <c r="F306" i="48"/>
  <c r="J306" i="48"/>
  <c r="F305" i="48"/>
  <c r="J305" i="48"/>
  <c r="F304" i="48"/>
  <c r="J304" i="48"/>
  <c r="F303" i="48"/>
  <c r="I303" i="48"/>
  <c r="F302" i="48"/>
  <c r="F301" i="48"/>
  <c r="I301" i="48"/>
  <c r="F300" i="48"/>
  <c r="J300" i="48"/>
  <c r="F299" i="48"/>
  <c r="J299" i="48"/>
  <c r="J298" i="48"/>
  <c r="H298" i="48"/>
  <c r="F298" i="48"/>
  <c r="F297" i="48"/>
  <c r="J297" i="48"/>
  <c r="F296" i="48"/>
  <c r="F295" i="48"/>
  <c r="J295" i="48"/>
  <c r="F294" i="48"/>
  <c r="J294" i="48"/>
  <c r="F293" i="48"/>
  <c r="J293" i="48"/>
  <c r="F292" i="48"/>
  <c r="J292" i="48"/>
  <c r="F291" i="48"/>
  <c r="F290" i="48"/>
  <c r="J290" i="48"/>
  <c r="F289" i="48"/>
  <c r="J289" i="48"/>
  <c r="F288" i="48"/>
  <c r="J288" i="48"/>
  <c r="F287" i="48"/>
  <c r="F286" i="48"/>
  <c r="F285" i="48"/>
  <c r="G285" i="48"/>
  <c r="F284" i="48"/>
  <c r="J284" i="48"/>
  <c r="F283" i="48"/>
  <c r="J283" i="48"/>
  <c r="F282" i="48"/>
  <c r="J282" i="48"/>
  <c r="F281" i="48"/>
  <c r="J281" i="48"/>
  <c r="F280" i="48"/>
  <c r="F279" i="48"/>
  <c r="J279" i="48"/>
  <c r="F278" i="48"/>
  <c r="J278" i="48"/>
  <c r="F277" i="48"/>
  <c r="J277" i="48"/>
  <c r="F276" i="48"/>
  <c r="I276" i="48"/>
  <c r="F275" i="48"/>
  <c r="F274" i="48"/>
  <c r="J274" i="48"/>
  <c r="F273" i="48"/>
  <c r="I273" i="48"/>
  <c r="F272" i="48"/>
  <c r="J272" i="48"/>
  <c r="F271" i="48"/>
  <c r="J271" i="48"/>
  <c r="F270" i="48"/>
  <c r="F269" i="48"/>
  <c r="J269" i="48"/>
  <c r="F268" i="48"/>
  <c r="J268" i="48"/>
  <c r="F267" i="48"/>
  <c r="J267" i="48"/>
  <c r="F266" i="48"/>
  <c r="F265" i="48"/>
  <c r="F264" i="48"/>
  <c r="F263" i="48"/>
  <c r="J263" i="48"/>
  <c r="F262" i="48"/>
  <c r="J262" i="48"/>
  <c r="F261" i="48"/>
  <c r="I261" i="48"/>
  <c r="J260" i="48"/>
  <c r="F260" i="48"/>
  <c r="I260" i="48"/>
  <c r="F259" i="48"/>
  <c r="F258" i="48"/>
  <c r="J258" i="48"/>
  <c r="F257" i="48"/>
  <c r="F256" i="48"/>
  <c r="J256" i="48"/>
  <c r="F255" i="48"/>
  <c r="J255" i="48"/>
  <c r="F254" i="48"/>
  <c r="F253" i="48"/>
  <c r="J253" i="48"/>
  <c r="F252" i="48"/>
  <c r="J252" i="48"/>
  <c r="F251" i="48"/>
  <c r="J251" i="48"/>
  <c r="F250" i="48"/>
  <c r="J250" i="48"/>
  <c r="F249" i="48"/>
  <c r="G249" i="48"/>
  <c r="F248" i="48"/>
  <c r="F247" i="48"/>
  <c r="J247" i="48"/>
  <c r="F246" i="48"/>
  <c r="J246" i="48"/>
  <c r="F245" i="48"/>
  <c r="F244" i="48"/>
  <c r="F243" i="48"/>
  <c r="F242" i="48"/>
  <c r="J242" i="48"/>
  <c r="F241" i="48"/>
  <c r="J241" i="48"/>
  <c r="F240" i="48"/>
  <c r="J240" i="48"/>
  <c r="F239" i="48"/>
  <c r="J239" i="48"/>
  <c r="F238" i="48"/>
  <c r="F237" i="48"/>
  <c r="F236" i="48"/>
  <c r="J236" i="48"/>
  <c r="F235" i="48"/>
  <c r="J235" i="48"/>
  <c r="F234" i="48"/>
  <c r="J234" i="48"/>
  <c r="F233" i="48"/>
  <c r="J233" i="48"/>
  <c r="F232" i="48"/>
  <c r="F231" i="48"/>
  <c r="J231" i="48"/>
  <c r="F230" i="48"/>
  <c r="J230" i="48"/>
  <c r="H229" i="48"/>
  <c r="F229" i="48"/>
  <c r="J229" i="48"/>
  <c r="F228" i="48"/>
  <c r="J228" i="48"/>
  <c r="F227" i="48"/>
  <c r="F226" i="48"/>
  <c r="J226" i="48"/>
  <c r="F225" i="48"/>
  <c r="J225" i="48"/>
  <c r="F224" i="48"/>
  <c r="J224" i="48"/>
  <c r="F223" i="48"/>
  <c r="F222" i="48"/>
  <c r="F221" i="48"/>
  <c r="F220" i="48"/>
  <c r="I219" i="48"/>
  <c r="F219" i="48"/>
  <c r="J219" i="48"/>
  <c r="F218" i="48"/>
  <c r="F217" i="48"/>
  <c r="F216" i="48"/>
  <c r="F215" i="48"/>
  <c r="J215" i="48"/>
  <c r="F214" i="48"/>
  <c r="F213" i="48"/>
  <c r="F212" i="48"/>
  <c r="F211" i="48"/>
  <c r="G211" i="48"/>
  <c r="F210" i="48"/>
  <c r="F209" i="48"/>
  <c r="F208" i="48"/>
  <c r="F207" i="48"/>
  <c r="I207" i="48"/>
  <c r="F206" i="48"/>
  <c r="F205" i="48"/>
  <c r="F204" i="48"/>
  <c r="F203" i="48"/>
  <c r="J203" i="48"/>
  <c r="F202" i="48"/>
  <c r="F201" i="48"/>
  <c r="F200" i="48"/>
  <c r="F199" i="48"/>
  <c r="J199" i="48"/>
  <c r="F198" i="48"/>
  <c r="F197" i="48"/>
  <c r="F196" i="48"/>
  <c r="F195" i="48"/>
  <c r="F194" i="48"/>
  <c r="F193" i="48"/>
  <c r="F192" i="48"/>
  <c r="F191" i="48"/>
  <c r="I191" i="48"/>
  <c r="F190" i="48"/>
  <c r="F189" i="48"/>
  <c r="F188" i="48"/>
  <c r="F187" i="48"/>
  <c r="J187" i="48"/>
  <c r="F186" i="48"/>
  <c r="F185" i="48"/>
  <c r="F184" i="48"/>
  <c r="F183" i="48"/>
  <c r="J183" i="48"/>
  <c r="F182" i="48"/>
  <c r="F181" i="48"/>
  <c r="F180" i="48"/>
  <c r="F179" i="48"/>
  <c r="F178" i="48"/>
  <c r="F177" i="48"/>
  <c r="F176" i="48"/>
  <c r="F175" i="48"/>
  <c r="F174" i="48"/>
  <c r="F173" i="48"/>
  <c r="F172" i="48"/>
  <c r="I171" i="48"/>
  <c r="F171" i="48"/>
  <c r="J171" i="48"/>
  <c r="F170" i="48"/>
  <c r="F169" i="48"/>
  <c r="F168" i="48"/>
  <c r="F167" i="48"/>
  <c r="J167" i="48"/>
  <c r="F166" i="48"/>
  <c r="F165" i="48"/>
  <c r="F164" i="48"/>
  <c r="F163" i="48"/>
  <c r="G163" i="48"/>
  <c r="F162" i="48"/>
  <c r="F161" i="48"/>
  <c r="F160" i="48"/>
  <c r="F159" i="48"/>
  <c r="F158" i="48"/>
  <c r="H158" i="48"/>
  <c r="F157" i="48"/>
  <c r="F156" i="48"/>
  <c r="G156" i="48"/>
  <c r="F155" i="48"/>
  <c r="G155" i="48"/>
  <c r="F154" i="48"/>
  <c r="F153" i="48"/>
  <c r="G153" i="48"/>
  <c r="F152" i="48"/>
  <c r="G152" i="48"/>
  <c r="F151" i="48"/>
  <c r="F150" i="48"/>
  <c r="H150" i="48"/>
  <c r="F149" i="48"/>
  <c r="G149" i="48"/>
  <c r="F148" i="48"/>
  <c r="G148" i="48"/>
  <c r="F147" i="48"/>
  <c r="J147" i="48"/>
  <c r="F146" i="48"/>
  <c r="F145" i="48"/>
  <c r="G145" i="48"/>
  <c r="F144" i="48"/>
  <c r="G144" i="48"/>
  <c r="F143" i="48"/>
  <c r="J143" i="48"/>
  <c r="F142" i="48"/>
  <c r="H142" i="48"/>
  <c r="F141" i="48"/>
  <c r="G141" i="48"/>
  <c r="F140" i="48"/>
  <c r="G140" i="48"/>
  <c r="F139" i="48"/>
  <c r="J139" i="48"/>
  <c r="F138" i="48"/>
  <c r="F137" i="48"/>
  <c r="G137" i="48"/>
  <c r="F136" i="48"/>
  <c r="G136" i="48"/>
  <c r="F135" i="48"/>
  <c r="J135" i="48"/>
  <c r="F134" i="48"/>
  <c r="H134" i="48"/>
  <c r="F133" i="48"/>
  <c r="G133" i="48"/>
  <c r="F132" i="48"/>
  <c r="G132" i="48"/>
  <c r="F131" i="48"/>
  <c r="F130" i="48"/>
  <c r="F129" i="48"/>
  <c r="G129" i="48"/>
  <c r="F128" i="48"/>
  <c r="G128" i="48"/>
  <c r="F127" i="48"/>
  <c r="I127" i="48"/>
  <c r="F126" i="48"/>
  <c r="H126" i="48"/>
  <c r="F125" i="48"/>
  <c r="G125" i="48"/>
  <c r="F124" i="48"/>
  <c r="G124" i="48"/>
  <c r="F123" i="48"/>
  <c r="G123" i="48"/>
  <c r="F122" i="48"/>
  <c r="F121" i="48"/>
  <c r="G121" i="48"/>
  <c r="F120" i="48"/>
  <c r="G120" i="48"/>
  <c r="F119" i="48"/>
  <c r="J119" i="48"/>
  <c r="F118" i="48"/>
  <c r="H118" i="48"/>
  <c r="F117" i="48"/>
  <c r="G117" i="48"/>
  <c r="F116" i="48"/>
  <c r="G116" i="48"/>
  <c r="F115" i="48"/>
  <c r="J115" i="48"/>
  <c r="F114" i="48"/>
  <c r="F113" i="48"/>
  <c r="G113" i="48"/>
  <c r="F112" i="48"/>
  <c r="G112" i="48"/>
  <c r="F111" i="48"/>
  <c r="J111" i="48"/>
  <c r="F110" i="48"/>
  <c r="H110" i="48"/>
  <c r="F109" i="48"/>
  <c r="G109" i="48"/>
  <c r="F108" i="48"/>
  <c r="G108" i="48"/>
  <c r="F107" i="48"/>
  <c r="J107" i="48"/>
  <c r="F106" i="48"/>
  <c r="F105" i="48"/>
  <c r="G105" i="48"/>
  <c r="F104" i="48"/>
  <c r="G104" i="48"/>
  <c r="F103" i="48"/>
  <c r="J103" i="48"/>
  <c r="F102" i="48"/>
  <c r="H102" i="48"/>
  <c r="F101" i="48"/>
  <c r="G101" i="48"/>
  <c r="F100" i="48"/>
  <c r="G100" i="48"/>
  <c r="F99" i="48"/>
  <c r="J99" i="48"/>
  <c r="F98" i="48"/>
  <c r="F97" i="48"/>
  <c r="G97" i="48"/>
  <c r="F96" i="48"/>
  <c r="G96" i="48"/>
  <c r="F95" i="48"/>
  <c r="J95" i="48"/>
  <c r="F94" i="48"/>
  <c r="H94" i="48"/>
  <c r="F93" i="48"/>
  <c r="G93" i="48"/>
  <c r="F92" i="48"/>
  <c r="G92" i="48"/>
  <c r="F91" i="48"/>
  <c r="J91" i="48"/>
  <c r="F90" i="48"/>
  <c r="F89" i="48"/>
  <c r="G89" i="48"/>
  <c r="F88" i="48"/>
  <c r="G88" i="48"/>
  <c r="F87" i="48"/>
  <c r="J87" i="48"/>
  <c r="F86" i="48"/>
  <c r="H86" i="48"/>
  <c r="F85" i="48"/>
  <c r="G85" i="48"/>
  <c r="F84" i="48"/>
  <c r="G84" i="48"/>
  <c r="F83" i="48"/>
  <c r="J83" i="48"/>
  <c r="F82" i="48"/>
  <c r="F81" i="48"/>
  <c r="G81" i="48"/>
  <c r="F80" i="48"/>
  <c r="G80" i="48"/>
  <c r="F79" i="48"/>
  <c r="J79" i="48"/>
  <c r="F78" i="48"/>
  <c r="H78" i="48"/>
  <c r="F77" i="48"/>
  <c r="F76" i="48"/>
  <c r="G76" i="48"/>
  <c r="F75" i="48"/>
  <c r="J75" i="48"/>
  <c r="F74" i="48"/>
  <c r="H74" i="48"/>
  <c r="F73" i="48"/>
  <c r="G73" i="48"/>
  <c r="F72" i="48"/>
  <c r="F71" i="48"/>
  <c r="J71" i="48"/>
  <c r="F70" i="48"/>
  <c r="H70" i="48"/>
  <c r="F69" i="48"/>
  <c r="F68" i="48"/>
  <c r="G68" i="48"/>
  <c r="F67" i="48"/>
  <c r="J67" i="48"/>
  <c r="F66" i="48"/>
  <c r="H66" i="48"/>
  <c r="F65" i="48"/>
  <c r="G65" i="48"/>
  <c r="F64" i="48"/>
  <c r="F63" i="48"/>
  <c r="J63" i="48"/>
  <c r="F62" i="48"/>
  <c r="H62" i="48"/>
  <c r="F61" i="48"/>
  <c r="F60" i="48"/>
  <c r="G60" i="48"/>
  <c r="F59" i="48"/>
  <c r="J59" i="48"/>
  <c r="F58" i="48"/>
  <c r="H58" i="48"/>
  <c r="F57" i="48"/>
  <c r="G57" i="48"/>
  <c r="F56" i="48"/>
  <c r="F55" i="48"/>
  <c r="J55" i="48"/>
  <c r="F54" i="48"/>
  <c r="H54" i="48"/>
  <c r="F53" i="48"/>
  <c r="F52" i="48"/>
  <c r="G52" i="48"/>
  <c r="F51" i="48"/>
  <c r="J51" i="48"/>
  <c r="F50" i="48"/>
  <c r="H50" i="48"/>
  <c r="F49" i="48"/>
  <c r="G49" i="48"/>
  <c r="F48" i="48"/>
  <c r="F47" i="48"/>
  <c r="J47" i="48"/>
  <c r="F46" i="48"/>
  <c r="H46" i="48"/>
  <c r="F45" i="48"/>
  <c r="G45" i="48"/>
  <c r="F44" i="48"/>
  <c r="G44" i="48"/>
  <c r="F43" i="48"/>
  <c r="J43" i="48"/>
  <c r="F42" i="48"/>
  <c r="F41" i="48"/>
  <c r="G41" i="48"/>
  <c r="F40" i="48"/>
  <c r="F39" i="48"/>
  <c r="J39" i="48"/>
  <c r="F38" i="48"/>
  <c r="H38" i="48"/>
  <c r="F37" i="48"/>
  <c r="F36" i="48"/>
  <c r="G36" i="48"/>
  <c r="F35" i="48"/>
  <c r="J35" i="48"/>
  <c r="F34" i="48"/>
  <c r="H34" i="48"/>
  <c r="F33" i="48"/>
  <c r="G33" i="48"/>
  <c r="F32" i="48"/>
  <c r="F31" i="48"/>
  <c r="J31" i="48"/>
  <c r="F30" i="48"/>
  <c r="H30" i="48"/>
  <c r="F29" i="48"/>
  <c r="F28" i="48"/>
  <c r="G28" i="48"/>
  <c r="J18" i="48"/>
  <c r="F27" i="48"/>
  <c r="F412" i="47"/>
  <c r="J412" i="47"/>
  <c r="F411" i="47"/>
  <c r="F410" i="47"/>
  <c r="H410" i="47"/>
  <c r="F409" i="47"/>
  <c r="F408" i="47"/>
  <c r="J408" i="47"/>
  <c r="F407" i="47"/>
  <c r="H407" i="47"/>
  <c r="F406" i="47"/>
  <c r="I406" i="47"/>
  <c r="F405" i="47"/>
  <c r="J405" i="47"/>
  <c r="F404" i="47"/>
  <c r="F403" i="47"/>
  <c r="J403" i="47"/>
  <c r="F402" i="47"/>
  <c r="F401" i="47"/>
  <c r="F400" i="47"/>
  <c r="F399" i="47"/>
  <c r="F398" i="47"/>
  <c r="F397" i="47"/>
  <c r="J397" i="47"/>
  <c r="F396" i="47"/>
  <c r="J396" i="47"/>
  <c r="I396" i="47"/>
  <c r="F395" i="47"/>
  <c r="F394" i="47"/>
  <c r="H394" i="47"/>
  <c r="F393" i="47"/>
  <c r="F392" i="47"/>
  <c r="J392" i="47"/>
  <c r="F391" i="47"/>
  <c r="J391" i="47"/>
  <c r="F390" i="47"/>
  <c r="I390" i="47"/>
  <c r="F389" i="47"/>
  <c r="F388" i="47"/>
  <c r="F387" i="47"/>
  <c r="J387" i="47"/>
  <c r="F386" i="47"/>
  <c r="F385" i="47"/>
  <c r="I385" i="47"/>
  <c r="F384" i="47"/>
  <c r="F383" i="47"/>
  <c r="F382" i="47"/>
  <c r="F381" i="47"/>
  <c r="J381" i="47"/>
  <c r="F380" i="47"/>
  <c r="I380" i="47"/>
  <c r="J380" i="47"/>
  <c r="F379" i="47"/>
  <c r="F378" i="47"/>
  <c r="F377" i="47"/>
  <c r="J377" i="47"/>
  <c r="J376" i="47"/>
  <c r="F376" i="47"/>
  <c r="F375" i="47"/>
  <c r="F374" i="47"/>
  <c r="H374" i="47"/>
  <c r="F373" i="47"/>
  <c r="G373" i="47"/>
  <c r="F372" i="47"/>
  <c r="F371" i="47"/>
  <c r="J371" i="47"/>
  <c r="F370" i="47"/>
  <c r="F369" i="47"/>
  <c r="J369" i="47"/>
  <c r="F368" i="47"/>
  <c r="F367" i="47"/>
  <c r="J367" i="47"/>
  <c r="F366" i="47"/>
  <c r="G366" i="47"/>
  <c r="H366" i="47"/>
  <c r="F365" i="47"/>
  <c r="J365" i="47"/>
  <c r="F364" i="47"/>
  <c r="I364" i="47"/>
  <c r="F363" i="47"/>
  <c r="F362" i="47"/>
  <c r="F361" i="47"/>
  <c r="F360" i="47"/>
  <c r="G360" i="47"/>
  <c r="F359" i="47"/>
  <c r="F358" i="47"/>
  <c r="J358" i="47"/>
  <c r="F357" i="47"/>
  <c r="H357" i="47"/>
  <c r="F356" i="47"/>
  <c r="G356" i="47"/>
  <c r="F355" i="47"/>
  <c r="F354" i="47"/>
  <c r="F353" i="47"/>
  <c r="I353" i="47"/>
  <c r="J353" i="47"/>
  <c r="F352" i="47"/>
  <c r="J352" i="47"/>
  <c r="F351" i="47"/>
  <c r="G350" i="47"/>
  <c r="F350" i="47"/>
  <c r="H350" i="47"/>
  <c r="F349" i="47"/>
  <c r="J349" i="47"/>
  <c r="F348" i="47"/>
  <c r="J348" i="47"/>
  <c r="I348" i="47"/>
  <c r="J347" i="47"/>
  <c r="F347" i="47"/>
  <c r="F346" i="47"/>
  <c r="F345" i="47"/>
  <c r="I345" i="47"/>
  <c r="F344" i="47"/>
  <c r="F343" i="47"/>
  <c r="H343" i="47"/>
  <c r="J343" i="47"/>
  <c r="F342" i="47"/>
  <c r="F341" i="47"/>
  <c r="J341" i="47"/>
  <c r="F340" i="47"/>
  <c r="F339" i="47"/>
  <c r="J339" i="47"/>
  <c r="F338" i="47"/>
  <c r="I338" i="47"/>
  <c r="F337" i="47"/>
  <c r="I337" i="47"/>
  <c r="F336" i="47"/>
  <c r="J336" i="47"/>
  <c r="F335" i="47"/>
  <c r="H335" i="47"/>
  <c r="I334" i="47"/>
  <c r="H334" i="47"/>
  <c r="F334" i="47"/>
  <c r="G334" i="47"/>
  <c r="J334" i="47"/>
  <c r="F333" i="47"/>
  <c r="F332" i="47"/>
  <c r="F331" i="47"/>
  <c r="J331" i="47"/>
  <c r="F330" i="47"/>
  <c r="F329" i="47"/>
  <c r="J329" i="47"/>
  <c r="F328" i="47"/>
  <c r="H328" i="47"/>
  <c r="F327" i="47"/>
  <c r="F326" i="47"/>
  <c r="J326" i="47"/>
  <c r="F325" i="47"/>
  <c r="H325" i="47"/>
  <c r="F324" i="47"/>
  <c r="J324" i="47"/>
  <c r="I324" i="47"/>
  <c r="F323" i="47"/>
  <c r="J323" i="47"/>
  <c r="F322" i="47"/>
  <c r="F321" i="47"/>
  <c r="J321" i="47"/>
  <c r="F320" i="47"/>
  <c r="J320" i="47"/>
  <c r="J319" i="47"/>
  <c r="I319" i="47"/>
  <c r="F319" i="47"/>
  <c r="F318" i="47"/>
  <c r="J318" i="47"/>
  <c r="I317" i="47"/>
  <c r="F317" i="47"/>
  <c r="F316" i="47"/>
  <c r="F315" i="47"/>
  <c r="J315" i="47"/>
  <c r="F314" i="47"/>
  <c r="J314" i="47"/>
  <c r="F313" i="47"/>
  <c r="F312" i="47"/>
  <c r="J312" i="47"/>
  <c r="F311" i="47"/>
  <c r="F310" i="47"/>
  <c r="J310" i="47"/>
  <c r="F309" i="47"/>
  <c r="H309" i="47"/>
  <c r="F308" i="47"/>
  <c r="J308" i="47"/>
  <c r="F307" i="47"/>
  <c r="J307" i="47"/>
  <c r="F306" i="47"/>
  <c r="F305" i="47"/>
  <c r="F304" i="47"/>
  <c r="J304" i="47"/>
  <c r="F303" i="47"/>
  <c r="I303" i="47"/>
  <c r="F302" i="47"/>
  <c r="J302" i="47"/>
  <c r="F301" i="47"/>
  <c r="I301" i="47"/>
  <c r="F300" i="47"/>
  <c r="F299" i="47"/>
  <c r="J299" i="47"/>
  <c r="F298" i="47"/>
  <c r="F297" i="47"/>
  <c r="H297" i="47"/>
  <c r="G297" i="47"/>
  <c r="J297" i="47"/>
  <c r="F296" i="47"/>
  <c r="J296" i="47"/>
  <c r="F295" i="47"/>
  <c r="H295" i="47"/>
  <c r="F294" i="47"/>
  <c r="J294" i="47"/>
  <c r="F293" i="47"/>
  <c r="H293" i="47"/>
  <c r="F292" i="47"/>
  <c r="J292" i="47"/>
  <c r="I292" i="47"/>
  <c r="F291" i="47"/>
  <c r="J291" i="47"/>
  <c r="F290" i="47"/>
  <c r="F289" i="47"/>
  <c r="G289" i="47"/>
  <c r="F288" i="47"/>
  <c r="J288" i="47"/>
  <c r="F287" i="47"/>
  <c r="J287" i="47"/>
  <c r="F286" i="47"/>
  <c r="J286" i="47"/>
  <c r="F285" i="47"/>
  <c r="I285" i="47"/>
  <c r="F284" i="47"/>
  <c r="F283" i="47"/>
  <c r="H283" i="47"/>
  <c r="F282" i="47"/>
  <c r="F281" i="47"/>
  <c r="F280" i="47"/>
  <c r="I280" i="47"/>
  <c r="F279" i="47"/>
  <c r="F278" i="47"/>
  <c r="J278" i="47"/>
  <c r="I277" i="47"/>
  <c r="F277" i="47"/>
  <c r="H277" i="47"/>
  <c r="F276" i="47"/>
  <c r="J276" i="47"/>
  <c r="F275" i="47"/>
  <c r="J275" i="47"/>
  <c r="F274" i="47"/>
  <c r="F273" i="47"/>
  <c r="F272" i="47"/>
  <c r="J272" i="47"/>
  <c r="F271" i="47"/>
  <c r="F270" i="47"/>
  <c r="I270" i="47"/>
  <c r="F269" i="47"/>
  <c r="G269" i="47"/>
  <c r="F268" i="47"/>
  <c r="F267" i="47"/>
  <c r="J267" i="47"/>
  <c r="F266" i="47"/>
  <c r="J266" i="47"/>
  <c r="F265" i="47"/>
  <c r="F264" i="47"/>
  <c r="J264" i="47"/>
  <c r="F263" i="47"/>
  <c r="F262" i="47"/>
  <c r="I262" i="47"/>
  <c r="F261" i="47"/>
  <c r="I261" i="47"/>
  <c r="F260" i="47"/>
  <c r="F259" i="47"/>
  <c r="J259" i="47"/>
  <c r="F258" i="47"/>
  <c r="G257" i="47"/>
  <c r="F257" i="47"/>
  <c r="H257" i="47"/>
  <c r="F256" i="47"/>
  <c r="J256" i="47"/>
  <c r="J255" i="47"/>
  <c r="F255" i="47"/>
  <c r="I255" i="47"/>
  <c r="F254" i="47"/>
  <c r="J254" i="47"/>
  <c r="F253" i="47"/>
  <c r="F252" i="47"/>
  <c r="F251" i="47"/>
  <c r="J251" i="47"/>
  <c r="F250" i="47"/>
  <c r="J250" i="47"/>
  <c r="F249" i="47"/>
  <c r="H249" i="47"/>
  <c r="F248" i="47"/>
  <c r="G248" i="47"/>
  <c r="F247" i="47"/>
  <c r="F246" i="47"/>
  <c r="J246" i="47"/>
  <c r="F245" i="47"/>
  <c r="G245" i="47"/>
  <c r="F244" i="47"/>
  <c r="J244" i="47"/>
  <c r="F243" i="47"/>
  <c r="J243" i="47"/>
  <c r="F242" i="47"/>
  <c r="I241" i="47"/>
  <c r="H241" i="47"/>
  <c r="F241" i="47"/>
  <c r="G241" i="47"/>
  <c r="J241" i="47"/>
  <c r="F240" i="47"/>
  <c r="J240" i="47"/>
  <c r="F239" i="47"/>
  <c r="J239" i="47"/>
  <c r="I239" i="47"/>
  <c r="F238" i="47"/>
  <c r="J238" i="47"/>
  <c r="I237" i="47"/>
  <c r="F237" i="47"/>
  <c r="G237" i="47"/>
  <c r="F236" i="47"/>
  <c r="F235" i="47"/>
  <c r="J235" i="47"/>
  <c r="F234" i="47"/>
  <c r="J234" i="47"/>
  <c r="H234" i="47"/>
  <c r="I233" i="47"/>
  <c r="F233" i="47"/>
  <c r="F232" i="47"/>
  <c r="J232" i="47"/>
  <c r="F231" i="47"/>
  <c r="F230" i="47"/>
  <c r="J230" i="47"/>
  <c r="F229" i="47"/>
  <c r="H229" i="47"/>
  <c r="F228" i="47"/>
  <c r="F227" i="47"/>
  <c r="J227" i="47"/>
  <c r="F226" i="47"/>
  <c r="F225" i="47"/>
  <c r="I225" i="47"/>
  <c r="F224" i="47"/>
  <c r="J224" i="47"/>
  <c r="F223" i="47"/>
  <c r="J223" i="47"/>
  <c r="F222" i="47"/>
  <c r="J222" i="47"/>
  <c r="F221" i="47"/>
  <c r="H221" i="47"/>
  <c r="F220" i="47"/>
  <c r="I220" i="47"/>
  <c r="F219" i="47"/>
  <c r="F218" i="47"/>
  <c r="G218" i="47"/>
  <c r="F217" i="47"/>
  <c r="H217" i="47"/>
  <c r="F216" i="47"/>
  <c r="I216" i="47"/>
  <c r="F215" i="47"/>
  <c r="F214" i="47"/>
  <c r="J214" i="47"/>
  <c r="F213" i="47"/>
  <c r="H213" i="47"/>
  <c r="F212" i="47"/>
  <c r="H212" i="47"/>
  <c r="F211" i="47"/>
  <c r="G211" i="47"/>
  <c r="F210" i="47"/>
  <c r="H210" i="47"/>
  <c r="F209" i="47"/>
  <c r="H209" i="47"/>
  <c r="F208" i="47"/>
  <c r="I208" i="47"/>
  <c r="F207" i="47"/>
  <c r="F206" i="47"/>
  <c r="G206" i="47"/>
  <c r="F205" i="47"/>
  <c r="H205" i="47"/>
  <c r="F204" i="47"/>
  <c r="I204" i="47"/>
  <c r="I203" i="47"/>
  <c r="F203" i="47"/>
  <c r="H203" i="47"/>
  <c r="F202" i="47"/>
  <c r="G202" i="47"/>
  <c r="F201" i="47"/>
  <c r="H201" i="47"/>
  <c r="F200" i="47"/>
  <c r="I200" i="47"/>
  <c r="F199" i="47"/>
  <c r="H199" i="47"/>
  <c r="G199" i="47"/>
  <c r="J199" i="47"/>
  <c r="F198" i="47"/>
  <c r="G198" i="47"/>
  <c r="F197" i="47"/>
  <c r="H197" i="47"/>
  <c r="F196" i="47"/>
  <c r="I196" i="47"/>
  <c r="F195" i="47"/>
  <c r="F194" i="47"/>
  <c r="G194" i="47"/>
  <c r="F193" i="47"/>
  <c r="H193" i="47"/>
  <c r="F192" i="47"/>
  <c r="I192" i="47"/>
  <c r="F191" i="47"/>
  <c r="F190" i="47"/>
  <c r="G190" i="47"/>
  <c r="F189" i="47"/>
  <c r="H189" i="47"/>
  <c r="F188" i="47"/>
  <c r="G188" i="47"/>
  <c r="F187" i="47"/>
  <c r="F186" i="47"/>
  <c r="G186" i="47"/>
  <c r="F185" i="47"/>
  <c r="H185" i="47"/>
  <c r="F184" i="47"/>
  <c r="I184" i="47"/>
  <c r="G183" i="47"/>
  <c r="F183" i="47"/>
  <c r="H183" i="47"/>
  <c r="F182" i="47"/>
  <c r="G182" i="47"/>
  <c r="F181" i="47"/>
  <c r="H181" i="47"/>
  <c r="F180" i="47"/>
  <c r="I180" i="47"/>
  <c r="F179" i="47"/>
  <c r="F178" i="47"/>
  <c r="G178" i="47"/>
  <c r="F177" i="47"/>
  <c r="H177" i="47"/>
  <c r="F176" i="47"/>
  <c r="I176" i="47"/>
  <c r="I175" i="47"/>
  <c r="F175" i="47"/>
  <c r="G175" i="47"/>
  <c r="F174" i="47"/>
  <c r="G174" i="47"/>
  <c r="F173" i="47"/>
  <c r="H173" i="47"/>
  <c r="F172" i="47"/>
  <c r="I172" i="47"/>
  <c r="F171" i="47"/>
  <c r="J171" i="47"/>
  <c r="F170" i="47"/>
  <c r="G170" i="47"/>
  <c r="F169" i="47"/>
  <c r="H169" i="47"/>
  <c r="F168" i="47"/>
  <c r="I168" i="47"/>
  <c r="F167" i="47"/>
  <c r="G167" i="47"/>
  <c r="F166" i="47"/>
  <c r="G166" i="47"/>
  <c r="F165" i="47"/>
  <c r="H165" i="47"/>
  <c r="F164" i="47"/>
  <c r="I164" i="47"/>
  <c r="F163" i="47"/>
  <c r="F162" i="47"/>
  <c r="G162" i="47"/>
  <c r="F161" i="47"/>
  <c r="H161" i="47"/>
  <c r="F160" i="47"/>
  <c r="I160" i="47"/>
  <c r="F159" i="47"/>
  <c r="F158" i="47"/>
  <c r="G158" i="47"/>
  <c r="F157" i="47"/>
  <c r="H157" i="47"/>
  <c r="F156" i="47"/>
  <c r="I156" i="47"/>
  <c r="F155" i="47"/>
  <c r="F154" i="47"/>
  <c r="H154" i="47"/>
  <c r="F153" i="47"/>
  <c r="H153" i="47"/>
  <c r="F152" i="47"/>
  <c r="J152" i="47"/>
  <c r="F151" i="47"/>
  <c r="G151" i="47"/>
  <c r="H151" i="47"/>
  <c r="F150" i="47"/>
  <c r="G150" i="47"/>
  <c r="F149" i="47"/>
  <c r="H149" i="47"/>
  <c r="F148" i="47"/>
  <c r="I148" i="47"/>
  <c r="F147" i="47"/>
  <c r="G147" i="47"/>
  <c r="F146" i="47"/>
  <c r="J146" i="47"/>
  <c r="F145" i="47"/>
  <c r="H145" i="47"/>
  <c r="F144" i="47"/>
  <c r="H144" i="47"/>
  <c r="F143" i="47"/>
  <c r="F142" i="47"/>
  <c r="G142" i="47"/>
  <c r="F141" i="47"/>
  <c r="H141" i="47"/>
  <c r="F140" i="47"/>
  <c r="I140" i="47"/>
  <c r="I139" i="47"/>
  <c r="F139" i="47"/>
  <c r="H139" i="47"/>
  <c r="F138" i="47"/>
  <c r="G138" i="47"/>
  <c r="F137" i="47"/>
  <c r="H137" i="47"/>
  <c r="F136" i="47"/>
  <c r="I136" i="47"/>
  <c r="F135" i="47"/>
  <c r="I135" i="47"/>
  <c r="F134" i="47"/>
  <c r="G134" i="47"/>
  <c r="F133" i="47"/>
  <c r="H133" i="47"/>
  <c r="F132" i="47"/>
  <c r="I132" i="47"/>
  <c r="F131" i="47"/>
  <c r="H131" i="47"/>
  <c r="F130" i="47"/>
  <c r="G130" i="47"/>
  <c r="F129" i="47"/>
  <c r="H129" i="47"/>
  <c r="F128" i="47"/>
  <c r="H128" i="47"/>
  <c r="F127" i="47"/>
  <c r="H127" i="47"/>
  <c r="F126" i="47"/>
  <c r="H126" i="47"/>
  <c r="F125" i="47"/>
  <c r="H125" i="47"/>
  <c r="F124" i="47"/>
  <c r="I124" i="47"/>
  <c r="F123" i="47"/>
  <c r="F122" i="47"/>
  <c r="G122" i="47"/>
  <c r="F121" i="47"/>
  <c r="H121" i="47"/>
  <c r="F120" i="47"/>
  <c r="I120" i="47"/>
  <c r="I119" i="47"/>
  <c r="F119" i="47"/>
  <c r="H119" i="47"/>
  <c r="J119" i="47"/>
  <c r="F118" i="47"/>
  <c r="G118" i="47"/>
  <c r="F117" i="47"/>
  <c r="H117" i="47"/>
  <c r="F116" i="47"/>
  <c r="I116" i="47"/>
  <c r="F115" i="47"/>
  <c r="F114" i="47"/>
  <c r="G114" i="47"/>
  <c r="F113" i="47"/>
  <c r="G113" i="47"/>
  <c r="F112" i="47"/>
  <c r="I112" i="47"/>
  <c r="F111" i="47"/>
  <c r="I111" i="47"/>
  <c r="F110" i="47"/>
  <c r="G110" i="47"/>
  <c r="F109" i="47"/>
  <c r="H109" i="47"/>
  <c r="F108" i="47"/>
  <c r="I108" i="47"/>
  <c r="F107" i="47"/>
  <c r="G107" i="47"/>
  <c r="F106" i="47"/>
  <c r="G106" i="47"/>
  <c r="F105" i="47"/>
  <c r="H105" i="47"/>
  <c r="F104" i="47"/>
  <c r="I104" i="47"/>
  <c r="F103" i="47"/>
  <c r="F102" i="47"/>
  <c r="G102" i="47"/>
  <c r="F101" i="47"/>
  <c r="H101" i="47"/>
  <c r="F100" i="47"/>
  <c r="I100" i="47"/>
  <c r="F99" i="47"/>
  <c r="H99" i="47"/>
  <c r="F98" i="47"/>
  <c r="G98" i="47"/>
  <c r="F97" i="47"/>
  <c r="H97" i="47"/>
  <c r="F96" i="47"/>
  <c r="I96" i="47"/>
  <c r="F95" i="47"/>
  <c r="F94" i="47"/>
  <c r="G94" i="47"/>
  <c r="F93" i="47"/>
  <c r="H93" i="47"/>
  <c r="F92" i="47"/>
  <c r="I92" i="47"/>
  <c r="F91" i="47"/>
  <c r="F90" i="47"/>
  <c r="G90" i="47"/>
  <c r="F89" i="47"/>
  <c r="H89" i="47"/>
  <c r="F88" i="47"/>
  <c r="I88" i="47"/>
  <c r="F87" i="47"/>
  <c r="J87" i="47"/>
  <c r="F86" i="47"/>
  <c r="G86" i="47"/>
  <c r="F85" i="47"/>
  <c r="H85" i="47"/>
  <c r="F84" i="47"/>
  <c r="I84" i="47"/>
  <c r="F83" i="47"/>
  <c r="J83" i="47"/>
  <c r="F82" i="47"/>
  <c r="G82" i="47"/>
  <c r="F81" i="47"/>
  <c r="H81" i="47"/>
  <c r="F80" i="47"/>
  <c r="I80" i="47"/>
  <c r="I79" i="47"/>
  <c r="F79" i="47"/>
  <c r="H79" i="47"/>
  <c r="J79" i="47"/>
  <c r="F78" i="47"/>
  <c r="G78" i="47"/>
  <c r="F77" i="47"/>
  <c r="G77" i="47"/>
  <c r="F76" i="47"/>
  <c r="I76" i="47"/>
  <c r="F75" i="47"/>
  <c r="F74" i="47"/>
  <c r="G74" i="47"/>
  <c r="F73" i="47"/>
  <c r="H73" i="47"/>
  <c r="F72" i="47"/>
  <c r="H72" i="47"/>
  <c r="F71" i="47"/>
  <c r="F70" i="47"/>
  <c r="G70" i="47"/>
  <c r="F69" i="47"/>
  <c r="H69" i="47"/>
  <c r="F68" i="47"/>
  <c r="I68" i="47"/>
  <c r="I67" i="47"/>
  <c r="F67" i="47"/>
  <c r="J67" i="47"/>
  <c r="F66" i="47"/>
  <c r="G66" i="47"/>
  <c r="F65" i="47"/>
  <c r="H65" i="47"/>
  <c r="F64" i="47"/>
  <c r="I64" i="47"/>
  <c r="F63" i="47"/>
  <c r="H63" i="47"/>
  <c r="I63" i="47"/>
  <c r="J63" i="47"/>
  <c r="F62" i="47"/>
  <c r="G62" i="47"/>
  <c r="F61" i="47"/>
  <c r="H61" i="47"/>
  <c r="F60" i="47"/>
  <c r="I60" i="47"/>
  <c r="F59" i="47"/>
  <c r="H59" i="47"/>
  <c r="F58" i="47"/>
  <c r="G58" i="47"/>
  <c r="F57" i="47"/>
  <c r="H57" i="47"/>
  <c r="F56" i="47"/>
  <c r="I56" i="47"/>
  <c r="F55" i="47"/>
  <c r="J55" i="47"/>
  <c r="F54" i="47"/>
  <c r="G54" i="47"/>
  <c r="F53" i="47"/>
  <c r="H53" i="47"/>
  <c r="F52" i="47"/>
  <c r="I52" i="47"/>
  <c r="F51" i="47"/>
  <c r="J51" i="47"/>
  <c r="F50" i="47"/>
  <c r="J50" i="47"/>
  <c r="F49" i="47"/>
  <c r="H49" i="47"/>
  <c r="F48" i="47"/>
  <c r="I48" i="47"/>
  <c r="F47" i="47"/>
  <c r="H47" i="47"/>
  <c r="J47" i="47"/>
  <c r="F46" i="47"/>
  <c r="G46" i="47"/>
  <c r="F45" i="47"/>
  <c r="H45" i="47"/>
  <c r="F44" i="47"/>
  <c r="I44" i="47"/>
  <c r="H43" i="47"/>
  <c r="F43" i="47"/>
  <c r="F42" i="47"/>
  <c r="G42" i="47"/>
  <c r="F41" i="47"/>
  <c r="G41" i="47"/>
  <c r="F40" i="47"/>
  <c r="I40" i="47"/>
  <c r="F39" i="47"/>
  <c r="I39" i="47"/>
  <c r="F38" i="47"/>
  <c r="G38" i="47"/>
  <c r="F37" i="47"/>
  <c r="H37" i="47"/>
  <c r="F36" i="47"/>
  <c r="I36" i="47"/>
  <c r="F35" i="47"/>
  <c r="I35" i="47"/>
  <c r="F34" i="47"/>
  <c r="G34" i="47"/>
  <c r="F33" i="47"/>
  <c r="G33" i="47"/>
  <c r="F32" i="47"/>
  <c r="I32" i="47"/>
  <c r="H31" i="47"/>
  <c r="F31" i="47"/>
  <c r="I31" i="47"/>
  <c r="J31" i="47"/>
  <c r="F30" i="47"/>
  <c r="G30" i="47"/>
  <c r="F29" i="47"/>
  <c r="H29" i="47"/>
  <c r="F28" i="47"/>
  <c r="G28" i="47"/>
  <c r="J18" i="47"/>
  <c r="F27" i="47"/>
  <c r="F412" i="46"/>
  <c r="F411" i="46"/>
  <c r="J411" i="46"/>
  <c r="I410" i="46"/>
  <c r="F410" i="46"/>
  <c r="J410" i="46"/>
  <c r="F409" i="46"/>
  <c r="G408" i="46"/>
  <c r="F408" i="46"/>
  <c r="F407" i="46"/>
  <c r="H407" i="46"/>
  <c r="F406" i="46"/>
  <c r="J406" i="46"/>
  <c r="J405" i="46"/>
  <c r="F405" i="46"/>
  <c r="F404" i="46"/>
  <c r="F403" i="46"/>
  <c r="F402" i="46"/>
  <c r="F401" i="46"/>
  <c r="H401" i="46"/>
  <c r="G400" i="46"/>
  <c r="F400" i="46"/>
  <c r="F399" i="46"/>
  <c r="J399" i="46"/>
  <c r="G398" i="46"/>
  <c r="F398" i="46"/>
  <c r="I398" i="46"/>
  <c r="F397" i="46"/>
  <c r="F396" i="46"/>
  <c r="J395" i="46"/>
  <c r="F395" i="46"/>
  <c r="G394" i="46"/>
  <c r="F394" i="46"/>
  <c r="J394" i="46"/>
  <c r="F393" i="46"/>
  <c r="J393" i="46"/>
  <c r="F392" i="46"/>
  <c r="F391" i="46"/>
  <c r="H391" i="46"/>
  <c r="F390" i="46"/>
  <c r="F389" i="46"/>
  <c r="F388" i="46"/>
  <c r="F387" i="46"/>
  <c r="J387" i="46"/>
  <c r="F386" i="46"/>
  <c r="F385" i="46"/>
  <c r="H385" i="46"/>
  <c r="F384" i="46"/>
  <c r="F383" i="46"/>
  <c r="J383" i="46"/>
  <c r="H382" i="46"/>
  <c r="F382" i="46"/>
  <c r="J382" i="46"/>
  <c r="F381" i="46"/>
  <c r="I380" i="46"/>
  <c r="F380" i="46"/>
  <c r="J380" i="46"/>
  <c r="F379" i="46"/>
  <c r="J379" i="46"/>
  <c r="I378" i="46"/>
  <c r="F378" i="46"/>
  <c r="H377" i="46"/>
  <c r="F377" i="46"/>
  <c r="J377" i="46"/>
  <c r="F376" i="46"/>
  <c r="F375" i="46"/>
  <c r="J375" i="46"/>
  <c r="F374" i="46"/>
  <c r="J373" i="46"/>
  <c r="F373" i="46"/>
  <c r="F372" i="46"/>
  <c r="J372" i="46"/>
  <c r="F371" i="46"/>
  <c r="I370" i="46"/>
  <c r="H370" i="46"/>
  <c r="G370" i="46"/>
  <c r="F370" i="46"/>
  <c r="J370" i="46"/>
  <c r="F369" i="46"/>
  <c r="J369" i="46"/>
  <c r="F368" i="46"/>
  <c r="H367" i="46"/>
  <c r="F367" i="46"/>
  <c r="J367" i="46"/>
  <c r="I366" i="46"/>
  <c r="G366" i="46"/>
  <c r="F366" i="46"/>
  <c r="J366" i="46"/>
  <c r="F365" i="46"/>
  <c r="G364" i="46"/>
  <c r="F364" i="46"/>
  <c r="J364" i="46"/>
  <c r="F363" i="46"/>
  <c r="J363" i="46"/>
  <c r="F362" i="46"/>
  <c r="I362" i="46"/>
  <c r="F361" i="46"/>
  <c r="J361" i="46"/>
  <c r="F360" i="46"/>
  <c r="H359" i="46"/>
  <c r="F359" i="46"/>
  <c r="J359" i="46"/>
  <c r="G358" i="46"/>
  <c r="F358" i="46"/>
  <c r="F357" i="46"/>
  <c r="F356" i="46"/>
  <c r="J356" i="46"/>
  <c r="G355" i="46"/>
  <c r="F355" i="46"/>
  <c r="J355" i="46"/>
  <c r="G354" i="46"/>
  <c r="F354" i="46"/>
  <c r="F353" i="46"/>
  <c r="F352" i="46"/>
  <c r="J352" i="46"/>
  <c r="G351" i="46"/>
  <c r="F351" i="46"/>
  <c r="J351" i="46"/>
  <c r="G350" i="46"/>
  <c r="F350" i="46"/>
  <c r="F349" i="46"/>
  <c r="F348" i="46"/>
  <c r="J348" i="46"/>
  <c r="G347" i="46"/>
  <c r="F347" i="46"/>
  <c r="J347" i="46"/>
  <c r="G346" i="46"/>
  <c r="F346" i="46"/>
  <c r="F345" i="46"/>
  <c r="F344" i="46"/>
  <c r="J344" i="46"/>
  <c r="G343" i="46"/>
  <c r="F343" i="46"/>
  <c r="J343" i="46"/>
  <c r="G342" i="46"/>
  <c r="F342" i="46"/>
  <c r="F341" i="46"/>
  <c r="F340" i="46"/>
  <c r="J340" i="46"/>
  <c r="G339" i="46"/>
  <c r="F339" i="46"/>
  <c r="J339" i="46"/>
  <c r="G338" i="46"/>
  <c r="F338" i="46"/>
  <c r="F337" i="46"/>
  <c r="F336" i="46"/>
  <c r="J336" i="46"/>
  <c r="G335" i="46"/>
  <c r="F335" i="46"/>
  <c r="J335" i="46"/>
  <c r="G334" i="46"/>
  <c r="F334" i="46"/>
  <c r="F333" i="46"/>
  <c r="F332" i="46"/>
  <c r="J332" i="46"/>
  <c r="G331" i="46"/>
  <c r="F331" i="46"/>
  <c r="J331" i="46"/>
  <c r="G330" i="46"/>
  <c r="F330" i="46"/>
  <c r="F329" i="46"/>
  <c r="F328" i="46"/>
  <c r="J328" i="46"/>
  <c r="F327" i="46"/>
  <c r="J327" i="46"/>
  <c r="F326" i="46"/>
  <c r="F325" i="46"/>
  <c r="F324" i="46"/>
  <c r="J324" i="46"/>
  <c r="F323" i="46"/>
  <c r="J323" i="46"/>
  <c r="F322" i="46"/>
  <c r="H321" i="46"/>
  <c r="F321" i="46"/>
  <c r="J321" i="46"/>
  <c r="I320" i="46"/>
  <c r="G320" i="46"/>
  <c r="F320" i="46"/>
  <c r="J320" i="46"/>
  <c r="F319" i="46"/>
  <c r="G318" i="46"/>
  <c r="F318" i="46"/>
  <c r="J318" i="46"/>
  <c r="J317" i="46"/>
  <c r="F317" i="46"/>
  <c r="F316" i="46"/>
  <c r="F315" i="46"/>
  <c r="H315" i="46"/>
  <c r="F314" i="46"/>
  <c r="J314" i="46"/>
  <c r="F313" i="46"/>
  <c r="I312" i="46"/>
  <c r="F312" i="46"/>
  <c r="J311" i="46"/>
  <c r="F311" i="46"/>
  <c r="F310" i="46"/>
  <c r="F309" i="46"/>
  <c r="I308" i="46"/>
  <c r="H308" i="46"/>
  <c r="G308" i="46"/>
  <c r="F308" i="46"/>
  <c r="J308" i="46"/>
  <c r="F307" i="46"/>
  <c r="J307" i="46"/>
  <c r="F306" i="46"/>
  <c r="F305" i="46"/>
  <c r="J305" i="46"/>
  <c r="F304" i="46"/>
  <c r="J304" i="46"/>
  <c r="F303" i="46"/>
  <c r="F302" i="46"/>
  <c r="J302" i="46"/>
  <c r="F301" i="46"/>
  <c r="J301" i="46"/>
  <c r="F300" i="46"/>
  <c r="F299" i="46"/>
  <c r="H299" i="46"/>
  <c r="I298" i="46"/>
  <c r="G298" i="46"/>
  <c r="F298" i="46"/>
  <c r="J298" i="46"/>
  <c r="F297" i="46"/>
  <c r="F296" i="46"/>
  <c r="I296" i="46"/>
  <c r="F295" i="46"/>
  <c r="J295" i="46"/>
  <c r="F294" i="46"/>
  <c r="F293" i="46"/>
  <c r="H292" i="46"/>
  <c r="F292" i="46"/>
  <c r="J292" i="46"/>
  <c r="F291" i="46"/>
  <c r="J291" i="46"/>
  <c r="I290" i="46"/>
  <c r="F290" i="46"/>
  <c r="F289" i="46"/>
  <c r="J289" i="46"/>
  <c r="F288" i="46"/>
  <c r="J288" i="46"/>
  <c r="F287" i="46"/>
  <c r="F286" i="46"/>
  <c r="J286" i="46"/>
  <c r="F285" i="46"/>
  <c r="J285" i="46"/>
  <c r="F284" i="46"/>
  <c r="F283" i="46"/>
  <c r="H283" i="46"/>
  <c r="G282" i="46"/>
  <c r="F282" i="46"/>
  <c r="J282" i="46"/>
  <c r="F281" i="46"/>
  <c r="F280" i="46"/>
  <c r="I280" i="46"/>
  <c r="F279" i="46"/>
  <c r="J279" i="46"/>
  <c r="F278" i="46"/>
  <c r="F277" i="46"/>
  <c r="H276" i="46"/>
  <c r="F276" i="46"/>
  <c r="J276" i="46"/>
  <c r="F275" i="46"/>
  <c r="J275" i="46"/>
  <c r="F274" i="46"/>
  <c r="H273" i="46"/>
  <c r="F273" i="46"/>
  <c r="J273" i="46"/>
  <c r="I272" i="46"/>
  <c r="G272" i="46"/>
  <c r="F272" i="46"/>
  <c r="J272" i="46"/>
  <c r="F271" i="46"/>
  <c r="G270" i="46"/>
  <c r="F270" i="46"/>
  <c r="J270" i="46"/>
  <c r="J269" i="46"/>
  <c r="F269" i="46"/>
  <c r="G268" i="46"/>
  <c r="F268" i="46"/>
  <c r="F267" i="46"/>
  <c r="H267" i="46"/>
  <c r="G266" i="46"/>
  <c r="F266" i="46"/>
  <c r="J266" i="46"/>
  <c r="F265" i="46"/>
  <c r="F264" i="46"/>
  <c r="I264" i="46"/>
  <c r="F263" i="46"/>
  <c r="J263" i="46"/>
  <c r="F262" i="46"/>
  <c r="F261" i="46"/>
  <c r="H260" i="46"/>
  <c r="F260" i="46"/>
  <c r="J260" i="46"/>
  <c r="F259" i="46"/>
  <c r="J259" i="46"/>
  <c r="F258" i="46"/>
  <c r="H257" i="46"/>
  <c r="F257" i="46"/>
  <c r="J257" i="46"/>
  <c r="I256" i="46"/>
  <c r="G256" i="46"/>
  <c r="F256" i="46"/>
  <c r="J256" i="46"/>
  <c r="F255" i="46"/>
  <c r="G254" i="46"/>
  <c r="F254" i="46"/>
  <c r="J254" i="46"/>
  <c r="J253" i="46"/>
  <c r="F253" i="46"/>
  <c r="F252" i="46"/>
  <c r="F251" i="46"/>
  <c r="H251" i="46"/>
  <c r="F250" i="46"/>
  <c r="F249" i="46"/>
  <c r="F248" i="46"/>
  <c r="F247" i="46"/>
  <c r="F246" i="46"/>
  <c r="F245" i="46"/>
  <c r="F244" i="46"/>
  <c r="I244" i="46"/>
  <c r="F243" i="46"/>
  <c r="F242" i="46"/>
  <c r="F241" i="46"/>
  <c r="F240" i="46"/>
  <c r="F239" i="46"/>
  <c r="F238" i="46"/>
  <c r="F237" i="46"/>
  <c r="I236" i="46"/>
  <c r="G236" i="46"/>
  <c r="F236" i="46"/>
  <c r="J236" i="46"/>
  <c r="F235" i="46"/>
  <c r="F234" i="46"/>
  <c r="F233" i="46"/>
  <c r="F232" i="46"/>
  <c r="F231" i="46"/>
  <c r="F230" i="46"/>
  <c r="F229" i="46"/>
  <c r="F228" i="46"/>
  <c r="I228" i="46"/>
  <c r="F227" i="46"/>
  <c r="F226" i="46"/>
  <c r="F225" i="46"/>
  <c r="F224" i="46"/>
  <c r="F223" i="46"/>
  <c r="F222" i="46"/>
  <c r="F221" i="46"/>
  <c r="I220" i="46"/>
  <c r="G220" i="46"/>
  <c r="F220" i="46"/>
  <c r="J220" i="46"/>
  <c r="F219" i="46"/>
  <c r="F218" i="46"/>
  <c r="F217" i="46"/>
  <c r="H216" i="46"/>
  <c r="G216" i="46"/>
  <c r="F216" i="46"/>
  <c r="F215" i="46"/>
  <c r="F214" i="46"/>
  <c r="F213" i="46"/>
  <c r="F212" i="46"/>
  <c r="F211" i="46"/>
  <c r="F210" i="46"/>
  <c r="F209" i="46"/>
  <c r="H208" i="46"/>
  <c r="F208" i="46"/>
  <c r="I208" i="46"/>
  <c r="F207" i="46"/>
  <c r="F206" i="46"/>
  <c r="F205" i="46"/>
  <c r="H204" i="46"/>
  <c r="F204" i="46"/>
  <c r="J204" i="46"/>
  <c r="F203" i="46"/>
  <c r="F202" i="46"/>
  <c r="F201" i="46"/>
  <c r="H200" i="46"/>
  <c r="F200" i="46"/>
  <c r="F199" i="46"/>
  <c r="F198" i="46"/>
  <c r="F197" i="46"/>
  <c r="F196" i="46"/>
  <c r="F195" i="46"/>
  <c r="F194" i="46"/>
  <c r="F193" i="46"/>
  <c r="F192" i="46"/>
  <c r="I192" i="46"/>
  <c r="F191" i="46"/>
  <c r="F190" i="46"/>
  <c r="F189" i="46"/>
  <c r="I188" i="46"/>
  <c r="G188" i="46"/>
  <c r="F188" i="46"/>
  <c r="J188" i="46"/>
  <c r="F187" i="46"/>
  <c r="F186" i="46"/>
  <c r="F185" i="46"/>
  <c r="F184" i="46"/>
  <c r="F183" i="46"/>
  <c r="F182" i="46"/>
  <c r="F181" i="46"/>
  <c r="I180" i="46"/>
  <c r="G180" i="46"/>
  <c r="F180" i="46"/>
  <c r="F179" i="46"/>
  <c r="F178" i="46"/>
  <c r="F177" i="46"/>
  <c r="F176" i="46"/>
  <c r="F175" i="46"/>
  <c r="F174" i="46"/>
  <c r="F173" i="46"/>
  <c r="F172" i="46"/>
  <c r="J172" i="46"/>
  <c r="F171" i="46"/>
  <c r="I170" i="46"/>
  <c r="F170" i="46"/>
  <c r="J169" i="46"/>
  <c r="F169" i="46"/>
  <c r="H169" i="46"/>
  <c r="F168" i="46"/>
  <c r="F167" i="46"/>
  <c r="F166" i="46"/>
  <c r="J166" i="46"/>
  <c r="F165" i="46"/>
  <c r="J165" i="46"/>
  <c r="I164" i="46"/>
  <c r="F164" i="46"/>
  <c r="J164" i="46"/>
  <c r="F163" i="46"/>
  <c r="J163" i="46"/>
  <c r="F162" i="46"/>
  <c r="H161" i="46"/>
  <c r="F161" i="46"/>
  <c r="J161" i="46"/>
  <c r="F160" i="46"/>
  <c r="I160" i="46"/>
  <c r="F159" i="46"/>
  <c r="I159" i="46"/>
  <c r="H158" i="46"/>
  <c r="F158" i="46"/>
  <c r="J158" i="46"/>
  <c r="F157" i="46"/>
  <c r="I156" i="46"/>
  <c r="F156" i="46"/>
  <c r="H156" i="46"/>
  <c r="F155" i="46"/>
  <c r="F154" i="46"/>
  <c r="I154" i="46"/>
  <c r="F153" i="46"/>
  <c r="G153" i="46"/>
  <c r="F152" i="46"/>
  <c r="H151" i="46"/>
  <c r="F151" i="46"/>
  <c r="I151" i="46"/>
  <c r="I150" i="46"/>
  <c r="H150" i="46"/>
  <c r="G150" i="46"/>
  <c r="F150" i="46"/>
  <c r="J150" i="46"/>
  <c r="F149" i="46"/>
  <c r="F148" i="46"/>
  <c r="H148" i="46"/>
  <c r="F147" i="46"/>
  <c r="F146" i="46"/>
  <c r="F145" i="46"/>
  <c r="G145" i="46"/>
  <c r="F144" i="46"/>
  <c r="H143" i="46"/>
  <c r="F143" i="46"/>
  <c r="I143" i="46"/>
  <c r="I142" i="46"/>
  <c r="G142" i="46"/>
  <c r="F142" i="46"/>
  <c r="J142" i="46"/>
  <c r="F141" i="46"/>
  <c r="F140" i="46"/>
  <c r="H140" i="46"/>
  <c r="F139" i="46"/>
  <c r="F138" i="46"/>
  <c r="F137" i="46"/>
  <c r="G137" i="46"/>
  <c r="F136" i="46"/>
  <c r="H135" i="46"/>
  <c r="F135" i="46"/>
  <c r="I135" i="46"/>
  <c r="I134" i="46"/>
  <c r="H134" i="46"/>
  <c r="G134" i="46"/>
  <c r="F134" i="46"/>
  <c r="J134" i="46"/>
  <c r="F133" i="46"/>
  <c r="F132" i="46"/>
  <c r="H132" i="46"/>
  <c r="F131" i="46"/>
  <c r="F130" i="46"/>
  <c r="F129" i="46"/>
  <c r="G129" i="46"/>
  <c r="F128" i="46"/>
  <c r="H127" i="46"/>
  <c r="F127" i="46"/>
  <c r="I127" i="46"/>
  <c r="I126" i="46"/>
  <c r="G126" i="46"/>
  <c r="F126" i="46"/>
  <c r="J126" i="46"/>
  <c r="F125" i="46"/>
  <c r="F124" i="46"/>
  <c r="H124" i="46"/>
  <c r="F123" i="46"/>
  <c r="I122" i="46"/>
  <c r="F122" i="46"/>
  <c r="I121" i="46"/>
  <c r="F121" i="46"/>
  <c r="G121" i="46"/>
  <c r="F120" i="46"/>
  <c r="F119" i="46"/>
  <c r="I119" i="46"/>
  <c r="H118" i="46"/>
  <c r="F118" i="46"/>
  <c r="J118" i="46"/>
  <c r="F117" i="46"/>
  <c r="I116" i="46"/>
  <c r="F116" i="46"/>
  <c r="H116" i="46"/>
  <c r="F115" i="46"/>
  <c r="F114" i="46"/>
  <c r="I113" i="46"/>
  <c r="F113" i="46"/>
  <c r="G113" i="46"/>
  <c r="F112" i="46"/>
  <c r="F111" i="46"/>
  <c r="I111" i="46"/>
  <c r="F110" i="46"/>
  <c r="J110" i="46"/>
  <c r="F109" i="46"/>
  <c r="I108" i="46"/>
  <c r="F108" i="46"/>
  <c r="H108" i="46"/>
  <c r="F107" i="46"/>
  <c r="F106" i="46"/>
  <c r="I105" i="46"/>
  <c r="F105" i="46"/>
  <c r="G105" i="46"/>
  <c r="F104" i="46"/>
  <c r="F103" i="46"/>
  <c r="I103" i="46"/>
  <c r="H102" i="46"/>
  <c r="F102" i="46"/>
  <c r="J102" i="46"/>
  <c r="F101" i="46"/>
  <c r="I100" i="46"/>
  <c r="F100" i="46"/>
  <c r="H100" i="46"/>
  <c r="F99" i="46"/>
  <c r="F98" i="46"/>
  <c r="I97" i="46"/>
  <c r="F97" i="46"/>
  <c r="G97" i="46"/>
  <c r="F96" i="46"/>
  <c r="F95" i="46"/>
  <c r="I95" i="46"/>
  <c r="F94" i="46"/>
  <c r="J94" i="46"/>
  <c r="F93" i="46"/>
  <c r="G93" i="46"/>
  <c r="F92" i="46"/>
  <c r="H92" i="46"/>
  <c r="F91" i="46"/>
  <c r="I91" i="46"/>
  <c r="F90" i="46"/>
  <c r="I89" i="46"/>
  <c r="F89" i="46"/>
  <c r="G89" i="46"/>
  <c r="F88" i="46"/>
  <c r="H88" i="46"/>
  <c r="F87" i="46"/>
  <c r="I87" i="46"/>
  <c r="F86" i="46"/>
  <c r="J86" i="46"/>
  <c r="F85" i="46"/>
  <c r="G85" i="46"/>
  <c r="I84" i="46"/>
  <c r="F84" i="46"/>
  <c r="H84" i="46"/>
  <c r="F83" i="46"/>
  <c r="I83" i="46"/>
  <c r="F82" i="46"/>
  <c r="I81" i="46"/>
  <c r="F81" i="46"/>
  <c r="G81" i="46"/>
  <c r="F80" i="46"/>
  <c r="H80" i="46"/>
  <c r="F79" i="46"/>
  <c r="I79" i="46"/>
  <c r="H78" i="46"/>
  <c r="F78" i="46"/>
  <c r="J78" i="46"/>
  <c r="F77" i="46"/>
  <c r="G77" i="46"/>
  <c r="I76" i="46"/>
  <c r="F76" i="46"/>
  <c r="H76" i="46"/>
  <c r="F75" i="46"/>
  <c r="I75" i="46"/>
  <c r="F74" i="46"/>
  <c r="I74" i="46"/>
  <c r="F73" i="46"/>
  <c r="G73" i="46"/>
  <c r="F72" i="46"/>
  <c r="H72" i="46"/>
  <c r="H71" i="46"/>
  <c r="F71" i="46"/>
  <c r="I71" i="46"/>
  <c r="I70" i="46"/>
  <c r="H70" i="46"/>
  <c r="G70" i="46"/>
  <c r="F70" i="46"/>
  <c r="J70" i="46"/>
  <c r="F69" i="46"/>
  <c r="G69" i="46"/>
  <c r="F68" i="46"/>
  <c r="H68" i="46"/>
  <c r="F67" i="46"/>
  <c r="I67" i="46"/>
  <c r="F66" i="46"/>
  <c r="I66" i="46"/>
  <c r="F65" i="46"/>
  <c r="G65" i="46"/>
  <c r="F64" i="46"/>
  <c r="H64" i="46"/>
  <c r="F63" i="46"/>
  <c r="I63" i="46"/>
  <c r="H62" i="46"/>
  <c r="F62" i="46"/>
  <c r="J62" i="46"/>
  <c r="F61" i="46"/>
  <c r="G61" i="46"/>
  <c r="F60" i="46"/>
  <c r="H60" i="46"/>
  <c r="F59" i="46"/>
  <c r="I59" i="46"/>
  <c r="F58" i="46"/>
  <c r="I57" i="46"/>
  <c r="F57" i="46"/>
  <c r="G57" i="46"/>
  <c r="F56" i="46"/>
  <c r="H56" i="46"/>
  <c r="F55" i="46"/>
  <c r="I55" i="46"/>
  <c r="H54" i="46"/>
  <c r="F54" i="46"/>
  <c r="J54" i="46"/>
  <c r="F53" i="46"/>
  <c r="G53" i="46"/>
  <c r="F52" i="46"/>
  <c r="F51" i="46"/>
  <c r="F45" i="46"/>
  <c r="F44" i="46"/>
  <c r="F43" i="46"/>
  <c r="F42" i="46"/>
  <c r="F40" i="46"/>
  <c r="F38" i="46"/>
  <c r="F36" i="46"/>
  <c r="F34" i="46"/>
  <c r="F32" i="46"/>
  <c r="F30" i="46"/>
  <c r="F28" i="46"/>
  <c r="J18" i="46"/>
  <c r="F49" i="46"/>
  <c r="F412" i="45"/>
  <c r="J412" i="45"/>
  <c r="F411" i="45"/>
  <c r="F410" i="45"/>
  <c r="F409" i="45"/>
  <c r="F408" i="45"/>
  <c r="J408" i="45"/>
  <c r="F407" i="45"/>
  <c r="J407" i="45"/>
  <c r="G406" i="45"/>
  <c r="F406" i="45"/>
  <c r="F405" i="45"/>
  <c r="F404" i="45"/>
  <c r="J403" i="45"/>
  <c r="F403" i="45"/>
  <c r="F402" i="45"/>
  <c r="J401" i="45"/>
  <c r="F401" i="45"/>
  <c r="I401" i="45"/>
  <c r="F400" i="45"/>
  <c r="F399" i="45"/>
  <c r="F398" i="45"/>
  <c r="J398" i="45"/>
  <c r="J397" i="45"/>
  <c r="F397" i="45"/>
  <c r="F396" i="45"/>
  <c r="F395" i="45"/>
  <c r="H394" i="45"/>
  <c r="G394" i="45"/>
  <c r="F394" i="45"/>
  <c r="J394" i="45"/>
  <c r="F393" i="45"/>
  <c r="J392" i="45"/>
  <c r="F392" i="45"/>
  <c r="F391" i="45"/>
  <c r="F390" i="45"/>
  <c r="F389" i="45"/>
  <c r="F388" i="45"/>
  <c r="F387" i="45"/>
  <c r="F386" i="45"/>
  <c r="F385" i="45"/>
  <c r="F384" i="45"/>
  <c r="F383" i="45"/>
  <c r="F382" i="45"/>
  <c r="I382" i="45"/>
  <c r="F381" i="45"/>
  <c r="F380" i="45"/>
  <c r="F379" i="45"/>
  <c r="J379" i="45"/>
  <c r="H378" i="45"/>
  <c r="F378" i="45"/>
  <c r="J378" i="45"/>
  <c r="F377" i="45"/>
  <c r="F376" i="45"/>
  <c r="F375" i="45"/>
  <c r="F374" i="45"/>
  <c r="F373" i="45"/>
  <c r="F372" i="45"/>
  <c r="F371" i="45"/>
  <c r="H370" i="45"/>
  <c r="G370" i="45"/>
  <c r="F370" i="45"/>
  <c r="J370" i="45"/>
  <c r="F369" i="45"/>
  <c r="J368" i="45"/>
  <c r="F368" i="45"/>
  <c r="F367" i="45"/>
  <c r="F366" i="45"/>
  <c r="I366" i="45"/>
  <c r="F365" i="45"/>
  <c r="F364" i="45"/>
  <c r="F363" i="45"/>
  <c r="F362" i="45"/>
  <c r="F361" i="45"/>
  <c r="F360" i="45"/>
  <c r="H359" i="45"/>
  <c r="F359" i="45"/>
  <c r="J359" i="45"/>
  <c r="F358" i="45"/>
  <c r="F357" i="45"/>
  <c r="J357" i="45"/>
  <c r="F356" i="45"/>
  <c r="F355" i="45"/>
  <c r="H354" i="45"/>
  <c r="G354" i="45"/>
  <c r="F354" i="45"/>
  <c r="J354" i="45"/>
  <c r="F353" i="45"/>
  <c r="J353" i="45"/>
  <c r="F352" i="45"/>
  <c r="F351" i="45"/>
  <c r="G350" i="45"/>
  <c r="F350" i="45"/>
  <c r="F349" i="45"/>
  <c r="F348" i="45"/>
  <c r="J348" i="45"/>
  <c r="F347" i="45"/>
  <c r="J347" i="45"/>
  <c r="F346" i="45"/>
  <c r="G346" i="45"/>
  <c r="F345" i="45"/>
  <c r="F344" i="45"/>
  <c r="F343" i="45"/>
  <c r="J343" i="45"/>
  <c r="F342" i="45"/>
  <c r="F341" i="45"/>
  <c r="F340" i="45"/>
  <c r="F339" i="45"/>
  <c r="F338" i="45"/>
  <c r="G338" i="45"/>
  <c r="F337" i="45"/>
  <c r="F336" i="45"/>
  <c r="J336" i="45"/>
  <c r="F335" i="45"/>
  <c r="F334" i="45"/>
  <c r="F333" i="45"/>
  <c r="F332" i="45"/>
  <c r="F331" i="45"/>
  <c r="F330" i="45"/>
  <c r="I330" i="45"/>
  <c r="F329" i="45"/>
  <c r="F328" i="45"/>
  <c r="F327" i="45"/>
  <c r="F326" i="45"/>
  <c r="J326" i="45"/>
  <c r="F325" i="45"/>
  <c r="F324" i="45"/>
  <c r="F323" i="45"/>
  <c r="F322" i="45"/>
  <c r="H321" i="45"/>
  <c r="G321" i="45"/>
  <c r="F321" i="45"/>
  <c r="J321" i="45"/>
  <c r="F320" i="45"/>
  <c r="J320" i="45"/>
  <c r="J319" i="45"/>
  <c r="I319" i="45"/>
  <c r="F319" i="45"/>
  <c r="F318" i="45"/>
  <c r="F317" i="45"/>
  <c r="I317" i="45"/>
  <c r="F316" i="45"/>
  <c r="F315" i="45"/>
  <c r="J315" i="45"/>
  <c r="J314" i="45"/>
  <c r="H314" i="45"/>
  <c r="F314" i="45"/>
  <c r="G313" i="45"/>
  <c r="F313" i="45"/>
  <c r="F312" i="45"/>
  <c r="F311" i="45"/>
  <c r="J310" i="45"/>
  <c r="F310" i="45"/>
  <c r="F309" i="45"/>
  <c r="F308" i="45"/>
  <c r="J308" i="45"/>
  <c r="F307" i="45"/>
  <c r="F306" i="45"/>
  <c r="I305" i="45"/>
  <c r="H305" i="45"/>
  <c r="F305" i="45"/>
  <c r="J305" i="45"/>
  <c r="F304" i="45"/>
  <c r="J304" i="45"/>
  <c r="F303" i="45"/>
  <c r="F302" i="45"/>
  <c r="F301" i="45"/>
  <c r="G301" i="45"/>
  <c r="F300" i="45"/>
  <c r="F299" i="45"/>
  <c r="J299" i="45"/>
  <c r="F298" i="45"/>
  <c r="I297" i="45"/>
  <c r="F297" i="45"/>
  <c r="F296" i="45"/>
  <c r="F295" i="45"/>
  <c r="F294" i="45"/>
  <c r="J294" i="45"/>
  <c r="I293" i="45"/>
  <c r="H293" i="45"/>
  <c r="F293" i="45"/>
  <c r="J293" i="45"/>
  <c r="I292" i="45"/>
  <c r="F292" i="45"/>
  <c r="J292" i="45"/>
  <c r="F291" i="45"/>
  <c r="F290" i="45"/>
  <c r="F289" i="45"/>
  <c r="I289" i="45"/>
  <c r="J288" i="45"/>
  <c r="F288" i="45"/>
  <c r="F287" i="45"/>
  <c r="J287" i="45"/>
  <c r="F286" i="45"/>
  <c r="H285" i="45"/>
  <c r="F285" i="45"/>
  <c r="J285" i="45"/>
  <c r="F284" i="45"/>
  <c r="F283" i="45"/>
  <c r="J283" i="45"/>
  <c r="F282" i="45"/>
  <c r="F281" i="45"/>
  <c r="I281" i="45"/>
  <c r="F280" i="45"/>
  <c r="F279" i="45"/>
  <c r="F278" i="45"/>
  <c r="J278" i="45"/>
  <c r="F277" i="45"/>
  <c r="J276" i="45"/>
  <c r="I276" i="45"/>
  <c r="F276" i="45"/>
  <c r="F275" i="45"/>
  <c r="F274" i="45"/>
  <c r="F273" i="45"/>
  <c r="G273" i="45"/>
  <c r="F272" i="45"/>
  <c r="J272" i="45"/>
  <c r="F271" i="45"/>
  <c r="J271" i="45"/>
  <c r="F270" i="45"/>
  <c r="F269" i="45"/>
  <c r="F268" i="45"/>
  <c r="F267" i="45"/>
  <c r="J267" i="45"/>
  <c r="F266" i="45"/>
  <c r="J266" i="45"/>
  <c r="F265" i="45"/>
  <c r="G265" i="45"/>
  <c r="F264" i="45"/>
  <c r="F263" i="45"/>
  <c r="F262" i="45"/>
  <c r="J262" i="45"/>
  <c r="F261" i="45"/>
  <c r="F260" i="45"/>
  <c r="F259" i="45"/>
  <c r="F258" i="45"/>
  <c r="H257" i="45"/>
  <c r="G257" i="45"/>
  <c r="F257" i="45"/>
  <c r="J257" i="45"/>
  <c r="F256" i="45"/>
  <c r="J256" i="45"/>
  <c r="J255" i="45"/>
  <c r="I255" i="45"/>
  <c r="F255" i="45"/>
  <c r="F254" i="45"/>
  <c r="F253" i="45"/>
  <c r="F252" i="45"/>
  <c r="F251" i="45"/>
  <c r="J251" i="45"/>
  <c r="J250" i="45"/>
  <c r="H250" i="45"/>
  <c r="F250" i="45"/>
  <c r="G249" i="45"/>
  <c r="F249" i="45"/>
  <c r="F248" i="45"/>
  <c r="F247" i="45"/>
  <c r="J246" i="45"/>
  <c r="F246" i="45"/>
  <c r="F245" i="45"/>
  <c r="I244" i="45"/>
  <c r="F244" i="45"/>
  <c r="J244" i="45"/>
  <c r="F243" i="45"/>
  <c r="F242" i="45"/>
  <c r="F241" i="45"/>
  <c r="F240" i="45"/>
  <c r="J240" i="45"/>
  <c r="F239" i="45"/>
  <c r="F238" i="45"/>
  <c r="F237" i="45"/>
  <c r="G237" i="45"/>
  <c r="F236" i="45"/>
  <c r="F235" i="45"/>
  <c r="J235" i="45"/>
  <c r="F234" i="45"/>
  <c r="J234" i="45"/>
  <c r="F233" i="45"/>
  <c r="F232" i="45"/>
  <c r="F231" i="45"/>
  <c r="F230" i="45"/>
  <c r="J230" i="45"/>
  <c r="F229" i="45"/>
  <c r="F228" i="45"/>
  <c r="F227" i="45"/>
  <c r="F226" i="45"/>
  <c r="F225" i="45"/>
  <c r="I225" i="45"/>
  <c r="J224" i="45"/>
  <c r="F224" i="45"/>
  <c r="F223" i="45"/>
  <c r="F222" i="45"/>
  <c r="F221" i="45"/>
  <c r="H221" i="45"/>
  <c r="F220" i="45"/>
  <c r="I220" i="45"/>
  <c r="F219" i="45"/>
  <c r="F218" i="45"/>
  <c r="G218" i="45"/>
  <c r="F217" i="45"/>
  <c r="H217" i="45"/>
  <c r="F216" i="45"/>
  <c r="I216" i="45"/>
  <c r="I215" i="45"/>
  <c r="H215" i="45"/>
  <c r="F215" i="45"/>
  <c r="J215" i="45"/>
  <c r="F214" i="45"/>
  <c r="G214" i="45"/>
  <c r="F213" i="45"/>
  <c r="H213" i="45"/>
  <c r="F212" i="45"/>
  <c r="I212" i="45"/>
  <c r="F211" i="45"/>
  <c r="F210" i="45"/>
  <c r="G210" i="45"/>
  <c r="F209" i="45"/>
  <c r="H209" i="45"/>
  <c r="F208" i="45"/>
  <c r="I208" i="45"/>
  <c r="G207" i="45"/>
  <c r="F207" i="45"/>
  <c r="F206" i="45"/>
  <c r="G206" i="45"/>
  <c r="F205" i="45"/>
  <c r="H205" i="45"/>
  <c r="F204" i="45"/>
  <c r="I204" i="45"/>
  <c r="F203" i="45"/>
  <c r="I203" i="45"/>
  <c r="F202" i="45"/>
  <c r="G202" i="45"/>
  <c r="F201" i="45"/>
  <c r="H201" i="45"/>
  <c r="F200" i="45"/>
  <c r="I200" i="45"/>
  <c r="I199" i="45"/>
  <c r="H199" i="45"/>
  <c r="G199" i="45"/>
  <c r="F199" i="45"/>
  <c r="J199" i="45"/>
  <c r="F198" i="45"/>
  <c r="G198" i="45"/>
  <c r="F197" i="45"/>
  <c r="H197" i="45"/>
  <c r="F196" i="45"/>
  <c r="I196" i="45"/>
  <c r="F195" i="45"/>
  <c r="F194" i="45"/>
  <c r="G194" i="45"/>
  <c r="F193" i="45"/>
  <c r="H193" i="45"/>
  <c r="F192" i="45"/>
  <c r="I192" i="45"/>
  <c r="F191" i="45"/>
  <c r="G191" i="45"/>
  <c r="F190" i="45"/>
  <c r="G190" i="45"/>
  <c r="F189" i="45"/>
  <c r="H189" i="45"/>
  <c r="F188" i="45"/>
  <c r="I188" i="45"/>
  <c r="F187" i="45"/>
  <c r="I187" i="45"/>
  <c r="F186" i="45"/>
  <c r="G186" i="45"/>
  <c r="F185" i="45"/>
  <c r="H185" i="45"/>
  <c r="F184" i="45"/>
  <c r="I184" i="45"/>
  <c r="F183" i="45"/>
  <c r="F182" i="45"/>
  <c r="G182" i="45"/>
  <c r="F181" i="45"/>
  <c r="H181" i="45"/>
  <c r="F180" i="45"/>
  <c r="I180" i="45"/>
  <c r="H179" i="45"/>
  <c r="G179" i="45"/>
  <c r="F179" i="45"/>
  <c r="J179" i="45"/>
  <c r="F178" i="45"/>
  <c r="G178" i="45"/>
  <c r="F177" i="45"/>
  <c r="H177" i="45"/>
  <c r="F176" i="45"/>
  <c r="I176" i="45"/>
  <c r="F175" i="45"/>
  <c r="F174" i="45"/>
  <c r="G174" i="45"/>
  <c r="F173" i="45"/>
  <c r="H173" i="45"/>
  <c r="F172" i="45"/>
  <c r="I172" i="45"/>
  <c r="F171" i="45"/>
  <c r="F170" i="45"/>
  <c r="G170" i="45"/>
  <c r="F169" i="45"/>
  <c r="H169" i="45"/>
  <c r="F168" i="45"/>
  <c r="I168" i="45"/>
  <c r="F167" i="45"/>
  <c r="F166" i="45"/>
  <c r="G166" i="45"/>
  <c r="F165" i="45"/>
  <c r="H165" i="45"/>
  <c r="F164" i="45"/>
  <c r="I164" i="45"/>
  <c r="H163" i="45"/>
  <c r="G163" i="45"/>
  <c r="F163" i="45"/>
  <c r="J163" i="45"/>
  <c r="F162" i="45"/>
  <c r="G162" i="45"/>
  <c r="F161" i="45"/>
  <c r="H161" i="45"/>
  <c r="F160" i="45"/>
  <c r="I160" i="45"/>
  <c r="F159" i="45"/>
  <c r="G159" i="45"/>
  <c r="F158" i="45"/>
  <c r="G158" i="45"/>
  <c r="F157" i="45"/>
  <c r="H157" i="45"/>
  <c r="F156" i="45"/>
  <c r="I156" i="45"/>
  <c r="F155" i="45"/>
  <c r="I155" i="45"/>
  <c r="F154" i="45"/>
  <c r="G154" i="45"/>
  <c r="F153" i="45"/>
  <c r="H153" i="45"/>
  <c r="F152" i="45"/>
  <c r="I152" i="45"/>
  <c r="H151" i="45"/>
  <c r="F151" i="45"/>
  <c r="F150" i="45"/>
  <c r="G150" i="45"/>
  <c r="F149" i="45"/>
  <c r="H149" i="45"/>
  <c r="F148" i="45"/>
  <c r="I148" i="45"/>
  <c r="F147" i="45"/>
  <c r="F146" i="45"/>
  <c r="G146" i="45"/>
  <c r="F145" i="45"/>
  <c r="H145" i="45"/>
  <c r="F144" i="45"/>
  <c r="I144" i="45"/>
  <c r="F143" i="45"/>
  <c r="F142" i="45"/>
  <c r="G142" i="45"/>
  <c r="F141" i="45"/>
  <c r="H141" i="45"/>
  <c r="F140" i="45"/>
  <c r="I140" i="45"/>
  <c r="F139" i="45"/>
  <c r="F138" i="45"/>
  <c r="G138" i="45"/>
  <c r="F137" i="45"/>
  <c r="H137" i="45"/>
  <c r="F136" i="45"/>
  <c r="I136" i="45"/>
  <c r="F135" i="45"/>
  <c r="J135" i="45"/>
  <c r="F134" i="45"/>
  <c r="G134" i="45"/>
  <c r="F133" i="45"/>
  <c r="H133" i="45"/>
  <c r="F132" i="45"/>
  <c r="I132" i="45"/>
  <c r="H131" i="45"/>
  <c r="F131" i="45"/>
  <c r="F130" i="45"/>
  <c r="G130" i="45"/>
  <c r="F129" i="45"/>
  <c r="H129" i="45"/>
  <c r="F128" i="45"/>
  <c r="I128" i="45"/>
  <c r="F127" i="45"/>
  <c r="G127" i="45"/>
  <c r="F126" i="45"/>
  <c r="G126" i="45"/>
  <c r="F125" i="45"/>
  <c r="H125" i="45"/>
  <c r="F124" i="45"/>
  <c r="I124" i="45"/>
  <c r="F123" i="45"/>
  <c r="I123" i="45"/>
  <c r="F122" i="45"/>
  <c r="G122" i="45"/>
  <c r="F121" i="45"/>
  <c r="H121" i="45"/>
  <c r="F120" i="45"/>
  <c r="I120" i="45"/>
  <c r="F119" i="45"/>
  <c r="F118" i="45"/>
  <c r="G118" i="45"/>
  <c r="F117" i="45"/>
  <c r="H117" i="45"/>
  <c r="F116" i="45"/>
  <c r="I116" i="45"/>
  <c r="H115" i="45"/>
  <c r="F115" i="45"/>
  <c r="J115" i="45"/>
  <c r="F114" i="45"/>
  <c r="G114" i="45"/>
  <c r="F113" i="45"/>
  <c r="H113" i="45"/>
  <c r="F112" i="45"/>
  <c r="I112" i="45"/>
  <c r="F111" i="45"/>
  <c r="F110" i="45"/>
  <c r="G110" i="45"/>
  <c r="F109" i="45"/>
  <c r="H109" i="45"/>
  <c r="F108" i="45"/>
  <c r="I108" i="45"/>
  <c r="F107" i="45"/>
  <c r="I107" i="45"/>
  <c r="F106" i="45"/>
  <c r="G106" i="45"/>
  <c r="F105" i="45"/>
  <c r="H105" i="45"/>
  <c r="F104" i="45"/>
  <c r="I104" i="45"/>
  <c r="F103" i="45"/>
  <c r="F102" i="45"/>
  <c r="G102" i="45"/>
  <c r="F101" i="45"/>
  <c r="H101" i="45"/>
  <c r="F100" i="45"/>
  <c r="I100" i="45"/>
  <c r="H99" i="45"/>
  <c r="G99" i="45"/>
  <c r="F99" i="45"/>
  <c r="J99" i="45"/>
  <c r="F98" i="45"/>
  <c r="G98" i="45"/>
  <c r="F97" i="45"/>
  <c r="H97" i="45"/>
  <c r="F96" i="45"/>
  <c r="I96" i="45"/>
  <c r="G95" i="45"/>
  <c r="F95" i="45"/>
  <c r="F94" i="45"/>
  <c r="G94" i="45"/>
  <c r="F93" i="45"/>
  <c r="H93" i="45"/>
  <c r="F92" i="45"/>
  <c r="I92" i="45"/>
  <c r="F91" i="45"/>
  <c r="I91" i="45"/>
  <c r="F90" i="45"/>
  <c r="G90" i="45"/>
  <c r="F89" i="45"/>
  <c r="H89" i="45"/>
  <c r="F88" i="45"/>
  <c r="I88" i="45"/>
  <c r="I87" i="45"/>
  <c r="H87" i="45"/>
  <c r="G87" i="45"/>
  <c r="F87" i="45"/>
  <c r="J87" i="45"/>
  <c r="F86" i="45"/>
  <c r="F85" i="45"/>
  <c r="F84" i="45"/>
  <c r="F82" i="45"/>
  <c r="F81" i="45"/>
  <c r="F80" i="45"/>
  <c r="F78" i="45"/>
  <c r="F77" i="45"/>
  <c r="F76" i="45"/>
  <c r="F74" i="45"/>
  <c r="F73" i="45"/>
  <c r="F72" i="45"/>
  <c r="F70" i="45"/>
  <c r="F69" i="45"/>
  <c r="F68" i="45"/>
  <c r="F66" i="45"/>
  <c r="F65" i="45"/>
  <c r="F64" i="45"/>
  <c r="F62" i="45"/>
  <c r="F61" i="45"/>
  <c r="F60" i="45"/>
  <c r="F58" i="45"/>
  <c r="F57" i="45"/>
  <c r="F56" i="45"/>
  <c r="F54" i="45"/>
  <c r="F53" i="45"/>
  <c r="F52" i="45"/>
  <c r="F49" i="45"/>
  <c r="F48" i="45"/>
  <c r="F46" i="45"/>
  <c r="F44" i="45"/>
  <c r="F42" i="45"/>
  <c r="F41" i="45"/>
  <c r="F38" i="45"/>
  <c r="F37" i="45"/>
  <c r="F36" i="45"/>
  <c r="F33" i="45"/>
  <c r="F32" i="45"/>
  <c r="F30" i="45"/>
  <c r="F28" i="45"/>
  <c r="F26" i="45"/>
  <c r="F25" i="45"/>
  <c r="J18" i="45"/>
  <c r="F83" i="45"/>
  <c r="F412" i="43"/>
  <c r="F411" i="43"/>
  <c r="J411" i="43"/>
  <c r="F410" i="43"/>
  <c r="I410" i="43"/>
  <c r="F409" i="43"/>
  <c r="G409" i="43"/>
  <c r="F408" i="43"/>
  <c r="F407" i="43"/>
  <c r="I407" i="43"/>
  <c r="F406" i="43"/>
  <c r="H406" i="43"/>
  <c r="F405" i="43"/>
  <c r="F404" i="43"/>
  <c r="I404" i="43"/>
  <c r="F403" i="43"/>
  <c r="F402" i="43"/>
  <c r="J402" i="43"/>
  <c r="F401" i="43"/>
  <c r="F400" i="43"/>
  <c r="F399" i="43"/>
  <c r="G399" i="43"/>
  <c r="F398" i="43"/>
  <c r="G398" i="43"/>
  <c r="F397" i="43"/>
  <c r="F396" i="43"/>
  <c r="F395" i="43"/>
  <c r="F394" i="43"/>
  <c r="H394" i="43"/>
  <c r="F393" i="43"/>
  <c r="F392" i="43"/>
  <c r="F391" i="43"/>
  <c r="F390" i="43"/>
  <c r="G390" i="43"/>
  <c r="F389" i="43"/>
  <c r="F388" i="43"/>
  <c r="F387" i="43"/>
  <c r="F386" i="43"/>
  <c r="H386" i="43"/>
  <c r="F385" i="43"/>
  <c r="F384" i="43"/>
  <c r="H384" i="43"/>
  <c r="F383" i="43"/>
  <c r="I383" i="43"/>
  <c r="F382" i="43"/>
  <c r="G382" i="43"/>
  <c r="F381" i="43"/>
  <c r="I381" i="43"/>
  <c r="F380" i="43"/>
  <c r="J380" i="43"/>
  <c r="F379" i="43"/>
  <c r="J379" i="43"/>
  <c r="F378" i="43"/>
  <c r="J378" i="43"/>
  <c r="F377" i="43"/>
  <c r="F376" i="43"/>
  <c r="H376" i="43"/>
  <c r="F375" i="43"/>
  <c r="I375" i="43"/>
  <c r="F374" i="43"/>
  <c r="F373" i="43"/>
  <c r="F372" i="43"/>
  <c r="H372" i="43"/>
  <c r="F371" i="43"/>
  <c r="I371" i="43"/>
  <c r="F370" i="43"/>
  <c r="F369" i="43"/>
  <c r="J369" i="43"/>
  <c r="F368" i="43"/>
  <c r="F367" i="43"/>
  <c r="J367" i="43"/>
  <c r="F366" i="43"/>
  <c r="F365" i="43"/>
  <c r="F364" i="43"/>
  <c r="I364" i="43"/>
  <c r="F363" i="43"/>
  <c r="G363" i="43"/>
  <c r="F362" i="43"/>
  <c r="G362" i="43"/>
  <c r="F361" i="43"/>
  <c r="F360" i="43"/>
  <c r="F359" i="43"/>
  <c r="I359" i="43"/>
  <c r="F358" i="43"/>
  <c r="I358" i="43"/>
  <c r="F357" i="43"/>
  <c r="F356" i="43"/>
  <c r="F355" i="43"/>
  <c r="H355" i="43"/>
  <c r="F354" i="43"/>
  <c r="I354" i="43"/>
  <c r="F353" i="43"/>
  <c r="G353" i="43"/>
  <c r="F352" i="43"/>
  <c r="F351" i="43"/>
  <c r="F350" i="43"/>
  <c r="F349" i="43"/>
  <c r="I349" i="43"/>
  <c r="F348" i="43"/>
  <c r="F347" i="43"/>
  <c r="J347" i="43"/>
  <c r="F346" i="43"/>
  <c r="J346" i="43"/>
  <c r="F345" i="43"/>
  <c r="F344" i="43"/>
  <c r="F343" i="43"/>
  <c r="F342" i="43"/>
  <c r="J342" i="43"/>
  <c r="F341" i="43"/>
  <c r="J341" i="43"/>
  <c r="F340" i="43"/>
  <c r="H340" i="43"/>
  <c r="F339" i="43"/>
  <c r="I339" i="43"/>
  <c r="F338" i="43"/>
  <c r="J338" i="43"/>
  <c r="F337" i="43"/>
  <c r="G337" i="43"/>
  <c r="F336" i="43"/>
  <c r="F335" i="43"/>
  <c r="J335" i="43"/>
  <c r="F334" i="43"/>
  <c r="H334" i="43"/>
  <c r="F333" i="43"/>
  <c r="F332" i="43"/>
  <c r="F331" i="43"/>
  <c r="F330" i="43"/>
  <c r="J330" i="43"/>
  <c r="F329" i="43"/>
  <c r="F328" i="43"/>
  <c r="F327" i="43"/>
  <c r="F326" i="43"/>
  <c r="G326" i="43"/>
  <c r="F325" i="43"/>
  <c r="F324" i="43"/>
  <c r="J324" i="43"/>
  <c r="F323" i="43"/>
  <c r="G323" i="43"/>
  <c r="F322" i="43"/>
  <c r="F321" i="43"/>
  <c r="F320" i="43"/>
  <c r="H320" i="43"/>
  <c r="F319" i="43"/>
  <c r="H319" i="43"/>
  <c r="F318" i="43"/>
  <c r="G318" i="43"/>
  <c r="F317" i="43"/>
  <c r="I317" i="43"/>
  <c r="F316" i="43"/>
  <c r="J316" i="43"/>
  <c r="F315" i="43"/>
  <c r="J315" i="43"/>
  <c r="F314" i="43"/>
  <c r="F313" i="43"/>
  <c r="F312" i="43"/>
  <c r="F311" i="43"/>
  <c r="F310" i="43"/>
  <c r="G310" i="43"/>
  <c r="F309" i="43"/>
  <c r="J309" i="43"/>
  <c r="F308" i="43"/>
  <c r="F307" i="43"/>
  <c r="G307" i="43"/>
  <c r="F306" i="43"/>
  <c r="J306" i="43"/>
  <c r="F305" i="43"/>
  <c r="F304" i="43"/>
  <c r="H304" i="43"/>
  <c r="F303" i="43"/>
  <c r="F302" i="43"/>
  <c r="I302" i="43"/>
  <c r="F301" i="43"/>
  <c r="F300" i="43"/>
  <c r="H300" i="43"/>
  <c r="F299" i="43"/>
  <c r="G299" i="43"/>
  <c r="F298" i="43"/>
  <c r="F297" i="43"/>
  <c r="F296" i="43"/>
  <c r="F295" i="43"/>
  <c r="I295" i="43"/>
  <c r="F294" i="43"/>
  <c r="G294" i="43"/>
  <c r="F293" i="43"/>
  <c r="H293" i="43"/>
  <c r="F292" i="43"/>
  <c r="F291" i="43"/>
  <c r="G291" i="43"/>
  <c r="F290" i="43"/>
  <c r="J290" i="43"/>
  <c r="F289" i="43"/>
  <c r="F288" i="43"/>
  <c r="H288" i="43"/>
  <c r="F287" i="43"/>
  <c r="G287" i="43"/>
  <c r="F286" i="43"/>
  <c r="G286" i="43"/>
  <c r="F285" i="43"/>
  <c r="I285" i="43"/>
  <c r="F284" i="43"/>
  <c r="J284" i="43"/>
  <c r="F283" i="43"/>
  <c r="F282" i="43"/>
  <c r="I282" i="43"/>
  <c r="F281" i="43"/>
  <c r="I281" i="43"/>
  <c r="F280" i="43"/>
  <c r="F279" i="43"/>
  <c r="F278" i="43"/>
  <c r="I278" i="43"/>
  <c r="F277" i="43"/>
  <c r="H277" i="43"/>
  <c r="F276" i="43"/>
  <c r="F275" i="43"/>
  <c r="G275" i="43"/>
  <c r="F274" i="43"/>
  <c r="F273" i="43"/>
  <c r="G273" i="43"/>
  <c r="F272" i="43"/>
  <c r="H272" i="43"/>
  <c r="F271" i="43"/>
  <c r="J271" i="43"/>
  <c r="F270" i="43"/>
  <c r="H270" i="43"/>
  <c r="F269" i="43"/>
  <c r="F268" i="43"/>
  <c r="F267" i="43"/>
  <c r="F266" i="43"/>
  <c r="I266" i="43"/>
  <c r="F265" i="43"/>
  <c r="J265" i="43"/>
  <c r="F264" i="43"/>
  <c r="F263" i="43"/>
  <c r="H263" i="43"/>
  <c r="F262" i="43"/>
  <c r="J262" i="43"/>
  <c r="F261" i="43"/>
  <c r="F260" i="43"/>
  <c r="H260" i="43"/>
  <c r="F259" i="43"/>
  <c r="F258" i="43"/>
  <c r="H258" i="43"/>
  <c r="F257" i="43"/>
  <c r="J257" i="43"/>
  <c r="F256" i="43"/>
  <c r="F255" i="43"/>
  <c r="F254" i="43"/>
  <c r="J254" i="43"/>
  <c r="F253" i="43"/>
  <c r="I253" i="43"/>
  <c r="F252" i="43"/>
  <c r="J252" i="43"/>
  <c r="F251" i="43"/>
  <c r="H251" i="43"/>
  <c r="F250" i="43"/>
  <c r="H250" i="43"/>
  <c r="F249" i="43"/>
  <c r="I249" i="43"/>
  <c r="F248" i="43"/>
  <c r="F247" i="43"/>
  <c r="J247" i="43"/>
  <c r="F246" i="43"/>
  <c r="G246" i="43"/>
  <c r="F245" i="43"/>
  <c r="J245" i="43"/>
  <c r="F244" i="43"/>
  <c r="J244" i="43"/>
  <c r="F243" i="43"/>
  <c r="F242" i="43"/>
  <c r="F241" i="43"/>
  <c r="J241" i="43"/>
  <c r="F240" i="43"/>
  <c r="H240" i="43"/>
  <c r="F239" i="43"/>
  <c r="F238" i="43"/>
  <c r="I238" i="43"/>
  <c r="F237" i="43"/>
  <c r="F236" i="43"/>
  <c r="H236" i="43"/>
  <c r="F235" i="43"/>
  <c r="H235" i="43"/>
  <c r="F234" i="43"/>
  <c r="J234" i="43"/>
  <c r="F233" i="43"/>
  <c r="F232" i="43"/>
  <c r="F231" i="43"/>
  <c r="J231" i="43"/>
  <c r="F230" i="43"/>
  <c r="J230" i="43"/>
  <c r="F229" i="43"/>
  <c r="G229" i="43"/>
  <c r="F228" i="43"/>
  <c r="F227" i="43"/>
  <c r="I227" i="43"/>
  <c r="F226" i="43"/>
  <c r="F225" i="43"/>
  <c r="J225" i="43"/>
  <c r="F224" i="43"/>
  <c r="F223" i="43"/>
  <c r="F222" i="43"/>
  <c r="J222" i="43"/>
  <c r="F221" i="43"/>
  <c r="F220" i="43"/>
  <c r="J220" i="43"/>
  <c r="F219" i="43"/>
  <c r="G219" i="43"/>
  <c r="F218" i="43"/>
  <c r="F217" i="43"/>
  <c r="F216" i="43"/>
  <c r="F215" i="43"/>
  <c r="I215" i="43"/>
  <c r="F214" i="43"/>
  <c r="F213" i="43"/>
  <c r="J213" i="43"/>
  <c r="F212" i="43"/>
  <c r="J212" i="43"/>
  <c r="F211" i="43"/>
  <c r="F210" i="43"/>
  <c r="F209" i="43"/>
  <c r="I209" i="43"/>
  <c r="F208" i="43"/>
  <c r="H208" i="43"/>
  <c r="F207" i="43"/>
  <c r="F206" i="43"/>
  <c r="G206" i="43"/>
  <c r="F205" i="43"/>
  <c r="F204" i="43"/>
  <c r="J204" i="43"/>
  <c r="F203" i="43"/>
  <c r="F202" i="43"/>
  <c r="G202" i="43"/>
  <c r="F201" i="43"/>
  <c r="F200" i="43"/>
  <c r="J200" i="43"/>
  <c r="F199" i="43"/>
  <c r="F198" i="43"/>
  <c r="F197" i="43"/>
  <c r="F196" i="43"/>
  <c r="I196" i="43"/>
  <c r="F195" i="43"/>
  <c r="F194" i="43"/>
  <c r="F193" i="43"/>
  <c r="F192" i="43"/>
  <c r="F191" i="43"/>
  <c r="F190" i="43"/>
  <c r="G190" i="43"/>
  <c r="F189" i="43"/>
  <c r="G189" i="43"/>
  <c r="F188" i="43"/>
  <c r="J188" i="43"/>
  <c r="F187" i="43"/>
  <c r="J187" i="43"/>
  <c r="F186" i="43"/>
  <c r="G186" i="43"/>
  <c r="F185" i="43"/>
  <c r="F184" i="43"/>
  <c r="I184" i="43"/>
  <c r="F183" i="43"/>
  <c r="F182" i="43"/>
  <c r="G182" i="43"/>
  <c r="F181" i="43"/>
  <c r="F180" i="43"/>
  <c r="I180" i="43"/>
  <c r="F179" i="43"/>
  <c r="F178" i="43"/>
  <c r="J178" i="43"/>
  <c r="F177" i="43"/>
  <c r="F176" i="43"/>
  <c r="J176" i="43"/>
  <c r="F175" i="43"/>
  <c r="F174" i="43"/>
  <c r="F173" i="43"/>
  <c r="F172" i="43"/>
  <c r="J172" i="43"/>
  <c r="F171" i="43"/>
  <c r="J171" i="43"/>
  <c r="F170" i="43"/>
  <c r="G170" i="43"/>
  <c r="F169" i="43"/>
  <c r="J169" i="43"/>
  <c r="F168" i="43"/>
  <c r="F167" i="43"/>
  <c r="J167" i="43"/>
  <c r="F166" i="43"/>
  <c r="J166" i="43"/>
  <c r="F165" i="43"/>
  <c r="F164" i="43"/>
  <c r="F163" i="43"/>
  <c r="F162" i="43"/>
  <c r="J162" i="43"/>
  <c r="F161" i="43"/>
  <c r="F160" i="43"/>
  <c r="F159" i="43"/>
  <c r="F158" i="43"/>
  <c r="F157" i="43"/>
  <c r="G157" i="43"/>
  <c r="F156" i="43"/>
  <c r="I156" i="43"/>
  <c r="F155" i="43"/>
  <c r="F154" i="43"/>
  <c r="F153" i="43"/>
  <c r="H153" i="43"/>
  <c r="F152" i="43"/>
  <c r="F151" i="43"/>
  <c r="J151" i="43"/>
  <c r="F150" i="43"/>
  <c r="F149" i="43"/>
  <c r="F148" i="43"/>
  <c r="F147" i="43"/>
  <c r="F146" i="43"/>
  <c r="F145" i="43"/>
  <c r="J145" i="43"/>
  <c r="F144" i="43"/>
  <c r="I144" i="43"/>
  <c r="F143" i="43"/>
  <c r="I143" i="43"/>
  <c r="F142" i="43"/>
  <c r="F141" i="43"/>
  <c r="J141" i="43"/>
  <c r="F140" i="43"/>
  <c r="F139" i="43"/>
  <c r="F138" i="43"/>
  <c r="F137" i="43"/>
  <c r="I137" i="43"/>
  <c r="F136" i="43"/>
  <c r="F135" i="43"/>
  <c r="F134" i="43"/>
  <c r="J134" i="43"/>
  <c r="F133" i="43"/>
  <c r="H133" i="43"/>
  <c r="F132" i="43"/>
  <c r="F131" i="43"/>
  <c r="F130" i="43"/>
  <c r="I130" i="43"/>
  <c r="F129" i="43"/>
  <c r="I129" i="43"/>
  <c r="F128" i="43"/>
  <c r="F127" i="43"/>
  <c r="H127" i="43"/>
  <c r="F126" i="43"/>
  <c r="J126" i="43"/>
  <c r="F125" i="43"/>
  <c r="J125" i="43"/>
  <c r="F124" i="43"/>
  <c r="F123" i="43"/>
  <c r="H123" i="43"/>
  <c r="F122" i="43"/>
  <c r="G122" i="43"/>
  <c r="F121" i="43"/>
  <c r="G121" i="43"/>
  <c r="F120" i="43"/>
  <c r="G120" i="43"/>
  <c r="F119" i="43"/>
  <c r="G119" i="43"/>
  <c r="F118" i="43"/>
  <c r="H118" i="43"/>
  <c r="F117" i="43"/>
  <c r="I117" i="43"/>
  <c r="F116" i="43"/>
  <c r="G116" i="43"/>
  <c r="F115" i="43"/>
  <c r="F114" i="43"/>
  <c r="F113" i="43"/>
  <c r="I113" i="43"/>
  <c r="F112" i="43"/>
  <c r="H112" i="43"/>
  <c r="F111" i="43"/>
  <c r="J111" i="43"/>
  <c r="F110" i="43"/>
  <c r="F109" i="43"/>
  <c r="I109" i="43"/>
  <c r="F108" i="43"/>
  <c r="I108" i="43"/>
  <c r="F107" i="43"/>
  <c r="H107" i="43"/>
  <c r="F106" i="43"/>
  <c r="F105" i="43"/>
  <c r="I105" i="43"/>
  <c r="F104" i="43"/>
  <c r="F103" i="43"/>
  <c r="I103" i="43"/>
  <c r="F102" i="43"/>
  <c r="F101" i="43"/>
  <c r="F100" i="43"/>
  <c r="I100" i="43"/>
  <c r="F99" i="43"/>
  <c r="F98" i="43"/>
  <c r="F97" i="43"/>
  <c r="I97" i="43"/>
  <c r="F96" i="43"/>
  <c r="F95" i="43"/>
  <c r="F94" i="43"/>
  <c r="F93" i="43"/>
  <c r="I93" i="43"/>
  <c r="F92" i="43"/>
  <c r="H92" i="43"/>
  <c r="J92" i="43"/>
  <c r="F91" i="43"/>
  <c r="J91" i="43"/>
  <c r="F90" i="43"/>
  <c r="H90" i="43"/>
  <c r="F89" i="43"/>
  <c r="I89" i="43"/>
  <c r="F88" i="43"/>
  <c r="F87" i="43"/>
  <c r="J18" i="43"/>
  <c r="F50" i="43"/>
  <c r="F60" i="43"/>
  <c r="F65" i="43"/>
  <c r="F70" i="43"/>
  <c r="F76" i="43"/>
  <c r="F81" i="43"/>
  <c r="F86" i="43"/>
  <c r="F56" i="43"/>
  <c r="F61" i="43"/>
  <c r="F66" i="43"/>
  <c r="F72" i="43"/>
  <c r="F77" i="43"/>
  <c r="F82" i="43"/>
  <c r="F57" i="43"/>
  <c r="F62" i="43"/>
  <c r="F68" i="43"/>
  <c r="F73" i="43"/>
  <c r="F78" i="43"/>
  <c r="F84" i="43"/>
  <c r="F58" i="43"/>
  <c r="F64" i="43"/>
  <c r="F69" i="43"/>
  <c r="F74" i="43"/>
  <c r="F80" i="43"/>
  <c r="F85" i="43"/>
  <c r="I160" i="43"/>
  <c r="F54" i="43"/>
  <c r="F29" i="43"/>
  <c r="F36" i="43"/>
  <c r="F42" i="43"/>
  <c r="H144" i="43"/>
  <c r="H393" i="43"/>
  <c r="F52" i="43"/>
  <c r="J339" i="43"/>
  <c r="I401" i="43"/>
  <c r="H129" i="43"/>
  <c r="G196" i="43"/>
  <c r="G204" i="43"/>
  <c r="H213" i="43"/>
  <c r="H301" i="43"/>
  <c r="H330" i="43"/>
  <c r="G128" i="43"/>
  <c r="G176" i="43"/>
  <c r="H197" i="43"/>
  <c r="H204" i="43"/>
  <c r="H242" i="43"/>
  <c r="G297" i="43"/>
  <c r="H329" i="43"/>
  <c r="I367" i="43"/>
  <c r="J371" i="43"/>
  <c r="G136" i="43"/>
  <c r="I204" i="43"/>
  <c r="I329" i="43"/>
  <c r="G397" i="43"/>
  <c r="I112" i="43"/>
  <c r="G162" i="43"/>
  <c r="F83" i="43"/>
  <c r="F49" i="43"/>
  <c r="F44" i="43"/>
  <c r="F38" i="43"/>
  <c r="F33" i="43"/>
  <c r="F28" i="43"/>
  <c r="F30" i="43"/>
  <c r="F37" i="43"/>
  <c r="F45" i="43"/>
  <c r="G102" i="43"/>
  <c r="J124" i="43"/>
  <c r="G181" i="43"/>
  <c r="J190" i="43"/>
  <c r="H231" i="43"/>
  <c r="I353" i="43"/>
  <c r="J404" i="43"/>
  <c r="H404" i="43"/>
  <c r="F25" i="43"/>
  <c r="F32" i="43"/>
  <c r="F40" i="43"/>
  <c r="F46" i="43"/>
  <c r="F53" i="43"/>
  <c r="H108" i="43"/>
  <c r="I119" i="43"/>
  <c r="I167" i="43"/>
  <c r="G180" i="43"/>
  <c r="J189" i="43"/>
  <c r="G252" i="43"/>
  <c r="H254" i="43"/>
  <c r="I263" i="43"/>
  <c r="I267" i="43"/>
  <c r="F26" i="43"/>
  <c r="F34" i="43"/>
  <c r="F41" i="43"/>
  <c r="F48" i="43"/>
  <c r="G107" i="43"/>
  <c r="I107" i="43"/>
  <c r="I118" i="43"/>
  <c r="J128" i="43"/>
  <c r="J144" i="43"/>
  <c r="G144" i="43"/>
  <c r="J152" i="43"/>
  <c r="H180" i="43"/>
  <c r="G188" i="43"/>
  <c r="H189" i="43"/>
  <c r="G213" i="43"/>
  <c r="I245" i="43"/>
  <c r="G267" i="43"/>
  <c r="G301" i="43"/>
  <c r="J362" i="43"/>
  <c r="J96" i="43"/>
  <c r="H96" i="43"/>
  <c r="J133" i="43"/>
  <c r="I148" i="43"/>
  <c r="J156" i="43"/>
  <c r="H156" i="43"/>
  <c r="J173" i="43"/>
  <c r="H173" i="43"/>
  <c r="G266" i="43"/>
  <c r="J313" i="43"/>
  <c r="H313" i="43"/>
  <c r="I313" i="43"/>
  <c r="I336" i="43"/>
  <c r="J403" i="43"/>
  <c r="I403" i="43"/>
  <c r="G96" i="43"/>
  <c r="J104" i="43"/>
  <c r="H104" i="43"/>
  <c r="G104" i="43"/>
  <c r="G106" i="43"/>
  <c r="G141" i="43"/>
  <c r="G148" i="43"/>
  <c r="G156" i="43"/>
  <c r="J163" i="43"/>
  <c r="I163" i="43"/>
  <c r="G173" i="43"/>
  <c r="J185" i="43"/>
  <c r="G185" i="43"/>
  <c r="H185" i="43"/>
  <c r="G200" i="43"/>
  <c r="I211" i="43"/>
  <c r="J223" i="43"/>
  <c r="G223" i="43"/>
  <c r="I223" i="43"/>
  <c r="G238" i="43"/>
  <c r="H238" i="43"/>
  <c r="H246" i="43"/>
  <c r="I246" i="43"/>
  <c r="I277" i="43"/>
  <c r="I309" i="43"/>
  <c r="H309" i="43"/>
  <c r="G313" i="43"/>
  <c r="G325" i="43"/>
  <c r="G345" i="43"/>
  <c r="I345" i="43"/>
  <c r="J408" i="43"/>
  <c r="I408" i="43"/>
  <c r="H408" i="43"/>
  <c r="J88" i="43"/>
  <c r="H88" i="43"/>
  <c r="H101" i="43"/>
  <c r="I104" i="43"/>
  <c r="G110" i="43"/>
  <c r="G117" i="43"/>
  <c r="J132" i="43"/>
  <c r="I132" i="43"/>
  <c r="H132" i="43"/>
  <c r="J140" i="43"/>
  <c r="I140" i="43"/>
  <c r="H140" i="43"/>
  <c r="I151" i="43"/>
  <c r="H200" i="43"/>
  <c r="H223" i="43"/>
  <c r="G256" i="43"/>
  <c r="J256" i="43"/>
  <c r="G309" i="43"/>
  <c r="J333" i="43"/>
  <c r="H333" i="43"/>
  <c r="I333" i="43"/>
  <c r="G333" i="43"/>
  <c r="J356" i="43"/>
  <c r="I356" i="43"/>
  <c r="H356" i="43"/>
  <c r="J385" i="43"/>
  <c r="G385" i="43"/>
  <c r="I385" i="43"/>
  <c r="H385" i="43"/>
  <c r="J400" i="43"/>
  <c r="I400" i="43"/>
  <c r="H400" i="43"/>
  <c r="G88" i="43"/>
  <c r="G95" i="43"/>
  <c r="H105" i="43"/>
  <c r="G105" i="43"/>
  <c r="J116" i="43"/>
  <c r="I116" i="43"/>
  <c r="H116" i="43"/>
  <c r="H122" i="43"/>
  <c r="I122" i="43"/>
  <c r="G132" i="43"/>
  <c r="G140" i="43"/>
  <c r="J147" i="43"/>
  <c r="I147" i="43"/>
  <c r="G194" i="43"/>
  <c r="J219" i="43"/>
  <c r="H219" i="43"/>
  <c r="I219" i="43"/>
  <c r="I241" i="43"/>
  <c r="I250" i="43"/>
  <c r="J352" i="43"/>
  <c r="H352" i="43"/>
  <c r="I352" i="43"/>
  <c r="J377" i="43"/>
  <c r="G377" i="43"/>
  <c r="I377" i="43"/>
  <c r="H377" i="43"/>
  <c r="J389" i="43"/>
  <c r="H389" i="43"/>
  <c r="G184" i="43"/>
  <c r="J193" i="43"/>
  <c r="G193" i="43"/>
  <c r="J317" i="43"/>
  <c r="H317" i="43"/>
  <c r="J349" i="43"/>
  <c r="G349" i="43"/>
  <c r="J381" i="43"/>
  <c r="G381" i="43"/>
  <c r="G389" i="43"/>
  <c r="J412" i="43"/>
  <c r="I412" i="43"/>
  <c r="G92" i="43"/>
  <c r="G108" i="43"/>
  <c r="H119" i="43"/>
  <c r="G124" i="43"/>
  <c r="G125" i="43"/>
  <c r="G178" i="43"/>
  <c r="G192" i="43"/>
  <c r="H193" i="43"/>
  <c r="G201" i="43"/>
  <c r="H243" i="43"/>
  <c r="J263" i="43"/>
  <c r="G263" i="43"/>
  <c r="J285" i="43"/>
  <c r="G317" i="43"/>
  <c r="J337" i="43"/>
  <c r="H337" i="43"/>
  <c r="H349" i="43"/>
  <c r="J353" i="43"/>
  <c r="H353" i="43"/>
  <c r="H369" i="43"/>
  <c r="H381" i="43"/>
  <c r="I389" i="43"/>
  <c r="H392" i="43"/>
  <c r="H405" i="43"/>
  <c r="H412" i="43"/>
  <c r="J89" i="43"/>
  <c r="H155" i="43"/>
  <c r="G155" i="43"/>
  <c r="G89" i="43"/>
  <c r="H143" i="43"/>
  <c r="H159" i="43"/>
  <c r="G159" i="43"/>
  <c r="G166" i="43"/>
  <c r="H175" i="43"/>
  <c r="I216" i="43"/>
  <c r="H216" i="43"/>
  <c r="G216" i="43"/>
  <c r="H237" i="43"/>
  <c r="G237" i="43"/>
  <c r="J237" i="43"/>
  <c r="I237" i="43"/>
  <c r="I300" i="43"/>
  <c r="J322" i="43"/>
  <c r="H322" i="43"/>
  <c r="F27" i="43"/>
  <c r="F31" i="43"/>
  <c r="F35" i="43"/>
  <c r="F39" i="43"/>
  <c r="F43" i="43"/>
  <c r="F47" i="43"/>
  <c r="F51" i="43"/>
  <c r="F55" i="43"/>
  <c r="F59" i="43"/>
  <c r="F63" i="43"/>
  <c r="F67" i="43"/>
  <c r="F71" i="43"/>
  <c r="F75" i="43"/>
  <c r="F79" i="43"/>
  <c r="I88" i="43"/>
  <c r="H89" i="43"/>
  <c r="I92" i="43"/>
  <c r="H93" i="43"/>
  <c r="I96" i="43"/>
  <c r="J97" i="43"/>
  <c r="J105" i="43"/>
  <c r="J107" i="43"/>
  <c r="J110" i="43"/>
  <c r="J113" i="43"/>
  <c r="J118" i="43"/>
  <c r="J119" i="43"/>
  <c r="J122" i="43"/>
  <c r="H131" i="43"/>
  <c r="H147" i="43"/>
  <c r="G147" i="43"/>
  <c r="J155" i="43"/>
  <c r="I158" i="43"/>
  <c r="H158" i="43"/>
  <c r="I159" i="43"/>
  <c r="H163" i="43"/>
  <c r="G163" i="43"/>
  <c r="I174" i="43"/>
  <c r="G179" i="43"/>
  <c r="I190" i="43"/>
  <c r="H190" i="43"/>
  <c r="G195" i="43"/>
  <c r="J216" i="43"/>
  <c r="J229" i="43"/>
  <c r="I248" i="43"/>
  <c r="H248" i="43"/>
  <c r="J248" i="43"/>
  <c r="G248" i="43"/>
  <c r="G276" i="43"/>
  <c r="J276" i="43"/>
  <c r="I276" i="43"/>
  <c r="H276" i="43"/>
  <c r="I298" i="43"/>
  <c r="J298" i="43"/>
  <c r="H298" i="43"/>
  <c r="G298" i="43"/>
  <c r="G319" i="43"/>
  <c r="H366" i="43"/>
  <c r="I366" i="43"/>
  <c r="J366" i="43"/>
  <c r="G366" i="43"/>
  <c r="J93" i="43"/>
  <c r="I166" i="43"/>
  <c r="H166" i="43"/>
  <c r="H171" i="43"/>
  <c r="G171" i="43"/>
  <c r="I214" i="43"/>
  <c r="I260" i="43"/>
  <c r="I264" i="43"/>
  <c r="H264" i="43"/>
  <c r="J264" i="43"/>
  <c r="G264" i="43"/>
  <c r="J282" i="43"/>
  <c r="G282" i="43"/>
  <c r="G292" i="43"/>
  <c r="J292" i="43"/>
  <c r="I292" i="43"/>
  <c r="H292" i="43"/>
  <c r="H303" i="43"/>
  <c r="J303" i="43"/>
  <c r="I303" i="43"/>
  <c r="G303" i="43"/>
  <c r="I314" i="43"/>
  <c r="J314" i="43"/>
  <c r="H314" i="43"/>
  <c r="G314" i="43"/>
  <c r="H374" i="43"/>
  <c r="I374" i="43"/>
  <c r="G374" i="43"/>
  <c r="J374" i="43"/>
  <c r="G93" i="43"/>
  <c r="I155" i="43"/>
  <c r="I170" i="43"/>
  <c r="H170" i="43"/>
  <c r="I171" i="43"/>
  <c r="I186" i="43"/>
  <c r="H186" i="43"/>
  <c r="I202" i="43"/>
  <c r="G218" i="43"/>
  <c r="G234" i="43"/>
  <c r="I234" i="43"/>
  <c r="H234" i="43"/>
  <c r="H269" i="43"/>
  <c r="H279" i="43"/>
  <c r="J279" i="43"/>
  <c r="I279" i="43"/>
  <c r="G279" i="43"/>
  <c r="I370" i="43"/>
  <c r="I390" i="43"/>
  <c r="J143" i="43"/>
  <c r="H151" i="43"/>
  <c r="G151" i="43"/>
  <c r="J159" i="43"/>
  <c r="I162" i="43"/>
  <c r="H162" i="43"/>
  <c r="H167" i="43"/>
  <c r="G167" i="43"/>
  <c r="J170" i="43"/>
  <c r="J175" i="43"/>
  <c r="I178" i="43"/>
  <c r="H183" i="43"/>
  <c r="J186" i="43"/>
  <c r="J191" i="43"/>
  <c r="J207" i="43"/>
  <c r="J215" i="43"/>
  <c r="H215" i="43"/>
  <c r="G215" i="43"/>
  <c r="I220" i="43"/>
  <c r="H220" i="43"/>
  <c r="G220" i="43"/>
  <c r="G222" i="43"/>
  <c r="I222" i="43"/>
  <c r="H222" i="43"/>
  <c r="H225" i="43"/>
  <c r="I225" i="43"/>
  <c r="G225" i="43"/>
  <c r="G230" i="43"/>
  <c r="I230" i="43"/>
  <c r="H230" i="43"/>
  <c r="H233" i="43"/>
  <c r="H249" i="43"/>
  <c r="G249" i="43"/>
  <c r="J249" i="43"/>
  <c r="H253" i="43"/>
  <c r="J253" i="43"/>
  <c r="H274" i="43"/>
  <c r="I284" i="43"/>
  <c r="I306" i="43"/>
  <c r="H306" i="43"/>
  <c r="I316" i="43"/>
  <c r="I173" i="43"/>
  <c r="I177" i="43"/>
  <c r="I181" i="43"/>
  <c r="I185" i="43"/>
  <c r="I189" i="43"/>
  <c r="I193" i="43"/>
  <c r="I197" i="43"/>
  <c r="I213" i="43"/>
  <c r="G241" i="43"/>
  <c r="I252" i="43"/>
  <c r="H252" i="43"/>
  <c r="H257" i="43"/>
  <c r="I268" i="43"/>
  <c r="H268" i="43"/>
  <c r="G332" i="43"/>
  <c r="H332" i="43"/>
  <c r="J332" i="43"/>
  <c r="I332" i="43"/>
  <c r="G342" i="43"/>
  <c r="J382" i="43"/>
  <c r="G386" i="43"/>
  <c r="H245" i="43"/>
  <c r="I256" i="43"/>
  <c r="H256" i="43"/>
  <c r="H261" i="43"/>
  <c r="G272" i="43"/>
  <c r="J272" i="43"/>
  <c r="I272" i="43"/>
  <c r="H275" i="43"/>
  <c r="J275" i="43"/>
  <c r="I275" i="43"/>
  <c r="H283" i="43"/>
  <c r="J286" i="43"/>
  <c r="G288" i="43"/>
  <c r="J288" i="43"/>
  <c r="I288" i="43"/>
  <c r="H291" i="43"/>
  <c r="J291" i="43"/>
  <c r="I291" i="43"/>
  <c r="I294" i="43"/>
  <c r="J294" i="43"/>
  <c r="H294" i="43"/>
  <c r="I296" i="43"/>
  <c r="H299" i="43"/>
  <c r="J299" i="43"/>
  <c r="I299" i="43"/>
  <c r="J304" i="43"/>
  <c r="H307" i="43"/>
  <c r="J307" i="43"/>
  <c r="I307" i="43"/>
  <c r="I310" i="43"/>
  <c r="J310" i="43"/>
  <c r="H310" i="43"/>
  <c r="J312" i="43"/>
  <c r="I315" i="43"/>
  <c r="I318" i="43"/>
  <c r="J318" i="43"/>
  <c r="H318" i="43"/>
  <c r="G320" i="43"/>
  <c r="J320" i="43"/>
  <c r="I320" i="43"/>
  <c r="H323" i="43"/>
  <c r="I326" i="43"/>
  <c r="J326" i="43"/>
  <c r="H326" i="43"/>
  <c r="I334" i="43"/>
  <c r="G334" i="43"/>
  <c r="J334" i="43"/>
  <c r="I398" i="43"/>
  <c r="J238" i="43"/>
  <c r="J242" i="43"/>
  <c r="J246" i="43"/>
  <c r="J258" i="43"/>
  <c r="I330" i="43"/>
  <c r="G330" i="43"/>
  <c r="G339" i="43"/>
  <c r="H339" i="43"/>
  <c r="H343" i="43"/>
  <c r="G347" i="43"/>
  <c r="H347" i="43"/>
  <c r="I347" i="43"/>
  <c r="G359" i="43"/>
  <c r="H359" i="43"/>
  <c r="J359" i="43"/>
  <c r="G371" i="43"/>
  <c r="H371" i="43"/>
  <c r="G375" i="43"/>
  <c r="J375" i="43"/>
  <c r="H379" i="43"/>
  <c r="G391" i="43"/>
  <c r="G403" i="43"/>
  <c r="H403" i="43"/>
  <c r="G407" i="43"/>
  <c r="H407" i="43"/>
  <c r="J407" i="43"/>
  <c r="G411" i="43"/>
  <c r="H411" i="43"/>
  <c r="I411" i="43"/>
  <c r="G351" i="43"/>
  <c r="H362" i="43"/>
  <c r="I362" i="43"/>
  <c r="G367" i="43"/>
  <c r="H367" i="43"/>
  <c r="H378" i="43"/>
  <c r="G383" i="43"/>
  <c r="G336" i="43"/>
  <c r="G352" i="43"/>
  <c r="G356" i="43"/>
  <c r="G360" i="43"/>
  <c r="G368" i="43"/>
  <c r="G380" i="43"/>
  <c r="G396" i="43"/>
  <c r="G400" i="43"/>
  <c r="G404" i="43"/>
  <c r="G408" i="43"/>
  <c r="G412" i="43"/>
  <c r="J18" i="40"/>
  <c r="F55" i="40"/>
  <c r="F391" i="40"/>
  <c r="F392" i="40"/>
  <c r="I392" i="40"/>
  <c r="F393" i="40"/>
  <c r="H393" i="40"/>
  <c r="F394" i="40"/>
  <c r="F395" i="40"/>
  <c r="H395" i="40"/>
  <c r="F396" i="40"/>
  <c r="J396" i="40"/>
  <c r="F397" i="40"/>
  <c r="F398" i="40"/>
  <c r="I398" i="40"/>
  <c r="F399" i="40"/>
  <c r="I399" i="40"/>
  <c r="F400" i="40"/>
  <c r="F401" i="40"/>
  <c r="J401" i="40"/>
  <c r="F402" i="40"/>
  <c r="F403" i="40"/>
  <c r="I403" i="40"/>
  <c r="F404" i="40"/>
  <c r="H404" i="40"/>
  <c r="F405" i="40"/>
  <c r="G405" i="40"/>
  <c r="F406" i="40"/>
  <c r="H406" i="40"/>
  <c r="F407" i="40"/>
  <c r="I407" i="40"/>
  <c r="F408" i="40"/>
  <c r="F409" i="40"/>
  <c r="J409" i="40"/>
  <c r="F410" i="40"/>
  <c r="F411" i="40"/>
  <c r="I411" i="40"/>
  <c r="F412" i="40"/>
  <c r="F171" i="40"/>
  <c r="F172" i="40"/>
  <c r="G172" i="40"/>
  <c r="F173" i="40"/>
  <c r="F174" i="40"/>
  <c r="F175" i="40"/>
  <c r="F176" i="40"/>
  <c r="I176" i="40"/>
  <c r="F177" i="40"/>
  <c r="F178" i="40"/>
  <c r="H178" i="40"/>
  <c r="F179" i="40"/>
  <c r="G179" i="40"/>
  <c r="F180" i="40"/>
  <c r="H180" i="40"/>
  <c r="F181" i="40"/>
  <c r="F182" i="40"/>
  <c r="G182" i="40"/>
  <c r="F183" i="40"/>
  <c r="J183" i="40"/>
  <c r="F184" i="40"/>
  <c r="F185" i="40"/>
  <c r="F186" i="40"/>
  <c r="G186" i="40"/>
  <c r="F187" i="40"/>
  <c r="F188" i="40"/>
  <c r="F189" i="40"/>
  <c r="J189" i="40"/>
  <c r="F190" i="40"/>
  <c r="I190" i="40"/>
  <c r="F191" i="40"/>
  <c r="F192" i="40"/>
  <c r="F193" i="40"/>
  <c r="F194" i="40"/>
  <c r="G194" i="40"/>
  <c r="F195" i="40"/>
  <c r="F196" i="40"/>
  <c r="F197" i="40"/>
  <c r="H197" i="40"/>
  <c r="F198" i="40"/>
  <c r="J198" i="40"/>
  <c r="F199" i="40"/>
  <c r="I199" i="40"/>
  <c r="F200" i="40"/>
  <c r="H200" i="40"/>
  <c r="F201" i="40"/>
  <c r="G201" i="40"/>
  <c r="F202" i="40"/>
  <c r="H202" i="40"/>
  <c r="F203" i="40"/>
  <c r="J203" i="40"/>
  <c r="H203" i="40"/>
  <c r="F204" i="40"/>
  <c r="F205" i="40"/>
  <c r="F206" i="40"/>
  <c r="F207" i="40"/>
  <c r="J207" i="40"/>
  <c r="F208" i="40"/>
  <c r="F209" i="40"/>
  <c r="I209" i="40"/>
  <c r="F210" i="40"/>
  <c r="H210" i="40"/>
  <c r="F211" i="40"/>
  <c r="H211" i="40"/>
  <c r="F212" i="40"/>
  <c r="J212" i="40"/>
  <c r="F213" i="40"/>
  <c r="J213" i="40"/>
  <c r="F214" i="40"/>
  <c r="H214" i="40"/>
  <c r="F215" i="40"/>
  <c r="J215" i="40"/>
  <c r="F216" i="40"/>
  <c r="H216" i="40"/>
  <c r="F217" i="40"/>
  <c r="G217" i="40"/>
  <c r="F218" i="40"/>
  <c r="G218" i="40"/>
  <c r="F219" i="40"/>
  <c r="F220" i="40"/>
  <c r="F221" i="40"/>
  <c r="H221" i="40"/>
  <c r="F222" i="40"/>
  <c r="J222" i="40"/>
  <c r="F223" i="40"/>
  <c r="F224" i="40"/>
  <c r="J224" i="40"/>
  <c r="F225" i="40"/>
  <c r="H225" i="40"/>
  <c r="F226" i="40"/>
  <c r="F227" i="40"/>
  <c r="I227" i="40"/>
  <c r="F228" i="40"/>
  <c r="G228" i="40"/>
  <c r="F229" i="40"/>
  <c r="G229" i="40"/>
  <c r="J229" i="40"/>
  <c r="F230" i="40"/>
  <c r="F231" i="40"/>
  <c r="I231" i="40"/>
  <c r="F232" i="40"/>
  <c r="G232" i="40"/>
  <c r="F233" i="40"/>
  <c r="H233" i="40"/>
  <c r="F234" i="40"/>
  <c r="H234" i="40"/>
  <c r="F235" i="40"/>
  <c r="I235" i="40"/>
  <c r="F236" i="40"/>
  <c r="G236" i="40"/>
  <c r="F237" i="40"/>
  <c r="H237" i="40"/>
  <c r="F238" i="40"/>
  <c r="F239" i="40"/>
  <c r="I239" i="40"/>
  <c r="F240" i="40"/>
  <c r="F241" i="40"/>
  <c r="H241" i="40"/>
  <c r="F242" i="40"/>
  <c r="F243" i="40"/>
  <c r="F244" i="40"/>
  <c r="I244" i="40"/>
  <c r="F245" i="40"/>
  <c r="J245" i="40"/>
  <c r="F246" i="40"/>
  <c r="J246" i="40"/>
  <c r="F247" i="40"/>
  <c r="J247" i="40"/>
  <c r="F248" i="40"/>
  <c r="F249" i="40"/>
  <c r="F250" i="40"/>
  <c r="H250" i="40"/>
  <c r="F251" i="40"/>
  <c r="F252" i="40"/>
  <c r="I252" i="40"/>
  <c r="F253" i="40"/>
  <c r="F254" i="40"/>
  <c r="H254" i="40"/>
  <c r="F255" i="40"/>
  <c r="G255" i="40"/>
  <c r="F256" i="40"/>
  <c r="H256" i="40"/>
  <c r="F257" i="40"/>
  <c r="G257" i="40"/>
  <c r="F258" i="40"/>
  <c r="H258" i="40"/>
  <c r="F259" i="40"/>
  <c r="F260" i="40"/>
  <c r="J260" i="40"/>
  <c r="F261" i="40"/>
  <c r="H261" i="40"/>
  <c r="F262" i="40"/>
  <c r="H262" i="40"/>
  <c r="F263" i="40"/>
  <c r="J263" i="40"/>
  <c r="F264" i="40"/>
  <c r="G264" i="40"/>
  <c r="F265" i="40"/>
  <c r="I265" i="40"/>
  <c r="F266" i="40"/>
  <c r="F267" i="40"/>
  <c r="J267" i="40"/>
  <c r="F268" i="40"/>
  <c r="F269" i="40"/>
  <c r="H269" i="40"/>
  <c r="F270" i="40"/>
  <c r="J270" i="40"/>
  <c r="F271" i="40"/>
  <c r="G271" i="40"/>
  <c r="F272" i="40"/>
  <c r="H272" i="40"/>
  <c r="F273" i="40"/>
  <c r="I273" i="40"/>
  <c r="F274" i="40"/>
  <c r="I274" i="40"/>
  <c r="F275" i="40"/>
  <c r="H275" i="40"/>
  <c r="F276" i="40"/>
  <c r="F277" i="40"/>
  <c r="I277" i="40"/>
  <c r="F278" i="40"/>
  <c r="H278" i="40"/>
  <c r="F279" i="40"/>
  <c r="G279" i="40"/>
  <c r="F280" i="40"/>
  <c r="F281" i="40"/>
  <c r="F282" i="40"/>
  <c r="I282" i="40"/>
  <c r="F283" i="40"/>
  <c r="F284" i="40"/>
  <c r="I284" i="40"/>
  <c r="F285" i="40"/>
  <c r="I285" i="40"/>
  <c r="F286" i="40"/>
  <c r="G286" i="40"/>
  <c r="F287" i="40"/>
  <c r="I287" i="40"/>
  <c r="F288" i="40"/>
  <c r="I288" i="40"/>
  <c r="F289" i="40"/>
  <c r="J289" i="40"/>
  <c r="F290" i="40"/>
  <c r="J290" i="40"/>
  <c r="F291" i="40"/>
  <c r="I291" i="40"/>
  <c r="F292" i="40"/>
  <c r="F293" i="40"/>
  <c r="J293" i="40"/>
  <c r="F294" i="40"/>
  <c r="F295" i="40"/>
  <c r="I295" i="40"/>
  <c r="F296" i="40"/>
  <c r="F297" i="40"/>
  <c r="J297" i="40"/>
  <c r="F298" i="40"/>
  <c r="I298" i="40"/>
  <c r="F299" i="40"/>
  <c r="H299" i="40"/>
  <c r="F300" i="40"/>
  <c r="G300" i="40"/>
  <c r="F301" i="40"/>
  <c r="F302" i="40"/>
  <c r="I302" i="40"/>
  <c r="F303" i="40"/>
  <c r="H303" i="40"/>
  <c r="F304" i="40"/>
  <c r="F305" i="40"/>
  <c r="H305" i="40"/>
  <c r="F306" i="40"/>
  <c r="J306" i="40"/>
  <c r="F307" i="40"/>
  <c r="H307" i="40"/>
  <c r="F308" i="40"/>
  <c r="F309" i="40"/>
  <c r="F310" i="40"/>
  <c r="H310" i="40"/>
  <c r="F311" i="40"/>
  <c r="H311" i="40"/>
  <c r="F312" i="40"/>
  <c r="F313" i="40"/>
  <c r="I313" i="40"/>
  <c r="F314" i="40"/>
  <c r="F315" i="40"/>
  <c r="F316" i="40"/>
  <c r="G316" i="40"/>
  <c r="F317" i="40"/>
  <c r="F318" i="40"/>
  <c r="F319" i="40"/>
  <c r="H319" i="40"/>
  <c r="F320" i="40"/>
  <c r="H320" i="40"/>
  <c r="F321" i="40"/>
  <c r="I321" i="40"/>
  <c r="F322" i="40"/>
  <c r="J322" i="40"/>
  <c r="F323" i="40"/>
  <c r="I323" i="40"/>
  <c r="F324" i="40"/>
  <c r="I324" i="40"/>
  <c r="F325" i="40"/>
  <c r="I325" i="40"/>
  <c r="F326" i="40"/>
  <c r="J326" i="40"/>
  <c r="F327" i="40"/>
  <c r="F328" i="40"/>
  <c r="J328" i="40"/>
  <c r="F329" i="40"/>
  <c r="F330" i="40"/>
  <c r="F331" i="40"/>
  <c r="H331" i="40"/>
  <c r="F332" i="40"/>
  <c r="G332" i="40"/>
  <c r="F333" i="40"/>
  <c r="F334" i="40"/>
  <c r="I334" i="40"/>
  <c r="F335" i="40"/>
  <c r="J335" i="40"/>
  <c r="H335" i="40"/>
  <c r="F336" i="40"/>
  <c r="H336" i="40"/>
  <c r="F337" i="40"/>
  <c r="I337" i="40"/>
  <c r="F338" i="40"/>
  <c r="G338" i="40"/>
  <c r="F339" i="40"/>
  <c r="H339" i="40"/>
  <c r="F340" i="40"/>
  <c r="H340" i="40"/>
  <c r="F341" i="40"/>
  <c r="F342" i="40"/>
  <c r="J342" i="40"/>
  <c r="F343" i="40"/>
  <c r="G343" i="40"/>
  <c r="F344" i="40"/>
  <c r="F345" i="40"/>
  <c r="G345" i="40"/>
  <c r="F346" i="40"/>
  <c r="I346" i="40"/>
  <c r="F347" i="40"/>
  <c r="H347" i="40"/>
  <c r="F348" i="40"/>
  <c r="G348" i="40"/>
  <c r="F349" i="40"/>
  <c r="J349" i="40"/>
  <c r="F350" i="40"/>
  <c r="F351" i="40"/>
  <c r="G351" i="40"/>
  <c r="F352" i="40"/>
  <c r="G352" i="40"/>
  <c r="F353" i="40"/>
  <c r="G353" i="40"/>
  <c r="F354" i="40"/>
  <c r="F355" i="40"/>
  <c r="I355" i="40"/>
  <c r="J355" i="40"/>
  <c r="F356" i="40"/>
  <c r="F357" i="40"/>
  <c r="F358" i="40"/>
  <c r="F359" i="40"/>
  <c r="F360" i="40"/>
  <c r="F361" i="40"/>
  <c r="H361" i="40"/>
  <c r="F362" i="40"/>
  <c r="G362" i="40"/>
  <c r="F363" i="40"/>
  <c r="G363" i="40"/>
  <c r="F364" i="40"/>
  <c r="G364" i="40"/>
  <c r="F365" i="40"/>
  <c r="J365" i="40"/>
  <c r="F366" i="40"/>
  <c r="I366" i="40"/>
  <c r="F367" i="40"/>
  <c r="J367" i="40"/>
  <c r="F368" i="40"/>
  <c r="G368" i="40"/>
  <c r="F369" i="40"/>
  <c r="J369" i="40"/>
  <c r="F370" i="40"/>
  <c r="G370" i="40"/>
  <c r="F371" i="40"/>
  <c r="G371" i="40"/>
  <c r="F372" i="40"/>
  <c r="F373" i="40"/>
  <c r="J373" i="40"/>
  <c r="F374" i="40"/>
  <c r="J374" i="40"/>
  <c r="F375" i="40"/>
  <c r="I375" i="40"/>
  <c r="F376" i="40"/>
  <c r="J376" i="40"/>
  <c r="F377" i="40"/>
  <c r="I377" i="40"/>
  <c r="F378" i="40"/>
  <c r="F379" i="40"/>
  <c r="H379" i="40"/>
  <c r="J379" i="40"/>
  <c r="F380" i="40"/>
  <c r="J380" i="40"/>
  <c r="F381" i="40"/>
  <c r="I381" i="40"/>
  <c r="F382" i="40"/>
  <c r="F383" i="40"/>
  <c r="F384" i="40"/>
  <c r="F385" i="40"/>
  <c r="F386" i="40"/>
  <c r="J386" i="40"/>
  <c r="F387" i="40"/>
  <c r="F388" i="40"/>
  <c r="J388" i="40"/>
  <c r="F389" i="40"/>
  <c r="F390" i="40"/>
  <c r="J390" i="40"/>
  <c r="F57" i="40"/>
  <c r="F59" i="40"/>
  <c r="F61" i="40"/>
  <c r="F63" i="40"/>
  <c r="F65" i="40"/>
  <c r="F67" i="40"/>
  <c r="F69" i="40"/>
  <c r="F71" i="40"/>
  <c r="F73" i="40"/>
  <c r="F75" i="40"/>
  <c r="F77" i="40"/>
  <c r="F79" i="40"/>
  <c r="F81" i="40"/>
  <c r="F83" i="40"/>
  <c r="F85" i="40"/>
  <c r="F87" i="40"/>
  <c r="I87" i="40"/>
  <c r="F88" i="40"/>
  <c r="J88" i="40"/>
  <c r="F89" i="40"/>
  <c r="G89" i="40"/>
  <c r="F90" i="40"/>
  <c r="F91" i="40"/>
  <c r="F92" i="40"/>
  <c r="H92" i="40"/>
  <c r="F93" i="40"/>
  <c r="F94" i="40"/>
  <c r="F95" i="40"/>
  <c r="J95" i="40"/>
  <c r="F96" i="40"/>
  <c r="J96" i="40"/>
  <c r="F97" i="40"/>
  <c r="F98" i="40"/>
  <c r="J98" i="40"/>
  <c r="F99" i="40"/>
  <c r="J99" i="40"/>
  <c r="F100" i="40"/>
  <c r="G100" i="40"/>
  <c r="F101" i="40"/>
  <c r="F102" i="40"/>
  <c r="F103" i="40"/>
  <c r="H103" i="40"/>
  <c r="F104" i="40"/>
  <c r="H104" i="40"/>
  <c r="F105" i="40"/>
  <c r="F106" i="40"/>
  <c r="F107" i="40"/>
  <c r="F108" i="40"/>
  <c r="F109" i="40"/>
  <c r="I109" i="40"/>
  <c r="F110" i="40"/>
  <c r="F111" i="40"/>
  <c r="F112" i="40"/>
  <c r="H112" i="40"/>
  <c r="F113" i="40"/>
  <c r="F114" i="40"/>
  <c r="G114" i="40"/>
  <c r="F115" i="40"/>
  <c r="F116" i="40"/>
  <c r="F117" i="40"/>
  <c r="J117" i="40"/>
  <c r="F118" i="40"/>
  <c r="H118" i="40"/>
  <c r="F119" i="40"/>
  <c r="I119" i="40"/>
  <c r="F120" i="40"/>
  <c r="I120" i="40"/>
  <c r="F121" i="40"/>
  <c r="G121" i="40"/>
  <c r="H121" i="40"/>
  <c r="F122" i="40"/>
  <c r="F123" i="40"/>
  <c r="J123" i="40"/>
  <c r="F124" i="40"/>
  <c r="F125" i="40"/>
  <c r="G125" i="40"/>
  <c r="F126" i="40"/>
  <c r="G126" i="40"/>
  <c r="F127" i="40"/>
  <c r="G127" i="40"/>
  <c r="F128" i="40"/>
  <c r="I128" i="40"/>
  <c r="F129" i="40"/>
  <c r="F130" i="40"/>
  <c r="G130" i="40"/>
  <c r="F131" i="40"/>
  <c r="J131" i="40"/>
  <c r="F132" i="40"/>
  <c r="F133" i="40"/>
  <c r="G133" i="40"/>
  <c r="F134" i="40"/>
  <c r="F135" i="40"/>
  <c r="I135" i="40"/>
  <c r="G135" i="40"/>
  <c r="F136" i="40"/>
  <c r="F137" i="40"/>
  <c r="F138" i="40"/>
  <c r="I138" i="40"/>
  <c r="F139" i="40"/>
  <c r="F140" i="40"/>
  <c r="I140" i="40"/>
  <c r="F141" i="40"/>
  <c r="G141" i="40"/>
  <c r="F142" i="40"/>
  <c r="G142" i="40"/>
  <c r="F143" i="40"/>
  <c r="F144" i="40"/>
  <c r="F145" i="40"/>
  <c r="H145" i="40"/>
  <c r="F146" i="40"/>
  <c r="F147" i="40"/>
  <c r="I147" i="40"/>
  <c r="F148" i="40"/>
  <c r="J148" i="40"/>
  <c r="F149" i="40"/>
  <c r="H149" i="40"/>
  <c r="F150" i="40"/>
  <c r="H150" i="40"/>
  <c r="F151" i="40"/>
  <c r="F152" i="40"/>
  <c r="F153" i="40"/>
  <c r="F154" i="40"/>
  <c r="I154" i="40"/>
  <c r="J154" i="40"/>
  <c r="F155" i="40"/>
  <c r="J155" i="40"/>
  <c r="F156" i="40"/>
  <c r="I156" i="40"/>
  <c r="F157" i="40"/>
  <c r="F158" i="40"/>
  <c r="F159" i="40"/>
  <c r="H159" i="40"/>
  <c r="F160" i="40"/>
  <c r="F161" i="40"/>
  <c r="J161" i="40"/>
  <c r="F162" i="40"/>
  <c r="H162" i="40"/>
  <c r="F163" i="40"/>
  <c r="F164" i="40"/>
  <c r="H164" i="40"/>
  <c r="F165" i="40"/>
  <c r="J165" i="40"/>
  <c r="H165" i="40"/>
  <c r="F166" i="40"/>
  <c r="F167" i="40"/>
  <c r="I167" i="40"/>
  <c r="F168" i="40"/>
  <c r="F169" i="40"/>
  <c r="J169" i="40"/>
  <c r="F170" i="40"/>
  <c r="F84" i="40"/>
  <c r="F80" i="40"/>
  <c r="F76" i="40"/>
  <c r="F72" i="40"/>
  <c r="F68" i="40"/>
  <c r="F64" i="40"/>
  <c r="F60" i="40"/>
  <c r="F56" i="40"/>
  <c r="F86" i="40"/>
  <c r="F82" i="40"/>
  <c r="F78" i="40"/>
  <c r="F74" i="40"/>
  <c r="F70" i="40"/>
  <c r="F66" i="40"/>
  <c r="F62" i="40"/>
  <c r="F58" i="40"/>
  <c r="I91" i="40"/>
  <c r="G381" i="40"/>
  <c r="J121" i="40"/>
  <c r="J361" i="40"/>
  <c r="F32" i="40"/>
  <c r="F43" i="40"/>
  <c r="F51" i="40"/>
  <c r="J149" i="40"/>
  <c r="G139" i="40"/>
  <c r="J91" i="40"/>
  <c r="J347" i="40"/>
  <c r="G315" i="40"/>
  <c r="G231" i="40"/>
  <c r="I283" i="40"/>
  <c r="J279" i="40"/>
  <c r="I149" i="40"/>
  <c r="I141" i="40"/>
  <c r="G347" i="40"/>
  <c r="G299" i="40"/>
  <c r="H283" i="40"/>
  <c r="I279" i="40"/>
  <c r="G361" i="40"/>
  <c r="H279" i="40"/>
  <c r="I185" i="40"/>
  <c r="G401" i="40"/>
  <c r="G267" i="40"/>
  <c r="G265" i="40"/>
  <c r="I395" i="40"/>
  <c r="G320" i="40"/>
  <c r="I218" i="40"/>
  <c r="G375" i="40"/>
  <c r="J357" i="40"/>
  <c r="I357" i="40"/>
  <c r="J319" i="40"/>
  <c r="H271" i="40"/>
  <c r="I271" i="40"/>
  <c r="J271" i="40"/>
  <c r="I247" i="40"/>
  <c r="J199" i="40"/>
  <c r="G149" i="40"/>
  <c r="G339" i="40"/>
  <c r="G335" i="40"/>
  <c r="G303" i="40"/>
  <c r="I229" i="40"/>
  <c r="G397" i="40"/>
  <c r="I361" i="40"/>
  <c r="I102" i="40"/>
  <c r="J114" i="40"/>
  <c r="H114" i="40"/>
  <c r="I379" i="40"/>
  <c r="H377" i="40"/>
  <c r="G377" i="40"/>
  <c r="J377" i="40"/>
  <c r="I371" i="40"/>
  <c r="H367" i="40"/>
  <c r="I367" i="40"/>
  <c r="I343" i="40"/>
  <c r="J331" i="40"/>
  <c r="G289" i="40"/>
  <c r="J287" i="40"/>
  <c r="J343" i="40"/>
  <c r="J327" i="40"/>
  <c r="H323" i="40"/>
  <c r="J299" i="40"/>
  <c r="J291" i="40"/>
  <c r="G263" i="40"/>
  <c r="I204" i="40"/>
  <c r="H337" i="40"/>
  <c r="G331" i="40"/>
  <c r="H327" i="40"/>
  <c r="I311" i="40"/>
  <c r="I299" i="40"/>
  <c r="J233" i="40"/>
  <c r="J156" i="40"/>
  <c r="I152" i="40"/>
  <c r="H148" i="40"/>
  <c r="G132" i="40"/>
  <c r="G112" i="40"/>
  <c r="G108" i="40"/>
  <c r="G104" i="40"/>
  <c r="J100" i="40"/>
  <c r="G96" i="40"/>
  <c r="G302" i="40"/>
  <c r="J302" i="40"/>
  <c r="J228" i="40"/>
  <c r="H365" i="40"/>
  <c r="G365" i="40"/>
  <c r="I365" i="40"/>
  <c r="G382" i="40"/>
  <c r="H373" i="40"/>
  <c r="G373" i="40"/>
  <c r="I373" i="40"/>
  <c r="H325" i="40"/>
  <c r="J325" i="40"/>
  <c r="G325" i="40"/>
  <c r="G211" i="40"/>
  <c r="J211" i="40"/>
  <c r="H181" i="40"/>
  <c r="I96" i="40"/>
  <c r="H369" i="40"/>
  <c r="H333" i="40"/>
  <c r="G333" i="40"/>
  <c r="J333" i="40"/>
  <c r="I333" i="40"/>
  <c r="I269" i="40"/>
  <c r="J188" i="40"/>
  <c r="I390" i="40"/>
  <c r="I388" i="40"/>
  <c r="G388" i="40"/>
  <c r="H388" i="40"/>
  <c r="G384" i="40"/>
  <c r="J220" i="40"/>
  <c r="H357" i="40"/>
  <c r="G357" i="40"/>
  <c r="G213" i="40"/>
  <c r="G207" i="40"/>
  <c r="H381" i="40"/>
  <c r="J381" i="40"/>
  <c r="G318" i="40"/>
  <c r="H285" i="40"/>
  <c r="G285" i="40"/>
  <c r="J277" i="40"/>
  <c r="G277" i="40"/>
  <c r="G260" i="40"/>
  <c r="H252" i="40"/>
  <c r="J252" i="40"/>
  <c r="G252" i="40"/>
  <c r="I224" i="40"/>
  <c r="I289" i="40"/>
  <c r="J253" i="40"/>
  <c r="J219" i="40"/>
  <c r="J204" i="40"/>
  <c r="J397" i="40"/>
  <c r="I257" i="40"/>
  <c r="H208" i="40"/>
  <c r="J172" i="40"/>
  <c r="I401" i="40"/>
  <c r="H401" i="40"/>
  <c r="G399" i="40"/>
  <c r="J99" i="47"/>
  <c r="J155" i="47"/>
  <c r="G155" i="47"/>
  <c r="J163" i="47"/>
  <c r="I163" i="47"/>
  <c r="J191" i="47"/>
  <c r="H191" i="47"/>
  <c r="J219" i="47"/>
  <c r="G219" i="47"/>
  <c r="J342" i="47"/>
  <c r="J346" i="47"/>
  <c r="H346" i="47"/>
  <c r="J370" i="47"/>
  <c r="J378" i="47"/>
  <c r="G378" i="47"/>
  <c r="J382" i="47"/>
  <c r="I382" i="47"/>
  <c r="J398" i="47"/>
  <c r="H398" i="47"/>
  <c r="F25" i="47"/>
  <c r="G55" i="47"/>
  <c r="G87" i="47"/>
  <c r="J115" i="47"/>
  <c r="I115" i="47"/>
  <c r="J143" i="47"/>
  <c r="H143" i="47"/>
  <c r="H155" i="47"/>
  <c r="G163" i="47"/>
  <c r="G171" i="47"/>
  <c r="J179" i="47"/>
  <c r="I179" i="47"/>
  <c r="G191" i="47"/>
  <c r="J207" i="47"/>
  <c r="H207" i="47"/>
  <c r="H219" i="47"/>
  <c r="J265" i="47"/>
  <c r="H265" i="47"/>
  <c r="H266" i="47"/>
  <c r="J281" i="47"/>
  <c r="G281" i="47"/>
  <c r="J285" i="47"/>
  <c r="I308" i="47"/>
  <c r="J313" i="47"/>
  <c r="I313" i="47"/>
  <c r="H314" i="47"/>
  <c r="J325" i="47"/>
  <c r="J330" i="47"/>
  <c r="G330" i="47"/>
  <c r="J337" i="47"/>
  <c r="G346" i="47"/>
  <c r="J354" i="47"/>
  <c r="I354" i="47"/>
  <c r="H378" i="47"/>
  <c r="G382" i="47"/>
  <c r="G398" i="47"/>
  <c r="F26" i="47"/>
  <c r="G51" i="47"/>
  <c r="H55" i="47"/>
  <c r="G67" i="47"/>
  <c r="G83" i="47"/>
  <c r="J95" i="47"/>
  <c r="H107" i="47"/>
  <c r="G115" i="47"/>
  <c r="G123" i="47"/>
  <c r="J131" i="47"/>
  <c r="I131" i="47"/>
  <c r="G143" i="47"/>
  <c r="I155" i="47"/>
  <c r="J159" i="47"/>
  <c r="H163" i="47"/>
  <c r="H171" i="47"/>
  <c r="G179" i="47"/>
  <c r="G187" i="47"/>
  <c r="I191" i="47"/>
  <c r="J195" i="47"/>
  <c r="G207" i="47"/>
  <c r="I219" i="47"/>
  <c r="J225" i="47"/>
  <c r="G225" i="47"/>
  <c r="I244" i="47"/>
  <c r="J249" i="47"/>
  <c r="I249" i="47"/>
  <c r="H250" i="47"/>
  <c r="J261" i="47"/>
  <c r="H261" i="47"/>
  <c r="G265" i="47"/>
  <c r="H281" i="47"/>
  <c r="G285" i="47"/>
  <c r="I287" i="47"/>
  <c r="J301" i="47"/>
  <c r="H301" i="47"/>
  <c r="J309" i="47"/>
  <c r="I309" i="47"/>
  <c r="G313" i="47"/>
  <c r="J317" i="47"/>
  <c r="G317" i="47"/>
  <c r="G325" i="47"/>
  <c r="H330" i="47"/>
  <c r="J338" i="47"/>
  <c r="H342" i="47"/>
  <c r="I346" i="47"/>
  <c r="G354" i="47"/>
  <c r="H370" i="47"/>
  <c r="I378" i="47"/>
  <c r="H382" i="47"/>
  <c r="J385" i="47"/>
  <c r="J390" i="47"/>
  <c r="H391" i="47"/>
  <c r="I398" i="47"/>
  <c r="I402" i="47"/>
  <c r="J407" i="47"/>
  <c r="J410" i="47"/>
  <c r="G31" i="47"/>
  <c r="G47" i="47"/>
  <c r="H51" i="47"/>
  <c r="I55" i="47"/>
  <c r="G63" i="47"/>
  <c r="H67" i="47"/>
  <c r="I71" i="47"/>
  <c r="G79" i="47"/>
  <c r="H83" i="47"/>
  <c r="G95" i="47"/>
  <c r="H115" i="47"/>
  <c r="G131" i="47"/>
  <c r="J139" i="47"/>
  <c r="G139" i="47"/>
  <c r="I143" i="47"/>
  <c r="J147" i="47"/>
  <c r="I147" i="47"/>
  <c r="G159" i="47"/>
  <c r="I171" i="47"/>
  <c r="J175" i="47"/>
  <c r="H175" i="47"/>
  <c r="H179" i="47"/>
  <c r="H187" i="47"/>
  <c r="G195" i="47"/>
  <c r="J203" i="47"/>
  <c r="G203" i="47"/>
  <c r="I207" i="47"/>
  <c r="J211" i="47"/>
  <c r="I223" i="47"/>
  <c r="H225" i="47"/>
  <c r="J237" i="47"/>
  <c r="H237" i="47"/>
  <c r="J245" i="47"/>
  <c r="G249" i="47"/>
  <c r="J253" i="47"/>
  <c r="G253" i="47"/>
  <c r="J257" i="47"/>
  <c r="I257" i="47"/>
  <c r="G261" i="47"/>
  <c r="I265" i="47"/>
  <c r="H273" i="47"/>
  <c r="J277" i="47"/>
  <c r="G277" i="47"/>
  <c r="I281" i="47"/>
  <c r="H285" i="47"/>
  <c r="G301" i="47"/>
  <c r="J303" i="47"/>
  <c r="G309" i="47"/>
  <c r="H313" i="47"/>
  <c r="H317" i="47"/>
  <c r="I325" i="47"/>
  <c r="I330" i="47"/>
  <c r="G338" i="47"/>
  <c r="H354" i="47"/>
  <c r="I369" i="47"/>
  <c r="J374" i="47"/>
  <c r="I374" i="47"/>
  <c r="J386" i="47"/>
  <c r="H386" i="47"/>
  <c r="I412" i="47"/>
  <c r="G29" i="47"/>
  <c r="G32" i="47"/>
  <c r="H34" i="47"/>
  <c r="G37" i="47"/>
  <c r="G40" i="47"/>
  <c r="H42" i="47"/>
  <c r="G44" i="47"/>
  <c r="G45" i="47"/>
  <c r="G48" i="47"/>
  <c r="G49" i="47"/>
  <c r="G53" i="47"/>
  <c r="G56" i="47"/>
  <c r="G57" i="47"/>
  <c r="H58" i="47"/>
  <c r="G60" i="47"/>
  <c r="G61" i="47"/>
  <c r="H62" i="47"/>
  <c r="G64" i="47"/>
  <c r="G65" i="47"/>
  <c r="H66" i="47"/>
  <c r="G68" i="47"/>
  <c r="G69" i="47"/>
  <c r="H70" i="47"/>
  <c r="G72" i="47"/>
  <c r="G76" i="47"/>
  <c r="H78" i="47"/>
  <c r="G80" i="47"/>
  <c r="G81" i="47"/>
  <c r="H82" i="47"/>
  <c r="G84" i="47"/>
  <c r="G85" i="47"/>
  <c r="H86" i="47"/>
  <c r="G88" i="47"/>
  <c r="H90" i="47"/>
  <c r="G93" i="47"/>
  <c r="H94" i="47"/>
  <c r="G96" i="47"/>
  <c r="H98" i="47"/>
  <c r="G100" i="47"/>
  <c r="G101" i="47"/>
  <c r="H102" i="47"/>
  <c r="G105" i="47"/>
  <c r="H106" i="47"/>
  <c r="G108" i="47"/>
  <c r="G112" i="47"/>
  <c r="H114" i="47"/>
  <c r="G117" i="47"/>
  <c r="H118" i="47"/>
  <c r="G120" i="47"/>
  <c r="H122" i="47"/>
  <c r="G125" i="47"/>
  <c r="G128" i="47"/>
  <c r="G129" i="47"/>
  <c r="G132" i="47"/>
  <c r="G133" i="47"/>
  <c r="H134" i="47"/>
  <c r="G136" i="47"/>
  <c r="G137" i="47"/>
  <c r="H138" i="47"/>
  <c r="G140" i="47"/>
  <c r="G141" i="47"/>
  <c r="H142" i="47"/>
  <c r="G144" i="47"/>
  <c r="G149" i="47"/>
  <c r="H150" i="47"/>
  <c r="G153" i="47"/>
  <c r="G156" i="47"/>
  <c r="H158" i="47"/>
  <c r="G160" i="47"/>
  <c r="G161" i="47"/>
  <c r="H162" i="47"/>
  <c r="H166" i="47"/>
  <c r="G168" i="47"/>
  <c r="G169" i="47"/>
  <c r="H170" i="47"/>
  <c r="G173" i="47"/>
  <c r="H174" i="47"/>
  <c r="G176" i="47"/>
  <c r="H178" i="47"/>
  <c r="G180" i="47"/>
  <c r="G181" i="47"/>
  <c r="G184" i="47"/>
  <c r="G185" i="47"/>
  <c r="H186" i="47"/>
  <c r="G189" i="47"/>
  <c r="G192" i="47"/>
  <c r="H194" i="47"/>
  <c r="G196" i="47"/>
  <c r="G197" i="47"/>
  <c r="H198" i="47"/>
  <c r="G200" i="47"/>
  <c r="G201" i="47"/>
  <c r="H202" i="47"/>
  <c r="G204" i="47"/>
  <c r="G205" i="47"/>
  <c r="G209" i="47"/>
  <c r="G212" i="47"/>
  <c r="G213" i="47"/>
  <c r="G216" i="47"/>
  <c r="H218" i="47"/>
  <c r="G220" i="47"/>
  <c r="G221" i="47"/>
  <c r="H222" i="47"/>
  <c r="I226" i="47"/>
  <c r="G226" i="47"/>
  <c r="H231" i="47"/>
  <c r="G231" i="47"/>
  <c r="G236" i="47"/>
  <c r="H236" i="47"/>
  <c r="H238" i="47"/>
  <c r="I242" i="47"/>
  <c r="G242" i="47"/>
  <c r="H247" i="47"/>
  <c r="G247" i="47"/>
  <c r="G252" i="47"/>
  <c r="H252" i="47"/>
  <c r="H254" i="47"/>
  <c r="I258" i="47"/>
  <c r="G258" i="47"/>
  <c r="H263" i="47"/>
  <c r="G263" i="47"/>
  <c r="I264" i="47"/>
  <c r="G268" i="47"/>
  <c r="H268" i="47"/>
  <c r="I274" i="47"/>
  <c r="G274" i="47"/>
  <c r="I275" i="47"/>
  <c r="H279" i="47"/>
  <c r="G279" i="47"/>
  <c r="G284" i="47"/>
  <c r="H284" i="47"/>
  <c r="H286" i="47"/>
  <c r="I290" i="47"/>
  <c r="G290" i="47"/>
  <c r="I291" i="47"/>
  <c r="G295" i="47"/>
  <c r="I296" i="47"/>
  <c r="G300" i="47"/>
  <c r="H300" i="47"/>
  <c r="H302" i="47"/>
  <c r="I306" i="47"/>
  <c r="G306" i="47"/>
  <c r="I307" i="47"/>
  <c r="H311" i="47"/>
  <c r="G311" i="47"/>
  <c r="I312" i="47"/>
  <c r="G316" i="47"/>
  <c r="H316" i="47"/>
  <c r="I322" i="47"/>
  <c r="G322" i="47"/>
  <c r="I323" i="47"/>
  <c r="H327" i="47"/>
  <c r="G327" i="47"/>
  <c r="H331" i="47"/>
  <c r="I341" i="47"/>
  <c r="G357" i="47"/>
  <c r="J357" i="47"/>
  <c r="I363" i="47"/>
  <c r="G363" i="47"/>
  <c r="J363" i="47"/>
  <c r="H368" i="47"/>
  <c r="G368" i="47"/>
  <c r="J368" i="47"/>
  <c r="H373" i="47"/>
  <c r="I379" i="47"/>
  <c r="G379" i="47"/>
  <c r="J379" i="47"/>
  <c r="H384" i="47"/>
  <c r="G384" i="47"/>
  <c r="J384" i="47"/>
  <c r="G389" i="47"/>
  <c r="H389" i="47"/>
  <c r="J389" i="47"/>
  <c r="I395" i="47"/>
  <c r="G395" i="47"/>
  <c r="J395" i="47"/>
  <c r="H400" i="47"/>
  <c r="G400" i="47"/>
  <c r="J400" i="47"/>
  <c r="H405" i="47"/>
  <c r="I411" i="47"/>
  <c r="G411" i="47"/>
  <c r="J411" i="47"/>
  <c r="I29" i="47"/>
  <c r="I30" i="47"/>
  <c r="H32" i="47"/>
  <c r="I34" i="47"/>
  <c r="I37" i="47"/>
  <c r="H40" i="47"/>
  <c r="I42" i="47"/>
  <c r="H44" i="47"/>
  <c r="I45" i="47"/>
  <c r="H48" i="47"/>
  <c r="I49" i="47"/>
  <c r="I53" i="47"/>
  <c r="H56" i="47"/>
  <c r="I57" i="47"/>
  <c r="I58" i="47"/>
  <c r="H60" i="47"/>
  <c r="I61" i="47"/>
  <c r="I62" i="47"/>
  <c r="H64" i="47"/>
  <c r="I65" i="47"/>
  <c r="I66" i="47"/>
  <c r="H68" i="47"/>
  <c r="I69" i="47"/>
  <c r="I70" i="47"/>
  <c r="I74" i="47"/>
  <c r="H76" i="47"/>
  <c r="I78" i="47"/>
  <c r="H80" i="47"/>
  <c r="I81" i="47"/>
  <c r="I82" i="47"/>
  <c r="H84" i="47"/>
  <c r="I85" i="47"/>
  <c r="I86" i="47"/>
  <c r="H88" i="47"/>
  <c r="I90" i="47"/>
  <c r="H92" i="47"/>
  <c r="I93" i="47"/>
  <c r="I94" i="47"/>
  <c r="H96" i="47"/>
  <c r="I98" i="47"/>
  <c r="H100" i="47"/>
  <c r="I101" i="47"/>
  <c r="I102" i="47"/>
  <c r="H104" i="47"/>
  <c r="I105" i="47"/>
  <c r="I106" i="47"/>
  <c r="H108" i="47"/>
  <c r="I109" i="47"/>
  <c r="H112" i="47"/>
  <c r="I114" i="47"/>
  <c r="I117" i="47"/>
  <c r="I118" i="47"/>
  <c r="H120" i="47"/>
  <c r="I122" i="47"/>
  <c r="H124" i="47"/>
  <c r="I125" i="47"/>
  <c r="I129" i="47"/>
  <c r="H132" i="47"/>
  <c r="I133" i="47"/>
  <c r="I134" i="47"/>
  <c r="H136" i="47"/>
  <c r="I137" i="47"/>
  <c r="I138" i="47"/>
  <c r="H140" i="47"/>
  <c r="I141" i="47"/>
  <c r="I142" i="47"/>
  <c r="I146" i="47"/>
  <c r="I149" i="47"/>
  <c r="I150" i="47"/>
  <c r="H152" i="47"/>
  <c r="I153" i="47"/>
  <c r="H156" i="47"/>
  <c r="I157" i="47"/>
  <c r="I158" i="47"/>
  <c r="H160" i="47"/>
  <c r="I161" i="47"/>
  <c r="I162" i="47"/>
  <c r="I166" i="47"/>
  <c r="H168" i="47"/>
  <c r="I169" i="47"/>
  <c r="I170" i="47"/>
  <c r="I173" i="47"/>
  <c r="I174" i="47"/>
  <c r="H176" i="47"/>
  <c r="I178" i="47"/>
  <c r="H180" i="47"/>
  <c r="I181" i="47"/>
  <c r="H184" i="47"/>
  <c r="I185" i="47"/>
  <c r="I186" i="47"/>
  <c r="I189" i="47"/>
  <c r="H192" i="47"/>
  <c r="I194" i="47"/>
  <c r="H196" i="47"/>
  <c r="I197" i="47"/>
  <c r="I198" i="47"/>
  <c r="H200" i="47"/>
  <c r="I201" i="47"/>
  <c r="I202" i="47"/>
  <c r="H204" i="47"/>
  <c r="I205" i="47"/>
  <c r="H208" i="47"/>
  <c r="I209" i="47"/>
  <c r="I213" i="47"/>
  <c r="H216" i="47"/>
  <c r="I218" i="47"/>
  <c r="H220" i="47"/>
  <c r="I221" i="47"/>
  <c r="G224" i="47"/>
  <c r="H224" i="47"/>
  <c r="H226" i="47"/>
  <c r="I230" i="47"/>
  <c r="G230" i="47"/>
  <c r="I231" i="47"/>
  <c r="H235" i="47"/>
  <c r="G235" i="47"/>
  <c r="I236" i="47"/>
  <c r="G240" i="47"/>
  <c r="H240" i="47"/>
  <c r="H242" i="47"/>
  <c r="I246" i="47"/>
  <c r="G246" i="47"/>
  <c r="I247" i="47"/>
  <c r="H251" i="47"/>
  <c r="G251" i="47"/>
  <c r="I252" i="47"/>
  <c r="G256" i="47"/>
  <c r="H256" i="47"/>
  <c r="H258" i="47"/>
  <c r="G262" i="47"/>
  <c r="I263" i="47"/>
  <c r="H267" i="47"/>
  <c r="G267" i="47"/>
  <c r="I268" i="47"/>
  <c r="G272" i="47"/>
  <c r="H272" i="47"/>
  <c r="H274" i="47"/>
  <c r="I278" i="47"/>
  <c r="G278" i="47"/>
  <c r="I279" i="47"/>
  <c r="G283" i="47"/>
  <c r="I284" i="47"/>
  <c r="G288" i="47"/>
  <c r="H288" i="47"/>
  <c r="H290" i="47"/>
  <c r="I294" i="47"/>
  <c r="G294" i="47"/>
  <c r="I295" i="47"/>
  <c r="H299" i="47"/>
  <c r="G299" i="47"/>
  <c r="I300" i="47"/>
  <c r="G304" i="47"/>
  <c r="H304" i="47"/>
  <c r="H306" i="47"/>
  <c r="G310" i="47"/>
  <c r="I311" i="47"/>
  <c r="H315" i="47"/>
  <c r="I316" i="47"/>
  <c r="G320" i="47"/>
  <c r="H320" i="47"/>
  <c r="H322" i="47"/>
  <c r="I326" i="47"/>
  <c r="I327" i="47"/>
  <c r="H329" i="47"/>
  <c r="G333" i="47"/>
  <c r="H333" i="47"/>
  <c r="I333" i="47"/>
  <c r="G336" i="47"/>
  <c r="H340" i="47"/>
  <c r="G340" i="47"/>
  <c r="J340" i="47"/>
  <c r="H344" i="47"/>
  <c r="G344" i="47"/>
  <c r="I344" i="47"/>
  <c r="I347" i="47"/>
  <c r="G347" i="47"/>
  <c r="I351" i="47"/>
  <c r="G351" i="47"/>
  <c r="J351" i="47"/>
  <c r="I355" i="47"/>
  <c r="G355" i="47"/>
  <c r="H355" i="47"/>
  <c r="H363" i="47"/>
  <c r="I368" i="47"/>
  <c r="I373" i="47"/>
  <c r="H379" i="47"/>
  <c r="I384" i="47"/>
  <c r="I389" i="47"/>
  <c r="H395" i="47"/>
  <c r="I400" i="47"/>
  <c r="I405" i="47"/>
  <c r="H411" i="47"/>
  <c r="J28" i="47"/>
  <c r="J29" i="47"/>
  <c r="J32" i="47"/>
  <c r="J33" i="47"/>
  <c r="J34" i="47"/>
  <c r="J36" i="47"/>
  <c r="J37" i="47"/>
  <c r="J38" i="47"/>
  <c r="J44" i="47"/>
  <c r="J45" i="47"/>
  <c r="J46" i="47"/>
  <c r="J48" i="47"/>
  <c r="J49" i="47"/>
  <c r="J52" i="47"/>
  <c r="J53" i="47"/>
  <c r="J54" i="47"/>
  <c r="J57" i="47"/>
  <c r="J60" i="47"/>
  <c r="J61" i="47"/>
  <c r="J62" i="47"/>
  <c r="J64" i="47"/>
  <c r="J65" i="47"/>
  <c r="J66" i="47"/>
  <c r="J68" i="47"/>
  <c r="J70" i="47"/>
  <c r="J72" i="47"/>
  <c r="J73" i="47"/>
  <c r="J76" i="47"/>
  <c r="J77" i="47"/>
  <c r="J78" i="47"/>
  <c r="J80" i="47"/>
  <c r="J81" i="47"/>
  <c r="J82" i="47"/>
  <c r="J84" i="47"/>
  <c r="J86" i="47"/>
  <c r="J88" i="47"/>
  <c r="J89" i="47"/>
  <c r="J90" i="47"/>
  <c r="J93" i="47"/>
  <c r="J94" i="47"/>
  <c r="J96" i="47"/>
  <c r="J97" i="47"/>
  <c r="J98" i="47"/>
  <c r="J100" i="47"/>
  <c r="J101" i="47"/>
  <c r="J102" i="47"/>
  <c r="J105" i="47"/>
  <c r="J106" i="47"/>
  <c r="J108" i="47"/>
  <c r="J110" i="47"/>
  <c r="J112" i="47"/>
  <c r="J114" i="47"/>
  <c r="J116" i="47"/>
  <c r="J117" i="47"/>
  <c r="J118" i="47"/>
  <c r="J120" i="47"/>
  <c r="J121" i="47"/>
  <c r="J122" i="47"/>
  <c r="J129" i="47"/>
  <c r="J132" i="47"/>
  <c r="J134" i="47"/>
  <c r="J136" i="47"/>
  <c r="J137" i="47"/>
  <c r="J138" i="47"/>
  <c r="J140" i="47"/>
  <c r="J142" i="47"/>
  <c r="J145" i="47"/>
  <c r="J148" i="47"/>
  <c r="J149" i="47"/>
  <c r="J150" i="47"/>
  <c r="J153" i="47"/>
  <c r="J156" i="47"/>
  <c r="J158" i="47"/>
  <c r="J160" i="47"/>
  <c r="J161" i="47"/>
  <c r="J164" i="47"/>
  <c r="J166" i="47"/>
  <c r="J168" i="47"/>
  <c r="J169" i="47"/>
  <c r="J170" i="47"/>
  <c r="J172" i="47"/>
  <c r="J173" i="47"/>
  <c r="J174" i="47"/>
  <c r="J176" i="47"/>
  <c r="J177" i="47"/>
  <c r="J178" i="47"/>
  <c r="J180" i="47"/>
  <c r="J181" i="47"/>
  <c r="J182" i="47"/>
  <c r="J184" i="47"/>
  <c r="J185" i="47"/>
  <c r="J186" i="47"/>
  <c r="J188" i="47"/>
  <c r="J189" i="47"/>
  <c r="J192" i="47"/>
  <c r="J193" i="47"/>
  <c r="J194" i="47"/>
  <c r="J196" i="47"/>
  <c r="J198" i="47"/>
  <c r="J200" i="47"/>
  <c r="J201" i="47"/>
  <c r="J202" i="47"/>
  <c r="J204" i="47"/>
  <c r="J205" i="47"/>
  <c r="J206" i="47"/>
  <c r="J209" i="47"/>
  <c r="J210" i="47"/>
  <c r="J213" i="47"/>
  <c r="J216" i="47"/>
  <c r="J217" i="47"/>
  <c r="J218" i="47"/>
  <c r="J220" i="47"/>
  <c r="H223" i="47"/>
  <c r="G223" i="47"/>
  <c r="I224" i="47"/>
  <c r="J226" i="47"/>
  <c r="G228" i="47"/>
  <c r="H228" i="47"/>
  <c r="H230" i="47"/>
  <c r="J231" i="47"/>
  <c r="I234" i="47"/>
  <c r="G234" i="47"/>
  <c r="I235" i="47"/>
  <c r="J236" i="47"/>
  <c r="H239" i="47"/>
  <c r="G239" i="47"/>
  <c r="I240" i="47"/>
  <c r="J242" i="47"/>
  <c r="G244" i="47"/>
  <c r="H244" i="47"/>
  <c r="H246" i="47"/>
  <c r="J247" i="47"/>
  <c r="I250" i="47"/>
  <c r="G250" i="47"/>
  <c r="I251" i="47"/>
  <c r="J252" i="47"/>
  <c r="H255" i="47"/>
  <c r="G255" i="47"/>
  <c r="I256" i="47"/>
  <c r="J258" i="47"/>
  <c r="G260" i="47"/>
  <c r="H260" i="47"/>
  <c r="J263" i="47"/>
  <c r="I266" i="47"/>
  <c r="G266" i="47"/>
  <c r="I267" i="47"/>
  <c r="J268" i="47"/>
  <c r="H271" i="47"/>
  <c r="G271" i="47"/>
  <c r="I272" i="47"/>
  <c r="J274" i="47"/>
  <c r="G276" i="47"/>
  <c r="H278" i="47"/>
  <c r="J279" i="47"/>
  <c r="I282" i="47"/>
  <c r="G282" i="47"/>
  <c r="J284" i="47"/>
  <c r="H287" i="47"/>
  <c r="I288" i="47"/>
  <c r="J290" i="47"/>
  <c r="G292" i="47"/>
  <c r="H292" i="47"/>
  <c r="H294" i="47"/>
  <c r="I298" i="47"/>
  <c r="G298" i="47"/>
  <c r="I299" i="47"/>
  <c r="J300" i="47"/>
  <c r="H303" i="47"/>
  <c r="G303" i="47"/>
  <c r="I304" i="47"/>
  <c r="J306" i="47"/>
  <c r="G308" i="47"/>
  <c r="H308" i="47"/>
  <c r="H310" i="47"/>
  <c r="J311" i="47"/>
  <c r="I314" i="47"/>
  <c r="G314" i="47"/>
  <c r="I315" i="47"/>
  <c r="J316" i="47"/>
  <c r="H319" i="47"/>
  <c r="G319" i="47"/>
  <c r="I320" i="47"/>
  <c r="J322" i="47"/>
  <c r="G324" i="47"/>
  <c r="H324" i="47"/>
  <c r="H326" i="47"/>
  <c r="J327" i="47"/>
  <c r="I329" i="47"/>
  <c r="J333" i="47"/>
  <c r="I336" i="47"/>
  <c r="I340" i="47"/>
  <c r="J344" i="47"/>
  <c r="H347" i="47"/>
  <c r="H351" i="47"/>
  <c r="J355" i="47"/>
  <c r="I222" i="47"/>
  <c r="G222" i="47"/>
  <c r="H227" i="47"/>
  <c r="G232" i="47"/>
  <c r="I238" i="47"/>
  <c r="G238" i="47"/>
  <c r="H248" i="47"/>
  <c r="G259" i="47"/>
  <c r="G264" i="47"/>
  <c r="H264" i="47"/>
  <c r="G270" i="47"/>
  <c r="H275" i="47"/>
  <c r="G275" i="47"/>
  <c r="H280" i="47"/>
  <c r="I286" i="47"/>
  <c r="G286" i="47"/>
  <c r="H291" i="47"/>
  <c r="G291" i="47"/>
  <c r="G296" i="47"/>
  <c r="H296" i="47"/>
  <c r="I302" i="47"/>
  <c r="G302" i="47"/>
  <c r="H307" i="47"/>
  <c r="G307" i="47"/>
  <c r="I318" i="47"/>
  <c r="H323" i="47"/>
  <c r="G323" i="47"/>
  <c r="G328" i="47"/>
  <c r="I331" i="47"/>
  <c r="G331" i="47"/>
  <c r="I335" i="47"/>
  <c r="G335" i="47"/>
  <c r="J335" i="47"/>
  <c r="I339" i="47"/>
  <c r="G339" i="47"/>
  <c r="H339" i="47"/>
  <c r="G341" i="47"/>
  <c r="H341" i="47"/>
  <c r="G345" i="47"/>
  <c r="H345" i="47"/>
  <c r="J345" i="47"/>
  <c r="G349" i="47"/>
  <c r="I349" i="47"/>
  <c r="G352" i="47"/>
  <c r="J356" i="47"/>
  <c r="G361" i="47"/>
  <c r="H361" i="47"/>
  <c r="J361" i="47"/>
  <c r="I361" i="47"/>
  <c r="G367" i="47"/>
  <c r="H367" i="47"/>
  <c r="H372" i="47"/>
  <c r="G372" i="47"/>
  <c r="J372" i="47"/>
  <c r="I372" i="47"/>
  <c r="H377" i="47"/>
  <c r="I377" i="47"/>
  <c r="I383" i="47"/>
  <c r="G383" i="47"/>
  <c r="J383" i="47"/>
  <c r="H383" i="47"/>
  <c r="H388" i="47"/>
  <c r="G388" i="47"/>
  <c r="J388" i="47"/>
  <c r="I388" i="47"/>
  <c r="G393" i="47"/>
  <c r="H393" i="47"/>
  <c r="J393" i="47"/>
  <c r="I393" i="47"/>
  <c r="I399" i="47"/>
  <c r="G399" i="47"/>
  <c r="J399" i="47"/>
  <c r="H399" i="47"/>
  <c r="H404" i="47"/>
  <c r="G404" i="47"/>
  <c r="J404" i="47"/>
  <c r="I404" i="47"/>
  <c r="G409" i="47"/>
  <c r="H409" i="47"/>
  <c r="J409" i="47"/>
  <c r="I409" i="47"/>
  <c r="G365" i="47"/>
  <c r="H365" i="47"/>
  <c r="I371" i="47"/>
  <c r="G371" i="47"/>
  <c r="H376" i="47"/>
  <c r="G376" i="47"/>
  <c r="G381" i="47"/>
  <c r="H381" i="47"/>
  <c r="I387" i="47"/>
  <c r="G387" i="47"/>
  <c r="H392" i="47"/>
  <c r="G392" i="47"/>
  <c r="G397" i="47"/>
  <c r="H397" i="47"/>
  <c r="G408" i="47"/>
  <c r="G332" i="47"/>
  <c r="G337" i="47"/>
  <c r="H337" i="47"/>
  <c r="I343" i="47"/>
  <c r="G343" i="47"/>
  <c r="H348" i="47"/>
  <c r="G348" i="47"/>
  <c r="G353" i="47"/>
  <c r="H353" i="47"/>
  <c r="I359" i="47"/>
  <c r="G359" i="47"/>
  <c r="I360" i="47"/>
  <c r="H364" i="47"/>
  <c r="I365" i="47"/>
  <c r="H369" i="47"/>
  <c r="H371" i="47"/>
  <c r="I375" i="47"/>
  <c r="G375" i="47"/>
  <c r="I376" i="47"/>
  <c r="H380" i="47"/>
  <c r="G380" i="47"/>
  <c r="I381" i="47"/>
  <c r="G385" i="47"/>
  <c r="H385" i="47"/>
  <c r="H387" i="47"/>
  <c r="I391" i="47"/>
  <c r="G391" i="47"/>
  <c r="I392" i="47"/>
  <c r="H396" i="47"/>
  <c r="G396" i="47"/>
  <c r="I397" i="47"/>
  <c r="G401" i="47"/>
  <c r="H401" i="47"/>
  <c r="I407" i="47"/>
  <c r="G407" i="47"/>
  <c r="I408" i="47"/>
  <c r="G412" i="47"/>
  <c r="I54" i="46"/>
  <c r="H59" i="46"/>
  <c r="I61" i="46"/>
  <c r="I62" i="46"/>
  <c r="I64" i="46"/>
  <c r="G66" i="46"/>
  <c r="I68" i="46"/>
  <c r="I78" i="46"/>
  <c r="G86" i="46"/>
  <c r="H87" i="46"/>
  <c r="I92" i="46"/>
  <c r="G94" i="46"/>
  <c r="H95" i="46"/>
  <c r="I102" i="46"/>
  <c r="G110" i="46"/>
  <c r="H111" i="46"/>
  <c r="I118" i="46"/>
  <c r="I129" i="46"/>
  <c r="I132" i="46"/>
  <c r="I145" i="46"/>
  <c r="I148" i="46"/>
  <c r="I158" i="46"/>
  <c r="G166" i="46"/>
  <c r="G172" i="46"/>
  <c r="I204" i="46"/>
  <c r="G244" i="46"/>
  <c r="I260" i="46"/>
  <c r="I276" i="46"/>
  <c r="G286" i="46"/>
  <c r="G288" i="46"/>
  <c r="H289" i="46"/>
  <c r="I292" i="46"/>
  <c r="G302" i="46"/>
  <c r="G304" i="46"/>
  <c r="H305" i="46"/>
  <c r="G314" i="46"/>
  <c r="I318" i="46"/>
  <c r="H320" i="46"/>
  <c r="G324" i="46"/>
  <c r="H361" i="46"/>
  <c r="H369" i="46"/>
  <c r="G372" i="46"/>
  <c r="I382" i="46"/>
  <c r="H394" i="46"/>
  <c r="G406" i="46"/>
  <c r="H86" i="46"/>
  <c r="H94" i="46"/>
  <c r="H110" i="46"/>
  <c r="H166" i="46"/>
  <c r="H172" i="46"/>
  <c r="I286" i="46"/>
  <c r="H288" i="46"/>
  <c r="I302" i="46"/>
  <c r="H304" i="46"/>
  <c r="I314" i="46"/>
  <c r="H324" i="46"/>
  <c r="I372" i="46"/>
  <c r="I394" i="46"/>
  <c r="H406" i="46"/>
  <c r="G410" i="46"/>
  <c r="F26" i="46"/>
  <c r="G54" i="46"/>
  <c r="H55" i="46"/>
  <c r="I60" i="46"/>
  <c r="G62" i="46"/>
  <c r="H63" i="46"/>
  <c r="I65" i="46"/>
  <c r="I73" i="46"/>
  <c r="G78" i="46"/>
  <c r="H79" i="46"/>
  <c r="I86" i="46"/>
  <c r="H91" i="46"/>
  <c r="I93" i="46"/>
  <c r="I94" i="46"/>
  <c r="G102" i="46"/>
  <c r="H103" i="46"/>
  <c r="I110" i="46"/>
  <c r="G118" i="46"/>
  <c r="H119" i="46"/>
  <c r="I124" i="46"/>
  <c r="H126" i="46"/>
  <c r="I137" i="46"/>
  <c r="I140" i="46"/>
  <c r="H142" i="46"/>
  <c r="I153" i="46"/>
  <c r="G158" i="46"/>
  <c r="H159" i="46"/>
  <c r="I166" i="46"/>
  <c r="I172" i="46"/>
  <c r="H188" i="46"/>
  <c r="G204" i="46"/>
  <c r="H220" i="46"/>
  <c r="H236" i="46"/>
  <c r="I254" i="46"/>
  <c r="H256" i="46"/>
  <c r="G260" i="46"/>
  <c r="I266" i="46"/>
  <c r="I270" i="46"/>
  <c r="H272" i="46"/>
  <c r="G276" i="46"/>
  <c r="I282" i="46"/>
  <c r="I288" i="46"/>
  <c r="G292" i="46"/>
  <c r="I304" i="46"/>
  <c r="I324" i="46"/>
  <c r="I364" i="46"/>
  <c r="H366" i="46"/>
  <c r="H375" i="46"/>
  <c r="G380" i="46"/>
  <c r="G382" i="46"/>
  <c r="H383" i="46"/>
  <c r="I406" i="46"/>
  <c r="H410" i="46"/>
  <c r="J58" i="46"/>
  <c r="H58" i="46"/>
  <c r="J90" i="46"/>
  <c r="H90" i="46"/>
  <c r="I99" i="46"/>
  <c r="H99" i="46"/>
  <c r="J114" i="46"/>
  <c r="H114" i="46"/>
  <c r="G114" i="46"/>
  <c r="H120" i="46"/>
  <c r="I120" i="46"/>
  <c r="G125" i="46"/>
  <c r="I125" i="46"/>
  <c r="I131" i="46"/>
  <c r="H131" i="46"/>
  <c r="J146" i="46"/>
  <c r="H146" i="46"/>
  <c r="G146" i="46"/>
  <c r="H152" i="46"/>
  <c r="I152" i="46"/>
  <c r="G157" i="46"/>
  <c r="I157" i="46"/>
  <c r="J176" i="46"/>
  <c r="G176" i="46"/>
  <c r="I176" i="46"/>
  <c r="H176" i="46"/>
  <c r="J232" i="46"/>
  <c r="I232" i="46"/>
  <c r="H232" i="46"/>
  <c r="J240" i="46"/>
  <c r="G240" i="46"/>
  <c r="I240" i="46"/>
  <c r="H240" i="46"/>
  <c r="J284" i="46"/>
  <c r="H284" i="46"/>
  <c r="I284" i="46"/>
  <c r="J297" i="46"/>
  <c r="H297" i="46"/>
  <c r="J306" i="46"/>
  <c r="G306" i="46"/>
  <c r="J310" i="46"/>
  <c r="I310" i="46"/>
  <c r="G310" i="46"/>
  <c r="J386" i="46"/>
  <c r="G386" i="46"/>
  <c r="I386" i="46"/>
  <c r="H386" i="46"/>
  <c r="J390" i="46"/>
  <c r="I390" i="46"/>
  <c r="H390" i="46"/>
  <c r="G390" i="46"/>
  <c r="J396" i="46"/>
  <c r="I396" i="46"/>
  <c r="J409" i="46"/>
  <c r="H409" i="46"/>
  <c r="I53" i="46"/>
  <c r="I56" i="46"/>
  <c r="G58" i="46"/>
  <c r="J82" i="46"/>
  <c r="H82" i="46"/>
  <c r="H83" i="46"/>
  <c r="I85" i="46"/>
  <c r="I88" i="46"/>
  <c r="G90" i="46"/>
  <c r="J106" i="46"/>
  <c r="H106" i="46"/>
  <c r="G106" i="46"/>
  <c r="H112" i="46"/>
  <c r="I112" i="46"/>
  <c r="I114" i="46"/>
  <c r="G117" i="46"/>
  <c r="I117" i="46"/>
  <c r="I123" i="46"/>
  <c r="H123" i="46"/>
  <c r="J138" i="46"/>
  <c r="H138" i="46"/>
  <c r="G138" i="46"/>
  <c r="H144" i="46"/>
  <c r="I144" i="46"/>
  <c r="I146" i="46"/>
  <c r="G149" i="46"/>
  <c r="I149" i="46"/>
  <c r="I155" i="46"/>
  <c r="H155" i="46"/>
  <c r="J168" i="46"/>
  <c r="I168" i="46"/>
  <c r="J212" i="46"/>
  <c r="H212" i="46"/>
  <c r="I212" i="46"/>
  <c r="G212" i="46"/>
  <c r="G232" i="46"/>
  <c r="J258" i="46"/>
  <c r="G258" i="46"/>
  <c r="J262" i="46"/>
  <c r="I262" i="46"/>
  <c r="G262" i="46"/>
  <c r="G284" i="46"/>
  <c r="J300" i="46"/>
  <c r="H300" i="46"/>
  <c r="I300" i="46"/>
  <c r="I306" i="46"/>
  <c r="J313" i="46"/>
  <c r="H313" i="46"/>
  <c r="J322" i="46"/>
  <c r="G322" i="46"/>
  <c r="J326" i="46"/>
  <c r="I326" i="46"/>
  <c r="G326" i="46"/>
  <c r="J374" i="46"/>
  <c r="H374" i="46"/>
  <c r="I374" i="46"/>
  <c r="J376" i="46"/>
  <c r="I376" i="46"/>
  <c r="G376" i="46"/>
  <c r="J384" i="46"/>
  <c r="I384" i="46"/>
  <c r="G384" i="46"/>
  <c r="H393" i="46"/>
  <c r="G396" i="46"/>
  <c r="J404" i="46"/>
  <c r="G404" i="46"/>
  <c r="I404" i="46"/>
  <c r="I58" i="46"/>
  <c r="J74" i="46"/>
  <c r="H74" i="46"/>
  <c r="H75" i="46"/>
  <c r="I77" i="46"/>
  <c r="I80" i="46"/>
  <c r="G82" i="46"/>
  <c r="I90" i="46"/>
  <c r="J98" i="46"/>
  <c r="H98" i="46"/>
  <c r="G98" i="46"/>
  <c r="H104" i="46"/>
  <c r="I104" i="46"/>
  <c r="I106" i="46"/>
  <c r="G109" i="46"/>
  <c r="I109" i="46"/>
  <c r="I115" i="46"/>
  <c r="H115" i="46"/>
  <c r="J130" i="46"/>
  <c r="H130" i="46"/>
  <c r="G130" i="46"/>
  <c r="H136" i="46"/>
  <c r="I136" i="46"/>
  <c r="I138" i="46"/>
  <c r="G141" i="46"/>
  <c r="I141" i="46"/>
  <c r="I147" i="46"/>
  <c r="H147" i="46"/>
  <c r="J162" i="46"/>
  <c r="H162" i="46"/>
  <c r="G162" i="46"/>
  <c r="G168" i="46"/>
  <c r="J184" i="46"/>
  <c r="I184" i="46"/>
  <c r="H184" i="46"/>
  <c r="G184" i="46"/>
  <c r="J196" i="46"/>
  <c r="H196" i="46"/>
  <c r="I196" i="46"/>
  <c r="J224" i="46"/>
  <c r="G224" i="46"/>
  <c r="I224" i="46"/>
  <c r="J248" i="46"/>
  <c r="I248" i="46"/>
  <c r="H248" i="46"/>
  <c r="G248" i="46"/>
  <c r="J252" i="46"/>
  <c r="H252" i="46"/>
  <c r="I252" i="46"/>
  <c r="I258" i="46"/>
  <c r="J265" i="46"/>
  <c r="H265" i="46"/>
  <c r="J274" i="46"/>
  <c r="G274" i="46"/>
  <c r="J278" i="46"/>
  <c r="I278" i="46"/>
  <c r="G278" i="46"/>
  <c r="G300" i="46"/>
  <c r="J316" i="46"/>
  <c r="H316" i="46"/>
  <c r="I316" i="46"/>
  <c r="I322" i="46"/>
  <c r="G329" i="46"/>
  <c r="I329" i="46"/>
  <c r="J329" i="46"/>
  <c r="H329" i="46"/>
  <c r="G333" i="46"/>
  <c r="I333" i="46"/>
  <c r="J333" i="46"/>
  <c r="H333" i="46"/>
  <c r="G337" i="46"/>
  <c r="I337" i="46"/>
  <c r="J337" i="46"/>
  <c r="H337" i="46"/>
  <c r="G341" i="46"/>
  <c r="I341" i="46"/>
  <c r="J341" i="46"/>
  <c r="H341" i="46"/>
  <c r="G345" i="46"/>
  <c r="I345" i="46"/>
  <c r="J345" i="46"/>
  <c r="H345" i="46"/>
  <c r="G349" i="46"/>
  <c r="I349" i="46"/>
  <c r="J349" i="46"/>
  <c r="H349" i="46"/>
  <c r="G353" i="46"/>
  <c r="I353" i="46"/>
  <c r="J353" i="46"/>
  <c r="H353" i="46"/>
  <c r="G357" i="46"/>
  <c r="I357" i="46"/>
  <c r="J357" i="46"/>
  <c r="H357" i="46"/>
  <c r="G374" i="46"/>
  <c r="J388" i="46"/>
  <c r="I388" i="46"/>
  <c r="G388" i="46"/>
  <c r="J66" i="46"/>
  <c r="H66" i="46"/>
  <c r="H67" i="46"/>
  <c r="I69" i="46"/>
  <c r="I72" i="46"/>
  <c r="G74" i="46"/>
  <c r="I82" i="46"/>
  <c r="H96" i="46"/>
  <c r="I96" i="46"/>
  <c r="I98" i="46"/>
  <c r="G101" i="46"/>
  <c r="I101" i="46"/>
  <c r="I107" i="46"/>
  <c r="H107" i="46"/>
  <c r="J122" i="46"/>
  <c r="H122" i="46"/>
  <c r="G122" i="46"/>
  <c r="H128" i="46"/>
  <c r="I128" i="46"/>
  <c r="I130" i="46"/>
  <c r="G133" i="46"/>
  <c r="I133" i="46"/>
  <c r="I139" i="46"/>
  <c r="H139" i="46"/>
  <c r="J154" i="46"/>
  <c r="H154" i="46"/>
  <c r="G154" i="46"/>
  <c r="I162" i="46"/>
  <c r="G196" i="46"/>
  <c r="H224" i="46"/>
  <c r="G252" i="46"/>
  <c r="J268" i="46"/>
  <c r="H268" i="46"/>
  <c r="I268" i="46"/>
  <c r="I274" i="46"/>
  <c r="J281" i="46"/>
  <c r="H281" i="46"/>
  <c r="J290" i="46"/>
  <c r="G290" i="46"/>
  <c r="J294" i="46"/>
  <c r="I294" i="46"/>
  <c r="G294" i="46"/>
  <c r="G316" i="46"/>
  <c r="J330" i="46"/>
  <c r="H330" i="46"/>
  <c r="I330" i="46"/>
  <c r="J334" i="46"/>
  <c r="H334" i="46"/>
  <c r="I334" i="46"/>
  <c r="J338" i="46"/>
  <c r="H338" i="46"/>
  <c r="I338" i="46"/>
  <c r="J342" i="46"/>
  <c r="H342" i="46"/>
  <c r="I342" i="46"/>
  <c r="J346" i="46"/>
  <c r="H346" i="46"/>
  <c r="I346" i="46"/>
  <c r="J350" i="46"/>
  <c r="H350" i="46"/>
  <c r="I350" i="46"/>
  <c r="J354" i="46"/>
  <c r="H354" i="46"/>
  <c r="I354" i="46"/>
  <c r="J358" i="46"/>
  <c r="H358" i="46"/>
  <c r="I358" i="46"/>
  <c r="J360" i="46"/>
  <c r="I360" i="46"/>
  <c r="G360" i="46"/>
  <c r="J368" i="46"/>
  <c r="I368" i="46"/>
  <c r="G368" i="46"/>
  <c r="J400" i="46"/>
  <c r="I400" i="46"/>
  <c r="J402" i="46"/>
  <c r="H402" i="46"/>
  <c r="I402" i="46"/>
  <c r="G402" i="46"/>
  <c r="J170" i="46"/>
  <c r="G170" i="46"/>
  <c r="J192" i="46"/>
  <c r="G192" i="46"/>
  <c r="J200" i="46"/>
  <c r="I200" i="46"/>
  <c r="J228" i="46"/>
  <c r="H228" i="46"/>
  <c r="J264" i="46"/>
  <c r="H264" i="46"/>
  <c r="J280" i="46"/>
  <c r="H280" i="46"/>
  <c r="J296" i="46"/>
  <c r="H296" i="46"/>
  <c r="J312" i="46"/>
  <c r="H312" i="46"/>
  <c r="H328" i="46"/>
  <c r="I328" i="46"/>
  <c r="H332" i="46"/>
  <c r="I332" i="46"/>
  <c r="H336" i="46"/>
  <c r="I336" i="46"/>
  <c r="H340" i="46"/>
  <c r="I340" i="46"/>
  <c r="H344" i="46"/>
  <c r="I344" i="46"/>
  <c r="H348" i="46"/>
  <c r="I348" i="46"/>
  <c r="H352" i="46"/>
  <c r="I352" i="46"/>
  <c r="H356" i="46"/>
  <c r="I356" i="46"/>
  <c r="J362" i="46"/>
  <c r="H362" i="46"/>
  <c r="J378" i="46"/>
  <c r="H378" i="46"/>
  <c r="J392" i="46"/>
  <c r="G392" i="46"/>
  <c r="J412" i="46"/>
  <c r="I412" i="46"/>
  <c r="G164" i="46"/>
  <c r="J167" i="46"/>
  <c r="H167" i="46"/>
  <c r="H170" i="46"/>
  <c r="J180" i="46"/>
  <c r="H180" i="46"/>
  <c r="H192" i="46"/>
  <c r="G200" i="46"/>
  <c r="J208" i="46"/>
  <c r="G208" i="46"/>
  <c r="J216" i="46"/>
  <c r="I216" i="46"/>
  <c r="G228" i="46"/>
  <c r="J244" i="46"/>
  <c r="H244" i="46"/>
  <c r="J251" i="46"/>
  <c r="H259" i="46"/>
  <c r="G264" i="46"/>
  <c r="J267" i="46"/>
  <c r="H275" i="46"/>
  <c r="G280" i="46"/>
  <c r="J283" i="46"/>
  <c r="H291" i="46"/>
  <c r="G296" i="46"/>
  <c r="J299" i="46"/>
  <c r="H307" i="46"/>
  <c r="G312" i="46"/>
  <c r="J315" i="46"/>
  <c r="H323" i="46"/>
  <c r="G328" i="46"/>
  <c r="I331" i="46"/>
  <c r="H331" i="46"/>
  <c r="G332" i="46"/>
  <c r="I335" i="46"/>
  <c r="H335" i="46"/>
  <c r="G336" i="46"/>
  <c r="I339" i="46"/>
  <c r="H339" i="46"/>
  <c r="G340" i="46"/>
  <c r="I343" i="46"/>
  <c r="H343" i="46"/>
  <c r="G344" i="46"/>
  <c r="I347" i="46"/>
  <c r="H347" i="46"/>
  <c r="G348" i="46"/>
  <c r="I351" i="46"/>
  <c r="H351" i="46"/>
  <c r="G352" i="46"/>
  <c r="I355" i="46"/>
  <c r="H355" i="46"/>
  <c r="G356" i="46"/>
  <c r="G362" i="46"/>
  <c r="G378" i="46"/>
  <c r="I392" i="46"/>
  <c r="J398" i="46"/>
  <c r="H398" i="46"/>
  <c r="H399" i="46"/>
  <c r="J408" i="46"/>
  <c r="I408" i="46"/>
  <c r="G412" i="46"/>
  <c r="J160" i="46"/>
  <c r="H160" i="46"/>
  <c r="I165" i="46"/>
  <c r="G165" i="46"/>
  <c r="G171" i="46"/>
  <c r="H171" i="46"/>
  <c r="J171" i="46"/>
  <c r="H174" i="46"/>
  <c r="G174" i="46"/>
  <c r="J174" i="46"/>
  <c r="I177" i="46"/>
  <c r="G177" i="46"/>
  <c r="J177" i="46"/>
  <c r="G179" i="46"/>
  <c r="H179" i="46"/>
  <c r="J179" i="46"/>
  <c r="H182" i="46"/>
  <c r="G182" i="46"/>
  <c r="J182" i="46"/>
  <c r="I185" i="46"/>
  <c r="G185" i="46"/>
  <c r="J185" i="46"/>
  <c r="G187" i="46"/>
  <c r="H187" i="46"/>
  <c r="J187" i="46"/>
  <c r="H190" i="46"/>
  <c r="G190" i="46"/>
  <c r="J190" i="46"/>
  <c r="I193" i="46"/>
  <c r="G193" i="46"/>
  <c r="J193" i="46"/>
  <c r="G195" i="46"/>
  <c r="H195" i="46"/>
  <c r="J195" i="46"/>
  <c r="H198" i="46"/>
  <c r="G198" i="46"/>
  <c r="J198" i="46"/>
  <c r="I201" i="46"/>
  <c r="G201" i="46"/>
  <c r="J201" i="46"/>
  <c r="G203" i="46"/>
  <c r="H203" i="46"/>
  <c r="J203" i="46"/>
  <c r="H206" i="46"/>
  <c r="G206" i="46"/>
  <c r="J206" i="46"/>
  <c r="I209" i="46"/>
  <c r="G209" i="46"/>
  <c r="J209" i="46"/>
  <c r="G211" i="46"/>
  <c r="H211" i="46"/>
  <c r="J211" i="46"/>
  <c r="H214" i="46"/>
  <c r="G214" i="46"/>
  <c r="J214" i="46"/>
  <c r="I217" i="46"/>
  <c r="G217" i="46"/>
  <c r="J217" i="46"/>
  <c r="G219" i="46"/>
  <c r="H219" i="46"/>
  <c r="J219" i="46"/>
  <c r="H222" i="46"/>
  <c r="G222" i="46"/>
  <c r="J222" i="46"/>
  <c r="I225" i="46"/>
  <c r="G225" i="46"/>
  <c r="J225" i="46"/>
  <c r="G227" i="46"/>
  <c r="H227" i="46"/>
  <c r="J227" i="46"/>
  <c r="H230" i="46"/>
  <c r="G230" i="46"/>
  <c r="J230" i="46"/>
  <c r="I233" i="46"/>
  <c r="G233" i="46"/>
  <c r="J233" i="46"/>
  <c r="G235" i="46"/>
  <c r="H235" i="46"/>
  <c r="J235" i="46"/>
  <c r="H238" i="46"/>
  <c r="G238" i="46"/>
  <c r="J238" i="46"/>
  <c r="I241" i="46"/>
  <c r="G241" i="46"/>
  <c r="J241" i="46"/>
  <c r="G243" i="46"/>
  <c r="H243" i="46"/>
  <c r="J243" i="46"/>
  <c r="H246" i="46"/>
  <c r="G246" i="46"/>
  <c r="J246" i="46"/>
  <c r="I249" i="46"/>
  <c r="G249" i="46"/>
  <c r="J249" i="46"/>
  <c r="I255" i="46"/>
  <c r="G255" i="46"/>
  <c r="H255" i="46"/>
  <c r="G277" i="46"/>
  <c r="I277" i="46"/>
  <c r="H277" i="46"/>
  <c r="I287" i="46"/>
  <c r="G287" i="46"/>
  <c r="H287" i="46"/>
  <c r="G309" i="46"/>
  <c r="I309" i="46"/>
  <c r="H309" i="46"/>
  <c r="I319" i="46"/>
  <c r="G319" i="46"/>
  <c r="H319" i="46"/>
  <c r="I397" i="46"/>
  <c r="G397" i="46"/>
  <c r="H397" i="46"/>
  <c r="J397" i="46"/>
  <c r="F25" i="46"/>
  <c r="F29" i="46"/>
  <c r="F33" i="46"/>
  <c r="F37" i="46"/>
  <c r="F41" i="46"/>
  <c r="F47" i="46"/>
  <c r="F48" i="46"/>
  <c r="H53" i="46"/>
  <c r="G55" i="46"/>
  <c r="G56" i="46"/>
  <c r="H57" i="46"/>
  <c r="G59" i="46"/>
  <c r="G60" i="46"/>
  <c r="H61" i="46"/>
  <c r="G63" i="46"/>
  <c r="G64" i="46"/>
  <c r="H65" i="46"/>
  <c r="G67" i="46"/>
  <c r="G68" i="46"/>
  <c r="H69" i="46"/>
  <c r="G71" i="46"/>
  <c r="G72" i="46"/>
  <c r="H73" i="46"/>
  <c r="G75" i="46"/>
  <c r="G76" i="46"/>
  <c r="H77" i="46"/>
  <c r="G79" i="46"/>
  <c r="G80" i="46"/>
  <c r="H81" i="46"/>
  <c r="G83" i="46"/>
  <c r="G84" i="46"/>
  <c r="H85" i="46"/>
  <c r="G87" i="46"/>
  <c r="G88" i="46"/>
  <c r="H89" i="46"/>
  <c r="G91" i="46"/>
  <c r="G92" i="46"/>
  <c r="H93" i="46"/>
  <c r="G95" i="46"/>
  <c r="G96" i="46"/>
  <c r="H97" i="46"/>
  <c r="G99" i="46"/>
  <c r="G100" i="46"/>
  <c r="H101" i="46"/>
  <c r="G103" i="46"/>
  <c r="G104" i="46"/>
  <c r="H105" i="46"/>
  <c r="G107" i="46"/>
  <c r="G108" i="46"/>
  <c r="H109" i="46"/>
  <c r="G111" i="46"/>
  <c r="G112" i="46"/>
  <c r="H113" i="46"/>
  <c r="G115" i="46"/>
  <c r="G116" i="46"/>
  <c r="H117" i="46"/>
  <c r="G119" i="46"/>
  <c r="G120" i="46"/>
  <c r="H121" i="46"/>
  <c r="G123" i="46"/>
  <c r="G124" i="46"/>
  <c r="H125" i="46"/>
  <c r="G127" i="46"/>
  <c r="G128" i="46"/>
  <c r="H129" i="46"/>
  <c r="G131" i="46"/>
  <c r="G132" i="46"/>
  <c r="H133" i="46"/>
  <c r="G135" i="46"/>
  <c r="G136" i="46"/>
  <c r="H137" i="46"/>
  <c r="G139" i="46"/>
  <c r="G140" i="46"/>
  <c r="H141" i="46"/>
  <c r="G143" i="46"/>
  <c r="G144" i="46"/>
  <c r="H145" i="46"/>
  <c r="G147" i="46"/>
  <c r="G148" i="46"/>
  <c r="H149" i="46"/>
  <c r="G151" i="46"/>
  <c r="G152" i="46"/>
  <c r="H153" i="46"/>
  <c r="G155" i="46"/>
  <c r="G156" i="46"/>
  <c r="H157" i="46"/>
  <c r="G159" i="46"/>
  <c r="G160" i="46"/>
  <c r="H165" i="46"/>
  <c r="I169" i="46"/>
  <c r="G169" i="46"/>
  <c r="I171" i="46"/>
  <c r="I174" i="46"/>
  <c r="H177" i="46"/>
  <c r="I179" i="46"/>
  <c r="I182" i="46"/>
  <c r="H185" i="46"/>
  <c r="I187" i="46"/>
  <c r="I190" i="46"/>
  <c r="H193" i="46"/>
  <c r="I195" i="46"/>
  <c r="I198" i="46"/>
  <c r="H201" i="46"/>
  <c r="I203" i="46"/>
  <c r="I206" i="46"/>
  <c r="H209" i="46"/>
  <c r="I211" i="46"/>
  <c r="I214" i="46"/>
  <c r="H217" i="46"/>
  <c r="I219" i="46"/>
  <c r="I222" i="46"/>
  <c r="H225" i="46"/>
  <c r="I227" i="46"/>
  <c r="I230" i="46"/>
  <c r="H233" i="46"/>
  <c r="I235" i="46"/>
  <c r="I238" i="46"/>
  <c r="H241" i="46"/>
  <c r="I243" i="46"/>
  <c r="I246" i="46"/>
  <c r="H249" i="46"/>
  <c r="J255" i="46"/>
  <c r="G269" i="46"/>
  <c r="I269" i="46"/>
  <c r="H269" i="46"/>
  <c r="J277" i="46"/>
  <c r="I279" i="46"/>
  <c r="G279" i="46"/>
  <c r="H279" i="46"/>
  <c r="J287" i="46"/>
  <c r="G301" i="46"/>
  <c r="I301" i="46"/>
  <c r="H301" i="46"/>
  <c r="J309" i="46"/>
  <c r="I311" i="46"/>
  <c r="G311" i="46"/>
  <c r="H311" i="46"/>
  <c r="J319" i="46"/>
  <c r="G403" i="46"/>
  <c r="I403" i="46"/>
  <c r="H403" i="46"/>
  <c r="J403" i="46"/>
  <c r="G163" i="46"/>
  <c r="I163" i="46"/>
  <c r="I173" i="46"/>
  <c r="G173" i="46"/>
  <c r="J173" i="46"/>
  <c r="G175" i="46"/>
  <c r="H175" i="46"/>
  <c r="J175" i="46"/>
  <c r="H178" i="46"/>
  <c r="G178" i="46"/>
  <c r="J178" i="46"/>
  <c r="I181" i="46"/>
  <c r="G181" i="46"/>
  <c r="J181" i="46"/>
  <c r="G183" i="46"/>
  <c r="H183" i="46"/>
  <c r="J183" i="46"/>
  <c r="H186" i="46"/>
  <c r="G186" i="46"/>
  <c r="J186" i="46"/>
  <c r="I189" i="46"/>
  <c r="G189" i="46"/>
  <c r="J189" i="46"/>
  <c r="G191" i="46"/>
  <c r="H191" i="46"/>
  <c r="J191" i="46"/>
  <c r="H194" i="46"/>
  <c r="G194" i="46"/>
  <c r="J194" i="46"/>
  <c r="I197" i="46"/>
  <c r="G197" i="46"/>
  <c r="J197" i="46"/>
  <c r="G199" i="46"/>
  <c r="H199" i="46"/>
  <c r="J199" i="46"/>
  <c r="H202" i="46"/>
  <c r="G202" i="46"/>
  <c r="J202" i="46"/>
  <c r="I205" i="46"/>
  <c r="G205" i="46"/>
  <c r="J205" i="46"/>
  <c r="G207" i="46"/>
  <c r="H207" i="46"/>
  <c r="J207" i="46"/>
  <c r="H210" i="46"/>
  <c r="G210" i="46"/>
  <c r="J210" i="46"/>
  <c r="I213" i="46"/>
  <c r="G213" i="46"/>
  <c r="J213" i="46"/>
  <c r="G215" i="46"/>
  <c r="H215" i="46"/>
  <c r="J215" i="46"/>
  <c r="H218" i="46"/>
  <c r="G218" i="46"/>
  <c r="J218" i="46"/>
  <c r="I221" i="46"/>
  <c r="G221" i="46"/>
  <c r="J221" i="46"/>
  <c r="G223" i="46"/>
  <c r="H223" i="46"/>
  <c r="J223" i="46"/>
  <c r="H226" i="46"/>
  <c r="G226" i="46"/>
  <c r="J226" i="46"/>
  <c r="I229" i="46"/>
  <c r="G229" i="46"/>
  <c r="J229" i="46"/>
  <c r="G231" i="46"/>
  <c r="H231" i="46"/>
  <c r="J231" i="46"/>
  <c r="H234" i="46"/>
  <c r="G234" i="46"/>
  <c r="J234" i="46"/>
  <c r="I237" i="46"/>
  <c r="G237" i="46"/>
  <c r="J237" i="46"/>
  <c r="G239" i="46"/>
  <c r="H239" i="46"/>
  <c r="J239" i="46"/>
  <c r="H242" i="46"/>
  <c r="G242" i="46"/>
  <c r="J242" i="46"/>
  <c r="I245" i="46"/>
  <c r="G245" i="46"/>
  <c r="J245" i="46"/>
  <c r="G247" i="46"/>
  <c r="H247" i="46"/>
  <c r="J247" i="46"/>
  <c r="J250" i="46"/>
  <c r="H250" i="46"/>
  <c r="G250" i="46"/>
  <c r="G261" i="46"/>
  <c r="I261" i="46"/>
  <c r="H261" i="46"/>
  <c r="I271" i="46"/>
  <c r="G271" i="46"/>
  <c r="H271" i="46"/>
  <c r="G293" i="46"/>
  <c r="I293" i="46"/>
  <c r="H293" i="46"/>
  <c r="I303" i="46"/>
  <c r="G303" i="46"/>
  <c r="H303" i="46"/>
  <c r="G325" i="46"/>
  <c r="I325" i="46"/>
  <c r="H325" i="46"/>
  <c r="I365" i="46"/>
  <c r="G365" i="46"/>
  <c r="H365" i="46"/>
  <c r="J365" i="46"/>
  <c r="I381" i="46"/>
  <c r="G381" i="46"/>
  <c r="H381" i="46"/>
  <c r="J381" i="46"/>
  <c r="F50" i="46"/>
  <c r="F46" i="46"/>
  <c r="F27" i="46"/>
  <c r="F31" i="46"/>
  <c r="F35" i="46"/>
  <c r="F39" i="46"/>
  <c r="J53" i="46"/>
  <c r="J55" i="46"/>
  <c r="J56" i="46"/>
  <c r="J57" i="46"/>
  <c r="J59" i="46"/>
  <c r="J60" i="46"/>
  <c r="J61" i="46"/>
  <c r="J63" i="46"/>
  <c r="J64" i="46"/>
  <c r="J65" i="46"/>
  <c r="J67" i="46"/>
  <c r="J68" i="46"/>
  <c r="J69" i="46"/>
  <c r="J71" i="46"/>
  <c r="J72" i="46"/>
  <c r="J73" i="46"/>
  <c r="J75" i="46"/>
  <c r="J76" i="46"/>
  <c r="J77" i="46"/>
  <c r="J79" i="46"/>
  <c r="J80" i="46"/>
  <c r="J81" i="46"/>
  <c r="J83" i="46"/>
  <c r="J84" i="46"/>
  <c r="J85" i="46"/>
  <c r="J87" i="46"/>
  <c r="J88" i="46"/>
  <c r="J89" i="46"/>
  <c r="J91" i="46"/>
  <c r="J92" i="46"/>
  <c r="J93" i="46"/>
  <c r="J95" i="46"/>
  <c r="J96" i="46"/>
  <c r="J97" i="46"/>
  <c r="J99" i="46"/>
  <c r="J100" i="46"/>
  <c r="J101" i="46"/>
  <c r="J103" i="46"/>
  <c r="J104" i="46"/>
  <c r="J105" i="46"/>
  <c r="J107" i="46"/>
  <c r="J108" i="46"/>
  <c r="J109" i="46"/>
  <c r="J111" i="46"/>
  <c r="J112" i="46"/>
  <c r="J113" i="46"/>
  <c r="J115" i="46"/>
  <c r="J116" i="46"/>
  <c r="J117" i="46"/>
  <c r="J119" i="46"/>
  <c r="J120" i="46"/>
  <c r="J121" i="46"/>
  <c r="J123" i="46"/>
  <c r="J124" i="46"/>
  <c r="J125" i="46"/>
  <c r="J127" i="46"/>
  <c r="J128" i="46"/>
  <c r="J129" i="46"/>
  <c r="J131" i="46"/>
  <c r="J132" i="46"/>
  <c r="J133" i="46"/>
  <c r="J135" i="46"/>
  <c r="J136" i="46"/>
  <c r="J137" i="46"/>
  <c r="J139" i="46"/>
  <c r="J140" i="46"/>
  <c r="J141" i="46"/>
  <c r="J143" i="46"/>
  <c r="J144" i="46"/>
  <c r="J145" i="46"/>
  <c r="J147" i="46"/>
  <c r="J148" i="46"/>
  <c r="J149" i="46"/>
  <c r="J151" i="46"/>
  <c r="J152" i="46"/>
  <c r="J153" i="46"/>
  <c r="J155" i="46"/>
  <c r="J156" i="46"/>
  <c r="J157" i="46"/>
  <c r="J159" i="46"/>
  <c r="I161" i="46"/>
  <c r="G161" i="46"/>
  <c r="H163" i="46"/>
  <c r="G167" i="46"/>
  <c r="I167" i="46"/>
  <c r="H173" i="46"/>
  <c r="I175" i="46"/>
  <c r="I178" i="46"/>
  <c r="H181" i="46"/>
  <c r="I183" i="46"/>
  <c r="I186" i="46"/>
  <c r="H189" i="46"/>
  <c r="I191" i="46"/>
  <c r="I194" i="46"/>
  <c r="H197" i="46"/>
  <c r="I199" i="46"/>
  <c r="I202" i="46"/>
  <c r="H205" i="46"/>
  <c r="I207" i="46"/>
  <c r="I210" i="46"/>
  <c r="H213" i="46"/>
  <c r="I215" i="46"/>
  <c r="I218" i="46"/>
  <c r="H221" i="46"/>
  <c r="I223" i="46"/>
  <c r="I226" i="46"/>
  <c r="H229" i="46"/>
  <c r="I231" i="46"/>
  <c r="I234" i="46"/>
  <c r="H237" i="46"/>
  <c r="I239" i="46"/>
  <c r="I242" i="46"/>
  <c r="H245" i="46"/>
  <c r="I247" i="46"/>
  <c r="I250" i="46"/>
  <c r="G253" i="46"/>
  <c r="I253" i="46"/>
  <c r="H253" i="46"/>
  <c r="J261" i="46"/>
  <c r="I263" i="46"/>
  <c r="G263" i="46"/>
  <c r="H263" i="46"/>
  <c r="J271" i="46"/>
  <c r="G285" i="46"/>
  <c r="I285" i="46"/>
  <c r="H285" i="46"/>
  <c r="J293" i="46"/>
  <c r="I295" i="46"/>
  <c r="G295" i="46"/>
  <c r="H295" i="46"/>
  <c r="J303" i="46"/>
  <c r="G317" i="46"/>
  <c r="I317" i="46"/>
  <c r="H317" i="46"/>
  <c r="J325" i="46"/>
  <c r="I327" i="46"/>
  <c r="G327" i="46"/>
  <c r="H327" i="46"/>
  <c r="G371" i="46"/>
  <c r="I371" i="46"/>
  <c r="H371" i="46"/>
  <c r="J371" i="46"/>
  <c r="I389" i="46"/>
  <c r="G389" i="46"/>
  <c r="H389" i="46"/>
  <c r="J389" i="46"/>
  <c r="H164" i="46"/>
  <c r="H168" i="46"/>
  <c r="I251" i="46"/>
  <c r="G251" i="46"/>
  <c r="G257" i="46"/>
  <c r="I257" i="46"/>
  <c r="I267" i="46"/>
  <c r="G267" i="46"/>
  <c r="G273" i="46"/>
  <c r="I273" i="46"/>
  <c r="I283" i="46"/>
  <c r="G283" i="46"/>
  <c r="G289" i="46"/>
  <c r="I289" i="46"/>
  <c r="I299" i="46"/>
  <c r="G299" i="46"/>
  <c r="G305" i="46"/>
  <c r="I305" i="46"/>
  <c r="I315" i="46"/>
  <c r="G315" i="46"/>
  <c r="G321" i="46"/>
  <c r="I321" i="46"/>
  <c r="G379" i="46"/>
  <c r="I379" i="46"/>
  <c r="H379" i="46"/>
  <c r="G395" i="46"/>
  <c r="I395" i="46"/>
  <c r="H395" i="46"/>
  <c r="I405" i="46"/>
  <c r="G405" i="46"/>
  <c r="H405" i="46"/>
  <c r="I259" i="46"/>
  <c r="G259" i="46"/>
  <c r="G265" i="46"/>
  <c r="I265" i="46"/>
  <c r="I275" i="46"/>
  <c r="G275" i="46"/>
  <c r="G281" i="46"/>
  <c r="I281" i="46"/>
  <c r="I291" i="46"/>
  <c r="G291" i="46"/>
  <c r="G297" i="46"/>
  <c r="I297" i="46"/>
  <c r="I307" i="46"/>
  <c r="G307" i="46"/>
  <c r="G313" i="46"/>
  <c r="I313" i="46"/>
  <c r="I323" i="46"/>
  <c r="G323" i="46"/>
  <c r="G363" i="46"/>
  <c r="I363" i="46"/>
  <c r="H363" i="46"/>
  <c r="I373" i="46"/>
  <c r="G373" i="46"/>
  <c r="H373" i="46"/>
  <c r="G387" i="46"/>
  <c r="I387" i="46"/>
  <c r="H387" i="46"/>
  <c r="G411" i="46"/>
  <c r="I411" i="46"/>
  <c r="H411" i="46"/>
  <c r="H254" i="46"/>
  <c r="H258" i="46"/>
  <c r="H262" i="46"/>
  <c r="H266" i="46"/>
  <c r="H270" i="46"/>
  <c r="H274" i="46"/>
  <c r="H278" i="46"/>
  <c r="H282" i="46"/>
  <c r="H286" i="46"/>
  <c r="H290" i="46"/>
  <c r="H294" i="46"/>
  <c r="H298" i="46"/>
  <c r="H302" i="46"/>
  <c r="H306" i="46"/>
  <c r="H310" i="46"/>
  <c r="H314" i="46"/>
  <c r="H318" i="46"/>
  <c r="H322" i="46"/>
  <c r="H326" i="46"/>
  <c r="G359" i="46"/>
  <c r="I359" i="46"/>
  <c r="I369" i="46"/>
  <c r="G369" i="46"/>
  <c r="G375" i="46"/>
  <c r="I375" i="46"/>
  <c r="I385" i="46"/>
  <c r="G385" i="46"/>
  <c r="G391" i="46"/>
  <c r="I391" i="46"/>
  <c r="I401" i="46"/>
  <c r="G401" i="46"/>
  <c r="G407" i="46"/>
  <c r="I407" i="46"/>
  <c r="I361" i="46"/>
  <c r="G361" i="46"/>
  <c r="G367" i="46"/>
  <c r="I367" i="46"/>
  <c r="I377" i="46"/>
  <c r="G377" i="46"/>
  <c r="G383" i="46"/>
  <c r="I383" i="46"/>
  <c r="J385" i="46"/>
  <c r="J391" i="46"/>
  <c r="I393" i="46"/>
  <c r="G393" i="46"/>
  <c r="G399" i="46"/>
  <c r="I399" i="46"/>
  <c r="J401" i="46"/>
  <c r="J407" i="46"/>
  <c r="I409" i="46"/>
  <c r="G409" i="46"/>
  <c r="H360" i="46"/>
  <c r="H364" i="46"/>
  <c r="H368" i="46"/>
  <c r="H372" i="46"/>
  <c r="H376" i="46"/>
  <c r="H380" i="46"/>
  <c r="H384" i="46"/>
  <c r="H388" i="46"/>
  <c r="H392" i="46"/>
  <c r="H396" i="46"/>
  <c r="H400" i="46"/>
  <c r="H404" i="46"/>
  <c r="H408" i="46"/>
  <c r="H412" i="46"/>
  <c r="J119" i="45"/>
  <c r="H119" i="45"/>
  <c r="J183" i="45"/>
  <c r="H183" i="45"/>
  <c r="G183" i="45"/>
  <c r="J229" i="45"/>
  <c r="I229" i="45"/>
  <c r="H229" i="45"/>
  <c r="J241" i="45"/>
  <c r="H241" i="45"/>
  <c r="G241" i="45"/>
  <c r="J334" i="45"/>
  <c r="H334" i="45"/>
  <c r="G334" i="45"/>
  <c r="J375" i="45"/>
  <c r="H375" i="45"/>
  <c r="J386" i="45"/>
  <c r="I386" i="45"/>
  <c r="J103" i="45"/>
  <c r="H103" i="45"/>
  <c r="I119" i="45"/>
  <c r="H135" i="45"/>
  <c r="I183" i="45"/>
  <c r="J223" i="45"/>
  <c r="I223" i="45"/>
  <c r="G229" i="45"/>
  <c r="H234" i="45"/>
  <c r="I241" i="45"/>
  <c r="J298" i="45"/>
  <c r="H298" i="45"/>
  <c r="I334" i="45"/>
  <c r="J342" i="45"/>
  <c r="H342" i="45"/>
  <c r="G342" i="45"/>
  <c r="I348" i="45"/>
  <c r="H386" i="45"/>
  <c r="I103" i="45"/>
  <c r="I135" i="45"/>
  <c r="J147" i="45"/>
  <c r="G147" i="45"/>
  <c r="J167" i="45"/>
  <c r="I167" i="45"/>
  <c r="H167" i="45"/>
  <c r="J195" i="45"/>
  <c r="H195" i="45"/>
  <c r="G195" i="45"/>
  <c r="J211" i="45"/>
  <c r="H211" i="45"/>
  <c r="J233" i="45"/>
  <c r="I233" i="45"/>
  <c r="H233" i="45"/>
  <c r="J245" i="45"/>
  <c r="H245" i="45"/>
  <c r="G245" i="45"/>
  <c r="J269" i="45"/>
  <c r="I269" i="45"/>
  <c r="I271" i="45"/>
  <c r="J309" i="45"/>
  <c r="H309" i="45"/>
  <c r="G309" i="45"/>
  <c r="J332" i="45"/>
  <c r="I332" i="45"/>
  <c r="J358" i="45"/>
  <c r="H358" i="45"/>
  <c r="G358" i="45"/>
  <c r="J374" i="45"/>
  <c r="H374" i="45"/>
  <c r="G374" i="45"/>
  <c r="J402" i="45"/>
  <c r="I402" i="45"/>
  <c r="H402" i="45"/>
  <c r="H407" i="45"/>
  <c r="G115" i="45"/>
  <c r="J131" i="45"/>
  <c r="G131" i="45"/>
  <c r="H147" i="45"/>
  <c r="J151" i="45"/>
  <c r="I151" i="45"/>
  <c r="G211" i="45"/>
  <c r="J228" i="45"/>
  <c r="I228" i="45"/>
  <c r="G233" i="45"/>
  <c r="J249" i="45"/>
  <c r="H249" i="45"/>
  <c r="H269" i="45"/>
  <c r="J297" i="45"/>
  <c r="H297" i="45"/>
  <c r="G297" i="45"/>
  <c r="J313" i="45"/>
  <c r="H313" i="45"/>
  <c r="H343" i="45"/>
  <c r="J350" i="45"/>
  <c r="I350" i="45"/>
  <c r="H350" i="45"/>
  <c r="J369" i="45"/>
  <c r="I369" i="45"/>
  <c r="I374" i="45"/>
  <c r="J385" i="45"/>
  <c r="I385" i="45"/>
  <c r="J406" i="45"/>
  <c r="I406" i="45"/>
  <c r="H406" i="45"/>
  <c r="F29" i="45"/>
  <c r="F34" i="45"/>
  <c r="F40" i="45"/>
  <c r="F45" i="45"/>
  <c r="F50" i="45"/>
  <c r="G215" i="45"/>
  <c r="G285" i="45"/>
  <c r="G305" i="45"/>
  <c r="G378" i="45"/>
  <c r="I398" i="45"/>
  <c r="J171" i="45"/>
  <c r="H171" i="45"/>
  <c r="G171" i="45"/>
  <c r="J253" i="45"/>
  <c r="H253" i="45"/>
  <c r="G253" i="45"/>
  <c r="J260" i="45"/>
  <c r="I260" i="45"/>
  <c r="J325" i="45"/>
  <c r="I325" i="45"/>
  <c r="H325" i="45"/>
  <c r="J364" i="45"/>
  <c r="I364" i="45"/>
  <c r="J390" i="45"/>
  <c r="H390" i="45"/>
  <c r="G390" i="45"/>
  <c r="J410" i="45"/>
  <c r="I410" i="45"/>
  <c r="G410" i="45"/>
  <c r="H410" i="45"/>
  <c r="J143" i="45"/>
  <c r="I143" i="45"/>
  <c r="H143" i="45"/>
  <c r="I171" i="45"/>
  <c r="J239" i="45"/>
  <c r="I239" i="45"/>
  <c r="J277" i="45"/>
  <c r="H277" i="45"/>
  <c r="G277" i="45"/>
  <c r="I287" i="45"/>
  <c r="J95" i="45"/>
  <c r="I95" i="45"/>
  <c r="H95" i="45"/>
  <c r="J127" i="45"/>
  <c r="I127" i="45"/>
  <c r="H127" i="45"/>
  <c r="J159" i="45"/>
  <c r="I159" i="45"/>
  <c r="H159" i="45"/>
  <c r="J187" i="45"/>
  <c r="H187" i="45"/>
  <c r="G187" i="45"/>
  <c r="J207" i="45"/>
  <c r="I207" i="45"/>
  <c r="H207" i="45"/>
  <c r="J265" i="45"/>
  <c r="I265" i="45"/>
  <c r="H265" i="45"/>
  <c r="I308" i="45"/>
  <c r="J317" i="45"/>
  <c r="H317" i="45"/>
  <c r="G317" i="45"/>
  <c r="J324" i="45"/>
  <c r="I324" i="45"/>
  <c r="J330" i="45"/>
  <c r="H330" i="45"/>
  <c r="G330" i="45"/>
  <c r="J346" i="45"/>
  <c r="I346" i="45"/>
  <c r="H346" i="45"/>
  <c r="J382" i="45"/>
  <c r="H382" i="45"/>
  <c r="G382" i="45"/>
  <c r="J107" i="45"/>
  <c r="H107" i="45"/>
  <c r="G107" i="45"/>
  <c r="J139" i="45"/>
  <c r="H139" i="45"/>
  <c r="G139" i="45"/>
  <c r="J191" i="45"/>
  <c r="I191" i="45"/>
  <c r="H191" i="45"/>
  <c r="J282" i="45"/>
  <c r="H282" i="45"/>
  <c r="J289" i="45"/>
  <c r="H289" i="45"/>
  <c r="G289" i="45"/>
  <c r="J111" i="45"/>
  <c r="I111" i="45"/>
  <c r="H111" i="45"/>
  <c r="I139" i="45"/>
  <c r="J175" i="45"/>
  <c r="I175" i="45"/>
  <c r="H175" i="45"/>
  <c r="J219" i="45"/>
  <c r="H219" i="45"/>
  <c r="G219" i="45"/>
  <c r="I253" i="45"/>
  <c r="J261" i="45"/>
  <c r="I261" i="45"/>
  <c r="H261" i="45"/>
  <c r="J303" i="45"/>
  <c r="I303" i="45"/>
  <c r="G325" i="45"/>
  <c r="J337" i="45"/>
  <c r="I337" i="45"/>
  <c r="J362" i="45"/>
  <c r="I362" i="45"/>
  <c r="H362" i="45"/>
  <c r="J380" i="45"/>
  <c r="I380" i="45"/>
  <c r="I390" i="45"/>
  <c r="J91" i="45"/>
  <c r="H91" i="45"/>
  <c r="G91" i="45"/>
  <c r="G111" i="45"/>
  <c r="J123" i="45"/>
  <c r="H123" i="45"/>
  <c r="G123" i="45"/>
  <c r="G143" i="45"/>
  <c r="J155" i="45"/>
  <c r="H155" i="45"/>
  <c r="G155" i="45"/>
  <c r="G175" i="45"/>
  <c r="J203" i="45"/>
  <c r="H203" i="45"/>
  <c r="G203" i="45"/>
  <c r="I219" i="45"/>
  <c r="J225" i="45"/>
  <c r="H225" i="45"/>
  <c r="G225" i="45"/>
  <c r="J237" i="45"/>
  <c r="I237" i="45"/>
  <c r="H237" i="45"/>
  <c r="G261" i="45"/>
  <c r="H266" i="45"/>
  <c r="J273" i="45"/>
  <c r="I273" i="45"/>
  <c r="H273" i="45"/>
  <c r="I277" i="45"/>
  <c r="J281" i="45"/>
  <c r="H281" i="45"/>
  <c r="G281" i="45"/>
  <c r="J301" i="45"/>
  <c r="I301" i="45"/>
  <c r="H301" i="45"/>
  <c r="J338" i="45"/>
  <c r="I338" i="45"/>
  <c r="H338" i="45"/>
  <c r="I353" i="45"/>
  <c r="G362" i="45"/>
  <c r="J366" i="45"/>
  <c r="H366" i="45"/>
  <c r="G366" i="45"/>
  <c r="J391" i="45"/>
  <c r="H391" i="45"/>
  <c r="J396" i="45"/>
  <c r="I396" i="45"/>
  <c r="I99" i="45"/>
  <c r="I115" i="45"/>
  <c r="I131" i="45"/>
  <c r="I147" i="45"/>
  <c r="I163" i="45"/>
  <c r="I179" i="45"/>
  <c r="I195" i="45"/>
  <c r="I211" i="45"/>
  <c r="I245" i="45"/>
  <c r="I249" i="45"/>
  <c r="I257" i="45"/>
  <c r="I285" i="45"/>
  <c r="I309" i="45"/>
  <c r="I313" i="45"/>
  <c r="I321" i="45"/>
  <c r="I342" i="45"/>
  <c r="I354" i="45"/>
  <c r="I358" i="45"/>
  <c r="I370" i="45"/>
  <c r="I378" i="45"/>
  <c r="I394" i="45"/>
  <c r="G398" i="45"/>
  <c r="I412" i="45"/>
  <c r="G103" i="45"/>
  <c r="G119" i="45"/>
  <c r="G135" i="45"/>
  <c r="G151" i="45"/>
  <c r="G167" i="45"/>
  <c r="G269" i="45"/>
  <c r="G293" i="45"/>
  <c r="G386" i="45"/>
  <c r="H398" i="45"/>
  <c r="G402" i="45"/>
  <c r="I222" i="45"/>
  <c r="G222" i="45"/>
  <c r="H227" i="45"/>
  <c r="G227" i="45"/>
  <c r="G232" i="45"/>
  <c r="H232" i="45"/>
  <c r="I238" i="45"/>
  <c r="G238" i="45"/>
  <c r="H243" i="45"/>
  <c r="G243" i="45"/>
  <c r="G248" i="45"/>
  <c r="H248" i="45"/>
  <c r="I254" i="45"/>
  <c r="G254" i="45"/>
  <c r="H259" i="45"/>
  <c r="G259" i="45"/>
  <c r="G264" i="45"/>
  <c r="H264" i="45"/>
  <c r="I270" i="45"/>
  <c r="G270" i="45"/>
  <c r="H275" i="45"/>
  <c r="G275" i="45"/>
  <c r="G280" i="45"/>
  <c r="H280" i="45"/>
  <c r="I286" i="45"/>
  <c r="G286" i="45"/>
  <c r="H291" i="45"/>
  <c r="G291" i="45"/>
  <c r="G296" i="45"/>
  <c r="H296" i="45"/>
  <c r="I302" i="45"/>
  <c r="G302" i="45"/>
  <c r="H307" i="45"/>
  <c r="G307" i="45"/>
  <c r="G312" i="45"/>
  <c r="H312" i="45"/>
  <c r="I318" i="45"/>
  <c r="G318" i="45"/>
  <c r="H323" i="45"/>
  <c r="G323" i="45"/>
  <c r="H328" i="45"/>
  <c r="G328" i="45"/>
  <c r="I328" i="45"/>
  <c r="I331" i="45"/>
  <c r="G331" i="45"/>
  <c r="I335" i="45"/>
  <c r="G335" i="45"/>
  <c r="J335" i="45"/>
  <c r="I339" i="45"/>
  <c r="G339" i="45"/>
  <c r="H339" i="45"/>
  <c r="G341" i="45"/>
  <c r="H341" i="45"/>
  <c r="G345" i="45"/>
  <c r="H345" i="45"/>
  <c r="J345" i="45"/>
  <c r="G349" i="45"/>
  <c r="H349" i="45"/>
  <c r="I349" i="45"/>
  <c r="H352" i="45"/>
  <c r="G352" i="45"/>
  <c r="H356" i="45"/>
  <c r="G356" i="45"/>
  <c r="J356" i="45"/>
  <c r="H360" i="45"/>
  <c r="G360" i="45"/>
  <c r="I360" i="45"/>
  <c r="I363" i="45"/>
  <c r="G363" i="45"/>
  <c r="I367" i="45"/>
  <c r="G367" i="45"/>
  <c r="J367" i="45"/>
  <c r="I371" i="45"/>
  <c r="G371" i="45"/>
  <c r="H371" i="45"/>
  <c r="G373" i="45"/>
  <c r="H373" i="45"/>
  <c r="G377" i="45"/>
  <c r="H377" i="45"/>
  <c r="J377" i="45"/>
  <c r="G381" i="45"/>
  <c r="H381" i="45"/>
  <c r="I381" i="45"/>
  <c r="H384" i="45"/>
  <c r="G384" i="45"/>
  <c r="H388" i="45"/>
  <c r="G388" i="45"/>
  <c r="J388" i="45"/>
  <c r="I388" i="45"/>
  <c r="G393" i="45"/>
  <c r="H393" i="45"/>
  <c r="J393" i="45"/>
  <c r="I393" i="45"/>
  <c r="I399" i="45"/>
  <c r="G399" i="45"/>
  <c r="J399" i="45"/>
  <c r="H399" i="45"/>
  <c r="H404" i="45"/>
  <c r="G404" i="45"/>
  <c r="J404" i="45"/>
  <c r="I404" i="45"/>
  <c r="G409" i="45"/>
  <c r="H409" i="45"/>
  <c r="J409" i="45"/>
  <c r="I409" i="45"/>
  <c r="G88" i="45"/>
  <c r="G89" i="45"/>
  <c r="H90" i="45"/>
  <c r="G92" i="45"/>
  <c r="G93" i="45"/>
  <c r="H94" i="45"/>
  <c r="G96" i="45"/>
  <c r="G97" i="45"/>
  <c r="H98" i="45"/>
  <c r="G100" i="45"/>
  <c r="G101" i="45"/>
  <c r="H102" i="45"/>
  <c r="G104" i="45"/>
  <c r="G105" i="45"/>
  <c r="H106" i="45"/>
  <c r="G108" i="45"/>
  <c r="G109" i="45"/>
  <c r="H110" i="45"/>
  <c r="G112" i="45"/>
  <c r="G113" i="45"/>
  <c r="H114" i="45"/>
  <c r="G116" i="45"/>
  <c r="G117" i="45"/>
  <c r="H118" i="45"/>
  <c r="G120" i="45"/>
  <c r="G121" i="45"/>
  <c r="H122" i="45"/>
  <c r="G124" i="45"/>
  <c r="G125" i="45"/>
  <c r="H126" i="45"/>
  <c r="G128" i="45"/>
  <c r="G129" i="45"/>
  <c r="H130" i="45"/>
  <c r="G132" i="45"/>
  <c r="G133" i="45"/>
  <c r="H134" i="45"/>
  <c r="G136" i="45"/>
  <c r="G137" i="45"/>
  <c r="H138" i="45"/>
  <c r="G140" i="45"/>
  <c r="G141" i="45"/>
  <c r="H142" i="45"/>
  <c r="G144" i="45"/>
  <c r="G145" i="45"/>
  <c r="H146" i="45"/>
  <c r="G148" i="45"/>
  <c r="G149" i="45"/>
  <c r="H150" i="45"/>
  <c r="G152" i="45"/>
  <c r="G153" i="45"/>
  <c r="H154" i="45"/>
  <c r="G156" i="45"/>
  <c r="G157" i="45"/>
  <c r="H158" i="45"/>
  <c r="G160" i="45"/>
  <c r="G161" i="45"/>
  <c r="H162" i="45"/>
  <c r="G164" i="45"/>
  <c r="G165" i="45"/>
  <c r="H166" i="45"/>
  <c r="G168" i="45"/>
  <c r="G169" i="45"/>
  <c r="H170" i="45"/>
  <c r="G172" i="45"/>
  <c r="G173" i="45"/>
  <c r="H174" i="45"/>
  <c r="G176" i="45"/>
  <c r="G177" i="45"/>
  <c r="H178" i="45"/>
  <c r="G180" i="45"/>
  <c r="G181" i="45"/>
  <c r="H182" i="45"/>
  <c r="G184" i="45"/>
  <c r="G185" i="45"/>
  <c r="H186" i="45"/>
  <c r="G188" i="45"/>
  <c r="G189" i="45"/>
  <c r="H190" i="45"/>
  <c r="G192" i="45"/>
  <c r="G193" i="45"/>
  <c r="H194" i="45"/>
  <c r="G196" i="45"/>
  <c r="G197" i="45"/>
  <c r="H198" i="45"/>
  <c r="G200" i="45"/>
  <c r="G201" i="45"/>
  <c r="H202" i="45"/>
  <c r="G204" i="45"/>
  <c r="G205" i="45"/>
  <c r="H206" i="45"/>
  <c r="G208" i="45"/>
  <c r="G209" i="45"/>
  <c r="H210" i="45"/>
  <c r="G212" i="45"/>
  <c r="G213" i="45"/>
  <c r="H214" i="45"/>
  <c r="G216" i="45"/>
  <c r="G217" i="45"/>
  <c r="H218" i="45"/>
  <c r="G220" i="45"/>
  <c r="G221" i="45"/>
  <c r="H222" i="45"/>
  <c r="I226" i="45"/>
  <c r="G226" i="45"/>
  <c r="I227" i="45"/>
  <c r="H231" i="45"/>
  <c r="G231" i="45"/>
  <c r="I232" i="45"/>
  <c r="G236" i="45"/>
  <c r="H236" i="45"/>
  <c r="H238" i="45"/>
  <c r="I242" i="45"/>
  <c r="G242" i="45"/>
  <c r="I243" i="45"/>
  <c r="H247" i="45"/>
  <c r="G247" i="45"/>
  <c r="I248" i="45"/>
  <c r="G252" i="45"/>
  <c r="H252" i="45"/>
  <c r="H254" i="45"/>
  <c r="I258" i="45"/>
  <c r="G258" i="45"/>
  <c r="I259" i="45"/>
  <c r="H263" i="45"/>
  <c r="G263" i="45"/>
  <c r="I264" i="45"/>
  <c r="G268" i="45"/>
  <c r="H268" i="45"/>
  <c r="H270" i="45"/>
  <c r="I274" i="45"/>
  <c r="G274" i="45"/>
  <c r="I275" i="45"/>
  <c r="H279" i="45"/>
  <c r="G279" i="45"/>
  <c r="I280" i="45"/>
  <c r="G284" i="45"/>
  <c r="H284" i="45"/>
  <c r="H286" i="45"/>
  <c r="I290" i="45"/>
  <c r="G290" i="45"/>
  <c r="I291" i="45"/>
  <c r="H295" i="45"/>
  <c r="G295" i="45"/>
  <c r="I296" i="45"/>
  <c r="G300" i="45"/>
  <c r="H300" i="45"/>
  <c r="H302" i="45"/>
  <c r="I306" i="45"/>
  <c r="G306" i="45"/>
  <c r="I307" i="45"/>
  <c r="H311" i="45"/>
  <c r="G311" i="45"/>
  <c r="I312" i="45"/>
  <c r="G316" i="45"/>
  <c r="H316" i="45"/>
  <c r="H318" i="45"/>
  <c r="I322" i="45"/>
  <c r="G322" i="45"/>
  <c r="I323" i="45"/>
  <c r="H327" i="45"/>
  <c r="G327" i="45"/>
  <c r="J328" i="45"/>
  <c r="H331" i="45"/>
  <c r="H335" i="45"/>
  <c r="J339" i="45"/>
  <c r="I341" i="45"/>
  <c r="I345" i="45"/>
  <c r="J349" i="45"/>
  <c r="I352" i="45"/>
  <c r="I356" i="45"/>
  <c r="J360" i="45"/>
  <c r="H363" i="45"/>
  <c r="H367" i="45"/>
  <c r="J371" i="45"/>
  <c r="I373" i="45"/>
  <c r="I377" i="45"/>
  <c r="J381" i="45"/>
  <c r="I384" i="45"/>
  <c r="G389" i="45"/>
  <c r="H389" i="45"/>
  <c r="J389" i="45"/>
  <c r="I395" i="45"/>
  <c r="G395" i="45"/>
  <c r="J395" i="45"/>
  <c r="H400" i="45"/>
  <c r="G400" i="45"/>
  <c r="J400" i="45"/>
  <c r="G405" i="45"/>
  <c r="H405" i="45"/>
  <c r="J405" i="45"/>
  <c r="I411" i="45"/>
  <c r="G411" i="45"/>
  <c r="J411" i="45"/>
  <c r="H88" i="45"/>
  <c r="I89" i="45"/>
  <c r="I90" i="45"/>
  <c r="H92" i="45"/>
  <c r="I93" i="45"/>
  <c r="I94" i="45"/>
  <c r="H96" i="45"/>
  <c r="I97" i="45"/>
  <c r="I98" i="45"/>
  <c r="H100" i="45"/>
  <c r="I101" i="45"/>
  <c r="I102" i="45"/>
  <c r="H104" i="45"/>
  <c r="I105" i="45"/>
  <c r="I106" i="45"/>
  <c r="H108" i="45"/>
  <c r="I109" i="45"/>
  <c r="I110" i="45"/>
  <c r="H112" i="45"/>
  <c r="I113" i="45"/>
  <c r="I114" i="45"/>
  <c r="H116" i="45"/>
  <c r="I117" i="45"/>
  <c r="I118" i="45"/>
  <c r="H120" i="45"/>
  <c r="I121" i="45"/>
  <c r="I122" i="45"/>
  <c r="H124" i="45"/>
  <c r="I125" i="45"/>
  <c r="I126" i="45"/>
  <c r="H128" i="45"/>
  <c r="I129" i="45"/>
  <c r="I130" i="45"/>
  <c r="H132" i="45"/>
  <c r="I133" i="45"/>
  <c r="I134" i="45"/>
  <c r="H136" i="45"/>
  <c r="I137" i="45"/>
  <c r="I138" i="45"/>
  <c r="H140" i="45"/>
  <c r="I141" i="45"/>
  <c r="I142" i="45"/>
  <c r="H144" i="45"/>
  <c r="I145" i="45"/>
  <c r="I146" i="45"/>
  <c r="H148" i="45"/>
  <c r="I149" i="45"/>
  <c r="I150" i="45"/>
  <c r="H152" i="45"/>
  <c r="I153" i="45"/>
  <c r="I154" i="45"/>
  <c r="H156" i="45"/>
  <c r="I157" i="45"/>
  <c r="I158" i="45"/>
  <c r="H160" i="45"/>
  <c r="I161" i="45"/>
  <c r="I162" i="45"/>
  <c r="H164" i="45"/>
  <c r="I165" i="45"/>
  <c r="I166" i="45"/>
  <c r="H168" i="45"/>
  <c r="I169" i="45"/>
  <c r="I170" i="45"/>
  <c r="H172" i="45"/>
  <c r="I173" i="45"/>
  <c r="I174" i="45"/>
  <c r="H176" i="45"/>
  <c r="I177" i="45"/>
  <c r="I178" i="45"/>
  <c r="H180" i="45"/>
  <c r="I181" i="45"/>
  <c r="I182" i="45"/>
  <c r="H184" i="45"/>
  <c r="I185" i="45"/>
  <c r="I186" i="45"/>
  <c r="H188" i="45"/>
  <c r="I189" i="45"/>
  <c r="I190" i="45"/>
  <c r="H192" i="45"/>
  <c r="I193" i="45"/>
  <c r="I194" i="45"/>
  <c r="H196" i="45"/>
  <c r="I197" i="45"/>
  <c r="I198" i="45"/>
  <c r="H200" i="45"/>
  <c r="I201" i="45"/>
  <c r="I202" i="45"/>
  <c r="H204" i="45"/>
  <c r="I205" i="45"/>
  <c r="I206" i="45"/>
  <c r="H208" i="45"/>
  <c r="I209" i="45"/>
  <c r="I210" i="45"/>
  <c r="H212" i="45"/>
  <c r="I213" i="45"/>
  <c r="I214" i="45"/>
  <c r="H216" i="45"/>
  <c r="I217" i="45"/>
  <c r="I218" i="45"/>
  <c r="H220" i="45"/>
  <c r="I221" i="45"/>
  <c r="J222" i="45"/>
  <c r="G224" i="45"/>
  <c r="H224" i="45"/>
  <c r="H226" i="45"/>
  <c r="J227" i="45"/>
  <c r="I230" i="45"/>
  <c r="G230" i="45"/>
  <c r="I231" i="45"/>
  <c r="J232" i="45"/>
  <c r="H235" i="45"/>
  <c r="G235" i="45"/>
  <c r="I236" i="45"/>
  <c r="J238" i="45"/>
  <c r="G240" i="45"/>
  <c r="H240" i="45"/>
  <c r="H242" i="45"/>
  <c r="J243" i="45"/>
  <c r="I246" i="45"/>
  <c r="G246" i="45"/>
  <c r="I247" i="45"/>
  <c r="J248" i="45"/>
  <c r="H251" i="45"/>
  <c r="G251" i="45"/>
  <c r="I252" i="45"/>
  <c r="J254" i="45"/>
  <c r="G256" i="45"/>
  <c r="H256" i="45"/>
  <c r="H258" i="45"/>
  <c r="J259" i="45"/>
  <c r="I262" i="45"/>
  <c r="G262" i="45"/>
  <c r="I263" i="45"/>
  <c r="J264" i="45"/>
  <c r="H267" i="45"/>
  <c r="G267" i="45"/>
  <c r="I268" i="45"/>
  <c r="J270" i="45"/>
  <c r="G272" i="45"/>
  <c r="H272" i="45"/>
  <c r="H274" i="45"/>
  <c r="J275" i="45"/>
  <c r="I278" i="45"/>
  <c r="G278" i="45"/>
  <c r="I279" i="45"/>
  <c r="J280" i="45"/>
  <c r="H283" i="45"/>
  <c r="G283" i="45"/>
  <c r="I284" i="45"/>
  <c r="J286" i="45"/>
  <c r="G288" i="45"/>
  <c r="H288" i="45"/>
  <c r="H290" i="45"/>
  <c r="J291" i="45"/>
  <c r="I294" i="45"/>
  <c r="G294" i="45"/>
  <c r="I295" i="45"/>
  <c r="J296" i="45"/>
  <c r="H299" i="45"/>
  <c r="G299" i="45"/>
  <c r="I300" i="45"/>
  <c r="J302" i="45"/>
  <c r="G304" i="45"/>
  <c r="H304" i="45"/>
  <c r="H306" i="45"/>
  <c r="J307" i="45"/>
  <c r="I310" i="45"/>
  <c r="G310" i="45"/>
  <c r="I311" i="45"/>
  <c r="J312" i="45"/>
  <c r="H315" i="45"/>
  <c r="G315" i="45"/>
  <c r="I316" i="45"/>
  <c r="J318" i="45"/>
  <c r="G320" i="45"/>
  <c r="H320" i="45"/>
  <c r="H322" i="45"/>
  <c r="J323" i="45"/>
  <c r="I326" i="45"/>
  <c r="G326" i="45"/>
  <c r="I327" i="45"/>
  <c r="G329" i="45"/>
  <c r="H329" i="45"/>
  <c r="J329" i="45"/>
  <c r="J331" i="45"/>
  <c r="G333" i="45"/>
  <c r="H333" i="45"/>
  <c r="I333" i="45"/>
  <c r="H336" i="45"/>
  <c r="G336" i="45"/>
  <c r="H340" i="45"/>
  <c r="G340" i="45"/>
  <c r="J340" i="45"/>
  <c r="J341" i="45"/>
  <c r="H344" i="45"/>
  <c r="G344" i="45"/>
  <c r="I344" i="45"/>
  <c r="I347" i="45"/>
  <c r="G347" i="45"/>
  <c r="I351" i="45"/>
  <c r="G351" i="45"/>
  <c r="J351" i="45"/>
  <c r="J352" i="45"/>
  <c r="I355" i="45"/>
  <c r="G355" i="45"/>
  <c r="H355" i="45"/>
  <c r="G357" i="45"/>
  <c r="H357" i="45"/>
  <c r="G361" i="45"/>
  <c r="H361" i="45"/>
  <c r="J361" i="45"/>
  <c r="J363" i="45"/>
  <c r="G365" i="45"/>
  <c r="H365" i="45"/>
  <c r="I365" i="45"/>
  <c r="H368" i="45"/>
  <c r="G368" i="45"/>
  <c r="H372" i="45"/>
  <c r="G372" i="45"/>
  <c r="J372" i="45"/>
  <c r="J373" i="45"/>
  <c r="H376" i="45"/>
  <c r="G376" i="45"/>
  <c r="I376" i="45"/>
  <c r="I379" i="45"/>
  <c r="G379" i="45"/>
  <c r="I383" i="45"/>
  <c r="G383" i="45"/>
  <c r="J383" i="45"/>
  <c r="J384" i="45"/>
  <c r="I387" i="45"/>
  <c r="G387" i="45"/>
  <c r="H387" i="45"/>
  <c r="I389" i="45"/>
  <c r="H395" i="45"/>
  <c r="I400" i="45"/>
  <c r="I405" i="45"/>
  <c r="H411" i="45"/>
  <c r="J88" i="45"/>
  <c r="J89" i="45"/>
  <c r="J90" i="45"/>
  <c r="J92" i="45"/>
  <c r="J93" i="45"/>
  <c r="J94" i="45"/>
  <c r="J96" i="45"/>
  <c r="J97" i="45"/>
  <c r="J98" i="45"/>
  <c r="J100" i="45"/>
  <c r="J101" i="45"/>
  <c r="J102" i="45"/>
  <c r="J104" i="45"/>
  <c r="J105" i="45"/>
  <c r="J106" i="45"/>
  <c r="J108" i="45"/>
  <c r="J109" i="45"/>
  <c r="J110" i="45"/>
  <c r="J112" i="45"/>
  <c r="J113" i="45"/>
  <c r="J114" i="45"/>
  <c r="J116" i="45"/>
  <c r="J117" i="45"/>
  <c r="J118" i="45"/>
  <c r="J120" i="45"/>
  <c r="J121" i="45"/>
  <c r="J122" i="45"/>
  <c r="J124" i="45"/>
  <c r="J125" i="45"/>
  <c r="J126" i="45"/>
  <c r="J128" i="45"/>
  <c r="J129" i="45"/>
  <c r="J130" i="45"/>
  <c r="J132" i="45"/>
  <c r="J133" i="45"/>
  <c r="J134" i="45"/>
  <c r="J136" i="45"/>
  <c r="J137" i="45"/>
  <c r="J138" i="45"/>
  <c r="J140" i="45"/>
  <c r="J141" i="45"/>
  <c r="J142" i="45"/>
  <c r="J144" i="45"/>
  <c r="J145" i="45"/>
  <c r="J146" i="45"/>
  <c r="J148" i="45"/>
  <c r="J149" i="45"/>
  <c r="J150" i="45"/>
  <c r="J152" i="45"/>
  <c r="J153" i="45"/>
  <c r="J154" i="45"/>
  <c r="J156" i="45"/>
  <c r="J157" i="45"/>
  <c r="J158" i="45"/>
  <c r="J160" i="45"/>
  <c r="J161" i="45"/>
  <c r="J162" i="45"/>
  <c r="J164" i="45"/>
  <c r="J165" i="45"/>
  <c r="J166" i="45"/>
  <c r="J168" i="45"/>
  <c r="J169" i="45"/>
  <c r="J170" i="45"/>
  <c r="J172" i="45"/>
  <c r="J173" i="45"/>
  <c r="J174" i="45"/>
  <c r="J176" i="45"/>
  <c r="J177" i="45"/>
  <c r="J178" i="45"/>
  <c r="J180" i="45"/>
  <c r="J181" i="45"/>
  <c r="J182" i="45"/>
  <c r="J184" i="45"/>
  <c r="J185" i="45"/>
  <c r="J186" i="45"/>
  <c r="J188" i="45"/>
  <c r="J189" i="45"/>
  <c r="J190" i="45"/>
  <c r="J192" i="45"/>
  <c r="J193" i="45"/>
  <c r="J194" i="45"/>
  <c r="J196" i="45"/>
  <c r="J197" i="45"/>
  <c r="J198" i="45"/>
  <c r="J200" i="45"/>
  <c r="J201" i="45"/>
  <c r="J202" i="45"/>
  <c r="J204" i="45"/>
  <c r="J205" i="45"/>
  <c r="J206" i="45"/>
  <c r="J208" i="45"/>
  <c r="J209" i="45"/>
  <c r="J210" i="45"/>
  <c r="J212" i="45"/>
  <c r="J213" i="45"/>
  <c r="J214" i="45"/>
  <c r="J216" i="45"/>
  <c r="J217" i="45"/>
  <c r="J218" i="45"/>
  <c r="J220" i="45"/>
  <c r="J221" i="45"/>
  <c r="H223" i="45"/>
  <c r="G223" i="45"/>
  <c r="I224" i="45"/>
  <c r="J226" i="45"/>
  <c r="G228" i="45"/>
  <c r="H228" i="45"/>
  <c r="H230" i="45"/>
  <c r="J231" i="45"/>
  <c r="I234" i="45"/>
  <c r="G234" i="45"/>
  <c r="I235" i="45"/>
  <c r="J236" i="45"/>
  <c r="H239" i="45"/>
  <c r="G239" i="45"/>
  <c r="I240" i="45"/>
  <c r="J242" i="45"/>
  <c r="G244" i="45"/>
  <c r="H244" i="45"/>
  <c r="H246" i="45"/>
  <c r="J247" i="45"/>
  <c r="I250" i="45"/>
  <c r="G250" i="45"/>
  <c r="I251" i="45"/>
  <c r="J252" i="45"/>
  <c r="H255" i="45"/>
  <c r="G255" i="45"/>
  <c r="I256" i="45"/>
  <c r="J258" i="45"/>
  <c r="G260" i="45"/>
  <c r="H260" i="45"/>
  <c r="H262" i="45"/>
  <c r="J263" i="45"/>
  <c r="I266" i="45"/>
  <c r="G266" i="45"/>
  <c r="I267" i="45"/>
  <c r="J268" i="45"/>
  <c r="H271" i="45"/>
  <c r="G271" i="45"/>
  <c r="I272" i="45"/>
  <c r="J274" i="45"/>
  <c r="G276" i="45"/>
  <c r="H276" i="45"/>
  <c r="H278" i="45"/>
  <c r="J279" i="45"/>
  <c r="I282" i="45"/>
  <c r="G282" i="45"/>
  <c r="I283" i="45"/>
  <c r="J284" i="45"/>
  <c r="H287" i="45"/>
  <c r="G287" i="45"/>
  <c r="I288" i="45"/>
  <c r="J290" i="45"/>
  <c r="G292" i="45"/>
  <c r="H292" i="45"/>
  <c r="H294" i="45"/>
  <c r="J295" i="45"/>
  <c r="I298" i="45"/>
  <c r="G298" i="45"/>
  <c r="I299" i="45"/>
  <c r="J300" i="45"/>
  <c r="H303" i="45"/>
  <c r="G303" i="45"/>
  <c r="I304" i="45"/>
  <c r="J306" i="45"/>
  <c r="G308" i="45"/>
  <c r="H308" i="45"/>
  <c r="H310" i="45"/>
  <c r="J311" i="45"/>
  <c r="I314" i="45"/>
  <c r="G314" i="45"/>
  <c r="I315" i="45"/>
  <c r="J316" i="45"/>
  <c r="H319" i="45"/>
  <c r="G319" i="45"/>
  <c r="I320" i="45"/>
  <c r="J322" i="45"/>
  <c r="G324" i="45"/>
  <c r="H324" i="45"/>
  <c r="H326" i="45"/>
  <c r="J327" i="45"/>
  <c r="I329" i="45"/>
  <c r="J333" i="45"/>
  <c r="I336" i="45"/>
  <c r="I340" i="45"/>
  <c r="J344" i="45"/>
  <c r="H347" i="45"/>
  <c r="H351" i="45"/>
  <c r="J355" i="45"/>
  <c r="I357" i="45"/>
  <c r="I361" i="45"/>
  <c r="J365" i="45"/>
  <c r="I368" i="45"/>
  <c r="I372" i="45"/>
  <c r="J376" i="45"/>
  <c r="H379" i="45"/>
  <c r="H383" i="45"/>
  <c r="J387" i="45"/>
  <c r="H392" i="45"/>
  <c r="G392" i="45"/>
  <c r="G397" i="45"/>
  <c r="H397" i="45"/>
  <c r="I403" i="45"/>
  <c r="G403" i="45"/>
  <c r="H408" i="45"/>
  <c r="G408" i="45"/>
  <c r="F27" i="45"/>
  <c r="F31" i="45"/>
  <c r="F35" i="45"/>
  <c r="F39" i="45"/>
  <c r="F43" i="45"/>
  <c r="F47" i="45"/>
  <c r="F51" i="45"/>
  <c r="F55" i="45"/>
  <c r="F59" i="45"/>
  <c r="F63" i="45"/>
  <c r="F67" i="45"/>
  <c r="F71" i="45"/>
  <c r="F75" i="45"/>
  <c r="F79" i="45"/>
  <c r="H332" i="45"/>
  <c r="G332" i="45"/>
  <c r="G337" i="45"/>
  <c r="H337" i="45"/>
  <c r="I343" i="45"/>
  <c r="G343" i="45"/>
  <c r="H348" i="45"/>
  <c r="G348" i="45"/>
  <c r="G353" i="45"/>
  <c r="H353" i="45"/>
  <c r="I359" i="45"/>
  <c r="G359" i="45"/>
  <c r="H364" i="45"/>
  <c r="G364" i="45"/>
  <c r="G369" i="45"/>
  <c r="H369" i="45"/>
  <c r="I375" i="45"/>
  <c r="G375" i="45"/>
  <c r="H380" i="45"/>
  <c r="G380" i="45"/>
  <c r="G385" i="45"/>
  <c r="H385" i="45"/>
  <c r="I391" i="45"/>
  <c r="G391" i="45"/>
  <c r="I392" i="45"/>
  <c r="H396" i="45"/>
  <c r="G396" i="45"/>
  <c r="I397" i="45"/>
  <c r="G401" i="45"/>
  <c r="H401" i="45"/>
  <c r="H403" i="45"/>
  <c r="I407" i="45"/>
  <c r="G407" i="45"/>
  <c r="I408" i="45"/>
  <c r="H412" i="45"/>
  <c r="G412" i="45"/>
  <c r="J17" i="46"/>
  <c r="J17" i="45"/>
  <c r="J16" i="46"/>
  <c r="G28" i="46"/>
  <c r="H28" i="46"/>
  <c r="I28" i="46"/>
  <c r="J28" i="46"/>
  <c r="G36" i="46"/>
  <c r="H36" i="46"/>
  <c r="I36" i="46"/>
  <c r="J36" i="46"/>
  <c r="G34" i="46"/>
  <c r="H34" i="46"/>
  <c r="I34" i="46"/>
  <c r="J34" i="46"/>
  <c r="G42" i="46"/>
  <c r="H42" i="46"/>
  <c r="I42" i="46"/>
  <c r="J42" i="46"/>
  <c r="G38" i="46"/>
  <c r="H38" i="46"/>
  <c r="I38" i="46"/>
  <c r="J38" i="46"/>
  <c r="G44" i="46"/>
  <c r="H44" i="46"/>
  <c r="I44" i="46"/>
  <c r="J44" i="46"/>
  <c r="G26" i="46"/>
  <c r="H26" i="46"/>
  <c r="I26" i="46"/>
  <c r="J26" i="46"/>
  <c r="G45" i="46"/>
  <c r="H45" i="46"/>
  <c r="I45" i="46"/>
  <c r="J45" i="46"/>
  <c r="G49" i="46"/>
  <c r="H49" i="46"/>
  <c r="I49" i="46"/>
  <c r="J49" i="46"/>
  <c r="G30" i="46"/>
  <c r="H30" i="46"/>
  <c r="I30" i="46"/>
  <c r="J30" i="46"/>
  <c r="G32" i="46"/>
  <c r="H32" i="46"/>
  <c r="I32" i="46"/>
  <c r="J32" i="46"/>
  <c r="G40" i="46"/>
  <c r="H40" i="46"/>
  <c r="I40" i="46"/>
  <c r="J40" i="46"/>
  <c r="G51" i="46"/>
  <c r="H51" i="46"/>
  <c r="I51" i="46"/>
  <c r="J51" i="46"/>
  <c r="G43" i="46"/>
  <c r="H43" i="46"/>
  <c r="I43" i="46"/>
  <c r="J43" i="46"/>
  <c r="G52" i="46"/>
  <c r="H52" i="46"/>
  <c r="I52" i="46"/>
  <c r="J52" i="46"/>
  <c r="G33" i="46"/>
  <c r="H33" i="46"/>
  <c r="I33" i="46"/>
  <c r="J33" i="46"/>
  <c r="G41" i="46"/>
  <c r="H41" i="46"/>
  <c r="I41" i="46"/>
  <c r="J41" i="46"/>
  <c r="G46" i="46"/>
  <c r="H46" i="46"/>
  <c r="I46" i="46"/>
  <c r="J46" i="46"/>
  <c r="G47" i="46"/>
  <c r="H47" i="46"/>
  <c r="I47" i="46"/>
  <c r="J47" i="46"/>
  <c r="G27" i="46"/>
  <c r="H27" i="46"/>
  <c r="I27" i="46"/>
  <c r="J27" i="46"/>
  <c r="G48" i="46"/>
  <c r="H48" i="46"/>
  <c r="I48" i="46"/>
  <c r="J48" i="46"/>
  <c r="G31" i="46"/>
  <c r="H31" i="46"/>
  <c r="I31" i="46"/>
  <c r="J31" i="46"/>
  <c r="G35" i="46"/>
  <c r="H35" i="46"/>
  <c r="I35" i="46"/>
  <c r="J35" i="46"/>
  <c r="G39" i="46"/>
  <c r="H39" i="46"/>
  <c r="I39" i="46"/>
  <c r="J39" i="46"/>
  <c r="G29" i="46"/>
  <c r="H29" i="46"/>
  <c r="I29" i="46"/>
  <c r="J29" i="46"/>
  <c r="G37" i="46"/>
  <c r="H37" i="46"/>
  <c r="I37" i="46"/>
  <c r="J37" i="46"/>
  <c r="G50" i="46"/>
  <c r="H50" i="46"/>
  <c r="I50" i="46"/>
  <c r="J50" i="46"/>
  <c r="G25" i="46"/>
  <c r="H25" i="46"/>
  <c r="I25" i="46"/>
  <c r="J25" i="46"/>
  <c r="J16" i="45"/>
  <c r="G73" i="45"/>
  <c r="G72" i="45"/>
  <c r="H72" i="45"/>
  <c r="I72" i="45"/>
  <c r="J72" i="45"/>
  <c r="G57" i="45"/>
  <c r="H57" i="45"/>
  <c r="I57" i="45"/>
  <c r="J57" i="45"/>
  <c r="G41" i="45"/>
  <c r="H41" i="45"/>
  <c r="I41" i="45"/>
  <c r="J41" i="45"/>
  <c r="G25" i="45"/>
  <c r="G56" i="45"/>
  <c r="H56" i="45"/>
  <c r="I56" i="45"/>
  <c r="J56" i="45"/>
  <c r="G40" i="45"/>
  <c r="H40" i="45"/>
  <c r="I40" i="45"/>
  <c r="J40" i="45"/>
  <c r="G38" i="45"/>
  <c r="H38" i="45"/>
  <c r="I38" i="45"/>
  <c r="J38" i="45"/>
  <c r="G54" i="45"/>
  <c r="G70" i="45"/>
  <c r="H70" i="45"/>
  <c r="I70" i="45"/>
  <c r="J70" i="45"/>
  <c r="G82" i="45"/>
  <c r="H82" i="45"/>
  <c r="I82" i="45"/>
  <c r="J82" i="45"/>
  <c r="G30" i="45"/>
  <c r="H30" i="45"/>
  <c r="I30" i="45"/>
  <c r="J30" i="45"/>
  <c r="G49" i="45"/>
  <c r="G62" i="45"/>
  <c r="H62" i="45"/>
  <c r="I62" i="45"/>
  <c r="J62" i="45"/>
  <c r="G81" i="45"/>
  <c r="H81" i="45"/>
  <c r="I81" i="45"/>
  <c r="J81" i="45"/>
  <c r="G45" i="45"/>
  <c r="H45" i="45"/>
  <c r="I45" i="45"/>
  <c r="J45" i="45"/>
  <c r="G60" i="45"/>
  <c r="G74" i="45"/>
  <c r="H74" i="45"/>
  <c r="I74" i="45"/>
  <c r="J74" i="45"/>
  <c r="G66" i="45"/>
  <c r="H66" i="45"/>
  <c r="I66" i="45"/>
  <c r="J66" i="45"/>
  <c r="G83" i="45"/>
  <c r="H83" i="45"/>
  <c r="I83" i="45"/>
  <c r="J83" i="45"/>
  <c r="G32" i="45"/>
  <c r="G64" i="45"/>
  <c r="H64" i="45"/>
  <c r="I64" i="45"/>
  <c r="J64" i="45"/>
  <c r="G26" i="45"/>
  <c r="H26" i="45"/>
  <c r="I26" i="45"/>
  <c r="J26" i="45"/>
  <c r="G61" i="45"/>
  <c r="H61" i="45"/>
  <c r="I61" i="45"/>
  <c r="J61" i="45"/>
  <c r="G76" i="45"/>
  <c r="G86" i="45"/>
  <c r="H86" i="45"/>
  <c r="I86" i="45"/>
  <c r="J86" i="45"/>
  <c r="G50" i="45"/>
  <c r="H50" i="45"/>
  <c r="I50" i="45"/>
  <c r="J50" i="45"/>
  <c r="G84" i="45"/>
  <c r="H84" i="45"/>
  <c r="I84" i="45"/>
  <c r="J84" i="45"/>
  <c r="G33" i="45"/>
  <c r="G46" i="45"/>
  <c r="H46" i="45"/>
  <c r="I46" i="45"/>
  <c r="J46" i="45"/>
  <c r="G65" i="45"/>
  <c r="H65" i="45"/>
  <c r="I65" i="45"/>
  <c r="J65" i="45"/>
  <c r="G78" i="45"/>
  <c r="H78" i="45"/>
  <c r="I78" i="45"/>
  <c r="J78" i="45"/>
  <c r="G37" i="45"/>
  <c r="H37" i="45"/>
  <c r="I37" i="45"/>
  <c r="J37" i="45"/>
  <c r="G68" i="45"/>
  <c r="H68" i="45"/>
  <c r="I68" i="45"/>
  <c r="J68" i="45"/>
  <c r="G80" i="45"/>
  <c r="H80" i="45"/>
  <c r="I80" i="45"/>
  <c r="J80" i="45"/>
  <c r="G53" i="45"/>
  <c r="H53" i="45"/>
  <c r="I53" i="45"/>
  <c r="J53" i="45"/>
  <c r="G85" i="45"/>
  <c r="H85" i="45"/>
  <c r="I85" i="45"/>
  <c r="J85" i="45"/>
  <c r="G48" i="45"/>
  <c r="H48" i="45"/>
  <c r="I48" i="45"/>
  <c r="J48" i="45"/>
  <c r="G28" i="45"/>
  <c r="H28" i="45"/>
  <c r="I28" i="45"/>
  <c r="J28" i="45"/>
  <c r="G42" i="45"/>
  <c r="H42" i="45"/>
  <c r="I42" i="45"/>
  <c r="J42" i="45"/>
  <c r="G69" i="45"/>
  <c r="H69" i="45"/>
  <c r="I69" i="45"/>
  <c r="J69" i="45"/>
  <c r="G36" i="45"/>
  <c r="H36" i="45"/>
  <c r="I36" i="45"/>
  <c r="J36" i="45"/>
  <c r="G34" i="45"/>
  <c r="H34" i="45"/>
  <c r="I34" i="45"/>
  <c r="J34" i="45"/>
  <c r="G29" i="45"/>
  <c r="H29" i="45"/>
  <c r="I29" i="45"/>
  <c r="J29" i="45"/>
  <c r="G44" i="45"/>
  <c r="H44" i="45"/>
  <c r="I44" i="45"/>
  <c r="J44" i="45"/>
  <c r="G58" i="45"/>
  <c r="H58" i="45"/>
  <c r="I58" i="45"/>
  <c r="J58" i="45"/>
  <c r="G52" i="45"/>
  <c r="H52" i="45"/>
  <c r="I52" i="45"/>
  <c r="J52" i="45"/>
  <c r="G77" i="45"/>
  <c r="H77" i="45"/>
  <c r="I77" i="45"/>
  <c r="J77" i="45"/>
  <c r="G35" i="45"/>
  <c r="H35" i="45"/>
  <c r="I35" i="45"/>
  <c r="J35" i="45"/>
  <c r="G51" i="45"/>
  <c r="H51" i="45"/>
  <c r="I51" i="45"/>
  <c r="J51" i="45"/>
  <c r="G67" i="45"/>
  <c r="H67" i="45"/>
  <c r="I67" i="45"/>
  <c r="J67" i="45"/>
  <c r="G31" i="45"/>
  <c r="H31" i="45"/>
  <c r="I31" i="45"/>
  <c r="J31" i="45"/>
  <c r="G47" i="45"/>
  <c r="H47" i="45"/>
  <c r="I47" i="45"/>
  <c r="J47" i="45"/>
  <c r="G63" i="45"/>
  <c r="H63" i="45"/>
  <c r="I63" i="45"/>
  <c r="J63" i="45"/>
  <c r="G79" i="45"/>
  <c r="H79" i="45"/>
  <c r="I79" i="45"/>
  <c r="J79" i="45"/>
  <c r="G27" i="45"/>
  <c r="H27" i="45"/>
  <c r="I27" i="45"/>
  <c r="J27" i="45"/>
  <c r="G43" i="45"/>
  <c r="H43" i="45"/>
  <c r="I43" i="45"/>
  <c r="J43" i="45"/>
  <c r="G59" i="45"/>
  <c r="H59" i="45"/>
  <c r="I59" i="45"/>
  <c r="J59" i="45"/>
  <c r="G75" i="45"/>
  <c r="H75" i="45"/>
  <c r="I75" i="45"/>
  <c r="J75" i="45"/>
  <c r="G39" i="45"/>
  <c r="H39" i="45"/>
  <c r="I39" i="45"/>
  <c r="J39" i="45"/>
  <c r="G55" i="45"/>
  <c r="H55" i="45"/>
  <c r="I55" i="45"/>
  <c r="J55" i="45"/>
  <c r="G71" i="45"/>
  <c r="H71" i="45"/>
  <c r="I71" i="45"/>
  <c r="J71" i="45"/>
  <c r="D19" i="46"/>
  <c r="H33" i="45"/>
  <c r="I33" i="45"/>
  <c r="J33" i="45"/>
  <c r="H76" i="45"/>
  <c r="I76" i="45"/>
  <c r="J76" i="45"/>
  <c r="H32" i="45"/>
  <c r="I32" i="45"/>
  <c r="J32" i="45"/>
  <c r="H60" i="45"/>
  <c r="I60" i="45"/>
  <c r="J60" i="45"/>
  <c r="H49" i="45"/>
  <c r="I49" i="45"/>
  <c r="J49" i="45"/>
  <c r="H54" i="45"/>
  <c r="I54" i="45"/>
  <c r="J54" i="45"/>
  <c r="H25" i="45"/>
  <c r="I25" i="45"/>
  <c r="J25" i="45"/>
  <c r="H73" i="45"/>
  <c r="I73" i="45"/>
  <c r="J73" i="45"/>
  <c r="D19" i="45"/>
  <c r="I51" i="48"/>
  <c r="I83" i="48"/>
  <c r="G199" i="48"/>
  <c r="H253" i="48"/>
  <c r="I255" i="48"/>
  <c r="I319" i="48"/>
  <c r="H350" i="48"/>
  <c r="I406" i="48"/>
  <c r="H47" i="48"/>
  <c r="H79" i="48"/>
  <c r="I115" i="48"/>
  <c r="H199" i="48"/>
  <c r="I253" i="48"/>
  <c r="I277" i="48"/>
  <c r="H305" i="48"/>
  <c r="I401" i="48"/>
  <c r="I47" i="48"/>
  <c r="I79" i="48"/>
  <c r="I135" i="48"/>
  <c r="H219" i="48"/>
  <c r="G229" i="48"/>
  <c r="J303" i="48"/>
  <c r="G334" i="48"/>
  <c r="H282" i="48"/>
  <c r="H289" i="48"/>
  <c r="I123" i="48"/>
  <c r="H187" i="48"/>
  <c r="I203" i="48"/>
  <c r="H233" i="48"/>
  <c r="G281" i="48"/>
  <c r="G293" i="48"/>
  <c r="I324" i="48"/>
  <c r="H378" i="48"/>
  <c r="I380" i="48"/>
  <c r="J385" i="48"/>
  <c r="I402" i="48"/>
  <c r="H55" i="48"/>
  <c r="H87" i="48"/>
  <c r="I139" i="48"/>
  <c r="G187" i="48"/>
  <c r="J276" i="48"/>
  <c r="H330" i="48"/>
  <c r="J348" i="48"/>
  <c r="I39" i="48"/>
  <c r="H51" i="48"/>
  <c r="H83" i="48"/>
  <c r="I111" i="48"/>
  <c r="H171" i="48"/>
  <c r="I187" i="48"/>
  <c r="G219" i="48"/>
  <c r="G277" i="48"/>
  <c r="I281" i="48"/>
  <c r="G305" i="48"/>
  <c r="I378" i="48"/>
  <c r="I43" i="48"/>
  <c r="H59" i="48"/>
  <c r="I71" i="48"/>
  <c r="H91" i="48"/>
  <c r="I107" i="48"/>
  <c r="G115" i="48"/>
  <c r="G119" i="48"/>
  <c r="G135" i="48"/>
  <c r="G139" i="48"/>
  <c r="G143" i="48"/>
  <c r="H147" i="48"/>
  <c r="H167" i="48"/>
  <c r="G183" i="48"/>
  <c r="G203" i="48"/>
  <c r="G215" i="48"/>
  <c r="H225" i="48"/>
  <c r="H234" i="48"/>
  <c r="I239" i="48"/>
  <c r="G241" i="48"/>
  <c r="H269" i="48"/>
  <c r="H297" i="48"/>
  <c r="H317" i="48"/>
  <c r="J337" i="48"/>
  <c r="G358" i="48"/>
  <c r="J359" i="48"/>
  <c r="J364" i="48"/>
  <c r="H366" i="48"/>
  <c r="G394" i="48"/>
  <c r="G406" i="48"/>
  <c r="H407" i="48"/>
  <c r="G47" i="48"/>
  <c r="G51" i="48"/>
  <c r="G55" i="48"/>
  <c r="I75" i="48"/>
  <c r="G83" i="48"/>
  <c r="G87" i="48"/>
  <c r="H111" i="48"/>
  <c r="H115" i="48"/>
  <c r="H119" i="48"/>
  <c r="H135" i="48"/>
  <c r="H139" i="48"/>
  <c r="H143" i="48"/>
  <c r="G171" i="48"/>
  <c r="H183" i="48"/>
  <c r="H203" i="48"/>
  <c r="H215" i="48"/>
  <c r="I225" i="48"/>
  <c r="G233" i="48"/>
  <c r="H241" i="48"/>
  <c r="G253" i="48"/>
  <c r="H277" i="48"/>
  <c r="H281" i="48"/>
  <c r="G289" i="48"/>
  <c r="H293" i="48"/>
  <c r="I317" i="48"/>
  <c r="G330" i="48"/>
  <c r="G350" i="48"/>
  <c r="H358" i="48"/>
  <c r="H394" i="48"/>
  <c r="H402" i="48"/>
  <c r="H406" i="48"/>
  <c r="G59" i="48"/>
  <c r="G91" i="48"/>
  <c r="I103" i="48"/>
  <c r="G147" i="48"/>
  <c r="G167" i="48"/>
  <c r="G225" i="48"/>
  <c r="G269" i="48"/>
  <c r="I289" i="48"/>
  <c r="G297" i="48"/>
  <c r="G317" i="48"/>
  <c r="I330" i="48"/>
  <c r="G366" i="48"/>
  <c r="J175" i="48"/>
  <c r="H175" i="48"/>
  <c r="G175" i="48"/>
  <c r="J237" i="48"/>
  <c r="H237" i="48"/>
  <c r="G237" i="48"/>
  <c r="J244" i="48"/>
  <c r="I244" i="48"/>
  <c r="J257" i="48"/>
  <c r="I257" i="48"/>
  <c r="H257" i="48"/>
  <c r="J265" i="48"/>
  <c r="H265" i="48"/>
  <c r="G265" i="48"/>
  <c r="J391" i="48"/>
  <c r="H391" i="48"/>
  <c r="J398" i="48"/>
  <c r="H398" i="48"/>
  <c r="G398" i="48"/>
  <c r="F25" i="48"/>
  <c r="G31" i="48"/>
  <c r="G63" i="48"/>
  <c r="G67" i="48"/>
  <c r="G99" i="48"/>
  <c r="J131" i="48"/>
  <c r="H131" i="48"/>
  <c r="G131" i="48"/>
  <c r="J151" i="48"/>
  <c r="I151" i="48"/>
  <c r="H151" i="48"/>
  <c r="I175" i="48"/>
  <c r="J245" i="48"/>
  <c r="I245" i="48"/>
  <c r="H245" i="48"/>
  <c r="G257" i="48"/>
  <c r="I265" i="48"/>
  <c r="J287" i="48"/>
  <c r="I287" i="48"/>
  <c r="J386" i="48"/>
  <c r="H386" i="48"/>
  <c r="G386" i="48"/>
  <c r="I31" i="48"/>
  <c r="I35" i="48"/>
  <c r="H39" i="48"/>
  <c r="H43" i="48"/>
  <c r="I63" i="48"/>
  <c r="I67" i="48"/>
  <c r="H71" i="48"/>
  <c r="H75" i="48"/>
  <c r="G79" i="48"/>
  <c r="I95" i="48"/>
  <c r="I99" i="48"/>
  <c r="H103" i="48"/>
  <c r="H107" i="48"/>
  <c r="G111" i="48"/>
  <c r="J123" i="48"/>
  <c r="H123" i="48"/>
  <c r="J127" i="48"/>
  <c r="H127" i="48"/>
  <c r="G127" i="48"/>
  <c r="J191" i="48"/>
  <c r="H191" i="48"/>
  <c r="G191" i="48"/>
  <c r="J211" i="48"/>
  <c r="I211" i="48"/>
  <c r="H211" i="48"/>
  <c r="I228" i="48"/>
  <c r="J249" i="48"/>
  <c r="I249" i="48"/>
  <c r="H249" i="48"/>
  <c r="J261" i="48"/>
  <c r="H261" i="48"/>
  <c r="G261" i="48"/>
  <c r="I271" i="48"/>
  <c r="I292" i="48"/>
  <c r="J313" i="48"/>
  <c r="I313" i="48"/>
  <c r="H313" i="48"/>
  <c r="J325" i="48"/>
  <c r="H325" i="48"/>
  <c r="G325" i="48"/>
  <c r="J338" i="48"/>
  <c r="H338" i="48"/>
  <c r="G338" i="48"/>
  <c r="H343" i="48"/>
  <c r="J354" i="48"/>
  <c r="I354" i="48"/>
  <c r="H354" i="48"/>
  <c r="H375" i="48"/>
  <c r="J382" i="48"/>
  <c r="I382" i="48"/>
  <c r="H382" i="48"/>
  <c r="J410" i="48"/>
  <c r="I410" i="48"/>
  <c r="H410" i="48"/>
  <c r="J195" i="48"/>
  <c r="I195" i="48"/>
  <c r="H195" i="48"/>
  <c r="J301" i="48"/>
  <c r="H301" i="48"/>
  <c r="G301" i="48"/>
  <c r="J308" i="48"/>
  <c r="I308" i="48"/>
  <c r="J321" i="48"/>
  <c r="I321" i="48"/>
  <c r="H321" i="48"/>
  <c r="J342" i="48"/>
  <c r="I342" i="48"/>
  <c r="H342" i="48"/>
  <c r="J374" i="48"/>
  <c r="I374" i="48"/>
  <c r="H374" i="48"/>
  <c r="G35" i="48"/>
  <c r="G95" i="48"/>
  <c r="J159" i="48"/>
  <c r="H159" i="48"/>
  <c r="G159" i="48"/>
  <c r="J179" i="48"/>
  <c r="I179" i="48"/>
  <c r="H179" i="48"/>
  <c r="G195" i="48"/>
  <c r="J223" i="48"/>
  <c r="I223" i="48"/>
  <c r="I237" i="48"/>
  <c r="J309" i="48"/>
  <c r="I309" i="48"/>
  <c r="H309" i="48"/>
  <c r="G321" i="48"/>
  <c r="J362" i="48"/>
  <c r="H362" i="48"/>
  <c r="G362" i="48"/>
  <c r="J369" i="48"/>
  <c r="I369" i="48"/>
  <c r="I396" i="48"/>
  <c r="I398" i="48"/>
  <c r="F26" i="48"/>
  <c r="H31" i="48"/>
  <c r="H35" i="48"/>
  <c r="G39" i="48"/>
  <c r="G43" i="48"/>
  <c r="I55" i="48"/>
  <c r="I59" i="48"/>
  <c r="H63" i="48"/>
  <c r="H67" i="48"/>
  <c r="G71" i="48"/>
  <c r="G75" i="48"/>
  <c r="I87" i="48"/>
  <c r="I91" i="48"/>
  <c r="H95" i="48"/>
  <c r="H99" i="48"/>
  <c r="G103" i="48"/>
  <c r="G107" i="48"/>
  <c r="I119" i="48"/>
  <c r="I131" i="48"/>
  <c r="G151" i="48"/>
  <c r="J155" i="48"/>
  <c r="I155" i="48"/>
  <c r="H155" i="48"/>
  <c r="I159" i="48"/>
  <c r="J163" i="48"/>
  <c r="I163" i="48"/>
  <c r="H163" i="48"/>
  <c r="G179" i="48"/>
  <c r="J207" i="48"/>
  <c r="H207" i="48"/>
  <c r="G207" i="48"/>
  <c r="G245" i="48"/>
  <c r="H250" i="48"/>
  <c r="J266" i="48"/>
  <c r="H266" i="48"/>
  <c r="J273" i="48"/>
  <c r="H273" i="48"/>
  <c r="G273" i="48"/>
  <c r="J285" i="48"/>
  <c r="I285" i="48"/>
  <c r="H285" i="48"/>
  <c r="G309" i="48"/>
  <c r="H314" i="48"/>
  <c r="J346" i="48"/>
  <c r="H346" i="48"/>
  <c r="G346" i="48"/>
  <c r="J353" i="48"/>
  <c r="I353" i="48"/>
  <c r="I362" i="48"/>
  <c r="J370" i="48"/>
  <c r="I370" i="48"/>
  <c r="H370" i="48"/>
  <c r="I386" i="48"/>
  <c r="J390" i="48"/>
  <c r="H390" i="48"/>
  <c r="G390" i="48"/>
  <c r="J412" i="48"/>
  <c r="I412" i="48"/>
  <c r="I143" i="48"/>
  <c r="I147" i="48"/>
  <c r="I167" i="48"/>
  <c r="I183" i="48"/>
  <c r="I199" i="48"/>
  <c r="I215" i="48"/>
  <c r="I229" i="48"/>
  <c r="I233" i="48"/>
  <c r="I241" i="48"/>
  <c r="I269" i="48"/>
  <c r="I293" i="48"/>
  <c r="I297" i="48"/>
  <c r="I305" i="48"/>
  <c r="I334" i="48"/>
  <c r="I350" i="48"/>
  <c r="I358" i="48"/>
  <c r="I366" i="48"/>
  <c r="I394" i="48"/>
  <c r="G378" i="48"/>
  <c r="G402" i="48"/>
  <c r="H169" i="48"/>
  <c r="G169" i="48"/>
  <c r="J169" i="48"/>
  <c r="I169" i="48"/>
  <c r="G174" i="48"/>
  <c r="H174" i="48"/>
  <c r="J174" i="48"/>
  <c r="I174" i="48"/>
  <c r="I180" i="48"/>
  <c r="G180" i="48"/>
  <c r="J180" i="48"/>
  <c r="H180" i="48"/>
  <c r="G190" i="48"/>
  <c r="H190" i="48"/>
  <c r="J190" i="48"/>
  <c r="I190" i="48"/>
  <c r="I196" i="48"/>
  <c r="G196" i="48"/>
  <c r="J196" i="48"/>
  <c r="H196" i="48"/>
  <c r="H201" i="48"/>
  <c r="G201" i="48"/>
  <c r="J201" i="48"/>
  <c r="I201" i="48"/>
  <c r="I222" i="48"/>
  <c r="G222" i="48"/>
  <c r="H222" i="48"/>
  <c r="J222" i="48"/>
  <c r="H243" i="48"/>
  <c r="G243" i="48"/>
  <c r="I243" i="48"/>
  <c r="J243" i="48"/>
  <c r="G264" i="48"/>
  <c r="H264" i="48"/>
  <c r="I264" i="48"/>
  <c r="J264" i="48"/>
  <c r="I286" i="48"/>
  <c r="G286" i="48"/>
  <c r="H286" i="48"/>
  <c r="J286" i="48"/>
  <c r="H352" i="48"/>
  <c r="G352" i="48"/>
  <c r="I352" i="48"/>
  <c r="J352" i="48"/>
  <c r="G361" i="48"/>
  <c r="H361" i="48"/>
  <c r="J361" i="48"/>
  <c r="I361" i="48"/>
  <c r="I383" i="48"/>
  <c r="G383" i="48"/>
  <c r="J383" i="48"/>
  <c r="H383" i="48"/>
  <c r="H404" i="48"/>
  <c r="G404" i="48"/>
  <c r="J404" i="48"/>
  <c r="I404" i="48"/>
  <c r="H29" i="48"/>
  <c r="J29" i="48"/>
  <c r="I29" i="48"/>
  <c r="I32" i="48"/>
  <c r="J32" i="48"/>
  <c r="H32" i="48"/>
  <c r="H37" i="48"/>
  <c r="J37" i="48"/>
  <c r="I37" i="48"/>
  <c r="I40" i="48"/>
  <c r="J40" i="48"/>
  <c r="H40" i="48"/>
  <c r="G42" i="48"/>
  <c r="J42" i="48"/>
  <c r="I42" i="48"/>
  <c r="I48" i="48"/>
  <c r="J48" i="48"/>
  <c r="H48" i="48"/>
  <c r="H53" i="48"/>
  <c r="J53" i="48"/>
  <c r="I53" i="48"/>
  <c r="I56" i="48"/>
  <c r="J56" i="48"/>
  <c r="H56" i="48"/>
  <c r="H61" i="48"/>
  <c r="J61" i="48"/>
  <c r="I61" i="48"/>
  <c r="I64" i="48"/>
  <c r="J64" i="48"/>
  <c r="H64" i="48"/>
  <c r="H69" i="48"/>
  <c r="J69" i="48"/>
  <c r="I69" i="48"/>
  <c r="I72" i="48"/>
  <c r="J72" i="48"/>
  <c r="H72" i="48"/>
  <c r="H77" i="48"/>
  <c r="J77" i="48"/>
  <c r="I77" i="48"/>
  <c r="G82" i="48"/>
  <c r="J82" i="48"/>
  <c r="I82" i="48"/>
  <c r="G90" i="48"/>
  <c r="J90" i="48"/>
  <c r="I90" i="48"/>
  <c r="G98" i="48"/>
  <c r="J98" i="48"/>
  <c r="I98" i="48"/>
  <c r="G106" i="48"/>
  <c r="J106" i="48"/>
  <c r="I106" i="48"/>
  <c r="G114" i="48"/>
  <c r="J114" i="48"/>
  <c r="I114" i="48"/>
  <c r="G122" i="48"/>
  <c r="J122" i="48"/>
  <c r="I122" i="48"/>
  <c r="G130" i="48"/>
  <c r="J130" i="48"/>
  <c r="I130" i="48"/>
  <c r="G138" i="48"/>
  <c r="J138" i="48"/>
  <c r="I138" i="48"/>
  <c r="G146" i="48"/>
  <c r="J146" i="48"/>
  <c r="I146" i="48"/>
  <c r="G154" i="48"/>
  <c r="J154" i="48"/>
  <c r="I154" i="48"/>
  <c r="H157" i="48"/>
  <c r="J157" i="48"/>
  <c r="I157" i="48"/>
  <c r="I160" i="48"/>
  <c r="G160" i="48"/>
  <c r="J160" i="48"/>
  <c r="H160" i="48"/>
  <c r="G170" i="48"/>
  <c r="H170" i="48"/>
  <c r="J170" i="48"/>
  <c r="I170" i="48"/>
  <c r="I176" i="48"/>
  <c r="G176" i="48"/>
  <c r="J176" i="48"/>
  <c r="H176" i="48"/>
  <c r="G186" i="48"/>
  <c r="H186" i="48"/>
  <c r="J186" i="48"/>
  <c r="I186" i="48"/>
  <c r="I192" i="48"/>
  <c r="G192" i="48"/>
  <c r="J192" i="48"/>
  <c r="H192" i="48"/>
  <c r="G202" i="48"/>
  <c r="H202" i="48"/>
  <c r="J202" i="48"/>
  <c r="I202" i="48"/>
  <c r="I208" i="48"/>
  <c r="G208" i="48"/>
  <c r="J208" i="48"/>
  <c r="H208" i="48"/>
  <c r="G218" i="48"/>
  <c r="H218" i="48"/>
  <c r="J218" i="48"/>
  <c r="I218" i="48"/>
  <c r="I238" i="48"/>
  <c r="G238" i="48"/>
  <c r="H238" i="48"/>
  <c r="J238" i="48"/>
  <c r="H259" i="48"/>
  <c r="G259" i="48"/>
  <c r="I259" i="48"/>
  <c r="J259" i="48"/>
  <c r="G280" i="48"/>
  <c r="H280" i="48"/>
  <c r="I280" i="48"/>
  <c r="J280" i="48"/>
  <c r="H323" i="48"/>
  <c r="G323" i="48"/>
  <c r="I323" i="48"/>
  <c r="J323" i="48"/>
  <c r="G377" i="48"/>
  <c r="H377" i="48"/>
  <c r="J377" i="48"/>
  <c r="I377" i="48"/>
  <c r="I399" i="48"/>
  <c r="G399" i="48"/>
  <c r="J399" i="48"/>
  <c r="H399" i="48"/>
  <c r="G29" i="48"/>
  <c r="G32" i="48"/>
  <c r="G37" i="48"/>
  <c r="G40" i="48"/>
  <c r="H42" i="48"/>
  <c r="G48" i="48"/>
  <c r="G53" i="48"/>
  <c r="G56" i="48"/>
  <c r="G61" i="48"/>
  <c r="G64" i="48"/>
  <c r="G69" i="48"/>
  <c r="G72" i="48"/>
  <c r="G77" i="48"/>
  <c r="H82" i="48"/>
  <c r="H90" i="48"/>
  <c r="H98" i="48"/>
  <c r="H106" i="48"/>
  <c r="H114" i="48"/>
  <c r="H122" i="48"/>
  <c r="H130" i="48"/>
  <c r="H138" i="48"/>
  <c r="H146" i="48"/>
  <c r="H154" i="48"/>
  <c r="G157" i="48"/>
  <c r="H161" i="48"/>
  <c r="G161" i="48"/>
  <c r="J161" i="48"/>
  <c r="I161" i="48"/>
  <c r="G166" i="48"/>
  <c r="H166" i="48"/>
  <c r="J166" i="48"/>
  <c r="I166" i="48"/>
  <c r="I172" i="48"/>
  <c r="G172" i="48"/>
  <c r="J172" i="48"/>
  <c r="H172" i="48"/>
  <c r="H177" i="48"/>
  <c r="G177" i="48"/>
  <c r="J177" i="48"/>
  <c r="I177" i="48"/>
  <c r="G182" i="48"/>
  <c r="H182" i="48"/>
  <c r="J182" i="48"/>
  <c r="I182" i="48"/>
  <c r="I188" i="48"/>
  <c r="G188" i="48"/>
  <c r="J188" i="48"/>
  <c r="H188" i="48"/>
  <c r="H193" i="48"/>
  <c r="G193" i="48"/>
  <c r="J193" i="48"/>
  <c r="I193" i="48"/>
  <c r="G198" i="48"/>
  <c r="H198" i="48"/>
  <c r="J198" i="48"/>
  <c r="I198" i="48"/>
  <c r="I204" i="48"/>
  <c r="G204" i="48"/>
  <c r="J204" i="48"/>
  <c r="H204" i="48"/>
  <c r="H209" i="48"/>
  <c r="G209" i="48"/>
  <c r="J209" i="48"/>
  <c r="I209" i="48"/>
  <c r="G214" i="48"/>
  <c r="H214" i="48"/>
  <c r="J214" i="48"/>
  <c r="I214" i="48"/>
  <c r="I220" i="48"/>
  <c r="G220" i="48"/>
  <c r="J220" i="48"/>
  <c r="H220" i="48"/>
  <c r="G232" i="48"/>
  <c r="H232" i="48"/>
  <c r="I232" i="48"/>
  <c r="J232" i="48"/>
  <c r="I254" i="48"/>
  <c r="G254" i="48"/>
  <c r="H254" i="48"/>
  <c r="J254" i="48"/>
  <c r="H275" i="48"/>
  <c r="G275" i="48"/>
  <c r="I275" i="48"/>
  <c r="J275" i="48"/>
  <c r="G296" i="48"/>
  <c r="H296" i="48"/>
  <c r="I296" i="48"/>
  <c r="J296" i="48"/>
  <c r="I318" i="48"/>
  <c r="G318" i="48"/>
  <c r="H318" i="48"/>
  <c r="J318" i="48"/>
  <c r="I331" i="48"/>
  <c r="G331" i="48"/>
  <c r="H331" i="48"/>
  <c r="J331" i="48"/>
  <c r="G349" i="48"/>
  <c r="H349" i="48"/>
  <c r="I349" i="48"/>
  <c r="J349" i="48"/>
  <c r="H372" i="48"/>
  <c r="G372" i="48"/>
  <c r="J372" i="48"/>
  <c r="I372" i="48"/>
  <c r="G393" i="48"/>
  <c r="H393" i="48"/>
  <c r="J393" i="48"/>
  <c r="I393" i="48"/>
  <c r="I164" i="48"/>
  <c r="G164" i="48"/>
  <c r="J164" i="48"/>
  <c r="H164" i="48"/>
  <c r="H185" i="48"/>
  <c r="G185" i="48"/>
  <c r="J185" i="48"/>
  <c r="I185" i="48"/>
  <c r="G206" i="48"/>
  <c r="H206" i="48"/>
  <c r="J206" i="48"/>
  <c r="I206" i="48"/>
  <c r="I212" i="48"/>
  <c r="G212" i="48"/>
  <c r="J212" i="48"/>
  <c r="H212" i="48"/>
  <c r="H217" i="48"/>
  <c r="G217" i="48"/>
  <c r="J217" i="48"/>
  <c r="I217" i="48"/>
  <c r="H307" i="48"/>
  <c r="G307" i="48"/>
  <c r="I307" i="48"/>
  <c r="J307" i="48"/>
  <c r="H328" i="48"/>
  <c r="G328" i="48"/>
  <c r="I328" i="48"/>
  <c r="J328" i="48"/>
  <c r="G345" i="48"/>
  <c r="H345" i="48"/>
  <c r="J345" i="48"/>
  <c r="I345" i="48"/>
  <c r="G34" i="48"/>
  <c r="J34" i="48"/>
  <c r="I34" i="48"/>
  <c r="H45" i="48"/>
  <c r="J45" i="48"/>
  <c r="I45" i="48"/>
  <c r="G50" i="48"/>
  <c r="J50" i="48"/>
  <c r="I50" i="48"/>
  <c r="G58" i="48"/>
  <c r="J58" i="48"/>
  <c r="I58" i="48"/>
  <c r="G66" i="48"/>
  <c r="J66" i="48"/>
  <c r="I66" i="48"/>
  <c r="G74" i="48"/>
  <c r="J74" i="48"/>
  <c r="I74" i="48"/>
  <c r="I80" i="48"/>
  <c r="J80" i="48"/>
  <c r="H80" i="48"/>
  <c r="H85" i="48"/>
  <c r="J85" i="48"/>
  <c r="I85" i="48"/>
  <c r="I88" i="48"/>
  <c r="J88" i="48"/>
  <c r="H88" i="48"/>
  <c r="H93" i="48"/>
  <c r="J93" i="48"/>
  <c r="I93" i="48"/>
  <c r="I96" i="48"/>
  <c r="J96" i="48"/>
  <c r="H96" i="48"/>
  <c r="H101" i="48"/>
  <c r="J101" i="48"/>
  <c r="I101" i="48"/>
  <c r="I104" i="48"/>
  <c r="J104" i="48"/>
  <c r="H104" i="48"/>
  <c r="H109" i="48"/>
  <c r="J109" i="48"/>
  <c r="I109" i="48"/>
  <c r="I112" i="48"/>
  <c r="J112" i="48"/>
  <c r="H112" i="48"/>
  <c r="H117" i="48"/>
  <c r="J117" i="48"/>
  <c r="I117" i="48"/>
  <c r="I120" i="48"/>
  <c r="J120" i="48"/>
  <c r="H120" i="48"/>
  <c r="H125" i="48"/>
  <c r="J125" i="48"/>
  <c r="I125" i="48"/>
  <c r="I128" i="48"/>
  <c r="J128" i="48"/>
  <c r="H128" i="48"/>
  <c r="H133" i="48"/>
  <c r="J133" i="48"/>
  <c r="I133" i="48"/>
  <c r="I136" i="48"/>
  <c r="J136" i="48"/>
  <c r="H136" i="48"/>
  <c r="H141" i="48"/>
  <c r="J141" i="48"/>
  <c r="I141" i="48"/>
  <c r="I144" i="48"/>
  <c r="J144" i="48"/>
  <c r="H144" i="48"/>
  <c r="H149" i="48"/>
  <c r="J149" i="48"/>
  <c r="I149" i="48"/>
  <c r="I152" i="48"/>
  <c r="J152" i="48"/>
  <c r="H152" i="48"/>
  <c r="H165" i="48"/>
  <c r="G165" i="48"/>
  <c r="J165" i="48"/>
  <c r="I165" i="48"/>
  <c r="H181" i="48"/>
  <c r="G181" i="48"/>
  <c r="J181" i="48"/>
  <c r="I181" i="48"/>
  <c r="H197" i="48"/>
  <c r="G197" i="48"/>
  <c r="J197" i="48"/>
  <c r="I197" i="48"/>
  <c r="H213" i="48"/>
  <c r="G213" i="48"/>
  <c r="J213" i="48"/>
  <c r="I213" i="48"/>
  <c r="I302" i="48"/>
  <c r="G302" i="48"/>
  <c r="H302" i="48"/>
  <c r="J302" i="48"/>
  <c r="I339" i="48"/>
  <c r="G339" i="48"/>
  <c r="H339" i="48"/>
  <c r="J339" i="48"/>
  <c r="H356" i="48"/>
  <c r="G356" i="48"/>
  <c r="J356" i="48"/>
  <c r="I356" i="48"/>
  <c r="I28" i="48"/>
  <c r="J28" i="48"/>
  <c r="H28" i="48"/>
  <c r="G30" i="48"/>
  <c r="J30" i="48"/>
  <c r="I30" i="48"/>
  <c r="H33" i="48"/>
  <c r="J33" i="48"/>
  <c r="I33" i="48"/>
  <c r="I36" i="48"/>
  <c r="J36" i="48"/>
  <c r="H36" i="48"/>
  <c r="G38" i="48"/>
  <c r="J38" i="48"/>
  <c r="I38" i="48"/>
  <c r="H41" i="48"/>
  <c r="J41" i="48"/>
  <c r="I41" i="48"/>
  <c r="I44" i="48"/>
  <c r="J44" i="48"/>
  <c r="H44" i="48"/>
  <c r="G46" i="48"/>
  <c r="J46" i="48"/>
  <c r="I46" i="48"/>
  <c r="H49" i="48"/>
  <c r="J49" i="48"/>
  <c r="I49" i="48"/>
  <c r="I52" i="48"/>
  <c r="J52" i="48"/>
  <c r="H52" i="48"/>
  <c r="G54" i="48"/>
  <c r="J54" i="48"/>
  <c r="I54" i="48"/>
  <c r="H57" i="48"/>
  <c r="J57" i="48"/>
  <c r="I57" i="48"/>
  <c r="I60" i="48"/>
  <c r="J60" i="48"/>
  <c r="H60" i="48"/>
  <c r="G62" i="48"/>
  <c r="J62" i="48"/>
  <c r="I62" i="48"/>
  <c r="H65" i="48"/>
  <c r="J65" i="48"/>
  <c r="I65" i="48"/>
  <c r="I68" i="48"/>
  <c r="J68" i="48"/>
  <c r="H68" i="48"/>
  <c r="G70" i="48"/>
  <c r="J70" i="48"/>
  <c r="I70" i="48"/>
  <c r="H73" i="48"/>
  <c r="J73" i="48"/>
  <c r="I73" i="48"/>
  <c r="I76" i="48"/>
  <c r="J76" i="48"/>
  <c r="H76" i="48"/>
  <c r="G78" i="48"/>
  <c r="J78" i="48"/>
  <c r="I78" i="48"/>
  <c r="H81" i="48"/>
  <c r="J81" i="48"/>
  <c r="I81" i="48"/>
  <c r="I84" i="48"/>
  <c r="J84" i="48"/>
  <c r="H84" i="48"/>
  <c r="G86" i="48"/>
  <c r="J86" i="48"/>
  <c r="I86" i="48"/>
  <c r="H89" i="48"/>
  <c r="J89" i="48"/>
  <c r="I89" i="48"/>
  <c r="I92" i="48"/>
  <c r="J92" i="48"/>
  <c r="H92" i="48"/>
  <c r="G94" i="48"/>
  <c r="J94" i="48"/>
  <c r="I94" i="48"/>
  <c r="H97" i="48"/>
  <c r="J97" i="48"/>
  <c r="I97" i="48"/>
  <c r="I100" i="48"/>
  <c r="J100" i="48"/>
  <c r="H100" i="48"/>
  <c r="G102" i="48"/>
  <c r="J102" i="48"/>
  <c r="I102" i="48"/>
  <c r="H105" i="48"/>
  <c r="J105" i="48"/>
  <c r="I105" i="48"/>
  <c r="I108" i="48"/>
  <c r="J108" i="48"/>
  <c r="H108" i="48"/>
  <c r="G110" i="48"/>
  <c r="J110" i="48"/>
  <c r="I110" i="48"/>
  <c r="H113" i="48"/>
  <c r="J113" i="48"/>
  <c r="I113" i="48"/>
  <c r="I116" i="48"/>
  <c r="J116" i="48"/>
  <c r="H116" i="48"/>
  <c r="G118" i="48"/>
  <c r="J118" i="48"/>
  <c r="I118" i="48"/>
  <c r="H121" i="48"/>
  <c r="J121" i="48"/>
  <c r="I121" i="48"/>
  <c r="I124" i="48"/>
  <c r="J124" i="48"/>
  <c r="H124" i="48"/>
  <c r="G126" i="48"/>
  <c r="J126" i="48"/>
  <c r="I126" i="48"/>
  <c r="H129" i="48"/>
  <c r="J129" i="48"/>
  <c r="I129" i="48"/>
  <c r="I132" i="48"/>
  <c r="J132" i="48"/>
  <c r="H132" i="48"/>
  <c r="G134" i="48"/>
  <c r="J134" i="48"/>
  <c r="I134" i="48"/>
  <c r="H137" i="48"/>
  <c r="J137" i="48"/>
  <c r="I137" i="48"/>
  <c r="I140" i="48"/>
  <c r="J140" i="48"/>
  <c r="H140" i="48"/>
  <c r="G142" i="48"/>
  <c r="J142" i="48"/>
  <c r="I142" i="48"/>
  <c r="H145" i="48"/>
  <c r="J145" i="48"/>
  <c r="I145" i="48"/>
  <c r="I148" i="48"/>
  <c r="J148" i="48"/>
  <c r="H148" i="48"/>
  <c r="G150" i="48"/>
  <c r="J150" i="48"/>
  <c r="I150" i="48"/>
  <c r="H153" i="48"/>
  <c r="J153" i="48"/>
  <c r="I153" i="48"/>
  <c r="I156" i="48"/>
  <c r="J156" i="48"/>
  <c r="H156" i="48"/>
  <c r="G158" i="48"/>
  <c r="J158" i="48"/>
  <c r="I158" i="48"/>
  <c r="G162" i="48"/>
  <c r="H162" i="48"/>
  <c r="J162" i="48"/>
  <c r="I162" i="48"/>
  <c r="I168" i="48"/>
  <c r="G168" i="48"/>
  <c r="J168" i="48"/>
  <c r="H168" i="48"/>
  <c r="H173" i="48"/>
  <c r="G173" i="48"/>
  <c r="J173" i="48"/>
  <c r="I173" i="48"/>
  <c r="G178" i="48"/>
  <c r="H178" i="48"/>
  <c r="J178" i="48"/>
  <c r="I178" i="48"/>
  <c r="I184" i="48"/>
  <c r="G184" i="48"/>
  <c r="J184" i="48"/>
  <c r="H184" i="48"/>
  <c r="H189" i="48"/>
  <c r="G189" i="48"/>
  <c r="J189" i="48"/>
  <c r="I189" i="48"/>
  <c r="G194" i="48"/>
  <c r="H194" i="48"/>
  <c r="J194" i="48"/>
  <c r="I194" i="48"/>
  <c r="I200" i="48"/>
  <c r="G200" i="48"/>
  <c r="J200" i="48"/>
  <c r="H200" i="48"/>
  <c r="H205" i="48"/>
  <c r="G205" i="48"/>
  <c r="J205" i="48"/>
  <c r="I205" i="48"/>
  <c r="G210" i="48"/>
  <c r="H210" i="48"/>
  <c r="J210" i="48"/>
  <c r="I210" i="48"/>
  <c r="I216" i="48"/>
  <c r="G216" i="48"/>
  <c r="J216" i="48"/>
  <c r="H216" i="48"/>
  <c r="H221" i="48"/>
  <c r="G221" i="48"/>
  <c r="J221" i="48"/>
  <c r="I221" i="48"/>
  <c r="H227" i="48"/>
  <c r="G227" i="48"/>
  <c r="I227" i="48"/>
  <c r="J227" i="48"/>
  <c r="G248" i="48"/>
  <c r="H248" i="48"/>
  <c r="I248" i="48"/>
  <c r="J248" i="48"/>
  <c r="I270" i="48"/>
  <c r="G270" i="48"/>
  <c r="H270" i="48"/>
  <c r="J270" i="48"/>
  <c r="H291" i="48"/>
  <c r="G291" i="48"/>
  <c r="I291" i="48"/>
  <c r="J291" i="48"/>
  <c r="G312" i="48"/>
  <c r="H312" i="48"/>
  <c r="I312" i="48"/>
  <c r="J312" i="48"/>
  <c r="I335" i="48"/>
  <c r="G335" i="48"/>
  <c r="J335" i="48"/>
  <c r="H335" i="48"/>
  <c r="G341" i="48"/>
  <c r="H341" i="48"/>
  <c r="I341" i="48"/>
  <c r="J341" i="48"/>
  <c r="I367" i="48"/>
  <c r="G367" i="48"/>
  <c r="J367" i="48"/>
  <c r="H367" i="48"/>
  <c r="H388" i="48"/>
  <c r="G388" i="48"/>
  <c r="J388" i="48"/>
  <c r="I388" i="48"/>
  <c r="G409" i="48"/>
  <c r="H409" i="48"/>
  <c r="J409" i="48"/>
  <c r="I409" i="48"/>
  <c r="G224" i="48"/>
  <c r="H224" i="48"/>
  <c r="H226" i="48"/>
  <c r="I230" i="48"/>
  <c r="G230" i="48"/>
  <c r="I231" i="48"/>
  <c r="H235" i="48"/>
  <c r="G235" i="48"/>
  <c r="I236" i="48"/>
  <c r="G240" i="48"/>
  <c r="H240" i="48"/>
  <c r="H242" i="48"/>
  <c r="I246" i="48"/>
  <c r="G246" i="48"/>
  <c r="I247" i="48"/>
  <c r="H251" i="48"/>
  <c r="G251" i="48"/>
  <c r="I252" i="48"/>
  <c r="G256" i="48"/>
  <c r="H256" i="48"/>
  <c r="H258" i="48"/>
  <c r="I262" i="48"/>
  <c r="G262" i="48"/>
  <c r="I263" i="48"/>
  <c r="H267" i="48"/>
  <c r="G267" i="48"/>
  <c r="I268" i="48"/>
  <c r="G272" i="48"/>
  <c r="H272" i="48"/>
  <c r="H274" i="48"/>
  <c r="I278" i="48"/>
  <c r="G278" i="48"/>
  <c r="I279" i="48"/>
  <c r="H283" i="48"/>
  <c r="G283" i="48"/>
  <c r="I284" i="48"/>
  <c r="G288" i="48"/>
  <c r="H288" i="48"/>
  <c r="H290" i="48"/>
  <c r="I294" i="48"/>
  <c r="G294" i="48"/>
  <c r="I295" i="48"/>
  <c r="H299" i="48"/>
  <c r="G299" i="48"/>
  <c r="I300" i="48"/>
  <c r="G304" i="48"/>
  <c r="H304" i="48"/>
  <c r="H306" i="48"/>
  <c r="I310" i="48"/>
  <c r="G310" i="48"/>
  <c r="I311" i="48"/>
  <c r="H315" i="48"/>
  <c r="G315" i="48"/>
  <c r="I316" i="48"/>
  <c r="G320" i="48"/>
  <c r="H320" i="48"/>
  <c r="H322" i="48"/>
  <c r="I326" i="48"/>
  <c r="G326" i="48"/>
  <c r="I327" i="48"/>
  <c r="G329" i="48"/>
  <c r="H329" i="48"/>
  <c r="J329" i="48"/>
  <c r="G333" i="48"/>
  <c r="H333" i="48"/>
  <c r="I333" i="48"/>
  <c r="H336" i="48"/>
  <c r="G336" i="48"/>
  <c r="H340" i="48"/>
  <c r="G340" i="48"/>
  <c r="J340" i="48"/>
  <c r="H344" i="48"/>
  <c r="G344" i="48"/>
  <c r="I344" i="48"/>
  <c r="I347" i="48"/>
  <c r="G347" i="48"/>
  <c r="I351" i="48"/>
  <c r="G351" i="48"/>
  <c r="J351" i="48"/>
  <c r="I355" i="48"/>
  <c r="G355" i="48"/>
  <c r="H355" i="48"/>
  <c r="H223" i="48"/>
  <c r="G223" i="48"/>
  <c r="I224" i="48"/>
  <c r="G228" i="48"/>
  <c r="H228" i="48"/>
  <c r="H230" i="48"/>
  <c r="I234" i="48"/>
  <c r="G234" i="48"/>
  <c r="I235" i="48"/>
  <c r="H239" i="48"/>
  <c r="G239" i="48"/>
  <c r="I240" i="48"/>
  <c r="G244" i="48"/>
  <c r="H244" i="48"/>
  <c r="H246" i="48"/>
  <c r="I250" i="48"/>
  <c r="G250" i="48"/>
  <c r="I251" i="48"/>
  <c r="H255" i="48"/>
  <c r="G255" i="48"/>
  <c r="I256" i="48"/>
  <c r="G260" i="48"/>
  <c r="H260" i="48"/>
  <c r="H262" i="48"/>
  <c r="I266" i="48"/>
  <c r="G266" i="48"/>
  <c r="I267" i="48"/>
  <c r="H271" i="48"/>
  <c r="G271" i="48"/>
  <c r="I272" i="48"/>
  <c r="G276" i="48"/>
  <c r="H276" i="48"/>
  <c r="H278" i="48"/>
  <c r="I282" i="48"/>
  <c r="G282" i="48"/>
  <c r="I283" i="48"/>
  <c r="H287" i="48"/>
  <c r="G287" i="48"/>
  <c r="I288" i="48"/>
  <c r="G292" i="48"/>
  <c r="H292" i="48"/>
  <c r="H294" i="48"/>
  <c r="I298" i="48"/>
  <c r="G298" i="48"/>
  <c r="I299" i="48"/>
  <c r="H303" i="48"/>
  <c r="G303" i="48"/>
  <c r="I304" i="48"/>
  <c r="G308" i="48"/>
  <c r="H308" i="48"/>
  <c r="H310" i="48"/>
  <c r="I314" i="48"/>
  <c r="G314" i="48"/>
  <c r="I315" i="48"/>
  <c r="H319" i="48"/>
  <c r="G319" i="48"/>
  <c r="I320" i="48"/>
  <c r="G324" i="48"/>
  <c r="H324" i="48"/>
  <c r="H326" i="48"/>
  <c r="I329" i="48"/>
  <c r="J333" i="48"/>
  <c r="I336" i="48"/>
  <c r="I340" i="48"/>
  <c r="J344" i="48"/>
  <c r="H347" i="48"/>
  <c r="H351" i="48"/>
  <c r="J355" i="48"/>
  <c r="I226" i="48"/>
  <c r="G226" i="48"/>
  <c r="H231" i="48"/>
  <c r="G231" i="48"/>
  <c r="G236" i="48"/>
  <c r="H236" i="48"/>
  <c r="I242" i="48"/>
  <c r="G242" i="48"/>
  <c r="H247" i="48"/>
  <c r="G247" i="48"/>
  <c r="G252" i="48"/>
  <c r="H252" i="48"/>
  <c r="I258" i="48"/>
  <c r="G258" i="48"/>
  <c r="H263" i="48"/>
  <c r="G263" i="48"/>
  <c r="G268" i="48"/>
  <c r="H268" i="48"/>
  <c r="I274" i="48"/>
  <c r="G274" i="48"/>
  <c r="H279" i="48"/>
  <c r="G279" i="48"/>
  <c r="G284" i="48"/>
  <c r="H284" i="48"/>
  <c r="I290" i="48"/>
  <c r="G290" i="48"/>
  <c r="H295" i="48"/>
  <c r="G295" i="48"/>
  <c r="G300" i="48"/>
  <c r="H300" i="48"/>
  <c r="I306" i="48"/>
  <c r="G306" i="48"/>
  <c r="H311" i="48"/>
  <c r="G311" i="48"/>
  <c r="G316" i="48"/>
  <c r="H316" i="48"/>
  <c r="I322" i="48"/>
  <c r="G322" i="48"/>
  <c r="H327" i="48"/>
  <c r="G327" i="48"/>
  <c r="G357" i="48"/>
  <c r="H357" i="48"/>
  <c r="J357" i="48"/>
  <c r="I363" i="48"/>
  <c r="G363" i="48"/>
  <c r="J363" i="48"/>
  <c r="H368" i="48"/>
  <c r="G368" i="48"/>
  <c r="J368" i="48"/>
  <c r="G373" i="48"/>
  <c r="H373" i="48"/>
  <c r="J373" i="48"/>
  <c r="I379" i="48"/>
  <c r="G379" i="48"/>
  <c r="J379" i="48"/>
  <c r="H384" i="48"/>
  <c r="G384" i="48"/>
  <c r="J384" i="48"/>
  <c r="G389" i="48"/>
  <c r="H389" i="48"/>
  <c r="J389" i="48"/>
  <c r="I395" i="48"/>
  <c r="G395" i="48"/>
  <c r="J395" i="48"/>
  <c r="H400" i="48"/>
  <c r="G400" i="48"/>
  <c r="J400" i="48"/>
  <c r="G405" i="48"/>
  <c r="H405" i="48"/>
  <c r="J405" i="48"/>
  <c r="I411" i="48"/>
  <c r="G411" i="48"/>
  <c r="J411" i="48"/>
  <c r="H360" i="48"/>
  <c r="G360" i="48"/>
  <c r="G365" i="48"/>
  <c r="H365" i="48"/>
  <c r="I371" i="48"/>
  <c r="G371" i="48"/>
  <c r="H376" i="48"/>
  <c r="G376" i="48"/>
  <c r="G381" i="48"/>
  <c r="H381" i="48"/>
  <c r="I387" i="48"/>
  <c r="G387" i="48"/>
  <c r="H392" i="48"/>
  <c r="G392" i="48"/>
  <c r="G397" i="48"/>
  <c r="H397" i="48"/>
  <c r="I403" i="48"/>
  <c r="G403" i="48"/>
  <c r="H408" i="48"/>
  <c r="G408" i="48"/>
  <c r="H332" i="48"/>
  <c r="G332" i="48"/>
  <c r="G337" i="48"/>
  <c r="H337" i="48"/>
  <c r="I343" i="48"/>
  <c r="G343" i="48"/>
  <c r="H348" i="48"/>
  <c r="G348" i="48"/>
  <c r="G353" i="48"/>
  <c r="H353" i="48"/>
  <c r="I359" i="48"/>
  <c r="G359" i="48"/>
  <c r="I360" i="48"/>
  <c r="H364" i="48"/>
  <c r="G364" i="48"/>
  <c r="I365" i="48"/>
  <c r="G369" i="48"/>
  <c r="H369" i="48"/>
  <c r="H371" i="48"/>
  <c r="I375" i="48"/>
  <c r="G375" i="48"/>
  <c r="I376" i="48"/>
  <c r="H380" i="48"/>
  <c r="G380" i="48"/>
  <c r="I381" i="48"/>
  <c r="G385" i="48"/>
  <c r="H385" i="48"/>
  <c r="H387" i="48"/>
  <c r="I391" i="48"/>
  <c r="G391" i="48"/>
  <c r="I392" i="48"/>
  <c r="H396" i="48"/>
  <c r="G396" i="48"/>
  <c r="I397" i="48"/>
  <c r="G401" i="48"/>
  <c r="H401" i="48"/>
  <c r="H403" i="48"/>
  <c r="I407" i="48"/>
  <c r="G407" i="48"/>
  <c r="I408" i="48"/>
  <c r="H412" i="48"/>
  <c r="G412" i="48"/>
  <c r="J17" i="48"/>
  <c r="J16" i="48"/>
  <c r="G27" i="48"/>
  <c r="G26" i="48"/>
  <c r="H26" i="48"/>
  <c r="I26" i="48"/>
  <c r="J26" i="48"/>
  <c r="G25" i="48"/>
  <c r="H25" i="48"/>
  <c r="I25" i="48"/>
  <c r="J25" i="48"/>
  <c r="D19" i="48"/>
  <c r="H27" i="48"/>
  <c r="I27" i="48"/>
  <c r="J27" i="48"/>
  <c r="H54" i="78"/>
  <c r="I54" i="78"/>
  <c r="J63" i="78"/>
  <c r="I79" i="78"/>
  <c r="J79" i="78"/>
  <c r="G79" i="78"/>
  <c r="G92" i="78"/>
  <c r="H92" i="78"/>
  <c r="G99" i="78"/>
  <c r="I99" i="78"/>
  <c r="J99" i="78"/>
  <c r="J115" i="78"/>
  <c r="I142" i="78"/>
  <c r="H142" i="78"/>
  <c r="H148" i="78"/>
  <c r="G148" i="78"/>
  <c r="G28" i="78"/>
  <c r="I35" i="78"/>
  <c r="J35" i="78"/>
  <c r="I38" i="78"/>
  <c r="G39" i="78"/>
  <c r="H44" i="78"/>
  <c r="H52" i="78"/>
  <c r="I70" i="78"/>
  <c r="H70" i="78"/>
  <c r="H79" i="78"/>
  <c r="H86" i="78"/>
  <c r="I86" i="78"/>
  <c r="G95" i="78"/>
  <c r="I95" i="78"/>
  <c r="J95" i="78"/>
  <c r="H99" i="78"/>
  <c r="I111" i="78"/>
  <c r="J111" i="78"/>
  <c r="G111" i="78"/>
  <c r="H115" i="78"/>
  <c r="H140" i="78"/>
  <c r="G140" i="78"/>
  <c r="I143" i="78"/>
  <c r="J143" i="78"/>
  <c r="H143" i="78"/>
  <c r="G143" i="78"/>
  <c r="I102" i="78"/>
  <c r="H102" i="78"/>
  <c r="H118" i="78"/>
  <c r="I118" i="78"/>
  <c r="F26" i="78"/>
  <c r="I31" i="78"/>
  <c r="I62" i="78"/>
  <c r="G67" i="78"/>
  <c r="I67" i="78"/>
  <c r="J67" i="78"/>
  <c r="H76" i="78"/>
  <c r="G76" i="78"/>
  <c r="I78" i="78"/>
  <c r="I83" i="78"/>
  <c r="J83" i="78"/>
  <c r="G83" i="78"/>
  <c r="H100" i="78"/>
  <c r="H116" i="78"/>
  <c r="I134" i="78"/>
  <c r="H134" i="78"/>
  <c r="G147" i="78"/>
  <c r="H124" i="78"/>
  <c r="J127" i="78"/>
  <c r="I127" i="78"/>
  <c r="J131" i="78"/>
  <c r="I131" i="78"/>
  <c r="I150" i="78"/>
  <c r="J159" i="78"/>
  <c r="I159" i="78"/>
  <c r="J163" i="78"/>
  <c r="I163" i="78"/>
  <c r="J167" i="78"/>
  <c r="I167" i="78"/>
  <c r="J171" i="78"/>
  <c r="I171" i="78"/>
  <c r="J175" i="78"/>
  <c r="I175" i="78"/>
  <c r="J179" i="78"/>
  <c r="I179" i="78"/>
  <c r="J187" i="78"/>
  <c r="I187" i="78"/>
  <c r="J191" i="78"/>
  <c r="I191" i="78"/>
  <c r="J195" i="78"/>
  <c r="J203" i="78"/>
  <c r="I203" i="78"/>
  <c r="J207" i="78"/>
  <c r="I207" i="78"/>
  <c r="J211" i="78"/>
  <c r="I211" i="78"/>
  <c r="J219" i="78"/>
  <c r="I219" i="78"/>
  <c r="H226" i="78"/>
  <c r="I228" i="78"/>
  <c r="G229" i="78"/>
  <c r="J231" i="78"/>
  <c r="I236" i="78"/>
  <c r="I239" i="78"/>
  <c r="J245" i="78"/>
  <c r="I249" i="78"/>
  <c r="G253" i="78"/>
  <c r="J255" i="78"/>
  <c r="G257" i="78"/>
  <c r="H258" i="78"/>
  <c r="I261" i="78"/>
  <c r="J271" i="78"/>
  <c r="H229" i="78"/>
  <c r="I253" i="78"/>
  <c r="I289" i="78"/>
  <c r="J289" i="78"/>
  <c r="G289" i="78"/>
  <c r="J306" i="78"/>
  <c r="H306" i="78"/>
  <c r="J229" i="78"/>
  <c r="H234" i="78"/>
  <c r="G245" i="78"/>
  <c r="H250" i="78"/>
  <c r="J253" i="78"/>
  <c r="I269" i="78"/>
  <c r="J269" i="78"/>
  <c r="J287" i="78"/>
  <c r="H289" i="78"/>
  <c r="I257" i="78"/>
  <c r="J257" i="78"/>
  <c r="J279" i="78"/>
  <c r="I279" i="78"/>
  <c r="J303" i="78"/>
  <c r="J311" i="78"/>
  <c r="I319" i="78"/>
  <c r="J321" i="78"/>
  <c r="I321" i="78"/>
  <c r="J330" i="78"/>
  <c r="I330" i="78"/>
  <c r="G334" i="78"/>
  <c r="J354" i="78"/>
  <c r="I354" i="78"/>
  <c r="J362" i="78"/>
  <c r="I362" i="78"/>
  <c r="J366" i="78"/>
  <c r="I366" i="78"/>
  <c r="J378" i="78"/>
  <c r="I378" i="78"/>
  <c r="I380" i="78"/>
  <c r="J382" i="78"/>
  <c r="I382" i="78"/>
  <c r="I396" i="78"/>
  <c r="J398" i="78"/>
  <c r="I398" i="78"/>
  <c r="J410" i="78"/>
  <c r="I410" i="78"/>
  <c r="I412" i="78"/>
  <c r="H334" i="78"/>
  <c r="G321" i="78"/>
  <c r="G330" i="78"/>
  <c r="J334" i="78"/>
  <c r="J350" i="78"/>
  <c r="I353" i="78"/>
  <c r="G354" i="78"/>
  <c r="G362" i="78"/>
  <c r="G366" i="78"/>
  <c r="G378" i="78"/>
  <c r="G382" i="78"/>
  <c r="G398" i="78"/>
  <c r="G410" i="78"/>
  <c r="I394" i="43"/>
  <c r="G379" i="43"/>
  <c r="J270" i="43"/>
  <c r="H398" i="43"/>
  <c r="G304" i="43"/>
  <c r="J386" i="43"/>
  <c r="I382" i="43"/>
  <c r="I342" i="43"/>
  <c r="I141" i="43"/>
  <c r="G316" i="43"/>
  <c r="H390" i="43"/>
  <c r="I187" i="43"/>
  <c r="G187" i="43"/>
  <c r="I319" i="43"/>
  <c r="J300" i="43"/>
  <c r="J227" i="43"/>
  <c r="G410" i="43"/>
  <c r="J293" i="43"/>
  <c r="J184" i="43"/>
  <c r="G250" i="43"/>
  <c r="H266" i="43"/>
  <c r="G133" i="43"/>
  <c r="I270" i="43"/>
  <c r="G129" i="43"/>
  <c r="J180" i="43"/>
  <c r="H91" i="43"/>
  <c r="G113" i="43"/>
  <c r="J266" i="43"/>
  <c r="J250" i="43"/>
  <c r="I402" i="43"/>
  <c r="G338" i="43"/>
  <c r="I323" i="43"/>
  <c r="I386" i="43"/>
  <c r="H382" i="43"/>
  <c r="H342" i="43"/>
  <c r="J390" i="43"/>
  <c r="H187" i="43"/>
  <c r="J319" i="43"/>
  <c r="H206" i="43"/>
  <c r="J129" i="43"/>
  <c r="J109" i="43"/>
  <c r="G300" i="43"/>
  <c r="J206" i="43"/>
  <c r="H184" i="43"/>
  <c r="G91" i="43"/>
  <c r="H117" i="43"/>
  <c r="H141" i="43"/>
  <c r="G270" i="43"/>
  <c r="I231" i="43"/>
  <c r="G169" i="43"/>
  <c r="I91" i="43"/>
  <c r="H113" i="43"/>
  <c r="J108" i="43"/>
  <c r="I379" i="43"/>
  <c r="J398" i="43"/>
  <c r="I338" i="43"/>
  <c r="J323" i="43"/>
  <c r="I304" i="43"/>
  <c r="I133" i="43"/>
  <c r="I206" i="43"/>
  <c r="J117" i="43"/>
  <c r="H285" i="43"/>
  <c r="G109" i="43"/>
  <c r="G281" i="43"/>
  <c r="G285" i="43"/>
  <c r="H109" i="43"/>
  <c r="I337" i="43"/>
  <c r="I94" i="43"/>
  <c r="G94" i="43"/>
  <c r="J94" i="43"/>
  <c r="H98" i="43"/>
  <c r="I98" i="43"/>
  <c r="G98" i="43"/>
  <c r="I102" i="43"/>
  <c r="H102" i="43"/>
  <c r="J102" i="43"/>
  <c r="H106" i="43"/>
  <c r="I106" i="43"/>
  <c r="G131" i="43"/>
  <c r="J131" i="43"/>
  <c r="J174" i="43"/>
  <c r="G174" i="43"/>
  <c r="H174" i="43"/>
  <c r="H192" i="43"/>
  <c r="I192" i="43"/>
  <c r="J192" i="43"/>
  <c r="J211" i="43"/>
  <c r="H211" i="43"/>
  <c r="J239" i="43"/>
  <c r="H239" i="43"/>
  <c r="I243" i="43"/>
  <c r="J243" i="43"/>
  <c r="G243" i="43"/>
  <c r="J261" i="43"/>
  <c r="I261" i="43"/>
  <c r="H325" i="43"/>
  <c r="J325" i="43"/>
  <c r="J401" i="43"/>
  <c r="G401" i="43"/>
  <c r="I405" i="43"/>
  <c r="J405" i="43"/>
  <c r="I378" i="43"/>
  <c r="H375" i="43"/>
  <c r="H338" i="43"/>
  <c r="H286" i="43"/>
  <c r="I169" i="43"/>
  <c r="H316" i="43"/>
  <c r="G306" i="43"/>
  <c r="G253" i="43"/>
  <c r="H202" i="43"/>
  <c r="H282" i="43"/>
  <c r="J106" i="43"/>
  <c r="G143" i="43"/>
  <c r="G227" i="43"/>
  <c r="G127" i="43"/>
  <c r="J235" i="43"/>
  <c r="G123" i="43"/>
  <c r="J251" i="43"/>
  <c r="H401" i="43"/>
  <c r="H110" i="43"/>
  <c r="I110" i="43"/>
  <c r="I114" i="43"/>
  <c r="J114" i="43"/>
  <c r="G118" i="43"/>
  <c r="I121" i="43"/>
  <c r="H121" i="43"/>
  <c r="J121" i="43"/>
  <c r="G175" i="43"/>
  <c r="I175" i="43"/>
  <c r="G254" i="43"/>
  <c r="I254" i="43"/>
  <c r="G258" i="43"/>
  <c r="I258" i="43"/>
  <c r="I293" i="43"/>
  <c r="G322" i="43"/>
  <c r="I322" i="43"/>
  <c r="H345" i="43"/>
  <c r="J345" i="43"/>
  <c r="G378" i="43"/>
  <c r="I87" i="43"/>
  <c r="J87" i="43"/>
  <c r="H87" i="43"/>
  <c r="G87" i="43"/>
  <c r="I90" i="43"/>
  <c r="G90" i="43"/>
  <c r="H111" i="43"/>
  <c r="G111" i="43"/>
  <c r="I111" i="43"/>
  <c r="I172" i="43"/>
  <c r="G172" i="43"/>
  <c r="H172" i="43"/>
  <c r="J209" i="43"/>
  <c r="G209" i="43"/>
  <c r="I251" i="43"/>
  <c r="G251" i="43"/>
  <c r="I365" i="43"/>
  <c r="J365" i="43"/>
  <c r="H365" i="43"/>
  <c r="G365" i="43"/>
  <c r="J368" i="43"/>
  <c r="H368" i="43"/>
  <c r="J372" i="43"/>
  <c r="I372" i="43"/>
  <c r="I380" i="43"/>
  <c r="H380" i="43"/>
  <c r="G372" i="43"/>
  <c r="I286" i="43"/>
  <c r="G261" i="43"/>
  <c r="G245" i="43"/>
  <c r="G257" i="43"/>
  <c r="J202" i="43"/>
  <c r="H178" i="43"/>
  <c r="J90" i="43"/>
  <c r="G211" i="43"/>
  <c r="J123" i="43"/>
  <c r="J98" i="43"/>
  <c r="G405" i="43"/>
  <c r="G293" i="43"/>
  <c r="I368" i="43"/>
  <c r="H209" i="43"/>
  <c r="I325" i="43"/>
  <c r="I200" i="43"/>
  <c r="I131" i="43"/>
  <c r="I257" i="43"/>
  <c r="H169" i="43"/>
  <c r="G231" i="43"/>
  <c r="H188" i="43"/>
  <c r="H94" i="43"/>
  <c r="G101" i="43"/>
  <c r="J101" i="43"/>
  <c r="I101" i="43"/>
  <c r="I123" i="43"/>
  <c r="G150" i="43"/>
  <c r="H150" i="43"/>
  <c r="G158" i="43"/>
  <c r="J158" i="43"/>
  <c r="I188" i="43"/>
  <c r="H227" i="43"/>
  <c r="J336" i="43"/>
  <c r="H336" i="43"/>
  <c r="H126" i="43"/>
  <c r="I126" i="43"/>
  <c r="I134" i="43"/>
  <c r="H134" i="43"/>
  <c r="G134" i="43"/>
  <c r="I157" i="43"/>
  <c r="J157" i="43"/>
  <c r="J205" i="43"/>
  <c r="G205" i="43"/>
  <c r="I205" i="43"/>
  <c r="H221" i="43"/>
  <c r="I221" i="43"/>
  <c r="J221" i="43"/>
  <c r="G221" i="43"/>
  <c r="H289" i="43"/>
  <c r="I289" i="43"/>
  <c r="J289" i="43"/>
  <c r="I305" i="43"/>
  <c r="H305" i="43"/>
  <c r="H311" i="43"/>
  <c r="J311" i="43"/>
  <c r="G350" i="43"/>
  <c r="I350" i="43"/>
  <c r="J350" i="43"/>
  <c r="I236" i="43"/>
  <c r="H350" i="43"/>
  <c r="G289" i="43"/>
  <c r="H157" i="43"/>
  <c r="G126" i="43"/>
  <c r="J179" i="43"/>
  <c r="I179" i="43"/>
  <c r="H179" i="43"/>
  <c r="J203" i="43"/>
  <c r="I203" i="43"/>
  <c r="H203" i="43"/>
  <c r="G203" i="43"/>
  <c r="H212" i="43"/>
  <c r="G212" i="43"/>
  <c r="I212" i="43"/>
  <c r="G262" i="43"/>
  <c r="I262" i="43"/>
  <c r="H262" i="43"/>
  <c r="G269" i="43"/>
  <c r="J269" i="43"/>
  <c r="I269" i="43"/>
  <c r="G283" i="43"/>
  <c r="J283" i="43"/>
  <c r="I283" i="43"/>
  <c r="H287" i="43"/>
  <c r="J287" i="43"/>
  <c r="I287" i="43"/>
  <c r="J348" i="43"/>
  <c r="H348" i="43"/>
  <c r="G348" i="43"/>
  <c r="I348" i="43"/>
  <c r="I387" i="43"/>
  <c r="H387" i="43"/>
  <c r="G395" i="43"/>
  <c r="H395" i="43"/>
  <c r="I406" i="43"/>
  <c r="G406" i="43"/>
  <c r="J406" i="43"/>
  <c r="H114" i="43"/>
  <c r="G114" i="43"/>
  <c r="H142" i="43"/>
  <c r="J142" i="43"/>
  <c r="H149" i="43"/>
  <c r="G149" i="43"/>
  <c r="I149" i="43"/>
  <c r="H191" i="43"/>
  <c r="I191" i="43"/>
  <c r="I217" i="43"/>
  <c r="G217" i="43"/>
  <c r="I271" i="43"/>
  <c r="G271" i="43"/>
  <c r="H271" i="43"/>
  <c r="G308" i="43"/>
  <c r="H308" i="43"/>
  <c r="J327" i="43"/>
  <c r="I327" i="43"/>
  <c r="J354" i="43"/>
  <c r="G354" i="43"/>
  <c r="H354" i="43"/>
  <c r="I324" i="43"/>
  <c r="H205" i="43"/>
  <c r="H95" i="43"/>
  <c r="J95" i="43"/>
  <c r="I95" i="43"/>
  <c r="G99" i="43"/>
  <c r="I99" i="43"/>
  <c r="J99" i="43"/>
  <c r="H99" i="43"/>
  <c r="G112" i="43"/>
  <c r="J112" i="43"/>
  <c r="H201" i="43"/>
  <c r="I201" i="43"/>
  <c r="J201" i="43"/>
  <c r="J210" i="43"/>
  <c r="I210" i="43"/>
  <c r="G210" i="43"/>
  <c r="H210" i="43"/>
  <c r="J228" i="43"/>
  <c r="I228" i="43"/>
  <c r="H228" i="43"/>
  <c r="G228" i="43"/>
  <c r="J232" i="43"/>
  <c r="I232" i="43"/>
  <c r="I244" i="43"/>
  <c r="G244" i="43"/>
  <c r="H244" i="43"/>
  <c r="J255" i="43"/>
  <c r="G255" i="43"/>
  <c r="H280" i="43"/>
  <c r="G280" i="43"/>
  <c r="J280" i="43"/>
  <c r="I280" i="43"/>
  <c r="G346" i="43"/>
  <c r="H346" i="43"/>
  <c r="J370" i="43"/>
  <c r="G370" i="43"/>
  <c r="H370" i="43"/>
  <c r="H373" i="43"/>
  <c r="I373" i="43"/>
  <c r="I138" i="43"/>
  <c r="G138" i="43"/>
  <c r="J138" i="43"/>
  <c r="H138" i="43"/>
  <c r="J214" i="43"/>
  <c r="H214" i="43"/>
  <c r="G214" i="43"/>
  <c r="H224" i="43"/>
  <c r="G224" i="43"/>
  <c r="J224" i="43"/>
  <c r="J331" i="43"/>
  <c r="H331" i="43"/>
  <c r="I331" i="43"/>
  <c r="G331" i="43"/>
  <c r="J363" i="43"/>
  <c r="H363" i="43"/>
  <c r="I363" i="43"/>
  <c r="I346" i="43"/>
  <c r="H335" i="43"/>
  <c r="J302" i="43"/>
  <c r="I153" i="43"/>
  <c r="J295" i="43"/>
  <c r="H130" i="43"/>
  <c r="I224" i="43"/>
  <c r="G191" i="43"/>
  <c r="J149" i="43"/>
  <c r="J164" i="43"/>
  <c r="G164" i="43"/>
  <c r="I164" i="43"/>
  <c r="H164" i="43"/>
  <c r="J177" i="43"/>
  <c r="H177" i="43"/>
  <c r="G177" i="43"/>
  <c r="J194" i="43"/>
  <c r="I194" i="43"/>
  <c r="H194" i="43"/>
  <c r="I207" i="43"/>
  <c r="H207" i="43"/>
  <c r="G207" i="43"/>
  <c r="J226" i="43"/>
  <c r="G226" i="43"/>
  <c r="I226" i="43"/>
  <c r="H226" i="43"/>
  <c r="H273" i="43"/>
  <c r="J273" i="43"/>
  <c r="I273" i="43"/>
  <c r="I343" i="43"/>
  <c r="J343" i="43"/>
  <c r="G343" i="43"/>
  <c r="H357" i="43"/>
  <c r="J357" i="43"/>
  <c r="G357" i="43"/>
  <c r="I357" i="43"/>
  <c r="J361" i="43"/>
  <c r="G361" i="43"/>
  <c r="I361" i="43"/>
  <c r="H361" i="43"/>
  <c r="H412" i="40"/>
  <c r="J139" i="40"/>
  <c r="H229" i="40"/>
  <c r="H277" i="40"/>
  <c r="I245" i="40"/>
  <c r="J324" i="40"/>
  <c r="H390" i="40"/>
  <c r="G269" i="40"/>
  <c r="I382" i="40"/>
  <c r="I335" i="40"/>
  <c r="J305" i="40"/>
  <c r="H343" i="40"/>
  <c r="H289" i="40"/>
  <c r="G367" i="40"/>
  <c r="G379" i="40"/>
  <c r="I114" i="40"/>
  <c r="G159" i="40"/>
  <c r="J159" i="40"/>
  <c r="G222" i="40"/>
  <c r="J285" i="40"/>
  <c r="G245" i="40"/>
  <c r="G390" i="40"/>
  <c r="G323" i="40"/>
  <c r="H351" i="40"/>
  <c r="J323" i="40"/>
  <c r="J126" i="40"/>
  <c r="I201" i="40"/>
  <c r="J294" i="40"/>
  <c r="G226" i="40"/>
  <c r="G321" i="40"/>
  <c r="J298" i="40"/>
  <c r="G154" i="40"/>
  <c r="J214" i="40"/>
  <c r="H218" i="40"/>
  <c r="J210" i="40"/>
  <c r="H174" i="40"/>
  <c r="I262" i="40"/>
  <c r="J392" i="40"/>
  <c r="J226" i="40"/>
  <c r="I214" i="40"/>
  <c r="H135" i="40"/>
  <c r="H324" i="40"/>
  <c r="J262" i="40"/>
  <c r="G214" i="40"/>
  <c r="H198" i="40"/>
  <c r="J170" i="40"/>
  <c r="J218" i="40"/>
  <c r="J135" i="40"/>
  <c r="H172" i="40"/>
  <c r="J236" i="40"/>
  <c r="G203" i="40"/>
  <c r="H245" i="40"/>
  <c r="G262" i="40"/>
  <c r="G294" i="40"/>
  <c r="I211" i="40"/>
  <c r="J321" i="40"/>
  <c r="H321" i="40"/>
  <c r="G198" i="40"/>
  <c r="I122" i="40"/>
  <c r="I166" i="40"/>
  <c r="J201" i="40"/>
  <c r="I117" i="40"/>
  <c r="H257" i="40"/>
  <c r="F37" i="40"/>
  <c r="J174" i="40"/>
  <c r="J257" i="40"/>
  <c r="H260" i="40"/>
  <c r="I203" i="40"/>
  <c r="I243" i="40"/>
  <c r="J140" i="40"/>
  <c r="G305" i="40"/>
  <c r="I198" i="40"/>
  <c r="H126" i="40"/>
  <c r="I126" i="40"/>
  <c r="H130" i="40"/>
  <c r="G165" i="40"/>
  <c r="H201" i="40"/>
  <c r="J412" i="40"/>
  <c r="J240" i="40"/>
  <c r="I165" i="40"/>
  <c r="I159" i="40"/>
  <c r="F52" i="40"/>
  <c r="F27" i="40"/>
  <c r="I406" i="40"/>
  <c r="H224" i="40"/>
  <c r="H220" i="40"/>
  <c r="I104" i="40"/>
  <c r="I108" i="40"/>
  <c r="I112" i="40"/>
  <c r="H140" i="40"/>
  <c r="G148" i="40"/>
  <c r="I134" i="40"/>
  <c r="I210" i="40"/>
  <c r="I319" i="40"/>
  <c r="G246" i="40"/>
  <c r="H231" i="40"/>
  <c r="J216" i="40"/>
  <c r="I172" i="40"/>
  <c r="J171" i="40"/>
  <c r="H292" i="40"/>
  <c r="I148" i="40"/>
  <c r="J104" i="40"/>
  <c r="J112" i="40"/>
  <c r="G140" i="40"/>
  <c r="I216" i="40"/>
  <c r="G250" i="40"/>
  <c r="J303" i="40"/>
  <c r="H158" i="40"/>
  <c r="H134" i="40"/>
  <c r="G158" i="40"/>
  <c r="H154" i="40"/>
  <c r="G319" i="40"/>
  <c r="I303" i="40"/>
  <c r="I127" i="40"/>
  <c r="G224" i="40"/>
  <c r="H213" i="40"/>
  <c r="J231" i="40"/>
  <c r="H400" i="40"/>
  <c r="G216" i="40"/>
  <c r="G210" i="40"/>
  <c r="J307" i="40"/>
  <c r="H151" i="40"/>
  <c r="I169" i="40"/>
  <c r="J162" i="40"/>
  <c r="G162" i="40"/>
  <c r="H123" i="40"/>
  <c r="I123" i="40"/>
  <c r="H97" i="40"/>
  <c r="G94" i="40"/>
  <c r="I94" i="40"/>
  <c r="H94" i="40"/>
  <c r="J94" i="40"/>
  <c r="I90" i="40"/>
  <c r="G90" i="40"/>
  <c r="H90" i="40"/>
  <c r="I374" i="40"/>
  <c r="J264" i="40"/>
  <c r="J239" i="40"/>
  <c r="G239" i="40"/>
  <c r="J195" i="40"/>
  <c r="G191" i="40"/>
  <c r="J191" i="40"/>
  <c r="I191" i="40"/>
  <c r="H187" i="40"/>
  <c r="J187" i="40"/>
  <c r="I183" i="40"/>
  <c r="G183" i="40"/>
  <c r="H183" i="40"/>
  <c r="I187" i="40"/>
  <c r="J90" i="40"/>
  <c r="G187" i="40"/>
  <c r="H167" i="40"/>
  <c r="I99" i="40"/>
  <c r="F47" i="40"/>
  <c r="F35" i="40"/>
  <c r="J157" i="40"/>
  <c r="H157" i="40"/>
  <c r="G157" i="40"/>
  <c r="I157" i="40"/>
  <c r="G136" i="40"/>
  <c r="I133" i="40"/>
  <c r="I107" i="40"/>
  <c r="H100" i="40"/>
  <c r="I100" i="40"/>
  <c r="H291" i="40"/>
  <c r="G291" i="40"/>
  <c r="G238" i="40"/>
  <c r="H238" i="40"/>
  <c r="J234" i="40"/>
  <c r="I234" i="40"/>
  <c r="G234" i="40"/>
  <c r="J209" i="40"/>
  <c r="G209" i="40"/>
  <c r="J178" i="40"/>
  <c r="I178" i="40"/>
  <c r="G178" i="40"/>
  <c r="I409" i="40"/>
  <c r="G409" i="40"/>
  <c r="H405" i="40"/>
  <c r="I405" i="40"/>
  <c r="J405" i="40"/>
  <c r="H399" i="40"/>
  <c r="J399" i="40"/>
  <c r="G395" i="40"/>
  <c r="J395" i="40"/>
  <c r="J167" i="40"/>
  <c r="G164" i="40"/>
  <c r="I118" i="40"/>
  <c r="G99" i="40"/>
  <c r="H99" i="40"/>
  <c r="I92" i="40"/>
  <c r="I88" i="40"/>
  <c r="H290" i="40"/>
  <c r="I248" i="40"/>
  <c r="H248" i="40"/>
  <c r="G248" i="40"/>
  <c r="J208" i="40"/>
  <c r="G208" i="40"/>
  <c r="I208" i="40"/>
  <c r="J197" i="40"/>
  <c r="I197" i="40"/>
  <c r="G197" i="40"/>
  <c r="H189" i="40"/>
  <c r="G189" i="40"/>
  <c r="I189" i="40"/>
  <c r="J185" i="40"/>
  <c r="G181" i="40"/>
  <c r="I181" i="40"/>
  <c r="F26" i="40"/>
  <c r="F30" i="40"/>
  <c r="F34" i="40"/>
  <c r="F38" i="40"/>
  <c r="F42" i="40"/>
  <c r="F48" i="40"/>
  <c r="F50" i="40"/>
  <c r="F28" i="40"/>
  <c r="F33" i="40"/>
  <c r="F39" i="40"/>
  <c r="F44" i="40"/>
  <c r="F46" i="40"/>
  <c r="F54" i="40"/>
  <c r="F25" i="40"/>
  <c r="F31" i="40"/>
  <c r="F36" i="40"/>
  <c r="F41" i="40"/>
  <c r="F49" i="40"/>
  <c r="F45" i="40"/>
  <c r="H191" i="40"/>
  <c r="H239" i="40"/>
  <c r="J181" i="40"/>
  <c r="I164" i="40"/>
  <c r="J248" i="40"/>
  <c r="G290" i="40"/>
  <c r="I162" i="40"/>
  <c r="H366" i="40"/>
  <c r="F53" i="40"/>
  <c r="F40" i="40"/>
  <c r="F29" i="40"/>
  <c r="G170" i="40"/>
  <c r="G145" i="40"/>
  <c r="J145" i="40"/>
  <c r="H141" i="40"/>
  <c r="J138" i="40"/>
  <c r="H138" i="40"/>
  <c r="G138" i="40"/>
  <c r="H131" i="40"/>
  <c r="G131" i="40"/>
  <c r="I131" i="40"/>
  <c r="H128" i="40"/>
  <c r="J113" i="40"/>
  <c r="G113" i="40"/>
  <c r="H113" i="40"/>
  <c r="I113" i="40"/>
  <c r="H102" i="40"/>
  <c r="J102" i="40"/>
  <c r="G102" i="40"/>
  <c r="I320" i="40"/>
  <c r="J320" i="40"/>
  <c r="H300" i="40"/>
  <c r="J258" i="40"/>
  <c r="I236" i="40"/>
  <c r="H236" i="40"/>
  <c r="I228" i="40"/>
  <c r="J176" i="40"/>
  <c r="G176" i="40"/>
  <c r="H176" i="40"/>
  <c r="G411" i="40"/>
  <c r="H411" i="40"/>
  <c r="J411" i="40"/>
  <c r="H403" i="40"/>
  <c r="J403" i="40"/>
  <c r="G403" i="40"/>
  <c r="H397" i="40"/>
  <c r="I397" i="40"/>
  <c r="H161" i="40"/>
  <c r="G161" i="40"/>
  <c r="G117" i="40"/>
  <c r="H117" i="40"/>
  <c r="G110" i="40"/>
  <c r="H315" i="40"/>
  <c r="J315" i="40"/>
  <c r="I315" i="40"/>
  <c r="H265" i="40"/>
  <c r="J265" i="40"/>
  <c r="H87" i="40"/>
  <c r="G87" i="40"/>
  <c r="J87" i="40"/>
  <c r="J375" i="40"/>
  <c r="H375" i="40"/>
  <c r="H363" i="40"/>
  <c r="J363" i="40"/>
  <c r="I363" i="40"/>
  <c r="H355" i="40"/>
  <c r="G355" i="40"/>
  <c r="I347" i="40"/>
  <c r="J339" i="40"/>
  <c r="I339" i="40"/>
  <c r="I327" i="40"/>
  <c r="G327" i="40"/>
  <c r="H313" i="40"/>
  <c r="G313" i="40"/>
  <c r="J313" i="40"/>
  <c r="G275" i="40"/>
  <c r="I250" i="40"/>
  <c r="J250" i="40"/>
  <c r="I222" i="40"/>
  <c r="H222" i="40"/>
  <c r="J17" i="55"/>
  <c r="I49" i="55"/>
  <c r="J49" i="55"/>
  <c r="H59" i="55"/>
  <c r="J59" i="55"/>
  <c r="H62" i="55"/>
  <c r="I62" i="55"/>
  <c r="J62" i="55"/>
  <c r="J71" i="55"/>
  <c r="G89" i="55"/>
  <c r="H89" i="55"/>
  <c r="J89" i="55"/>
  <c r="J100" i="55"/>
  <c r="G100" i="55"/>
  <c r="I100" i="55"/>
  <c r="J102" i="55"/>
  <c r="I102" i="55"/>
  <c r="H102" i="55"/>
  <c r="G112" i="55"/>
  <c r="I112" i="55"/>
  <c r="J112" i="55"/>
  <c r="G125" i="55"/>
  <c r="I125" i="55"/>
  <c r="J132" i="55"/>
  <c r="I132" i="55"/>
  <c r="G132" i="55"/>
  <c r="I134" i="55"/>
  <c r="J134" i="55"/>
  <c r="H134" i="55"/>
  <c r="I231" i="55"/>
  <c r="J231" i="55"/>
  <c r="I263" i="55"/>
  <c r="J263" i="55"/>
  <c r="G263" i="55"/>
  <c r="I265" i="55"/>
  <c r="H265" i="55"/>
  <c r="I302" i="55"/>
  <c r="I318" i="55"/>
  <c r="G318" i="55"/>
  <c r="I322" i="55"/>
  <c r="H322" i="55"/>
  <c r="I332" i="55"/>
  <c r="G332" i="55"/>
  <c r="G338" i="55"/>
  <c r="I338" i="55"/>
  <c r="G366" i="55"/>
  <c r="I366" i="55"/>
  <c r="I387" i="55"/>
  <c r="H387" i="55"/>
  <c r="G408" i="55"/>
  <c r="I408" i="55"/>
  <c r="I412" i="55"/>
  <c r="H412" i="55"/>
  <c r="J412" i="55"/>
  <c r="G410" i="55"/>
  <c r="J382" i="55"/>
  <c r="I373" i="55"/>
  <c r="I395" i="55"/>
  <c r="I390" i="55"/>
  <c r="H385" i="55"/>
  <c r="I379" i="55"/>
  <c r="H369" i="55"/>
  <c r="I325" i="55"/>
  <c r="H320" i="55"/>
  <c r="H304" i="55"/>
  <c r="I261" i="55"/>
  <c r="H240" i="55"/>
  <c r="G202" i="55"/>
  <c r="H132" i="55"/>
  <c r="H100" i="55"/>
  <c r="G325" i="55"/>
  <c r="G320" i="55"/>
  <c r="H284" i="55"/>
  <c r="G316" i="55"/>
  <c r="H397" i="55"/>
  <c r="I375" i="55"/>
  <c r="J316" i="55"/>
  <c r="G334" i="55"/>
  <c r="J408" i="55"/>
  <c r="H78" i="55"/>
  <c r="I47" i="55"/>
  <c r="H47" i="55"/>
  <c r="J60" i="55"/>
  <c r="I60" i="55"/>
  <c r="H63" i="55"/>
  <c r="I63" i="55"/>
  <c r="I69" i="55"/>
  <c r="G69" i="55"/>
  <c r="I72" i="55"/>
  <c r="G72" i="55"/>
  <c r="I89" i="55"/>
  <c r="I92" i="55"/>
  <c r="G92" i="55"/>
  <c r="J97" i="55"/>
  <c r="G97" i="55"/>
  <c r="I97" i="55"/>
  <c r="I113" i="55"/>
  <c r="H113" i="55"/>
  <c r="H126" i="55"/>
  <c r="I126" i="55"/>
  <c r="J126" i="55"/>
  <c r="I138" i="55"/>
  <c r="H138" i="55"/>
  <c r="J154" i="55"/>
  <c r="H154" i="55"/>
  <c r="I154" i="55"/>
  <c r="J168" i="55"/>
  <c r="I168" i="55"/>
  <c r="J180" i="55"/>
  <c r="G180" i="55"/>
  <c r="I180" i="55"/>
  <c r="J182" i="55"/>
  <c r="I182" i="55"/>
  <c r="I196" i="55"/>
  <c r="J196" i="55"/>
  <c r="H199" i="55"/>
  <c r="I199" i="55"/>
  <c r="J217" i="55"/>
  <c r="I217" i="55"/>
  <c r="H221" i="55"/>
  <c r="I221" i="55"/>
  <c r="I226" i="55"/>
  <c r="H226" i="55"/>
  <c r="I242" i="55"/>
  <c r="I247" i="55"/>
  <c r="J247" i="55"/>
  <c r="H263" i="55"/>
  <c r="I281" i="55"/>
  <c r="H281" i="55"/>
  <c r="H319" i="55"/>
  <c r="J319" i="55"/>
  <c r="I319" i="55"/>
  <c r="G323" i="55"/>
  <c r="H323" i="55"/>
  <c r="J323" i="55"/>
  <c r="H376" i="55"/>
  <c r="J376" i="55"/>
  <c r="G376" i="55"/>
  <c r="I376" i="55"/>
  <c r="H384" i="55"/>
  <c r="I384" i="55"/>
  <c r="J384" i="55"/>
  <c r="G388" i="55"/>
  <c r="J388" i="55"/>
  <c r="H388" i="55"/>
  <c r="I56" i="55"/>
  <c r="G56" i="55"/>
  <c r="J85" i="55"/>
  <c r="H85" i="55"/>
  <c r="J117" i="55"/>
  <c r="H117" i="55"/>
  <c r="H143" i="55"/>
  <c r="I143" i="55"/>
  <c r="I157" i="55"/>
  <c r="G157" i="55"/>
  <c r="H163" i="55"/>
  <c r="I163" i="55"/>
  <c r="J177" i="55"/>
  <c r="G177" i="55"/>
  <c r="I190" i="55"/>
  <c r="J190" i="55"/>
  <c r="I202" i="55"/>
  <c r="H202" i="55"/>
  <c r="G208" i="55"/>
  <c r="I208" i="55"/>
  <c r="G212" i="55"/>
  <c r="I212" i="55"/>
  <c r="J267" i="55"/>
  <c r="G267" i="55"/>
  <c r="J310" i="55"/>
  <c r="H310" i="55"/>
  <c r="H402" i="55"/>
  <c r="G402" i="55"/>
  <c r="G387" i="55"/>
  <c r="H366" i="55"/>
  <c r="H334" i="55"/>
  <c r="H410" i="55"/>
  <c r="H338" i="55"/>
  <c r="J322" i="55"/>
  <c r="J258" i="55"/>
  <c r="J242" i="55"/>
  <c r="I310" i="55"/>
  <c r="I304" i="55"/>
  <c r="I240" i="55"/>
  <c r="I402" i="55"/>
  <c r="G310" i="55"/>
  <c r="G412" i="55"/>
  <c r="H258" i="55"/>
  <c r="G85" i="55"/>
  <c r="I382" i="55"/>
  <c r="H267" i="55"/>
  <c r="J125" i="55"/>
  <c r="J332" i="55"/>
  <c r="G231" i="55"/>
  <c r="H157" i="55"/>
  <c r="J83" i="55"/>
  <c r="I59" i="55"/>
  <c r="H53" i="55"/>
  <c r="J53" i="55"/>
  <c r="I53" i="55"/>
  <c r="I57" i="55"/>
  <c r="J57" i="55"/>
  <c r="G57" i="55"/>
  <c r="G68" i="55"/>
  <c r="I68" i="55"/>
  <c r="G73" i="55"/>
  <c r="I73" i="55"/>
  <c r="J73" i="55"/>
  <c r="I76" i="55"/>
  <c r="J76" i="55"/>
  <c r="J79" i="55"/>
  <c r="I79" i="55"/>
  <c r="H79" i="55"/>
  <c r="I85" i="55"/>
  <c r="I88" i="55"/>
  <c r="G88" i="55"/>
  <c r="H109" i="55"/>
  <c r="J109" i="55"/>
  <c r="G109" i="55"/>
  <c r="J115" i="55"/>
  <c r="I115" i="55"/>
  <c r="I117" i="55"/>
  <c r="J143" i="55"/>
  <c r="I153" i="55"/>
  <c r="J153" i="55"/>
  <c r="G153" i="55"/>
  <c r="I164" i="55"/>
  <c r="J164" i="55"/>
  <c r="G164" i="55"/>
  <c r="J166" i="55"/>
  <c r="I166" i="55"/>
  <c r="H166" i="55"/>
  <c r="I170" i="55"/>
  <c r="H170" i="55"/>
  <c r="J208" i="55"/>
  <c r="H235" i="55"/>
  <c r="G235" i="55"/>
  <c r="J235" i="55"/>
  <c r="J251" i="55"/>
  <c r="H251" i="55"/>
  <c r="H279" i="55"/>
  <c r="J279" i="55"/>
  <c r="G279" i="55"/>
  <c r="I283" i="55"/>
  <c r="H283" i="55"/>
  <c r="G283" i="55"/>
  <c r="J283" i="55"/>
  <c r="I286" i="55"/>
  <c r="G286" i="55"/>
  <c r="G295" i="55"/>
  <c r="I295" i="55"/>
  <c r="J295" i="55"/>
  <c r="J340" i="55"/>
  <c r="G340" i="55"/>
  <c r="I340" i="55"/>
  <c r="H400" i="55"/>
  <c r="J400" i="55"/>
  <c r="G400" i="55"/>
  <c r="I209" i="55"/>
  <c r="J209" i="55"/>
  <c r="I299" i="55"/>
  <c r="J299" i="55"/>
  <c r="J116" i="55"/>
  <c r="I121" i="55"/>
  <c r="I193" i="55"/>
  <c r="H209" i="55"/>
  <c r="I271" i="55"/>
  <c r="H299" i="55"/>
  <c r="I364" i="55"/>
  <c r="J364" i="55"/>
  <c r="H63" i="54"/>
  <c r="I95" i="54"/>
  <c r="J95" i="54"/>
  <c r="H95" i="54"/>
  <c r="G95" i="54"/>
  <c r="I127" i="54"/>
  <c r="J127" i="54"/>
  <c r="H127" i="54"/>
  <c r="G127" i="54"/>
  <c r="H159" i="54"/>
  <c r="G207" i="54"/>
  <c r="H400" i="54"/>
  <c r="J400" i="54"/>
  <c r="G400" i="54"/>
  <c r="I400" i="54"/>
  <c r="H402" i="54"/>
  <c r="I402" i="54"/>
  <c r="G402" i="54"/>
  <c r="J402" i="54"/>
  <c r="J411" i="54"/>
  <c r="I411" i="54"/>
  <c r="H411" i="54"/>
  <c r="I71" i="54"/>
  <c r="J71" i="54"/>
  <c r="H71" i="54"/>
  <c r="G71" i="54"/>
  <c r="I103" i="54"/>
  <c r="J103" i="54"/>
  <c r="H103" i="54"/>
  <c r="G103" i="54"/>
  <c r="I135" i="54"/>
  <c r="J135" i="54"/>
  <c r="H135" i="54"/>
  <c r="G135" i="54"/>
  <c r="H204" i="54"/>
  <c r="J204" i="54"/>
  <c r="I204" i="54"/>
  <c r="H309" i="54"/>
  <c r="I309" i="54"/>
  <c r="G309" i="54"/>
  <c r="J309" i="54"/>
  <c r="J313" i="54"/>
  <c r="J324" i="54"/>
  <c r="G324" i="54"/>
  <c r="H324" i="54"/>
  <c r="J334" i="54"/>
  <c r="G334" i="54"/>
  <c r="H334" i="54"/>
  <c r="J353" i="54"/>
  <c r="H353" i="54"/>
  <c r="G357" i="54"/>
  <c r="J357" i="54"/>
  <c r="H357" i="54"/>
  <c r="I357" i="54"/>
  <c r="I47" i="54"/>
  <c r="J47" i="54"/>
  <c r="H47" i="54"/>
  <c r="G47" i="54"/>
  <c r="I79" i="54"/>
  <c r="J79" i="54"/>
  <c r="H79" i="54"/>
  <c r="G79" i="54"/>
  <c r="I111" i="54"/>
  <c r="J111" i="54"/>
  <c r="H111" i="54"/>
  <c r="G111" i="54"/>
  <c r="I143" i="54"/>
  <c r="J143" i="54"/>
  <c r="H143" i="54"/>
  <c r="G143" i="54"/>
  <c r="H233" i="54"/>
  <c r="J233" i="54"/>
  <c r="I233" i="54"/>
  <c r="G233" i="54"/>
  <c r="J286" i="54"/>
  <c r="H286" i="54"/>
  <c r="I286" i="54"/>
  <c r="G286" i="54"/>
  <c r="J292" i="54"/>
  <c r="G292" i="54"/>
  <c r="H292" i="54"/>
  <c r="I292" i="54"/>
  <c r="J303" i="54"/>
  <c r="G303" i="54"/>
  <c r="H303" i="54"/>
  <c r="I303" i="54"/>
  <c r="G55" i="54"/>
  <c r="I87" i="54"/>
  <c r="J87" i="54"/>
  <c r="H87" i="54"/>
  <c r="G87" i="54"/>
  <c r="I119" i="54"/>
  <c r="J119" i="54"/>
  <c r="H119" i="54"/>
  <c r="G119" i="54"/>
  <c r="I151" i="54"/>
  <c r="J151" i="54"/>
  <c r="H151" i="54"/>
  <c r="G151" i="54"/>
  <c r="I258" i="54"/>
  <c r="J258" i="54"/>
  <c r="H258" i="54"/>
  <c r="H52" i="54"/>
  <c r="G52" i="54"/>
  <c r="H68" i="54"/>
  <c r="G68" i="54"/>
  <c r="H84" i="54"/>
  <c r="G84" i="54"/>
  <c r="H100" i="54"/>
  <c r="G100" i="54"/>
  <c r="H124" i="54"/>
  <c r="G124" i="54"/>
  <c r="H140" i="54"/>
  <c r="G140" i="54"/>
  <c r="H156" i="54"/>
  <c r="G156" i="54"/>
  <c r="H241" i="54"/>
  <c r="G241" i="54"/>
  <c r="J318" i="54"/>
  <c r="H318" i="54"/>
  <c r="H366" i="54"/>
  <c r="I366" i="54"/>
  <c r="G366" i="54"/>
  <c r="H385" i="54"/>
  <c r="G364" i="54"/>
  <c r="H397" i="54"/>
  <c r="G328" i="54"/>
  <c r="G318" i="54"/>
  <c r="H296" i="54"/>
  <c r="G222" i="54"/>
  <c r="I314" i="54"/>
  <c r="G276" i="54"/>
  <c r="G228" i="54"/>
  <c r="I395" i="54"/>
  <c r="G299" i="54"/>
  <c r="G278" i="54"/>
  <c r="I361" i="54"/>
  <c r="G290" i="54"/>
  <c r="G252" i="54"/>
  <c r="H231" i="54"/>
  <c r="J364" i="54"/>
  <c r="H293" i="54"/>
  <c r="J225" i="54"/>
  <c r="I51" i="54"/>
  <c r="J51" i="54"/>
  <c r="H51" i="54"/>
  <c r="J52" i="54"/>
  <c r="I59" i="54"/>
  <c r="J59" i="54"/>
  <c r="H59" i="54"/>
  <c r="I67" i="54"/>
  <c r="J67" i="54"/>
  <c r="H67" i="54"/>
  <c r="J68" i="54"/>
  <c r="I75" i="54"/>
  <c r="J75" i="54"/>
  <c r="H75" i="54"/>
  <c r="I83" i="54"/>
  <c r="J83" i="54"/>
  <c r="H83" i="54"/>
  <c r="J84" i="54"/>
  <c r="I91" i="54"/>
  <c r="J91" i="54"/>
  <c r="H91" i="54"/>
  <c r="I99" i="54"/>
  <c r="J99" i="54"/>
  <c r="H99" i="54"/>
  <c r="J100" i="54"/>
  <c r="I107" i="54"/>
  <c r="J107" i="54"/>
  <c r="H107" i="54"/>
  <c r="I115" i="54"/>
  <c r="J115" i="54"/>
  <c r="H115" i="54"/>
  <c r="I123" i="54"/>
  <c r="J123" i="54"/>
  <c r="H123" i="54"/>
  <c r="J124" i="54"/>
  <c r="I131" i="54"/>
  <c r="J131" i="54"/>
  <c r="H131" i="54"/>
  <c r="I139" i="54"/>
  <c r="J139" i="54"/>
  <c r="H139" i="54"/>
  <c r="J140" i="54"/>
  <c r="I147" i="54"/>
  <c r="J147" i="54"/>
  <c r="H147" i="54"/>
  <c r="I155" i="54"/>
  <c r="J155" i="54"/>
  <c r="H155" i="54"/>
  <c r="J156" i="54"/>
  <c r="I163" i="54"/>
  <c r="J163" i="54"/>
  <c r="H163" i="54"/>
  <c r="J216" i="54"/>
  <c r="H216" i="54"/>
  <c r="G237" i="54"/>
  <c r="J237" i="54"/>
  <c r="I237" i="54"/>
  <c r="I241" i="54"/>
  <c r="I281" i="54"/>
  <c r="H281" i="54"/>
  <c r="H60" i="54"/>
  <c r="G60" i="54"/>
  <c r="G76" i="54"/>
  <c r="H92" i="54"/>
  <c r="G92" i="54"/>
  <c r="H108" i="54"/>
  <c r="G108" i="54"/>
  <c r="H116" i="54"/>
  <c r="G116" i="54"/>
  <c r="H132" i="54"/>
  <c r="G132" i="54"/>
  <c r="H148" i="54"/>
  <c r="G148" i="54"/>
  <c r="H164" i="54"/>
  <c r="G164" i="54"/>
  <c r="J259" i="54"/>
  <c r="I259" i="54"/>
  <c r="G325" i="54"/>
  <c r="H325" i="54"/>
  <c r="I390" i="54"/>
  <c r="J390" i="54"/>
  <c r="G390" i="54"/>
  <c r="I397" i="54"/>
  <c r="G385" i="54"/>
  <c r="G397" i="54"/>
  <c r="G331" i="54"/>
  <c r="I318" i="54"/>
  <c r="G296" i="54"/>
  <c r="H259" i="54"/>
  <c r="I222" i="54"/>
  <c r="J290" i="54"/>
  <c r="H290" i="54"/>
  <c r="J361" i="54"/>
  <c r="J385" i="54"/>
  <c r="J325" i="54"/>
  <c r="H48" i="54"/>
  <c r="G48" i="54"/>
  <c r="G51" i="54"/>
  <c r="H56" i="54"/>
  <c r="G56" i="54"/>
  <c r="G59" i="54"/>
  <c r="H64" i="54"/>
  <c r="G64" i="54"/>
  <c r="G67" i="54"/>
  <c r="H72" i="54"/>
  <c r="G72" i="54"/>
  <c r="G75" i="54"/>
  <c r="H80" i="54"/>
  <c r="G80" i="54"/>
  <c r="G83" i="54"/>
  <c r="H88" i="54"/>
  <c r="G88" i="54"/>
  <c r="G91" i="54"/>
  <c r="H96" i="54"/>
  <c r="G96" i="54"/>
  <c r="G99" i="54"/>
  <c r="H104" i="54"/>
  <c r="G104" i="54"/>
  <c r="G107" i="54"/>
  <c r="H112" i="54"/>
  <c r="G112" i="54"/>
  <c r="G115" i="54"/>
  <c r="H120" i="54"/>
  <c r="G120" i="54"/>
  <c r="G123" i="54"/>
  <c r="H128" i="54"/>
  <c r="G128" i="54"/>
  <c r="G131" i="54"/>
  <c r="H136" i="54"/>
  <c r="G136" i="54"/>
  <c r="G139" i="54"/>
  <c r="H144" i="54"/>
  <c r="G144" i="54"/>
  <c r="G147" i="54"/>
  <c r="H152" i="54"/>
  <c r="G152" i="54"/>
  <c r="G155" i="54"/>
  <c r="H160" i="54"/>
  <c r="G160" i="54"/>
  <c r="G163" i="54"/>
  <c r="H220" i="54"/>
  <c r="J220" i="54"/>
  <c r="H237" i="54"/>
  <c r="J270" i="54"/>
  <c r="H270" i="54"/>
  <c r="J323" i="54"/>
  <c r="I323" i="54"/>
  <c r="J359" i="54"/>
  <c r="H359" i="54"/>
  <c r="I380" i="54"/>
  <c r="I245" i="54"/>
  <c r="J245" i="54"/>
  <c r="I358" i="54"/>
  <c r="J358" i="54"/>
  <c r="J168" i="54"/>
  <c r="I168" i="54"/>
  <c r="J172" i="54"/>
  <c r="I172" i="54"/>
  <c r="J176" i="54"/>
  <c r="I176" i="54"/>
  <c r="J180" i="54"/>
  <c r="I180" i="54"/>
  <c r="J184" i="54"/>
  <c r="I184" i="54"/>
  <c r="J188" i="54"/>
  <c r="I188" i="54"/>
  <c r="J192" i="54"/>
  <c r="I192" i="54"/>
  <c r="J196" i="54"/>
  <c r="I196" i="54"/>
  <c r="J200" i="54"/>
  <c r="I200" i="54"/>
  <c r="G245" i="54"/>
  <c r="I301" i="54"/>
  <c r="I312" i="54"/>
  <c r="J348" i="54"/>
  <c r="G358" i="54"/>
  <c r="H394" i="54"/>
  <c r="J33" i="84"/>
  <c r="H33" i="84"/>
  <c r="G33" i="84"/>
  <c r="H37" i="84"/>
  <c r="J37" i="84"/>
  <c r="G37" i="84"/>
  <c r="I43" i="84"/>
  <c r="G43" i="84"/>
  <c r="J43" i="84"/>
  <c r="J45" i="84"/>
  <c r="H45" i="84"/>
  <c r="G45" i="84"/>
  <c r="I51" i="84"/>
  <c r="J51" i="84"/>
  <c r="H65" i="84"/>
  <c r="J65" i="84"/>
  <c r="G65" i="84"/>
  <c r="J69" i="84"/>
  <c r="H69" i="84"/>
  <c r="G69" i="84"/>
  <c r="I75" i="84"/>
  <c r="G75" i="84"/>
  <c r="J75" i="84"/>
  <c r="J77" i="84"/>
  <c r="H77" i="84"/>
  <c r="G77" i="84"/>
  <c r="I83" i="84"/>
  <c r="J83" i="84"/>
  <c r="G96" i="84"/>
  <c r="J96" i="84"/>
  <c r="I96" i="84"/>
  <c r="I100" i="84"/>
  <c r="G100" i="84"/>
  <c r="J100" i="84"/>
  <c r="J104" i="84"/>
  <c r="G104" i="84"/>
  <c r="G128" i="84"/>
  <c r="I128" i="84"/>
  <c r="J128" i="84"/>
  <c r="I132" i="84"/>
  <c r="J132" i="84"/>
  <c r="G132" i="84"/>
  <c r="G136" i="84"/>
  <c r="J136" i="84"/>
  <c r="J154" i="84"/>
  <c r="G154" i="84"/>
  <c r="I154" i="84"/>
  <c r="H168" i="84"/>
  <c r="I168" i="84"/>
  <c r="I171" i="84"/>
  <c r="H171" i="84"/>
  <c r="G171" i="84"/>
  <c r="I180" i="84"/>
  <c r="G180" i="84"/>
  <c r="H180" i="84"/>
  <c r="J186" i="84"/>
  <c r="G186" i="84"/>
  <c r="I186" i="84"/>
  <c r="J216" i="84"/>
  <c r="H216" i="84"/>
  <c r="H240" i="84"/>
  <c r="J240" i="84"/>
  <c r="I254" i="84"/>
  <c r="H254" i="84"/>
  <c r="I271" i="84"/>
  <c r="J271" i="84"/>
  <c r="G271" i="84"/>
  <c r="H303" i="84"/>
  <c r="I303" i="84"/>
  <c r="G303" i="84"/>
  <c r="I335" i="84"/>
  <c r="G341" i="84"/>
  <c r="H341" i="84"/>
  <c r="I341" i="84"/>
  <c r="J344" i="84"/>
  <c r="H344" i="84"/>
  <c r="J349" i="84"/>
  <c r="G349" i="84"/>
  <c r="G384" i="84"/>
  <c r="H384" i="84"/>
  <c r="J384" i="84"/>
  <c r="J17" i="84"/>
  <c r="G25" i="84"/>
  <c r="J365" i="84"/>
  <c r="G254" i="84"/>
  <c r="G245" i="84"/>
  <c r="G363" i="84"/>
  <c r="I321" i="84"/>
  <c r="G318" i="84"/>
  <c r="J284" i="84"/>
  <c r="H245" i="84"/>
  <c r="J171" i="84"/>
  <c r="G301" i="84"/>
  <c r="J262" i="84"/>
  <c r="I301" i="84"/>
  <c r="I280" i="84"/>
  <c r="H186" i="84"/>
  <c r="J178" i="84"/>
  <c r="J314" i="84"/>
  <c r="I370" i="84"/>
  <c r="J337" i="84"/>
  <c r="J242" i="84"/>
  <c r="I220" i="84"/>
  <c r="J392" i="84"/>
  <c r="G344" i="84"/>
  <c r="J303" i="84"/>
  <c r="J134" i="84"/>
  <c r="J126" i="84"/>
  <c r="J122" i="84"/>
  <c r="G216" i="84"/>
  <c r="I77" i="84"/>
  <c r="I37" i="84"/>
  <c r="I126" i="84"/>
  <c r="I94" i="84"/>
  <c r="G51" i="84"/>
  <c r="J97" i="84"/>
  <c r="H97" i="84"/>
  <c r="G97" i="84"/>
  <c r="H101" i="84"/>
  <c r="J101" i="84"/>
  <c r="G101" i="84"/>
  <c r="I104" i="84"/>
  <c r="G107" i="84"/>
  <c r="J107" i="84"/>
  <c r="J109" i="84"/>
  <c r="H109" i="84"/>
  <c r="G109" i="84"/>
  <c r="G115" i="84"/>
  <c r="J115" i="84"/>
  <c r="H129" i="84"/>
  <c r="J129" i="84"/>
  <c r="G129" i="84"/>
  <c r="J133" i="84"/>
  <c r="H133" i="84"/>
  <c r="G133" i="84"/>
  <c r="I136" i="84"/>
  <c r="G139" i="84"/>
  <c r="J139" i="84"/>
  <c r="J141" i="84"/>
  <c r="H141" i="84"/>
  <c r="G147" i="84"/>
  <c r="J147" i="84"/>
  <c r="G172" i="84"/>
  <c r="H172" i="84"/>
  <c r="J174" i="84"/>
  <c r="I190" i="84"/>
  <c r="J190" i="84"/>
  <c r="G195" i="84"/>
  <c r="H195" i="84"/>
  <c r="J195" i="84"/>
  <c r="G231" i="84"/>
  <c r="J231" i="84"/>
  <c r="J255" i="84"/>
  <c r="H255" i="84"/>
  <c r="H271" i="84"/>
  <c r="I311" i="84"/>
  <c r="H350" i="84"/>
  <c r="I350" i="84"/>
  <c r="G350" i="84"/>
  <c r="I384" i="84"/>
  <c r="I393" i="84"/>
  <c r="G393" i="84"/>
  <c r="H393" i="84"/>
  <c r="I402" i="84"/>
  <c r="G402" i="84"/>
  <c r="I404" i="84"/>
  <c r="J404" i="84"/>
  <c r="H412" i="84"/>
  <c r="I412" i="84"/>
  <c r="I47" i="84"/>
  <c r="H47" i="84"/>
  <c r="J47" i="84"/>
  <c r="H159" i="84"/>
  <c r="G159" i="84"/>
  <c r="H163" i="84"/>
  <c r="J228" i="84"/>
  <c r="H228" i="84"/>
  <c r="I323" i="84"/>
  <c r="J323" i="84"/>
  <c r="G323" i="84"/>
  <c r="H356" i="84"/>
  <c r="J356" i="84"/>
  <c r="G356" i="84"/>
  <c r="I361" i="84"/>
  <c r="G361" i="84"/>
  <c r="H361" i="84"/>
  <c r="H367" i="84"/>
  <c r="I367" i="84"/>
  <c r="H377" i="84"/>
  <c r="G377" i="84"/>
  <c r="I408" i="84"/>
  <c r="J408" i="84"/>
  <c r="G408" i="84"/>
  <c r="I377" i="84"/>
  <c r="J335" i="84"/>
  <c r="I390" i="84"/>
  <c r="H363" i="84"/>
  <c r="I318" i="84"/>
  <c r="J159" i="84"/>
  <c r="G269" i="84"/>
  <c r="H262" i="84"/>
  <c r="I257" i="84"/>
  <c r="G228" i="84"/>
  <c r="G174" i="84"/>
  <c r="I349" i="84"/>
  <c r="I269" i="84"/>
  <c r="J226" i="84"/>
  <c r="J375" i="84"/>
  <c r="I226" i="84"/>
  <c r="H370" i="84"/>
  <c r="H178" i="84"/>
  <c r="H392" i="84"/>
  <c r="G168" i="84"/>
  <c r="J102" i="84"/>
  <c r="J94" i="84"/>
  <c r="J90" i="84"/>
  <c r="I344" i="84"/>
  <c r="I69" i="84"/>
  <c r="I45" i="84"/>
  <c r="I216" i="84"/>
  <c r="G156" i="84"/>
  <c r="H122" i="84"/>
  <c r="H90" i="84"/>
  <c r="H83" i="84"/>
  <c r="H51" i="84"/>
  <c r="G83" i="84"/>
  <c r="G32" i="84"/>
  <c r="J32" i="84"/>
  <c r="I32" i="84"/>
  <c r="I36" i="84"/>
  <c r="G36" i="84"/>
  <c r="J36" i="84"/>
  <c r="J40" i="84"/>
  <c r="G40" i="84"/>
  <c r="G64" i="84"/>
  <c r="I64" i="84"/>
  <c r="J64" i="84"/>
  <c r="I68" i="84"/>
  <c r="J68" i="84"/>
  <c r="G68" i="84"/>
  <c r="G72" i="84"/>
  <c r="J72" i="84"/>
  <c r="G143" i="84"/>
  <c r="H143" i="84"/>
  <c r="J143" i="84"/>
  <c r="H179" i="84"/>
  <c r="I179" i="84"/>
  <c r="J179" i="84"/>
  <c r="G179" i="84"/>
  <c r="H205" i="84"/>
  <c r="G205" i="84"/>
  <c r="H207" i="84"/>
  <c r="I207" i="84"/>
  <c r="H220" i="84"/>
  <c r="J248" i="84"/>
  <c r="G248" i="84"/>
  <c r="I250" i="84"/>
  <c r="J250" i="84"/>
  <c r="G260" i="84"/>
  <c r="H260" i="84"/>
  <c r="G277" i="84"/>
  <c r="H277" i="84"/>
  <c r="G298" i="84"/>
  <c r="H298" i="84"/>
  <c r="H323" i="84"/>
  <c r="I356" i="84"/>
  <c r="G359" i="84"/>
  <c r="H359" i="84"/>
  <c r="H368" i="84"/>
  <c r="G368" i="84"/>
  <c r="J368" i="84"/>
  <c r="J381" i="84"/>
  <c r="G381" i="84"/>
  <c r="H388" i="84"/>
  <c r="H408" i="84"/>
  <c r="G410" i="84"/>
  <c r="I410" i="84"/>
  <c r="I348" i="84"/>
  <c r="J348" i="84"/>
  <c r="G91" i="84"/>
  <c r="J31" i="84"/>
  <c r="I227" i="84"/>
  <c r="J227" i="84"/>
  <c r="I247" i="84"/>
  <c r="H348" i="84"/>
  <c r="I364" i="84"/>
  <c r="J364" i="84"/>
  <c r="G54" i="53"/>
  <c r="J68" i="53"/>
  <c r="I68" i="53"/>
  <c r="G83" i="53"/>
  <c r="I83" i="53"/>
  <c r="J83" i="53"/>
  <c r="J97" i="53"/>
  <c r="H97" i="53"/>
  <c r="G127" i="53"/>
  <c r="J127" i="53"/>
  <c r="J161" i="53"/>
  <c r="J164" i="53"/>
  <c r="I164" i="53"/>
  <c r="G179" i="53"/>
  <c r="H179" i="53"/>
  <c r="J179" i="53"/>
  <c r="J189" i="53"/>
  <c r="H189" i="53"/>
  <c r="I289" i="53"/>
  <c r="J289" i="53"/>
  <c r="G289" i="53"/>
  <c r="J304" i="53"/>
  <c r="I304" i="53"/>
  <c r="H355" i="53"/>
  <c r="H408" i="53"/>
  <c r="G365" i="53"/>
  <c r="I355" i="53"/>
  <c r="J405" i="53"/>
  <c r="J384" i="53"/>
  <c r="I324" i="53"/>
  <c r="H232" i="53"/>
  <c r="H227" i="53"/>
  <c r="I388" i="53"/>
  <c r="I377" i="53"/>
  <c r="H324" i="53"/>
  <c r="H292" i="53"/>
  <c r="G250" i="53"/>
  <c r="J340" i="53"/>
  <c r="I311" i="53"/>
  <c r="H304" i="53"/>
  <c r="I247" i="53"/>
  <c r="I214" i="53"/>
  <c r="I161" i="53"/>
  <c r="I97" i="53"/>
  <c r="I54" i="53"/>
  <c r="H311" i="53"/>
  <c r="G274" i="53"/>
  <c r="H247" i="53"/>
  <c r="H154" i="53"/>
  <c r="H122" i="53"/>
  <c r="G117" i="53"/>
  <c r="H106" i="53"/>
  <c r="H90" i="53"/>
  <c r="G191" i="53"/>
  <c r="H358" i="53"/>
  <c r="I191" i="53"/>
  <c r="J375" i="53"/>
  <c r="G346" i="53"/>
  <c r="J338" i="53"/>
  <c r="G79" i="53"/>
  <c r="J136" i="53"/>
  <c r="I127" i="53"/>
  <c r="I63" i="53"/>
  <c r="I167" i="53"/>
  <c r="J106" i="53"/>
  <c r="G167" i="53"/>
  <c r="I36" i="53"/>
  <c r="J36" i="53"/>
  <c r="J44" i="53"/>
  <c r="I44" i="53"/>
  <c r="G62" i="53"/>
  <c r="J62" i="53"/>
  <c r="H83" i="53"/>
  <c r="I91" i="53"/>
  <c r="J91" i="53"/>
  <c r="G91" i="53"/>
  <c r="H105" i="53"/>
  <c r="G118" i="53"/>
  <c r="J118" i="53"/>
  <c r="I179" i="53"/>
  <c r="G183" i="53"/>
  <c r="H183" i="53"/>
  <c r="H199" i="53"/>
  <c r="J199" i="53"/>
  <c r="H230" i="53"/>
  <c r="J230" i="53"/>
  <c r="G237" i="53"/>
  <c r="I265" i="53"/>
  <c r="J265" i="53"/>
  <c r="G265" i="53"/>
  <c r="H289" i="53"/>
  <c r="I315" i="53"/>
  <c r="J315" i="53"/>
  <c r="J320" i="53"/>
  <c r="I320" i="53"/>
  <c r="J364" i="53"/>
  <c r="I364" i="53"/>
  <c r="H41" i="53"/>
  <c r="J41" i="53"/>
  <c r="I51" i="53"/>
  <c r="I56" i="53"/>
  <c r="J56" i="53"/>
  <c r="G63" i="53"/>
  <c r="J63" i="53"/>
  <c r="J70" i="53"/>
  <c r="J81" i="53"/>
  <c r="H81" i="53"/>
  <c r="G99" i="53"/>
  <c r="I99" i="53"/>
  <c r="J99" i="53"/>
  <c r="H129" i="53"/>
  <c r="J129" i="53"/>
  <c r="J150" i="53"/>
  <c r="G150" i="53"/>
  <c r="I156" i="53"/>
  <c r="J156" i="53"/>
  <c r="H163" i="53"/>
  <c r="J163" i="53"/>
  <c r="G163" i="53"/>
  <c r="G174" i="53"/>
  <c r="J174" i="53"/>
  <c r="I187" i="53"/>
  <c r="H187" i="53"/>
  <c r="J211" i="53"/>
  <c r="I211" i="53"/>
  <c r="H281" i="53"/>
  <c r="J281" i="53"/>
  <c r="H398" i="53"/>
  <c r="J398" i="53"/>
  <c r="I408" i="53"/>
  <c r="I365" i="53"/>
  <c r="H332" i="53"/>
  <c r="I403" i="53"/>
  <c r="H384" i="53"/>
  <c r="I292" i="53"/>
  <c r="G286" i="53"/>
  <c r="G222" i="53"/>
  <c r="G319" i="53"/>
  <c r="G344" i="53"/>
  <c r="H340" i="53"/>
  <c r="I279" i="53"/>
  <c r="I174" i="53"/>
  <c r="H164" i="53"/>
  <c r="H68" i="53"/>
  <c r="I41" i="53"/>
  <c r="G306" i="53"/>
  <c r="H284" i="53"/>
  <c r="H279" i="53"/>
  <c r="I227" i="53"/>
  <c r="G189" i="53"/>
  <c r="G152" i="53"/>
  <c r="G125" i="53"/>
  <c r="G104" i="53"/>
  <c r="G77" i="53"/>
  <c r="G61" i="53"/>
  <c r="G56" i="53"/>
  <c r="H382" i="53"/>
  <c r="G358" i="53"/>
  <c r="J187" i="53"/>
  <c r="G382" i="53"/>
  <c r="H330" i="53"/>
  <c r="I245" i="53"/>
  <c r="J79" i="53"/>
  <c r="H370" i="53"/>
  <c r="I370" i="53"/>
  <c r="I152" i="53"/>
  <c r="H51" i="53"/>
  <c r="J53" i="53"/>
  <c r="H53" i="53"/>
  <c r="J60" i="53"/>
  <c r="J71" i="53"/>
  <c r="G71" i="53"/>
  <c r="G78" i="53"/>
  <c r="J78" i="53"/>
  <c r="H89" i="53"/>
  <c r="J89" i="53"/>
  <c r="H99" i="53"/>
  <c r="I107" i="53"/>
  <c r="J107" i="53"/>
  <c r="G107" i="53"/>
  <c r="I116" i="53"/>
  <c r="J116" i="53"/>
  <c r="J123" i="53"/>
  <c r="J137" i="53"/>
  <c r="H137" i="53"/>
  <c r="I163" i="53"/>
  <c r="J221" i="53"/>
  <c r="H221" i="53"/>
  <c r="H241" i="53"/>
  <c r="G241" i="53"/>
  <c r="J278" i="53"/>
  <c r="J288" i="53"/>
  <c r="I288" i="53"/>
  <c r="I366" i="53"/>
  <c r="I369" i="53"/>
  <c r="J369" i="53"/>
  <c r="G386" i="53"/>
  <c r="H386" i="53"/>
  <c r="J386" i="53"/>
  <c r="I398" i="53"/>
  <c r="I334" i="53"/>
  <c r="I390" i="53"/>
  <c r="I131" i="53"/>
  <c r="J131" i="53"/>
  <c r="I229" i="53"/>
  <c r="J53" i="78"/>
  <c r="G53" i="78"/>
  <c r="H88" i="78"/>
  <c r="J88" i="78"/>
  <c r="G107" i="78"/>
  <c r="J107" i="78"/>
  <c r="I107" i="78"/>
  <c r="I294" i="78"/>
  <c r="J294" i="78"/>
  <c r="H147" i="78"/>
  <c r="H63" i="78"/>
  <c r="I115" i="78"/>
  <c r="I63" i="78"/>
  <c r="J363" i="78"/>
  <c r="H300" i="78"/>
  <c r="H268" i="78"/>
  <c r="I161" i="78"/>
  <c r="G88" i="78"/>
  <c r="J60" i="78"/>
  <c r="G264" i="78"/>
  <c r="J196" i="78"/>
  <c r="J185" i="78"/>
  <c r="H169" i="78"/>
  <c r="G161" i="78"/>
  <c r="I88" i="78"/>
  <c r="H73" i="78"/>
  <c r="G294" i="78"/>
  <c r="H194" i="78"/>
  <c r="H32" i="78"/>
  <c r="J32" i="78"/>
  <c r="G32" i="78"/>
  <c r="G37" i="78"/>
  <c r="H37" i="78"/>
  <c r="I47" i="78"/>
  <c r="G80" i="78"/>
  <c r="I80" i="78"/>
  <c r="G97" i="78"/>
  <c r="I97" i="78"/>
  <c r="I122" i="78"/>
  <c r="H122" i="78"/>
  <c r="G122" i="78"/>
  <c r="H126" i="78"/>
  <c r="I126" i="78"/>
  <c r="G126" i="78"/>
  <c r="J292" i="78"/>
  <c r="I292" i="78"/>
  <c r="H375" i="78"/>
  <c r="J375" i="78"/>
  <c r="I66" i="78"/>
  <c r="J66" i="78"/>
  <c r="I77" i="78"/>
  <c r="J77" i="78"/>
  <c r="H112" i="78"/>
  <c r="I112" i="78"/>
  <c r="G296" i="78"/>
  <c r="H296" i="78"/>
  <c r="J324" i="78"/>
  <c r="I324" i="78"/>
  <c r="J401" i="78"/>
  <c r="I401" i="78"/>
  <c r="I394" i="78"/>
  <c r="J284" i="78"/>
  <c r="J147" i="78"/>
  <c r="H60" i="78"/>
  <c r="H401" i="78"/>
  <c r="H397" i="78"/>
  <c r="J368" i="78"/>
  <c r="G363" i="78"/>
  <c r="G300" i="78"/>
  <c r="G268" i="78"/>
  <c r="J264" i="78"/>
  <c r="I169" i="78"/>
  <c r="I60" i="78"/>
  <c r="J44" i="78"/>
  <c r="H262" i="78"/>
  <c r="G196" i="78"/>
  <c r="G185" i="78"/>
  <c r="G112" i="78"/>
  <c r="G194" i="78"/>
  <c r="I37" i="78"/>
  <c r="H55" i="78"/>
  <c r="I59" i="78"/>
  <c r="J59" i="78"/>
  <c r="H59" i="78"/>
  <c r="I65" i="78"/>
  <c r="G68" i="78"/>
  <c r="I68" i="78"/>
  <c r="J68" i="78"/>
  <c r="I74" i="78"/>
  <c r="J74" i="78"/>
  <c r="H74" i="78"/>
  <c r="I87" i="78"/>
  <c r="J87" i="78"/>
  <c r="H87" i="78"/>
  <c r="H101" i="78"/>
  <c r="G131" i="78"/>
  <c r="I133" i="78"/>
  <c r="H133" i="78"/>
  <c r="I138" i="78"/>
  <c r="J138" i="78"/>
  <c r="H138" i="78"/>
  <c r="I153" i="78"/>
  <c r="H153" i="78"/>
  <c r="J153" i="78"/>
  <c r="H207" i="78"/>
  <c r="G207" i="78"/>
  <c r="J223" i="78"/>
  <c r="I223" i="78"/>
  <c r="J282" i="78"/>
  <c r="H282" i="78"/>
  <c r="J314" i="78"/>
  <c r="H317" i="78"/>
  <c r="I317" i="78"/>
  <c r="J317" i="78"/>
  <c r="G317" i="78"/>
  <c r="G345" i="78"/>
  <c r="H345" i="78"/>
  <c r="J73" i="78"/>
  <c r="I73" i="78"/>
  <c r="I245" i="78"/>
  <c r="I284" i="78"/>
  <c r="J31" i="78"/>
  <c r="G401" i="78"/>
  <c r="G397" i="78"/>
  <c r="G368" i="78"/>
  <c r="I363" i="78"/>
  <c r="H324" i="78"/>
  <c r="J262" i="78"/>
  <c r="G77" i="78"/>
  <c r="J49" i="78"/>
  <c r="I44" i="78"/>
  <c r="J125" i="78"/>
  <c r="G66" i="78"/>
  <c r="J296" i="78"/>
  <c r="I296" i="78"/>
  <c r="J112" i="78"/>
  <c r="H53" i="78"/>
  <c r="H31" i="78"/>
  <c r="I41" i="78"/>
  <c r="G41" i="78"/>
  <c r="H41" i="78"/>
  <c r="G46" i="78"/>
  <c r="I46" i="78"/>
  <c r="J46" i="78"/>
  <c r="I53" i="78"/>
  <c r="H62" i="78"/>
  <c r="G62" i="78"/>
  <c r="I90" i="78"/>
  <c r="G90" i="78"/>
  <c r="H107" i="78"/>
  <c r="H155" i="78"/>
  <c r="I155" i="78"/>
  <c r="G155" i="78"/>
  <c r="I158" i="78"/>
  <c r="H158" i="78"/>
  <c r="J158" i="78"/>
  <c r="G199" i="78"/>
  <c r="H202" i="78"/>
  <c r="J202" i="78"/>
  <c r="I202" i="78"/>
  <c r="I254" i="78"/>
  <c r="G254" i="78"/>
  <c r="J268" i="78"/>
  <c r="I273" i="78"/>
  <c r="J273" i="78"/>
  <c r="H273" i="78"/>
  <c r="G273" i="78"/>
  <c r="J300" i="78"/>
  <c r="H305" i="78"/>
  <c r="I305" i="78"/>
  <c r="J305" i="78"/>
  <c r="H358" i="78"/>
  <c r="I358" i="78"/>
  <c r="J358" i="78"/>
  <c r="J151" i="78"/>
  <c r="J247" i="78"/>
  <c r="J327" i="78"/>
  <c r="I374" i="78"/>
  <c r="J374" i="78"/>
  <c r="G374" i="78"/>
  <c r="H237" i="78"/>
  <c r="I237" i="78"/>
  <c r="J237" i="78"/>
  <c r="I281" i="78"/>
  <c r="J281" i="78"/>
  <c r="H281" i="78"/>
  <c r="H293" i="78"/>
  <c r="G293" i="78"/>
  <c r="I313" i="78"/>
  <c r="J313" i="78"/>
  <c r="G313" i="78"/>
  <c r="H325" i="78"/>
  <c r="I325" i="78"/>
  <c r="J325" i="78"/>
  <c r="I402" i="78"/>
  <c r="J402" i="78"/>
  <c r="H402" i="78"/>
  <c r="H103" i="47"/>
  <c r="J103" i="47"/>
  <c r="G103" i="47"/>
  <c r="H195" i="47"/>
  <c r="I195" i="47"/>
  <c r="G215" i="47"/>
  <c r="H215" i="47"/>
  <c r="J215" i="47"/>
  <c r="G273" i="47"/>
  <c r="I273" i="47"/>
  <c r="I332" i="47"/>
  <c r="J332" i="47"/>
  <c r="G362" i="47"/>
  <c r="H362" i="47"/>
  <c r="H412" i="47"/>
  <c r="H332" i="47"/>
  <c r="G377" i="47"/>
  <c r="I367" i="47"/>
  <c r="H349" i="47"/>
  <c r="G318" i="47"/>
  <c r="H232" i="47"/>
  <c r="G287" i="47"/>
  <c r="J197" i="47"/>
  <c r="J133" i="47"/>
  <c r="J85" i="47"/>
  <c r="J69" i="47"/>
  <c r="J58" i="47"/>
  <c r="J42" i="47"/>
  <c r="G329" i="47"/>
  <c r="G315" i="47"/>
  <c r="I310" i="47"/>
  <c r="I217" i="47"/>
  <c r="I206" i="47"/>
  <c r="H164" i="47"/>
  <c r="I121" i="47"/>
  <c r="H116" i="47"/>
  <c r="I110" i="47"/>
  <c r="I89" i="47"/>
  <c r="I73" i="47"/>
  <c r="H52" i="47"/>
  <c r="H36" i="47"/>
  <c r="G405" i="47"/>
  <c r="J373" i="47"/>
  <c r="I352" i="47"/>
  <c r="H318" i="47"/>
  <c r="I232" i="47"/>
  <c r="G193" i="47"/>
  <c r="H182" i="47"/>
  <c r="G172" i="47"/>
  <c r="G145" i="47"/>
  <c r="G97" i="47"/>
  <c r="H54" i="47"/>
  <c r="H38" i="47"/>
  <c r="G390" i="47"/>
  <c r="I211" i="47"/>
  <c r="I87" i="47"/>
  <c r="I410" i="47"/>
  <c r="H390" i="47"/>
  <c r="I127" i="47"/>
  <c r="J364" i="47"/>
  <c r="I103" i="47"/>
  <c r="I215" i="47"/>
  <c r="G233" i="47"/>
  <c r="J233" i="47"/>
  <c r="H233" i="47"/>
  <c r="H245" i="47"/>
  <c r="J375" i="47"/>
  <c r="H375" i="47"/>
  <c r="I401" i="47"/>
  <c r="J401" i="47"/>
  <c r="G71" i="47"/>
  <c r="J71" i="47"/>
  <c r="H71" i="47"/>
  <c r="G75" i="47"/>
  <c r="I75" i="47"/>
  <c r="J75" i="47"/>
  <c r="I91" i="47"/>
  <c r="J91" i="47"/>
  <c r="G91" i="47"/>
  <c r="I95" i="47"/>
  <c r="H95" i="47"/>
  <c r="I99" i="47"/>
  <c r="G99" i="47"/>
  <c r="I123" i="47"/>
  <c r="J123" i="47"/>
  <c r="I159" i="47"/>
  <c r="H159" i="47"/>
  <c r="H305" i="47"/>
  <c r="J305" i="47"/>
  <c r="G305" i="47"/>
  <c r="I370" i="47"/>
  <c r="G370" i="47"/>
  <c r="G402" i="47"/>
  <c r="H402" i="47"/>
  <c r="G364" i="47"/>
  <c r="H408" i="47"/>
  <c r="H352" i="47"/>
  <c r="J295" i="47"/>
  <c r="J221" i="47"/>
  <c r="J162" i="47"/>
  <c r="J141" i="47"/>
  <c r="J125" i="47"/>
  <c r="J104" i="47"/>
  <c r="J56" i="47"/>
  <c r="J40" i="47"/>
  <c r="I357" i="47"/>
  <c r="H336" i="47"/>
  <c r="G326" i="47"/>
  <c r="I193" i="47"/>
  <c r="I182" i="47"/>
  <c r="H172" i="47"/>
  <c r="I145" i="47"/>
  <c r="I97" i="47"/>
  <c r="I54" i="47"/>
  <c r="I38" i="47"/>
  <c r="G217" i="47"/>
  <c r="H206" i="47"/>
  <c r="G164" i="47"/>
  <c r="G121" i="47"/>
  <c r="G116" i="47"/>
  <c r="H110" i="47"/>
  <c r="G89" i="47"/>
  <c r="G73" i="47"/>
  <c r="G52" i="47"/>
  <c r="G36" i="47"/>
  <c r="G410" i="47"/>
  <c r="J273" i="47"/>
  <c r="I245" i="47"/>
  <c r="H123" i="47"/>
  <c r="I362" i="47"/>
  <c r="H338" i="47"/>
  <c r="H289" i="47"/>
  <c r="H87" i="47"/>
  <c r="G127" i="47"/>
  <c r="J402" i="47"/>
  <c r="J362" i="47"/>
  <c r="J127" i="47"/>
  <c r="G43" i="47"/>
  <c r="I43" i="47"/>
  <c r="J43" i="47"/>
  <c r="I59" i="47"/>
  <c r="J59" i="47"/>
  <c r="G59" i="47"/>
  <c r="H75" i="47"/>
  <c r="H91" i="47"/>
  <c r="J135" i="47"/>
  <c r="I187" i="47"/>
  <c r="J187" i="47"/>
  <c r="H211" i="47"/>
  <c r="I229" i="47"/>
  <c r="J229" i="47"/>
  <c r="G229" i="47"/>
  <c r="I260" i="47"/>
  <c r="J260" i="47"/>
  <c r="H282" i="47"/>
  <c r="J282" i="47"/>
  <c r="H298" i="47"/>
  <c r="J298" i="47"/>
  <c r="I305" i="47"/>
  <c r="G342" i="47"/>
  <c r="I342" i="47"/>
  <c r="G386" i="47"/>
  <c r="I386" i="47"/>
  <c r="I199" i="47"/>
  <c r="I297" i="47"/>
  <c r="I183" i="47"/>
  <c r="J183" i="47"/>
  <c r="I293" i="47"/>
  <c r="J293" i="47"/>
  <c r="I350" i="47"/>
  <c r="J350" i="47"/>
  <c r="I366" i="47"/>
  <c r="J366" i="47"/>
  <c r="J17" i="43"/>
  <c r="G81" i="43"/>
  <c r="H241" i="43"/>
  <c r="J127" i="43"/>
  <c r="I150" i="43"/>
  <c r="I127" i="43"/>
  <c r="G100" i="43"/>
  <c r="G103" i="43"/>
  <c r="J103" i="43"/>
  <c r="H103" i="43"/>
  <c r="H120" i="43"/>
  <c r="J120" i="43"/>
  <c r="I120" i="43"/>
  <c r="J130" i="43"/>
  <c r="G130" i="43"/>
  <c r="G142" i="43"/>
  <c r="I142" i="43"/>
  <c r="G145" i="43"/>
  <c r="H145" i="43"/>
  <c r="I145" i="43"/>
  <c r="J153" i="43"/>
  <c r="G153" i="43"/>
  <c r="J160" i="43"/>
  <c r="H160" i="43"/>
  <c r="G160" i="43"/>
  <c r="H168" i="43"/>
  <c r="I168" i="43"/>
  <c r="J168" i="43"/>
  <c r="G168" i="43"/>
  <c r="J182" i="43"/>
  <c r="I182" i="43"/>
  <c r="H182" i="43"/>
  <c r="J198" i="43"/>
  <c r="I198" i="43"/>
  <c r="G198" i="43"/>
  <c r="H198" i="43"/>
  <c r="J217" i="43"/>
  <c r="H217" i="43"/>
  <c r="H232" i="43"/>
  <c r="G232" i="43"/>
  <c r="J236" i="43"/>
  <c r="G236" i="43"/>
  <c r="J240" i="43"/>
  <c r="G240" i="43"/>
  <c r="I240" i="43"/>
  <c r="I247" i="43"/>
  <c r="H247" i="43"/>
  <c r="G247" i="43"/>
  <c r="I255" i="43"/>
  <c r="H255" i="43"/>
  <c r="J259" i="43"/>
  <c r="I259" i="43"/>
  <c r="G259" i="43"/>
  <c r="H259" i="43"/>
  <c r="I265" i="43"/>
  <c r="H265" i="43"/>
  <c r="G265" i="43"/>
  <c r="G277" i="43"/>
  <c r="J277" i="43"/>
  <c r="G295" i="43"/>
  <c r="H295" i="43"/>
  <c r="G302" i="43"/>
  <c r="H302" i="43"/>
  <c r="G305" i="43"/>
  <c r="J305" i="43"/>
  <c r="J308" i="43"/>
  <c r="I308" i="43"/>
  <c r="I311" i="43"/>
  <c r="G311" i="43"/>
  <c r="G315" i="43"/>
  <c r="H315" i="43"/>
  <c r="I321" i="43"/>
  <c r="J321" i="43"/>
  <c r="H321" i="43"/>
  <c r="G321" i="43"/>
  <c r="H324" i="43"/>
  <c r="G324" i="43"/>
  <c r="G327" i="43"/>
  <c r="H327" i="43"/>
  <c r="I335" i="43"/>
  <c r="G335" i="43"/>
  <c r="J340" i="43"/>
  <c r="G340" i="43"/>
  <c r="I340" i="43"/>
  <c r="G373" i="43"/>
  <c r="J373" i="43"/>
  <c r="J376" i="43"/>
  <c r="I376" i="43"/>
  <c r="G376" i="43"/>
  <c r="J383" i="43"/>
  <c r="H383" i="43"/>
  <c r="J387" i="43"/>
  <c r="G387" i="43"/>
  <c r="I391" i="43"/>
  <c r="H391" i="43"/>
  <c r="J391" i="43"/>
  <c r="J395" i="43"/>
  <c r="I395" i="43"/>
  <c r="J399" i="43"/>
  <c r="H399" i="43"/>
  <c r="I399" i="43"/>
  <c r="G402" i="43"/>
  <c r="H402" i="43"/>
  <c r="H409" i="43"/>
  <c r="J409" i="43"/>
  <c r="I409" i="43"/>
  <c r="H100" i="43"/>
  <c r="J100" i="43"/>
  <c r="I115" i="43"/>
  <c r="H115" i="43"/>
  <c r="J115" i="43"/>
  <c r="J135" i="43"/>
  <c r="I135" i="43"/>
  <c r="H135" i="43"/>
  <c r="G135" i="43"/>
  <c r="H139" i="43"/>
  <c r="J139" i="43"/>
  <c r="I139" i="43"/>
  <c r="G139" i="43"/>
  <c r="G146" i="43"/>
  <c r="J146" i="43"/>
  <c r="I146" i="43"/>
  <c r="H146" i="43"/>
  <c r="G154" i="43"/>
  <c r="J154" i="43"/>
  <c r="I154" i="43"/>
  <c r="G161" i="43"/>
  <c r="J161" i="43"/>
  <c r="H161" i="43"/>
  <c r="I161" i="43"/>
  <c r="J165" i="43"/>
  <c r="H165" i="43"/>
  <c r="G165" i="43"/>
  <c r="I165" i="43"/>
  <c r="I183" i="43"/>
  <c r="J183" i="43"/>
  <c r="I195" i="43"/>
  <c r="J195" i="43"/>
  <c r="H195" i="43"/>
  <c r="J199" i="43"/>
  <c r="H199" i="43"/>
  <c r="I199" i="43"/>
  <c r="G199" i="43"/>
  <c r="J208" i="43"/>
  <c r="G208" i="43"/>
  <c r="I208" i="43"/>
  <c r="J218" i="43"/>
  <c r="I218" i="43"/>
  <c r="H218" i="43"/>
  <c r="H229" i="43"/>
  <c r="I229" i="43"/>
  <c r="J233" i="43"/>
  <c r="I233" i="43"/>
  <c r="G233" i="43"/>
  <c r="G260" i="43"/>
  <c r="J260" i="43"/>
  <c r="G274" i="43"/>
  <c r="I274" i="43"/>
  <c r="G278" i="43"/>
  <c r="J278" i="43"/>
  <c r="H278" i="43"/>
  <c r="J281" i="43"/>
  <c r="H281" i="43"/>
  <c r="H284" i="43"/>
  <c r="G284" i="43"/>
  <c r="H290" i="43"/>
  <c r="G290" i="43"/>
  <c r="H296" i="43"/>
  <c r="G296" i="43"/>
  <c r="J296" i="43"/>
  <c r="H312" i="43"/>
  <c r="I312" i="43"/>
  <c r="I328" i="43"/>
  <c r="G328" i="43"/>
  <c r="H328" i="43"/>
  <c r="G341" i="43"/>
  <c r="H341" i="43"/>
  <c r="I341" i="43"/>
  <c r="H344" i="43"/>
  <c r="I344" i="43"/>
  <c r="J344" i="43"/>
  <c r="G344" i="43"/>
  <c r="J351" i="43"/>
  <c r="I351" i="43"/>
  <c r="H351" i="43"/>
  <c r="I355" i="43"/>
  <c r="J355" i="43"/>
  <c r="G355" i="43"/>
  <c r="G358" i="43"/>
  <c r="J358" i="43"/>
  <c r="J364" i="43"/>
  <c r="H364" i="43"/>
  <c r="I384" i="43"/>
  <c r="J384" i="43"/>
  <c r="I388" i="43"/>
  <c r="J388" i="43"/>
  <c r="G388" i="43"/>
  <c r="H388" i="43"/>
  <c r="I392" i="43"/>
  <c r="J392" i="43"/>
  <c r="G392" i="43"/>
  <c r="J396" i="43"/>
  <c r="I396" i="43"/>
  <c r="H396" i="43"/>
  <c r="J410" i="43"/>
  <c r="H410" i="43"/>
  <c r="G384" i="43"/>
  <c r="G364" i="43"/>
  <c r="H358" i="43"/>
  <c r="J328" i="43"/>
  <c r="G312" i="43"/>
  <c r="J274" i="43"/>
  <c r="G183" i="43"/>
  <c r="H154" i="43"/>
  <c r="J150" i="43"/>
  <c r="I290" i="43"/>
  <c r="G115" i="43"/>
  <c r="H97" i="43"/>
  <c r="G97" i="43"/>
  <c r="I124" i="43"/>
  <c r="H124" i="43"/>
  <c r="I128" i="43"/>
  <c r="H128" i="43"/>
  <c r="H136" i="43"/>
  <c r="I136" i="43"/>
  <c r="J136" i="43"/>
  <c r="H196" i="43"/>
  <c r="J196" i="43"/>
  <c r="I242" i="43"/>
  <c r="G242" i="43"/>
  <c r="J267" i="43"/>
  <c r="H267" i="43"/>
  <c r="J297" i="43"/>
  <c r="I297" i="43"/>
  <c r="H297" i="43"/>
  <c r="J329" i="43"/>
  <c r="G329" i="43"/>
  <c r="J393" i="43"/>
  <c r="G393" i="43"/>
  <c r="I393" i="43"/>
  <c r="J397" i="43"/>
  <c r="I397" i="43"/>
  <c r="H397" i="43"/>
  <c r="H125" i="43"/>
  <c r="I125" i="43"/>
  <c r="J137" i="43"/>
  <c r="H137" i="43"/>
  <c r="G137" i="43"/>
  <c r="H148" i="43"/>
  <c r="J148" i="43"/>
  <c r="H152" i="43"/>
  <c r="G152" i="43"/>
  <c r="I152" i="43"/>
  <c r="I176" i="43"/>
  <c r="H176" i="43"/>
  <c r="H181" i="43"/>
  <c r="J181" i="43"/>
  <c r="J197" i="43"/>
  <c r="G197" i="43"/>
  <c r="I235" i="43"/>
  <c r="G235" i="43"/>
  <c r="G239" i="43"/>
  <c r="I239" i="43"/>
  <c r="J268" i="43"/>
  <c r="G268" i="43"/>
  <c r="I301" i="43"/>
  <c r="J301" i="43"/>
  <c r="J360" i="43"/>
  <c r="I360" i="43"/>
  <c r="H360" i="43"/>
  <c r="G369" i="43"/>
  <c r="I369" i="43"/>
  <c r="G394" i="43"/>
  <c r="J394" i="43"/>
  <c r="J160" i="40"/>
  <c r="G160" i="40"/>
  <c r="H160" i="40"/>
  <c r="I144" i="40"/>
  <c r="H144" i="40"/>
  <c r="J144" i="40"/>
  <c r="I132" i="40"/>
  <c r="H132" i="40"/>
  <c r="J132" i="40"/>
  <c r="H119" i="40"/>
  <c r="J119" i="40"/>
  <c r="H116" i="40"/>
  <c r="I116" i="40"/>
  <c r="J116" i="40"/>
  <c r="G106" i="40"/>
  <c r="I106" i="40"/>
  <c r="H106" i="40"/>
  <c r="H93" i="40"/>
  <c r="G93" i="40"/>
  <c r="I389" i="40"/>
  <c r="I385" i="40"/>
  <c r="J385" i="40"/>
  <c r="G385" i="40"/>
  <c r="H378" i="40"/>
  <c r="J378" i="40"/>
  <c r="I378" i="40"/>
  <c r="H362" i="40"/>
  <c r="J358" i="40"/>
  <c r="H358" i="40"/>
  <c r="G358" i="40"/>
  <c r="I350" i="40"/>
  <c r="H350" i="40"/>
  <c r="J350" i="40"/>
  <c r="H330" i="40"/>
  <c r="J330" i="40"/>
  <c r="I330" i="40"/>
  <c r="G330" i="40"/>
  <c r="I312" i="40"/>
  <c r="G312" i="40"/>
  <c r="H312" i="40"/>
  <c r="J304" i="40"/>
  <c r="G304" i="40"/>
  <c r="G297" i="40"/>
  <c r="H293" i="40"/>
  <c r="G293" i="40"/>
  <c r="I293" i="40"/>
  <c r="H288" i="40"/>
  <c r="I280" i="40"/>
  <c r="H280" i="40"/>
  <c r="G280" i="40"/>
  <c r="J280" i="40"/>
  <c r="I276" i="40"/>
  <c r="J276" i="40"/>
  <c r="I268" i="40"/>
  <c r="J268" i="40"/>
  <c r="H268" i="40"/>
  <c r="I261" i="40"/>
  <c r="J261" i="40"/>
  <c r="G261" i="40"/>
  <c r="G251" i="40"/>
  <c r="H244" i="40"/>
  <c r="J232" i="40"/>
  <c r="J225" i="40"/>
  <c r="G225" i="40"/>
  <c r="I206" i="40"/>
  <c r="J206" i="40"/>
  <c r="G206" i="40"/>
  <c r="H206" i="40"/>
  <c r="H196" i="40"/>
  <c r="I196" i="40"/>
  <c r="J196" i="40"/>
  <c r="J192" i="40"/>
  <c r="H192" i="40"/>
  <c r="G192" i="40"/>
  <c r="H184" i="40"/>
  <c r="I184" i="40"/>
  <c r="J184" i="40"/>
  <c r="J177" i="40"/>
  <c r="G177" i="40"/>
  <c r="H177" i="40"/>
  <c r="I177" i="40"/>
  <c r="J404" i="40"/>
  <c r="H394" i="40"/>
  <c r="G394" i="40"/>
  <c r="I394" i="40"/>
  <c r="H385" i="40"/>
  <c r="G144" i="40"/>
  <c r="H304" i="40"/>
  <c r="H389" i="40"/>
  <c r="G196" i="40"/>
  <c r="G116" i="40"/>
  <c r="I160" i="40"/>
  <c r="G184" i="40"/>
  <c r="J394" i="40"/>
  <c r="J168" i="40"/>
  <c r="G168" i="40"/>
  <c r="H168" i="40"/>
  <c r="G155" i="40"/>
  <c r="I155" i="40"/>
  <c r="H155" i="40"/>
  <c r="J152" i="40"/>
  <c r="G152" i="40"/>
  <c r="H152" i="40"/>
  <c r="J142" i="40"/>
  <c r="I142" i="40"/>
  <c r="H142" i="40"/>
  <c r="H127" i="40"/>
  <c r="J127" i="40"/>
  <c r="I124" i="40"/>
  <c r="H124" i="40"/>
  <c r="J124" i="40"/>
  <c r="I111" i="40"/>
  <c r="H111" i="40"/>
  <c r="G111" i="40"/>
  <c r="J111" i="40"/>
  <c r="H101" i="40"/>
  <c r="I101" i="40"/>
  <c r="J101" i="40"/>
  <c r="G101" i="40"/>
  <c r="H98" i="40"/>
  <c r="I98" i="40"/>
  <c r="G98" i="40"/>
  <c r="H91" i="40"/>
  <c r="G91" i="40"/>
  <c r="J387" i="40"/>
  <c r="G387" i="40"/>
  <c r="I387" i="40"/>
  <c r="H387" i="40"/>
  <c r="G383" i="40"/>
  <c r="J383" i="40"/>
  <c r="I383" i="40"/>
  <c r="H383" i="40"/>
  <c r="I380" i="40"/>
  <c r="G380" i="40"/>
  <c r="H380" i="40"/>
  <c r="I376" i="40"/>
  <c r="H376" i="40"/>
  <c r="G376" i="40"/>
  <c r="H372" i="40"/>
  <c r="G372" i="40"/>
  <c r="J372" i="40"/>
  <c r="I372" i="40"/>
  <c r="J368" i="40"/>
  <c r="H368" i="40"/>
  <c r="I368" i="40"/>
  <c r="J364" i="40"/>
  <c r="I360" i="40"/>
  <c r="J360" i="40"/>
  <c r="G360" i="40"/>
  <c r="H360" i="40"/>
  <c r="G356" i="40"/>
  <c r="I356" i="40"/>
  <c r="J352" i="40"/>
  <c r="I352" i="40"/>
  <c r="H352" i="40"/>
  <c r="H348" i="40"/>
  <c r="I348" i="40"/>
  <c r="J348" i="40"/>
  <c r="I344" i="40"/>
  <c r="G344" i="40"/>
  <c r="H344" i="40"/>
  <c r="J344" i="40"/>
  <c r="G340" i="40"/>
  <c r="J340" i="40"/>
  <c r="J336" i="40"/>
  <c r="I336" i="40"/>
  <c r="G336" i="40"/>
  <c r="H332" i="40"/>
  <c r="H328" i="40"/>
  <c r="I318" i="40"/>
  <c r="H318" i="40"/>
  <c r="J318" i="40"/>
  <c r="J314" i="40"/>
  <c r="I310" i="40"/>
  <c r="J310" i="40"/>
  <c r="G310" i="40"/>
  <c r="H295" i="40"/>
  <c r="G295" i="40"/>
  <c r="I286" i="40"/>
  <c r="H286" i="40"/>
  <c r="J286" i="40"/>
  <c r="G282" i="40"/>
  <c r="H282" i="40"/>
  <c r="I278" i="40"/>
  <c r="J278" i="40"/>
  <c r="G278" i="40"/>
  <c r="G274" i="40"/>
  <c r="J274" i="40"/>
  <c r="H274" i="40"/>
  <c r="H270" i="40"/>
  <c r="G266" i="40"/>
  <c r="J266" i="40"/>
  <c r="I266" i="40"/>
  <c r="H266" i="40"/>
  <c r="I253" i="40"/>
  <c r="H253" i="40"/>
  <c r="G253" i="40"/>
  <c r="H246" i="40"/>
  <c r="I246" i="40"/>
  <c r="I242" i="40"/>
  <c r="H242" i="40"/>
  <c r="J242" i="40"/>
  <c r="G242" i="40"/>
  <c r="J237" i="40"/>
  <c r="J230" i="40"/>
  <c r="G230" i="40"/>
  <c r="I230" i="40"/>
  <c r="H230" i="40"/>
  <c r="J223" i="40"/>
  <c r="I223" i="40"/>
  <c r="H215" i="40"/>
  <c r="G204" i="40"/>
  <c r="H204" i="40"/>
  <c r="I200" i="40"/>
  <c r="H190" i="40"/>
  <c r="I186" i="40"/>
  <c r="J186" i="40"/>
  <c r="H186" i="40"/>
  <c r="I182" i="40"/>
  <c r="H182" i="40"/>
  <c r="I179" i="40"/>
  <c r="H179" i="40"/>
  <c r="J179" i="40"/>
  <c r="H410" i="40"/>
  <c r="J410" i="40"/>
  <c r="I410" i="40"/>
  <c r="G410" i="40"/>
  <c r="J406" i="40"/>
  <c r="I396" i="40"/>
  <c r="G396" i="40"/>
  <c r="H396" i="40"/>
  <c r="G392" i="40"/>
  <c r="H392" i="40"/>
  <c r="I163" i="40"/>
  <c r="J163" i="40"/>
  <c r="H147" i="40"/>
  <c r="H137" i="40"/>
  <c r="I137" i="40"/>
  <c r="G137" i="40"/>
  <c r="J137" i="40"/>
  <c r="H89" i="40"/>
  <c r="I89" i="40"/>
  <c r="J89" i="40"/>
  <c r="J370" i="40"/>
  <c r="H370" i="40"/>
  <c r="I370" i="40"/>
  <c r="J354" i="40"/>
  <c r="G354" i="40"/>
  <c r="H354" i="40"/>
  <c r="I354" i="40"/>
  <c r="G342" i="40"/>
  <c r="H316" i="40"/>
  <c r="I316" i="40"/>
  <c r="J316" i="40"/>
  <c r="H308" i="40"/>
  <c r="G308" i="40"/>
  <c r="I308" i="40"/>
  <c r="J308" i="40"/>
  <c r="J272" i="40"/>
  <c r="I272" i="40"/>
  <c r="J255" i="40"/>
  <c r="I255" i="40"/>
  <c r="J235" i="40"/>
  <c r="J217" i="40"/>
  <c r="I217" i="40"/>
  <c r="I408" i="40"/>
  <c r="J408" i="40"/>
  <c r="H408" i="40"/>
  <c r="G408" i="40"/>
  <c r="G398" i="40"/>
  <c r="G350" i="40"/>
  <c r="G378" i="40"/>
  <c r="J312" i="40"/>
  <c r="I93" i="40"/>
  <c r="G163" i="40"/>
  <c r="H255" i="40"/>
  <c r="I192" i="40"/>
  <c r="H342" i="40"/>
  <c r="I358" i="40"/>
  <c r="G268" i="40"/>
  <c r="G124" i="40"/>
  <c r="I168" i="40"/>
  <c r="G272" i="40"/>
  <c r="I304" i="40"/>
  <c r="J106" i="40"/>
  <c r="G109" i="40"/>
  <c r="G119" i="40"/>
  <c r="J93" i="40"/>
  <c r="H163" i="40"/>
  <c r="G26" i="43"/>
  <c r="G83" i="43"/>
  <c r="G47" i="43"/>
  <c r="G74" i="43"/>
  <c r="G71" i="43"/>
  <c r="H71" i="43"/>
  <c r="I71" i="43"/>
  <c r="J71" i="43"/>
  <c r="G82" i="43"/>
  <c r="G64" i="43"/>
  <c r="G75" i="43"/>
  <c r="G80" i="43"/>
  <c r="G86" i="43"/>
  <c r="G56" i="43"/>
  <c r="G58" i="43"/>
  <c r="G73" i="43"/>
  <c r="G85" i="43"/>
  <c r="G38" i="43"/>
  <c r="G62" i="43"/>
  <c r="G78" i="43"/>
  <c r="G59" i="43"/>
  <c r="G65" i="43"/>
  <c r="J16" i="43"/>
  <c r="G28" i="43"/>
  <c r="G27" i="43"/>
  <c r="G33" i="43"/>
  <c r="H33" i="43"/>
  <c r="I33" i="43"/>
  <c r="J33" i="43"/>
  <c r="G46" i="43"/>
  <c r="G30" i="43"/>
  <c r="G34" i="43"/>
  <c r="H34" i="43"/>
  <c r="I34" i="43"/>
  <c r="J34" i="43"/>
  <c r="G45" i="43"/>
  <c r="G40" i="43"/>
  <c r="G35" i="43"/>
  <c r="H35" i="43"/>
  <c r="I35" i="43"/>
  <c r="J35" i="43"/>
  <c r="G51" i="43"/>
  <c r="G54" i="43"/>
  <c r="G49" i="43"/>
  <c r="H49" i="43"/>
  <c r="I49" i="43"/>
  <c r="J49" i="43"/>
  <c r="G25" i="43"/>
  <c r="G52" i="43"/>
  <c r="G29" i="43"/>
  <c r="H29" i="43"/>
  <c r="I29" i="43"/>
  <c r="J29" i="43"/>
  <c r="G48" i="43"/>
  <c r="G43" i="43"/>
  <c r="G36" i="43"/>
  <c r="H36" i="43"/>
  <c r="I36" i="43"/>
  <c r="J36" i="43"/>
  <c r="G44" i="43"/>
  <c r="H86" i="43"/>
  <c r="I86" i="43"/>
  <c r="J86" i="43"/>
  <c r="H34" i="84"/>
  <c r="I34" i="84"/>
  <c r="J34" i="84"/>
  <c r="G388" i="84"/>
  <c r="J111" i="84"/>
  <c r="J163" i="84"/>
  <c r="J79" i="84"/>
  <c r="J311" i="84"/>
  <c r="H213" i="84"/>
  <c r="J213" i="84"/>
  <c r="H398" i="84"/>
  <c r="H411" i="84"/>
  <c r="G338" i="84"/>
  <c r="J338" i="84"/>
  <c r="H246" i="84"/>
  <c r="G328" i="84"/>
  <c r="J388" i="84"/>
  <c r="G311" i="84"/>
  <c r="J150" i="84"/>
  <c r="J138" i="84"/>
  <c r="H31" i="84"/>
  <c r="G31" i="84"/>
  <c r="I31" i="84"/>
  <c r="G71" i="84"/>
  <c r="J71" i="84"/>
  <c r="H102" i="84"/>
  <c r="G102" i="84"/>
  <c r="J135" i="84"/>
  <c r="G135" i="84"/>
  <c r="H135" i="84"/>
  <c r="H160" i="84"/>
  <c r="J160" i="84"/>
  <c r="H42" i="84"/>
  <c r="G42" i="84"/>
  <c r="I42" i="84"/>
  <c r="J93" i="84"/>
  <c r="I93" i="84"/>
  <c r="G93" i="84"/>
  <c r="I120" i="84"/>
  <c r="J120" i="84"/>
  <c r="H120" i="84"/>
  <c r="G120" i="84"/>
  <c r="J279" i="84"/>
  <c r="I279" i="84"/>
  <c r="G279" i="84"/>
  <c r="H111" i="84"/>
  <c r="G163" i="84"/>
  <c r="H79" i="84"/>
  <c r="G213" i="84"/>
  <c r="G335" i="84"/>
  <c r="I411" i="84"/>
  <c r="I246" i="84"/>
  <c r="H328" i="84"/>
  <c r="G34" i="84"/>
  <c r="I398" i="84"/>
  <c r="H40" i="84"/>
  <c r="I40" i="84"/>
  <c r="I52" i="84"/>
  <c r="H52" i="84"/>
  <c r="G52" i="84"/>
  <c r="H81" i="84"/>
  <c r="J81" i="84"/>
  <c r="I99" i="84"/>
  <c r="J99" i="84"/>
  <c r="G99" i="84"/>
  <c r="H99" i="84"/>
  <c r="I113" i="84"/>
  <c r="J113" i="84"/>
  <c r="H113" i="84"/>
  <c r="G113" i="84"/>
  <c r="I148" i="84"/>
  <c r="G148" i="84"/>
  <c r="G169" i="84"/>
  <c r="J169" i="84"/>
  <c r="G199" i="84"/>
  <c r="I199" i="84"/>
  <c r="H199" i="84"/>
  <c r="I346" i="84"/>
  <c r="G346" i="84"/>
  <c r="I382" i="84"/>
  <c r="G382" i="84"/>
  <c r="H409" i="84"/>
  <c r="G409" i="84"/>
  <c r="H54" i="84"/>
  <c r="G54" i="84"/>
  <c r="I54" i="84"/>
  <c r="J54" i="84"/>
  <c r="I138" i="84"/>
  <c r="G138" i="84"/>
  <c r="I150" i="84"/>
  <c r="G150" i="84"/>
  <c r="I275" i="84"/>
  <c r="J275" i="84"/>
  <c r="I372" i="84"/>
  <c r="J372" i="84"/>
  <c r="G111" i="84"/>
  <c r="G372" i="84"/>
  <c r="I79" i="84"/>
  <c r="H372" i="84"/>
  <c r="I58" i="84"/>
  <c r="G58" i="84"/>
  <c r="J58" i="84"/>
  <c r="J92" i="84"/>
  <c r="I92" i="84"/>
  <c r="H92" i="84"/>
  <c r="G92" i="84"/>
  <c r="H340" i="84"/>
  <c r="J340" i="84"/>
  <c r="I340" i="84"/>
  <c r="G80" i="84"/>
  <c r="G112" i="84"/>
  <c r="G217" i="84"/>
  <c r="G295" i="84"/>
  <c r="G334" i="84"/>
  <c r="I355" i="84"/>
  <c r="H357" i="84"/>
  <c r="H373" i="84"/>
  <c r="I394" i="84"/>
  <c r="I119" i="78"/>
  <c r="J119" i="78"/>
  <c r="H119" i="78"/>
  <c r="J297" i="78"/>
  <c r="G215" i="78"/>
  <c r="I49" i="78"/>
  <c r="H252" i="78"/>
  <c r="J394" i="78"/>
  <c r="H238" i="78"/>
  <c r="I101" i="78"/>
  <c r="J55" i="78"/>
  <c r="G394" i="78"/>
  <c r="G301" i="78"/>
  <c r="I260" i="78"/>
  <c r="I183" i="78"/>
  <c r="J47" i="78"/>
  <c r="I387" i="78"/>
  <c r="J373" i="78"/>
  <c r="G316" i="78"/>
  <c r="G274" i="78"/>
  <c r="H260" i="78"/>
  <c r="J344" i="78"/>
  <c r="H310" i="78"/>
  <c r="I246" i="78"/>
  <c r="I156" i="78"/>
  <c r="H113" i="78"/>
  <c r="J81" i="78"/>
  <c r="J33" i="78"/>
  <c r="G212" i="78"/>
  <c r="H177" i="78"/>
  <c r="H29" i="78"/>
  <c r="I347" i="78"/>
  <c r="G278" i="78"/>
  <c r="G238" i="78"/>
  <c r="H331" i="78"/>
  <c r="J168" i="78"/>
  <c r="G165" i="78"/>
  <c r="G33" i="78"/>
  <c r="G55" i="78"/>
  <c r="I75" i="78"/>
  <c r="J75" i="78"/>
  <c r="G75" i="78"/>
  <c r="G81" i="78"/>
  <c r="H91" i="78"/>
  <c r="G91" i="78"/>
  <c r="G119" i="78"/>
  <c r="G241" i="78"/>
  <c r="H241" i="78"/>
  <c r="I244" i="78"/>
  <c r="J244" i="78"/>
  <c r="I285" i="78"/>
  <c r="J285" i="78"/>
  <c r="H285" i="78"/>
  <c r="G297" i="78"/>
  <c r="I337" i="78"/>
  <c r="J337" i="78"/>
  <c r="G342" i="78"/>
  <c r="H342" i="78"/>
  <c r="J347" i="78"/>
  <c r="I385" i="78"/>
  <c r="J387" i="78"/>
  <c r="G390" i="78"/>
  <c r="H390" i="78"/>
  <c r="G121" i="78"/>
  <c r="I121" i="78"/>
  <c r="J266" i="78"/>
  <c r="H266" i="78"/>
  <c r="I297" i="78"/>
  <c r="I177" i="78"/>
  <c r="H47" i="78"/>
  <c r="I199" i="78"/>
  <c r="J238" i="78"/>
  <c r="J177" i="78"/>
  <c r="J252" i="78"/>
  <c r="G113" i="78"/>
  <c r="I364" i="78"/>
  <c r="I316" i="78"/>
  <c r="J301" i="78"/>
  <c r="J274" i="78"/>
  <c r="G233" i="78"/>
  <c r="I233" i="78"/>
  <c r="I215" i="78"/>
  <c r="J199" i="78"/>
  <c r="J183" i="78"/>
  <c r="G43" i="78"/>
  <c r="G108" i="78"/>
  <c r="J400" i="78"/>
  <c r="H373" i="78"/>
  <c r="I274" i="78"/>
  <c r="G260" i="78"/>
  <c r="I344" i="78"/>
  <c r="G310" i="78"/>
  <c r="I291" i="78"/>
  <c r="J243" i="78"/>
  <c r="H212" i="78"/>
  <c r="H180" i="78"/>
  <c r="H130" i="78"/>
  <c r="H81" i="78"/>
  <c r="H33" i="78"/>
  <c r="I243" i="78"/>
  <c r="J206" i="78"/>
  <c r="J180" i="78"/>
  <c r="J130" i="78"/>
  <c r="J331" i="78"/>
  <c r="I278" i="78"/>
  <c r="H192" i="78"/>
  <c r="J121" i="78"/>
  <c r="G331" i="78"/>
  <c r="J210" i="78"/>
  <c r="J192" i="78"/>
  <c r="G168" i="78"/>
  <c r="I34" i="78"/>
  <c r="G35" i="78"/>
  <c r="H39" i="78"/>
  <c r="H51" i="78"/>
  <c r="H56" i="78"/>
  <c r="G57" i="78"/>
  <c r="I91" i="78"/>
  <c r="G132" i="78"/>
  <c r="H175" i="78"/>
  <c r="H187" i="78"/>
  <c r="I241" i="78"/>
  <c r="H265" i="78"/>
  <c r="G265" i="78"/>
  <c r="I277" i="78"/>
  <c r="J277" i="78"/>
  <c r="H277" i="78"/>
  <c r="J293" i="78"/>
  <c r="I342" i="78"/>
  <c r="I346" i="78"/>
  <c r="J346" i="78"/>
  <c r="H346" i="78"/>
  <c r="I348" i="78"/>
  <c r="J348" i="78"/>
  <c r="I386" i="78"/>
  <c r="J386" i="78"/>
  <c r="H386" i="78"/>
  <c r="I390" i="78"/>
  <c r="H225" i="78"/>
  <c r="I225" i="78"/>
  <c r="J225" i="78"/>
  <c r="H350" i="78"/>
  <c r="I350" i="78"/>
  <c r="I370" i="78"/>
  <c r="J370" i="78"/>
  <c r="H370" i="78"/>
  <c r="J17" i="78"/>
  <c r="G350" i="78"/>
  <c r="I301" i="78"/>
  <c r="J233" i="78"/>
  <c r="J215" i="78"/>
  <c r="I195" i="78"/>
  <c r="H156" i="78"/>
  <c r="J39" i="78"/>
  <c r="J43" i="78"/>
  <c r="H108" i="78"/>
  <c r="I43" i="78"/>
  <c r="H385" i="78"/>
  <c r="G364" i="78"/>
  <c r="G400" i="78"/>
  <c r="G373" i="78"/>
  <c r="G252" i="78"/>
  <c r="H276" i="78"/>
  <c r="G266" i="78"/>
  <c r="I310" i="78"/>
  <c r="G291" i="78"/>
  <c r="H246" i="78"/>
  <c r="G56" i="78"/>
  <c r="H49" i="78"/>
  <c r="G29" i="78"/>
  <c r="G130" i="78"/>
  <c r="J45" i="78"/>
  <c r="G34" i="78"/>
  <c r="H168" i="78"/>
  <c r="H121" i="78"/>
  <c r="J51" i="78"/>
  <c r="I151" i="78"/>
  <c r="G151" i="78"/>
  <c r="G183" i="78"/>
  <c r="G195" i="78"/>
  <c r="H242" i="78"/>
  <c r="J242" i="78"/>
  <c r="I276" i="78"/>
  <c r="H290" i="78"/>
  <c r="J290" i="78"/>
  <c r="G338" i="78"/>
  <c r="H338" i="78"/>
  <c r="H343" i="78"/>
  <c r="J343" i="78"/>
  <c r="G370" i="78"/>
  <c r="H391" i="78"/>
  <c r="J391" i="78"/>
  <c r="J123" i="78"/>
  <c r="J103" i="78"/>
  <c r="J309" i="78"/>
  <c r="G37" i="55"/>
  <c r="G27" i="55"/>
  <c r="G36" i="55"/>
  <c r="H36" i="55"/>
  <c r="I36" i="55"/>
  <c r="J36" i="55"/>
  <c r="G31" i="55"/>
  <c r="H31" i="55"/>
  <c r="I31" i="55"/>
  <c r="J31" i="55"/>
  <c r="G38" i="55"/>
  <c r="G44" i="55"/>
  <c r="G41" i="55"/>
  <c r="H41" i="55"/>
  <c r="I41" i="55"/>
  <c r="J41" i="55"/>
  <c r="G43" i="55"/>
  <c r="H43" i="55"/>
  <c r="I43" i="55"/>
  <c r="J43" i="55"/>
  <c r="G29" i="55"/>
  <c r="G40" i="55"/>
  <c r="G25" i="55"/>
  <c r="H25" i="55"/>
  <c r="I25" i="55"/>
  <c r="J25" i="55"/>
  <c r="G34" i="55"/>
  <c r="H34" i="55"/>
  <c r="I34" i="55"/>
  <c r="J34" i="55"/>
  <c r="I93" i="55"/>
  <c r="G93" i="55"/>
  <c r="J93" i="55"/>
  <c r="H179" i="55"/>
  <c r="G179" i="55"/>
  <c r="J188" i="55"/>
  <c r="I188" i="55"/>
  <c r="H188" i="55"/>
  <c r="H354" i="55"/>
  <c r="I354" i="55"/>
  <c r="J354" i="55"/>
  <c r="H365" i="55"/>
  <c r="J365" i="55"/>
  <c r="I365" i="55"/>
  <c r="J385" i="55"/>
  <c r="I385" i="55"/>
  <c r="H371" i="55"/>
  <c r="G28" i="55"/>
  <c r="H28" i="55"/>
  <c r="I28" i="55"/>
  <c r="J28" i="55"/>
  <c r="G26" i="55"/>
  <c r="H26" i="55"/>
  <c r="I26" i="55"/>
  <c r="J26" i="55"/>
  <c r="G385" i="55"/>
  <c r="H39" i="55"/>
  <c r="I39" i="55"/>
  <c r="J39" i="55"/>
  <c r="G354" i="55"/>
  <c r="G33" i="55"/>
  <c r="J404" i="55"/>
  <c r="H93" i="55"/>
  <c r="J179" i="55"/>
  <c r="J91" i="55"/>
  <c r="I91" i="55"/>
  <c r="H91" i="55"/>
  <c r="J103" i="55"/>
  <c r="I103" i="55"/>
  <c r="H155" i="55"/>
  <c r="J155" i="55"/>
  <c r="I155" i="55"/>
  <c r="G155" i="55"/>
  <c r="H171" i="55"/>
  <c r="J171" i="55"/>
  <c r="G171" i="55"/>
  <c r="I171" i="55"/>
  <c r="G216" i="55"/>
  <c r="H216" i="55"/>
  <c r="I258" i="55"/>
  <c r="G258" i="55"/>
  <c r="I274" i="55"/>
  <c r="G274" i="55"/>
  <c r="H274" i="55"/>
  <c r="J289" i="55"/>
  <c r="I289" i="55"/>
  <c r="G289" i="55"/>
  <c r="H289" i="55"/>
  <c r="H316" i="55"/>
  <c r="I316" i="55"/>
  <c r="G363" i="55"/>
  <c r="I363" i="55"/>
  <c r="H363" i="55"/>
  <c r="I383" i="55"/>
  <c r="J383" i="55"/>
  <c r="G383" i="55"/>
  <c r="H383" i="55"/>
  <c r="I136" i="55"/>
  <c r="J136" i="55"/>
  <c r="I227" i="55"/>
  <c r="G227" i="55"/>
  <c r="J227" i="55"/>
  <c r="H227" i="55"/>
  <c r="I331" i="55"/>
  <c r="H331" i="55"/>
  <c r="G331" i="55"/>
  <c r="J331" i="55"/>
  <c r="I394" i="55"/>
  <c r="J394" i="55"/>
  <c r="G394" i="55"/>
  <c r="H394" i="55"/>
  <c r="J302" i="55"/>
  <c r="G302" i="55"/>
  <c r="J16" i="55"/>
  <c r="G35" i="55"/>
  <c r="G39" i="55"/>
  <c r="G42" i="55"/>
  <c r="H42" i="55"/>
  <c r="I42" i="55"/>
  <c r="J42" i="55"/>
  <c r="G30" i="55"/>
  <c r="H30" i="55"/>
  <c r="I30" i="55"/>
  <c r="J30" i="55"/>
  <c r="G188" i="55"/>
  <c r="G136" i="55"/>
  <c r="H71" i="55"/>
  <c r="H61" i="55"/>
  <c r="J61" i="55"/>
  <c r="G61" i="55"/>
  <c r="G141" i="55"/>
  <c r="I141" i="55"/>
  <c r="J141" i="55"/>
  <c r="I162" i="55"/>
  <c r="H162" i="55"/>
  <c r="G162" i="55"/>
  <c r="H167" i="55"/>
  <c r="I167" i="55"/>
  <c r="J167" i="55"/>
  <c r="G167" i="55"/>
  <c r="I241" i="55"/>
  <c r="H241" i="55"/>
  <c r="J241" i="55"/>
  <c r="H245" i="55"/>
  <c r="J245" i="55"/>
  <c r="G245" i="55"/>
  <c r="I313" i="55"/>
  <c r="H313" i="55"/>
  <c r="J313" i="55"/>
  <c r="J334" i="55"/>
  <c r="I334" i="55"/>
  <c r="J345" i="55"/>
  <c r="H345" i="55"/>
  <c r="G345" i="55"/>
  <c r="I345" i="55"/>
  <c r="H373" i="55"/>
  <c r="J373" i="55"/>
  <c r="G373" i="55"/>
  <c r="G380" i="55"/>
  <c r="H380" i="55"/>
  <c r="J380" i="55"/>
  <c r="I380" i="55"/>
  <c r="H390" i="55"/>
  <c r="J390" i="55"/>
  <c r="G390" i="55"/>
  <c r="J55" i="55"/>
  <c r="H55" i="55"/>
  <c r="G55" i="55"/>
  <c r="I82" i="55"/>
  <c r="H82" i="55"/>
  <c r="G82" i="55"/>
  <c r="I191" i="55"/>
  <c r="H191" i="55"/>
  <c r="J191" i="55"/>
  <c r="H305" i="55"/>
  <c r="G305" i="55"/>
  <c r="I305" i="55"/>
  <c r="G71" i="55"/>
  <c r="J371" i="55"/>
  <c r="H404" i="55"/>
  <c r="G32" i="55"/>
  <c r="H32" i="55"/>
  <c r="I32" i="55"/>
  <c r="J32" i="55"/>
  <c r="G191" i="55"/>
  <c r="H136" i="55"/>
  <c r="G365" i="55"/>
  <c r="G404" i="55"/>
  <c r="I52" i="55"/>
  <c r="J52" i="55"/>
  <c r="G52" i="55"/>
  <c r="J77" i="55"/>
  <c r="G77" i="55"/>
  <c r="H77" i="55"/>
  <c r="I133" i="55"/>
  <c r="H133" i="55"/>
  <c r="J133" i="55"/>
  <c r="G133" i="55"/>
  <c r="G158" i="55"/>
  <c r="I158" i="55"/>
  <c r="J158" i="55"/>
  <c r="H158" i="55"/>
  <c r="H174" i="55"/>
  <c r="I174" i="55"/>
  <c r="G174" i="55"/>
  <c r="J194" i="55"/>
  <c r="H194" i="55"/>
  <c r="I194" i="55"/>
  <c r="G194" i="55"/>
  <c r="J198" i="55"/>
  <c r="G198" i="55"/>
  <c r="H198" i="55"/>
  <c r="H292" i="55"/>
  <c r="J292" i="55"/>
  <c r="G292" i="55"/>
  <c r="G296" i="55"/>
  <c r="I296" i="55"/>
  <c r="H296" i="55"/>
  <c r="G349" i="55"/>
  <c r="H349" i="55"/>
  <c r="J349" i="55"/>
  <c r="J51" i="55"/>
  <c r="H90" i="55"/>
  <c r="J144" i="55"/>
  <c r="J220" i="55"/>
  <c r="I290" i="55"/>
  <c r="H348" i="55"/>
  <c r="G364" i="55"/>
  <c r="I392" i="55"/>
  <c r="J392" i="55"/>
  <c r="G393" i="55"/>
  <c r="G45" i="55"/>
  <c r="I58" i="55"/>
  <c r="J67" i="55"/>
  <c r="J74" i="55"/>
  <c r="J96" i="55"/>
  <c r="H106" i="55"/>
  <c r="J121" i="55"/>
  <c r="J123" i="55"/>
  <c r="J159" i="55"/>
  <c r="J193" i="55"/>
  <c r="H210" i="55"/>
  <c r="H328" i="55"/>
  <c r="I348" i="55"/>
  <c r="H360" i="55"/>
  <c r="I372" i="55"/>
  <c r="G392" i="55"/>
  <c r="J62" i="54"/>
  <c r="G62" i="54"/>
  <c r="I62" i="54"/>
  <c r="H62" i="54"/>
  <c r="J76" i="54"/>
  <c r="I76" i="54"/>
  <c r="G125" i="54"/>
  <c r="J125" i="54"/>
  <c r="H125" i="54"/>
  <c r="I125" i="54"/>
  <c r="H203" i="54"/>
  <c r="J203" i="54"/>
  <c r="G203" i="54"/>
  <c r="J265" i="54"/>
  <c r="H265" i="54"/>
  <c r="G265" i="54"/>
  <c r="I265" i="54"/>
  <c r="H305" i="54"/>
  <c r="G305" i="54"/>
  <c r="I305" i="54"/>
  <c r="J351" i="54"/>
  <c r="G351" i="54"/>
  <c r="H351" i="54"/>
  <c r="H76" i="54"/>
  <c r="H55" i="54"/>
  <c r="J207" i="54"/>
  <c r="J159" i="54"/>
  <c r="F30" i="54"/>
  <c r="G63" i="54"/>
  <c r="I63" i="54"/>
  <c r="J63" i="54"/>
  <c r="J90" i="54"/>
  <c r="G90" i="54"/>
  <c r="I90" i="54"/>
  <c r="H90" i="54"/>
  <c r="J98" i="54"/>
  <c r="G98" i="54"/>
  <c r="I98" i="54"/>
  <c r="H98" i="54"/>
  <c r="J126" i="54"/>
  <c r="G126" i="54"/>
  <c r="I126" i="54"/>
  <c r="H126" i="54"/>
  <c r="G133" i="54"/>
  <c r="J133" i="54"/>
  <c r="H133" i="54"/>
  <c r="I133" i="54"/>
  <c r="I171" i="54"/>
  <c r="J171" i="54"/>
  <c r="H171" i="54"/>
  <c r="G171" i="54"/>
  <c r="I187" i="54"/>
  <c r="J187" i="54"/>
  <c r="H187" i="54"/>
  <c r="G187" i="54"/>
  <c r="H211" i="54"/>
  <c r="I211" i="54"/>
  <c r="J211" i="54"/>
  <c r="G211" i="54"/>
  <c r="J234" i="54"/>
  <c r="I234" i="54"/>
  <c r="H234" i="54"/>
  <c r="J282" i="54"/>
  <c r="G282" i="54"/>
  <c r="H282" i="54"/>
  <c r="J393" i="54"/>
  <c r="G393" i="54"/>
  <c r="H393" i="54"/>
  <c r="I203" i="54"/>
  <c r="J55" i="54"/>
  <c r="H313" i="54"/>
  <c r="I207" i="54"/>
  <c r="I159" i="54"/>
  <c r="I351" i="54"/>
  <c r="G53" i="54"/>
  <c r="J53" i="54"/>
  <c r="H53" i="54"/>
  <c r="I53" i="54"/>
  <c r="J134" i="54"/>
  <c r="G134" i="54"/>
  <c r="I134" i="54"/>
  <c r="H134" i="54"/>
  <c r="J148" i="54"/>
  <c r="I148" i="54"/>
  <c r="G153" i="54"/>
  <c r="H153" i="54"/>
  <c r="J153" i="54"/>
  <c r="I153" i="54"/>
  <c r="I199" i="54"/>
  <c r="J199" i="54"/>
  <c r="G199" i="54"/>
  <c r="H199" i="54"/>
  <c r="F28" i="54"/>
  <c r="F31" i="54"/>
  <c r="F35" i="54"/>
  <c r="F42" i="54"/>
  <c r="F33" i="54"/>
  <c r="F26" i="54"/>
  <c r="F29" i="54"/>
  <c r="F36" i="54"/>
  <c r="F39" i="54"/>
  <c r="F32" i="54"/>
  <c r="F25" i="54"/>
  <c r="F34" i="54"/>
  <c r="F37" i="54"/>
  <c r="F40" i="54"/>
  <c r="F43" i="54"/>
  <c r="G89" i="54"/>
  <c r="J89" i="54"/>
  <c r="H89" i="54"/>
  <c r="I89" i="54"/>
  <c r="G97" i="54"/>
  <c r="J97" i="54"/>
  <c r="H97" i="54"/>
  <c r="I97" i="54"/>
  <c r="J276" i="54"/>
  <c r="H276" i="54"/>
  <c r="I276" i="54"/>
  <c r="H301" i="54"/>
  <c r="G301" i="54"/>
  <c r="I379" i="54"/>
  <c r="G379" i="54"/>
  <c r="H379" i="54"/>
  <c r="H389" i="54"/>
  <c r="I389" i="54"/>
  <c r="J389" i="54"/>
  <c r="J301" i="54"/>
  <c r="I393" i="54"/>
  <c r="I313" i="54"/>
  <c r="F41" i="54"/>
  <c r="J305" i="54"/>
  <c r="J54" i="54"/>
  <c r="G54" i="54"/>
  <c r="I54" i="54"/>
  <c r="H54" i="54"/>
  <c r="G61" i="54"/>
  <c r="J61" i="54"/>
  <c r="H61" i="54"/>
  <c r="I61" i="54"/>
  <c r="I88" i="54"/>
  <c r="J88" i="54"/>
  <c r="I96" i="54"/>
  <c r="J96" i="54"/>
  <c r="I179" i="54"/>
  <c r="J179" i="54"/>
  <c r="H179" i="54"/>
  <c r="G179" i="54"/>
  <c r="I195" i="54"/>
  <c r="J195" i="54"/>
  <c r="H195" i="54"/>
  <c r="G195" i="54"/>
  <c r="H49" i="54"/>
  <c r="I56" i="54"/>
  <c r="G57" i="54"/>
  <c r="G58" i="54"/>
  <c r="J58" i="54"/>
  <c r="I64" i="54"/>
  <c r="G65" i="54"/>
  <c r="G66" i="54"/>
  <c r="J66" i="54"/>
  <c r="H69" i="54"/>
  <c r="H77" i="54"/>
  <c r="G85" i="54"/>
  <c r="G86" i="54"/>
  <c r="J86" i="54"/>
  <c r="G93" i="54"/>
  <c r="G94" i="54"/>
  <c r="J94" i="54"/>
  <c r="H105" i="54"/>
  <c r="H113" i="54"/>
  <c r="H121" i="54"/>
  <c r="I128" i="54"/>
  <c r="G129" i="54"/>
  <c r="G130" i="54"/>
  <c r="J130" i="54"/>
  <c r="I136" i="54"/>
  <c r="G137" i="54"/>
  <c r="G138" i="54"/>
  <c r="J138" i="54"/>
  <c r="H141" i="54"/>
  <c r="H149" i="54"/>
  <c r="G166" i="54"/>
  <c r="J167" i="54"/>
  <c r="G174" i="54"/>
  <c r="J175" i="54"/>
  <c r="G182" i="54"/>
  <c r="J183" i="54"/>
  <c r="G190" i="54"/>
  <c r="J191" i="54"/>
  <c r="H302" i="54"/>
  <c r="J302" i="54"/>
  <c r="H328" i="54"/>
  <c r="J328" i="54"/>
  <c r="H364" i="54"/>
  <c r="I364" i="54"/>
  <c r="J157" i="54"/>
  <c r="H157" i="54"/>
  <c r="H198" i="54"/>
  <c r="I198" i="54"/>
  <c r="I202" i="54"/>
  <c r="H202" i="54"/>
  <c r="J154" i="54"/>
  <c r="G154" i="54"/>
  <c r="I157" i="54"/>
  <c r="J165" i="54"/>
  <c r="H165" i="54"/>
  <c r="H167" i="54"/>
  <c r="J173" i="54"/>
  <c r="H173" i="54"/>
  <c r="H175" i="54"/>
  <c r="J181" i="54"/>
  <c r="H181" i="54"/>
  <c r="H183" i="54"/>
  <c r="J189" i="54"/>
  <c r="H189" i="54"/>
  <c r="H191" i="54"/>
  <c r="J197" i="54"/>
  <c r="H197" i="54"/>
  <c r="H238" i="54"/>
  <c r="I264" i="54"/>
  <c r="I337" i="54"/>
  <c r="J341" i="54"/>
  <c r="J96" i="53"/>
  <c r="G96" i="53"/>
  <c r="J148" i="53"/>
  <c r="I148" i="53"/>
  <c r="G148" i="53"/>
  <c r="I188" i="53"/>
  <c r="G188" i="53"/>
  <c r="I200" i="53"/>
  <c r="G200" i="53"/>
  <c r="H213" i="53"/>
  <c r="J213" i="53"/>
  <c r="G261" i="53"/>
  <c r="J261" i="53"/>
  <c r="J300" i="53"/>
  <c r="G300" i="53"/>
  <c r="H300" i="53"/>
  <c r="J316" i="53"/>
  <c r="H316" i="53"/>
  <c r="I338" i="53"/>
  <c r="G338" i="53"/>
  <c r="H338" i="53"/>
  <c r="J341" i="53"/>
  <c r="I341" i="53"/>
  <c r="H390" i="53"/>
  <c r="G390" i="53"/>
  <c r="J366" i="53"/>
  <c r="G123" i="53"/>
  <c r="G70" i="53"/>
  <c r="G51" i="53"/>
  <c r="H353" i="53"/>
  <c r="G411" i="53"/>
  <c r="J373" i="53"/>
  <c r="H349" i="53"/>
  <c r="G328" i="53"/>
  <c r="H280" i="53"/>
  <c r="H275" i="53"/>
  <c r="G393" i="53"/>
  <c r="G361" i="53"/>
  <c r="H356" i="53"/>
  <c r="G287" i="53"/>
  <c r="I234" i="53"/>
  <c r="H333" i="53"/>
  <c r="G267" i="53"/>
  <c r="I217" i="53"/>
  <c r="H200" i="53"/>
  <c r="I194" i="53"/>
  <c r="H184" i="53"/>
  <c r="H148" i="53"/>
  <c r="H96" i="53"/>
  <c r="H60" i="53"/>
  <c r="G213" i="53"/>
  <c r="J215" i="53"/>
  <c r="J184" i="53"/>
  <c r="H111" i="53"/>
  <c r="H151" i="53"/>
  <c r="G47" i="53"/>
  <c r="J47" i="53"/>
  <c r="H37" i="53"/>
  <c r="G37" i="53"/>
  <c r="J40" i="53"/>
  <c r="H40" i="53"/>
  <c r="I70" i="53"/>
  <c r="H73" i="53"/>
  <c r="I84" i="53"/>
  <c r="I129" i="53"/>
  <c r="G129" i="53"/>
  <c r="G139" i="53"/>
  <c r="I139" i="53"/>
  <c r="H139" i="53"/>
  <c r="J145" i="53"/>
  <c r="H145" i="53"/>
  <c r="I145" i="53"/>
  <c r="H149" i="53"/>
  <c r="I149" i="53"/>
  <c r="J149" i="53"/>
  <c r="H156" i="53"/>
  <c r="G156" i="53"/>
  <c r="H181" i="53"/>
  <c r="G181" i="53"/>
  <c r="J181" i="53"/>
  <c r="H197" i="53"/>
  <c r="J197" i="53"/>
  <c r="H205" i="53"/>
  <c r="G205" i="53"/>
  <c r="I235" i="53"/>
  <c r="J235" i="53"/>
  <c r="G252" i="53"/>
  <c r="H252" i="53"/>
  <c r="J259" i="53"/>
  <c r="I259" i="53"/>
  <c r="I273" i="53"/>
  <c r="G273" i="53"/>
  <c r="J275" i="53"/>
  <c r="G277" i="53"/>
  <c r="I277" i="53"/>
  <c r="J282" i="53"/>
  <c r="G285" i="53"/>
  <c r="I285" i="53"/>
  <c r="H351" i="53"/>
  <c r="I382" i="53"/>
  <c r="J382" i="53"/>
  <c r="G394" i="53"/>
  <c r="J394" i="53"/>
  <c r="I394" i="53"/>
  <c r="H394" i="53"/>
  <c r="I35" i="53"/>
  <c r="J35" i="53"/>
  <c r="H35" i="53"/>
  <c r="G38" i="53"/>
  <c r="I38" i="53"/>
  <c r="J38" i="53"/>
  <c r="J77" i="53"/>
  <c r="I77" i="53"/>
  <c r="G87" i="53"/>
  <c r="I87" i="53"/>
  <c r="J108" i="53"/>
  <c r="I108" i="53"/>
  <c r="I140" i="53"/>
  <c r="H140" i="53"/>
  <c r="J146" i="53"/>
  <c r="H146" i="53"/>
  <c r="J166" i="53"/>
  <c r="H166" i="53"/>
  <c r="I166" i="53"/>
  <c r="G178" i="53"/>
  <c r="J178" i="53"/>
  <c r="J182" i="53"/>
  <c r="H182" i="53"/>
  <c r="H194" i="53"/>
  <c r="I257" i="53"/>
  <c r="J257" i="53"/>
  <c r="G257" i="53"/>
  <c r="H257" i="53"/>
  <c r="J318" i="53"/>
  <c r="H318" i="53"/>
  <c r="H321" i="53"/>
  <c r="I321" i="53"/>
  <c r="J390" i="53"/>
  <c r="H278" i="53"/>
  <c r="H123" i="53"/>
  <c r="I60" i="53"/>
  <c r="H250" i="53"/>
  <c r="G405" i="53"/>
  <c r="H261" i="53"/>
  <c r="I393" i="53"/>
  <c r="G403" i="53"/>
  <c r="H405" i="53"/>
  <c r="G373" i="53"/>
  <c r="G341" i="53"/>
  <c r="I331" i="53"/>
  <c r="I318" i="53"/>
  <c r="G296" i="53"/>
  <c r="I250" i="53"/>
  <c r="I300" i="53"/>
  <c r="I213" i="53"/>
  <c r="H192" i="53"/>
  <c r="I49" i="53"/>
  <c r="G140" i="53"/>
  <c r="G73" i="53"/>
  <c r="H38" i="53"/>
  <c r="J358" i="53"/>
  <c r="J188" i="53"/>
  <c r="G366" i="53"/>
  <c r="J130" i="53"/>
  <c r="J87" i="53"/>
  <c r="J192" i="53"/>
  <c r="G146" i="53"/>
  <c r="G35" i="53"/>
  <c r="J46" i="53"/>
  <c r="G46" i="53"/>
  <c r="H46" i="53"/>
  <c r="I46" i="53"/>
  <c r="J49" i="53"/>
  <c r="J57" i="53"/>
  <c r="I57" i="53"/>
  <c r="H61" i="53"/>
  <c r="J61" i="53"/>
  <c r="I64" i="53"/>
  <c r="J64" i="53"/>
  <c r="H64" i="53"/>
  <c r="G106" i="53"/>
  <c r="I106" i="53"/>
  <c r="H109" i="53"/>
  <c r="G109" i="53"/>
  <c r="J109" i="53"/>
  <c r="I111" i="53"/>
  <c r="H116" i="53"/>
  <c r="G116" i="53"/>
  <c r="H121" i="53"/>
  <c r="G121" i="53"/>
  <c r="I121" i="53"/>
  <c r="J140" i="53"/>
  <c r="I143" i="53"/>
  <c r="J143" i="53"/>
  <c r="H155" i="53"/>
  <c r="J155" i="53"/>
  <c r="I155" i="53"/>
  <c r="I195" i="53"/>
  <c r="J195" i="53"/>
  <c r="G195" i="53"/>
  <c r="I212" i="53"/>
  <c r="J212" i="53"/>
  <c r="G215" i="53"/>
  <c r="G220" i="53"/>
  <c r="I220" i="53"/>
  <c r="J267" i="53"/>
  <c r="I337" i="53"/>
  <c r="J337" i="53"/>
  <c r="I350" i="53"/>
  <c r="J350" i="53"/>
  <c r="H350" i="53"/>
  <c r="G350" i="53"/>
  <c r="I362" i="53"/>
  <c r="J362" i="53"/>
  <c r="H362" i="53"/>
  <c r="G362" i="53"/>
  <c r="I375" i="53"/>
  <c r="H375" i="53"/>
  <c r="J401" i="53"/>
  <c r="I401" i="53"/>
  <c r="H406" i="53"/>
  <c r="F34" i="53"/>
  <c r="H65" i="53"/>
  <c r="I412" i="53"/>
  <c r="F26" i="53"/>
  <c r="I115" i="53"/>
  <c r="J115" i="53"/>
  <c r="G131" i="53"/>
  <c r="G171" i="53"/>
  <c r="J17" i="47"/>
  <c r="G27" i="47"/>
  <c r="H312" i="47"/>
  <c r="J289" i="47"/>
  <c r="I403" i="47"/>
  <c r="H360" i="47"/>
  <c r="H356" i="47"/>
  <c r="G254" i="47"/>
  <c r="G243" i="47"/>
  <c r="I283" i="47"/>
  <c r="H262" i="47"/>
  <c r="J208" i="47"/>
  <c r="J190" i="47"/>
  <c r="J157" i="47"/>
  <c r="J126" i="47"/>
  <c r="J109" i="47"/>
  <c r="J92" i="47"/>
  <c r="J74" i="47"/>
  <c r="J30" i="47"/>
  <c r="I210" i="47"/>
  <c r="I154" i="47"/>
  <c r="I126" i="47"/>
  <c r="I113" i="47"/>
  <c r="I77" i="47"/>
  <c r="I46" i="47"/>
  <c r="I41" i="47"/>
  <c r="I33" i="47"/>
  <c r="H28" i="47"/>
  <c r="I243" i="47"/>
  <c r="I227" i="47"/>
  <c r="H214" i="47"/>
  <c r="H190" i="47"/>
  <c r="G177" i="47"/>
  <c r="G165" i="47"/>
  <c r="G148" i="47"/>
  <c r="H130" i="47"/>
  <c r="H50" i="47"/>
  <c r="J111" i="47"/>
  <c r="H35" i="47"/>
  <c r="G406" i="47"/>
  <c r="G35" i="47"/>
  <c r="J107" i="47"/>
  <c r="I51" i="47"/>
  <c r="H147" i="47"/>
  <c r="I253" i="47"/>
  <c r="H253" i="47"/>
  <c r="J359" i="47"/>
  <c r="H359" i="47"/>
  <c r="H39" i="47"/>
  <c r="J39" i="47"/>
  <c r="I321" i="47"/>
  <c r="J154" i="47"/>
  <c r="G135" i="47"/>
  <c r="G39" i="47"/>
  <c r="G321" i="47"/>
  <c r="H321" i="47"/>
  <c r="I356" i="47"/>
  <c r="I328" i="47"/>
  <c r="I254" i="47"/>
  <c r="H243" i="47"/>
  <c r="G227" i="47"/>
  <c r="H276" i="47"/>
  <c r="J212" i="47"/>
  <c r="J144" i="47"/>
  <c r="J130" i="47"/>
  <c r="J124" i="47"/>
  <c r="J113" i="47"/>
  <c r="J41" i="47"/>
  <c r="I214" i="47"/>
  <c r="I190" i="47"/>
  <c r="I177" i="47"/>
  <c r="I165" i="47"/>
  <c r="H148" i="47"/>
  <c r="I130" i="47"/>
  <c r="I50" i="47"/>
  <c r="H270" i="47"/>
  <c r="I248" i="47"/>
  <c r="G208" i="47"/>
  <c r="G157" i="47"/>
  <c r="G152" i="47"/>
  <c r="H146" i="47"/>
  <c r="G124" i="47"/>
  <c r="G109" i="47"/>
  <c r="G104" i="47"/>
  <c r="G92" i="47"/>
  <c r="H74" i="47"/>
  <c r="H30" i="47"/>
  <c r="H406" i="47"/>
  <c r="I107" i="47"/>
  <c r="J406" i="47"/>
  <c r="I28" i="47"/>
  <c r="H33" i="47"/>
  <c r="J35" i="47"/>
  <c r="H41" i="47"/>
  <c r="I47" i="47"/>
  <c r="G50" i="47"/>
  <c r="I72" i="47"/>
  <c r="H77" i="47"/>
  <c r="I83" i="47"/>
  <c r="G111" i="47"/>
  <c r="H113" i="47"/>
  <c r="G119" i="47"/>
  <c r="G126" i="47"/>
  <c r="I128" i="47"/>
  <c r="I144" i="47"/>
  <c r="G146" i="47"/>
  <c r="I152" i="47"/>
  <c r="G154" i="47"/>
  <c r="I188" i="47"/>
  <c r="G210" i="47"/>
  <c r="I212" i="47"/>
  <c r="G214" i="47"/>
  <c r="J248" i="47"/>
  <c r="J262" i="47"/>
  <c r="J270" i="47"/>
  <c r="J280" i="47"/>
  <c r="J283" i="47"/>
  <c r="G293" i="47"/>
  <c r="J328" i="47"/>
  <c r="J360" i="47"/>
  <c r="G374" i="47"/>
  <c r="I167" i="47"/>
  <c r="J167" i="47"/>
  <c r="H358" i="47"/>
  <c r="G358" i="47"/>
  <c r="H135" i="47"/>
  <c r="H188" i="47"/>
  <c r="I289" i="47"/>
  <c r="H403" i="47"/>
  <c r="G369" i="47"/>
  <c r="G403" i="47"/>
  <c r="G312" i="47"/>
  <c r="G280" i="47"/>
  <c r="H259" i="47"/>
  <c r="J165" i="47"/>
  <c r="J128" i="47"/>
  <c r="I259" i="47"/>
  <c r="H46" i="47"/>
  <c r="H111" i="47"/>
  <c r="I151" i="47"/>
  <c r="J151" i="47"/>
  <c r="H167" i="47"/>
  <c r="J228" i="47"/>
  <c r="I228" i="47"/>
  <c r="I269" i="47"/>
  <c r="J269" i="47"/>
  <c r="H269" i="47"/>
  <c r="J271" i="47"/>
  <c r="I271" i="47"/>
  <c r="I276" i="47"/>
  <c r="I358" i="47"/>
  <c r="I394" i="47"/>
  <c r="J394" i="47"/>
  <c r="G394" i="47"/>
  <c r="G244" i="40"/>
  <c r="G235" i="40"/>
  <c r="J284" i="40"/>
  <c r="I342" i="40"/>
  <c r="J109" i="40"/>
  <c r="J147" i="40"/>
  <c r="G190" i="40"/>
  <c r="H194" i="40"/>
  <c r="G200" i="40"/>
  <c r="G237" i="40"/>
  <c r="G270" i="40"/>
  <c r="I332" i="40"/>
  <c r="J244" i="40"/>
  <c r="I297" i="40"/>
  <c r="J338" i="40"/>
  <c r="I362" i="40"/>
  <c r="H267" i="40"/>
  <c r="J407" i="40"/>
  <c r="J180" i="40"/>
  <c r="G258" i="40"/>
  <c r="G118" i="40"/>
  <c r="G366" i="40"/>
  <c r="I290" i="40"/>
  <c r="J366" i="40"/>
  <c r="G254" i="40"/>
  <c r="I307" i="40"/>
  <c r="G241" i="40"/>
  <c r="G227" i="40"/>
  <c r="I353" i="40"/>
  <c r="G369" i="40"/>
  <c r="J300" i="40"/>
  <c r="G156" i="40"/>
  <c r="H287" i="40"/>
  <c r="J353" i="40"/>
  <c r="I151" i="40"/>
  <c r="J151" i="40"/>
  <c r="G107" i="40"/>
  <c r="J107" i="40"/>
  <c r="H382" i="40"/>
  <c r="J382" i="40"/>
  <c r="G292" i="40"/>
  <c r="J292" i="40"/>
  <c r="I292" i="40"/>
  <c r="H398" i="40"/>
  <c r="H217" i="40"/>
  <c r="H235" i="40"/>
  <c r="H284" i="40"/>
  <c r="H109" i="40"/>
  <c r="G147" i="40"/>
  <c r="G406" i="40"/>
  <c r="J190" i="40"/>
  <c r="J194" i="40"/>
  <c r="I215" i="40"/>
  <c r="I237" i="40"/>
  <c r="I270" i="40"/>
  <c r="J282" i="40"/>
  <c r="J295" i="40"/>
  <c r="G328" i="40"/>
  <c r="I340" i="40"/>
  <c r="G404" i="40"/>
  <c r="J202" i="40"/>
  <c r="H297" i="40"/>
  <c r="J362" i="40"/>
  <c r="I275" i="40"/>
  <c r="I258" i="40"/>
  <c r="J141" i="40"/>
  <c r="I145" i="40"/>
  <c r="G123" i="40"/>
  <c r="I264" i="40"/>
  <c r="H88" i="40"/>
  <c r="J118" i="40"/>
  <c r="J164" i="40"/>
  <c r="H409" i="40"/>
  <c r="H133" i="40"/>
  <c r="H264" i="40"/>
  <c r="G169" i="40"/>
  <c r="G151" i="40"/>
  <c r="I130" i="40"/>
  <c r="I213" i="40"/>
  <c r="G324" i="40"/>
  <c r="I260" i="40"/>
  <c r="I305" i="40"/>
  <c r="J351" i="40"/>
  <c r="I233" i="40"/>
  <c r="I351" i="40"/>
  <c r="G407" i="40"/>
  <c r="J398" i="40"/>
  <c r="I369" i="40"/>
  <c r="I300" i="40"/>
  <c r="H96" i="40"/>
  <c r="J337" i="40"/>
  <c r="I263" i="40"/>
  <c r="H371" i="40"/>
  <c r="G199" i="40"/>
  <c r="I267" i="40"/>
  <c r="I121" i="40"/>
  <c r="J275" i="40"/>
  <c r="J133" i="40"/>
  <c r="H169" i="40"/>
  <c r="H166" i="40"/>
  <c r="J166" i="40"/>
  <c r="G166" i="40"/>
  <c r="I150" i="40"/>
  <c r="H353" i="40"/>
  <c r="G311" i="40"/>
  <c r="G298" i="40"/>
  <c r="H298" i="40"/>
  <c r="H294" i="40"/>
  <c r="I294" i="40"/>
  <c r="G287" i="40"/>
  <c r="J238" i="40"/>
  <c r="I238" i="40"/>
  <c r="G233" i="40"/>
  <c r="H227" i="40"/>
  <c r="G220" i="40"/>
  <c r="I220" i="40"/>
  <c r="I174" i="40"/>
  <c r="G174" i="40"/>
  <c r="G412" i="40"/>
  <c r="I412" i="40"/>
  <c r="G128" i="40"/>
  <c r="J128" i="40"/>
  <c r="H345" i="40"/>
  <c r="J345" i="40"/>
  <c r="I345" i="40"/>
  <c r="H322" i="40"/>
  <c r="G322" i="40"/>
  <c r="G273" i="40"/>
  <c r="J273" i="40"/>
  <c r="G247" i="40"/>
  <c r="H247" i="40"/>
  <c r="J241" i="40"/>
  <c r="I241" i="40"/>
  <c r="G284" i="40"/>
  <c r="I225" i="40"/>
  <c r="J182" i="40"/>
  <c r="I194" i="40"/>
  <c r="J200" i="40"/>
  <c r="G215" i="40"/>
  <c r="I328" i="40"/>
  <c r="J332" i="40"/>
  <c r="I404" i="40"/>
  <c r="I161" i="40"/>
  <c r="H407" i="40"/>
  <c r="G180" i="40"/>
  <c r="H228" i="40"/>
  <c r="G88" i="40"/>
  <c r="G167" i="40"/>
  <c r="H209" i="40"/>
  <c r="H107" i="40"/>
  <c r="H374" i="40"/>
  <c r="G307" i="40"/>
  <c r="J311" i="40"/>
  <c r="G374" i="40"/>
  <c r="J130" i="40"/>
  <c r="H199" i="40"/>
  <c r="J227" i="40"/>
  <c r="H207" i="40"/>
  <c r="J150" i="40"/>
  <c r="G150" i="40"/>
  <c r="H273" i="40"/>
  <c r="H386" i="40"/>
  <c r="I322" i="40"/>
  <c r="I207" i="40"/>
  <c r="J269" i="40"/>
  <c r="G386" i="40"/>
  <c r="H302" i="40"/>
  <c r="H156" i="40"/>
  <c r="I180" i="40"/>
  <c r="I331" i="40"/>
  <c r="H139" i="40"/>
  <c r="I139" i="40"/>
  <c r="H108" i="40"/>
  <c r="J108" i="40"/>
  <c r="I386" i="40"/>
  <c r="J371" i="40"/>
  <c r="G337" i="40"/>
  <c r="G283" i="40"/>
  <c r="J283" i="40"/>
  <c r="H263" i="40"/>
  <c r="J243" i="40"/>
  <c r="G243" i="40"/>
  <c r="H243" i="40"/>
  <c r="G240" i="40"/>
  <c r="I240" i="40"/>
  <c r="H240" i="40"/>
  <c r="H226" i="40"/>
  <c r="I226" i="40"/>
  <c r="J17" i="40"/>
  <c r="G50" i="40"/>
  <c r="I202" i="40"/>
  <c r="I105" i="40"/>
  <c r="H105" i="40"/>
  <c r="G105" i="40"/>
  <c r="J105" i="40"/>
  <c r="I364" i="40"/>
  <c r="H364" i="40"/>
  <c r="G306" i="40"/>
  <c r="H306" i="40"/>
  <c r="I306" i="40"/>
  <c r="J281" i="40"/>
  <c r="G281" i="40"/>
  <c r="H205" i="40"/>
  <c r="J205" i="40"/>
  <c r="G193" i="40"/>
  <c r="I193" i="40"/>
  <c r="H193" i="40"/>
  <c r="J193" i="40"/>
  <c r="J402" i="40"/>
  <c r="I402" i="40"/>
  <c r="H402" i="40"/>
  <c r="G402" i="40"/>
  <c r="H281" i="40"/>
  <c r="J158" i="40"/>
  <c r="I158" i="40"/>
  <c r="I136" i="40"/>
  <c r="H136" i="40"/>
  <c r="J136" i="40"/>
  <c r="H125" i="40"/>
  <c r="I125" i="40"/>
  <c r="J125" i="40"/>
  <c r="J110" i="40"/>
  <c r="I110" i="40"/>
  <c r="H110" i="40"/>
  <c r="I97" i="40"/>
  <c r="J97" i="40"/>
  <c r="G97" i="40"/>
  <c r="G389" i="40"/>
  <c r="J389" i="40"/>
  <c r="H356" i="40"/>
  <c r="J356" i="40"/>
  <c r="H338" i="40"/>
  <c r="I338" i="40"/>
  <c r="G329" i="40"/>
  <c r="H329" i="40"/>
  <c r="J329" i="40"/>
  <c r="I329" i="40"/>
  <c r="H326" i="40"/>
  <c r="G326" i="40"/>
  <c r="I326" i="40"/>
  <c r="I317" i="40"/>
  <c r="J317" i="40"/>
  <c r="H317" i="40"/>
  <c r="G317" i="40"/>
  <c r="H314" i="40"/>
  <c r="I314" i="40"/>
  <c r="G314" i="40"/>
  <c r="J288" i="40"/>
  <c r="G288" i="40"/>
  <c r="H276" i="40"/>
  <c r="G276" i="40"/>
  <c r="I251" i="40"/>
  <c r="J251" i="40"/>
  <c r="H251" i="40"/>
  <c r="H195" i="40"/>
  <c r="I195" i="40"/>
  <c r="G195" i="40"/>
  <c r="I400" i="40"/>
  <c r="G400" i="40"/>
  <c r="J400" i="40"/>
  <c r="J393" i="40"/>
  <c r="G393" i="40"/>
  <c r="I393" i="40"/>
  <c r="H153" i="40"/>
  <c r="G153" i="40"/>
  <c r="J153" i="40"/>
  <c r="I153" i="40"/>
  <c r="I143" i="40"/>
  <c r="H143" i="40"/>
  <c r="G143" i="40"/>
  <c r="H129" i="40"/>
  <c r="I129" i="40"/>
  <c r="G129" i="40"/>
  <c r="J129" i="40"/>
  <c r="J120" i="40"/>
  <c r="H120" i="40"/>
  <c r="G120" i="40"/>
  <c r="G95" i="40"/>
  <c r="I95" i="40"/>
  <c r="H95" i="40"/>
  <c r="I349" i="40"/>
  <c r="H349" i="40"/>
  <c r="G349" i="40"/>
  <c r="J346" i="40"/>
  <c r="H346" i="40"/>
  <c r="J334" i="40"/>
  <c r="H334" i="40"/>
  <c r="G334" i="40"/>
  <c r="I256" i="40"/>
  <c r="G256" i="40"/>
  <c r="J256" i="40"/>
  <c r="H232" i="40"/>
  <c r="I232" i="40"/>
  <c r="G212" i="40"/>
  <c r="H212" i="40"/>
  <c r="H391" i="40"/>
  <c r="J391" i="40"/>
  <c r="G391" i="40"/>
  <c r="G202" i="40"/>
  <c r="G346" i="40"/>
  <c r="I391" i="40"/>
  <c r="J143" i="40"/>
  <c r="G205" i="40"/>
  <c r="I205" i="40"/>
  <c r="I281" i="40"/>
  <c r="I212" i="40"/>
  <c r="H170" i="40"/>
  <c r="I170" i="40"/>
  <c r="J146" i="40"/>
  <c r="I146" i="40"/>
  <c r="H146" i="40"/>
  <c r="G146" i="40"/>
  <c r="J134" i="40"/>
  <c r="G134" i="40"/>
  <c r="G122" i="40"/>
  <c r="H122" i="40"/>
  <c r="J122" i="40"/>
  <c r="J384" i="40"/>
  <c r="I384" i="40"/>
  <c r="H384" i="40"/>
  <c r="I309" i="40"/>
  <c r="J309" i="40"/>
  <c r="G309" i="40"/>
  <c r="H309" i="40"/>
  <c r="J296" i="40"/>
  <c r="G296" i="40"/>
  <c r="H296" i="40"/>
  <c r="I296" i="40"/>
  <c r="J259" i="40"/>
  <c r="H259" i="40"/>
  <c r="I259" i="40"/>
  <c r="G259" i="40"/>
  <c r="G249" i="40"/>
  <c r="I249" i="40"/>
  <c r="J249" i="40"/>
  <c r="H249" i="40"/>
  <c r="G223" i="40"/>
  <c r="H223" i="40"/>
  <c r="H219" i="40"/>
  <c r="I219" i="40"/>
  <c r="G219" i="40"/>
  <c r="G188" i="40"/>
  <c r="I188" i="40"/>
  <c r="H188" i="40"/>
  <c r="H185" i="40"/>
  <c r="G185" i="40"/>
  <c r="I173" i="40"/>
  <c r="G173" i="40"/>
  <c r="J173" i="40"/>
  <c r="H173" i="40"/>
  <c r="H115" i="40"/>
  <c r="I115" i="40"/>
  <c r="J115" i="40"/>
  <c r="G115" i="40"/>
  <c r="I103" i="40"/>
  <c r="J103" i="40"/>
  <c r="G103" i="40"/>
  <c r="G92" i="40"/>
  <c r="J92" i="40"/>
  <c r="G359" i="40"/>
  <c r="H359" i="40"/>
  <c r="I359" i="40"/>
  <c r="J359" i="40"/>
  <c r="I341" i="40"/>
  <c r="H341" i="40"/>
  <c r="J341" i="40"/>
  <c r="G341" i="40"/>
  <c r="J301" i="40"/>
  <c r="I301" i="40"/>
  <c r="G301" i="40"/>
  <c r="H301" i="40"/>
  <c r="I254" i="40"/>
  <c r="J254" i="40"/>
  <c r="I221" i="40"/>
  <c r="G221" i="40"/>
  <c r="J221" i="40"/>
  <c r="H175" i="40"/>
  <c r="I175" i="40"/>
  <c r="J175" i="40"/>
  <c r="G175" i="40"/>
  <c r="H171" i="40"/>
  <c r="G171" i="40"/>
  <c r="I171" i="40"/>
  <c r="G26" i="78"/>
  <c r="H26" i="78"/>
  <c r="I26" i="78"/>
  <c r="J26" i="78"/>
  <c r="J16" i="78"/>
  <c r="G27" i="78"/>
  <c r="H27" i="78"/>
  <c r="I27" i="78"/>
  <c r="J27" i="78"/>
  <c r="G25" i="78"/>
  <c r="H25" i="78"/>
  <c r="I25" i="78"/>
  <c r="J25" i="78"/>
  <c r="D19" i="78"/>
  <c r="I20" i="98"/>
  <c r="H35" i="55"/>
  <c r="I35" i="55"/>
  <c r="J35" i="55"/>
  <c r="H33" i="55"/>
  <c r="I33" i="55"/>
  <c r="J33" i="55"/>
  <c r="H40" i="55"/>
  <c r="I40" i="55"/>
  <c r="J40" i="55"/>
  <c r="H44" i="55"/>
  <c r="I44" i="55"/>
  <c r="J44" i="55"/>
  <c r="H27" i="55"/>
  <c r="I27" i="55"/>
  <c r="J27" i="55"/>
  <c r="D19" i="55"/>
  <c r="I33" i="99"/>
  <c r="H29" i="55"/>
  <c r="I29" i="55"/>
  <c r="J29" i="55"/>
  <c r="H38" i="55"/>
  <c r="I38" i="55"/>
  <c r="J38" i="55"/>
  <c r="H37" i="55"/>
  <c r="I37" i="55"/>
  <c r="J37" i="55"/>
  <c r="J17" i="54"/>
  <c r="G27" i="54"/>
  <c r="J16" i="47"/>
  <c r="H27" i="47"/>
  <c r="I27" i="47"/>
  <c r="J27" i="47"/>
  <c r="G26" i="47"/>
  <c r="G25" i="47"/>
  <c r="H25" i="47"/>
  <c r="I25" i="47"/>
  <c r="J25" i="47"/>
  <c r="G45" i="40"/>
  <c r="H50" i="40"/>
  <c r="I50" i="40"/>
  <c r="J50" i="40"/>
  <c r="G53" i="40"/>
  <c r="G64" i="40"/>
  <c r="G82" i="40"/>
  <c r="G58" i="40"/>
  <c r="G60" i="40"/>
  <c r="G71" i="40"/>
  <c r="G57" i="40"/>
  <c r="G62" i="40"/>
  <c r="G61" i="40"/>
  <c r="G84" i="40"/>
  <c r="G32" i="40"/>
  <c r="H32" i="40"/>
  <c r="I32" i="40"/>
  <c r="J32" i="40"/>
  <c r="G26" i="40"/>
  <c r="G54" i="40"/>
  <c r="G33" i="40"/>
  <c r="H33" i="40"/>
  <c r="I33" i="40"/>
  <c r="J33" i="40"/>
  <c r="G35" i="40"/>
  <c r="H35" i="40"/>
  <c r="I35" i="40"/>
  <c r="J35" i="40"/>
  <c r="G41" i="40"/>
  <c r="G63" i="40"/>
  <c r="G56" i="40"/>
  <c r="H56" i="40"/>
  <c r="I56" i="40"/>
  <c r="J56" i="40"/>
  <c r="G75" i="40"/>
  <c r="H75" i="40"/>
  <c r="I75" i="40"/>
  <c r="J75" i="40"/>
  <c r="G65" i="40"/>
  <c r="G68" i="40"/>
  <c r="G73" i="40"/>
  <c r="H73" i="40"/>
  <c r="I73" i="40"/>
  <c r="J73" i="40"/>
  <c r="G77" i="40"/>
  <c r="H77" i="40"/>
  <c r="I77" i="40"/>
  <c r="J77" i="40"/>
  <c r="G42" i="40"/>
  <c r="J16" i="40"/>
  <c r="H45" i="40"/>
  <c r="I45" i="40"/>
  <c r="J45" i="40"/>
  <c r="G28" i="40"/>
  <c r="H28" i="40"/>
  <c r="I28" i="40"/>
  <c r="J28" i="40"/>
  <c r="G51" i="40"/>
  <c r="H51" i="40"/>
  <c r="I51" i="40"/>
  <c r="J51" i="40"/>
  <c r="G55" i="40"/>
  <c r="G36" i="40"/>
  <c r="H36" i="40"/>
  <c r="I36" i="40"/>
  <c r="J36" i="40"/>
  <c r="G67" i="40"/>
  <c r="H67" i="40"/>
  <c r="I67" i="40"/>
  <c r="J67" i="40"/>
  <c r="G70" i="40"/>
  <c r="H70" i="40"/>
  <c r="I70" i="40"/>
  <c r="J70" i="40"/>
  <c r="G66" i="40"/>
  <c r="G80" i="40"/>
  <c r="H80" i="40"/>
  <c r="I80" i="40"/>
  <c r="J80" i="40"/>
  <c r="G29" i="40"/>
  <c r="H29" i="40"/>
  <c r="I29" i="40"/>
  <c r="J29" i="40"/>
  <c r="G38" i="40"/>
  <c r="H38" i="40"/>
  <c r="I38" i="40"/>
  <c r="J38" i="40"/>
  <c r="G37" i="40"/>
  <c r="H37" i="40"/>
  <c r="I37" i="40"/>
  <c r="J37" i="40"/>
  <c r="G39" i="40"/>
  <c r="H39" i="40"/>
  <c r="I39" i="40"/>
  <c r="J39" i="40"/>
  <c r="G78" i="40"/>
  <c r="H78" i="40"/>
  <c r="I78" i="40"/>
  <c r="J78" i="40"/>
  <c r="G27" i="40"/>
  <c r="H27" i="40"/>
  <c r="I27" i="40"/>
  <c r="J27" i="40"/>
  <c r="G40" i="40"/>
  <c r="H40" i="40"/>
  <c r="I40" i="40"/>
  <c r="J40" i="40"/>
  <c r="G49" i="40"/>
  <c r="H49" i="40"/>
  <c r="I49" i="40"/>
  <c r="J49" i="40"/>
  <c r="G83" i="40"/>
  <c r="H83" i="40"/>
  <c r="I83" i="40"/>
  <c r="J83" i="40"/>
  <c r="G72" i="40"/>
  <c r="H72" i="40"/>
  <c r="I72" i="40"/>
  <c r="J72" i="40"/>
  <c r="G76" i="40"/>
  <c r="H76" i="40"/>
  <c r="I76" i="40"/>
  <c r="J76" i="40"/>
  <c r="G34" i="40"/>
  <c r="H34" i="40"/>
  <c r="I34" i="40"/>
  <c r="J34" i="40"/>
  <c r="G52" i="40"/>
  <c r="H52" i="40"/>
  <c r="I52" i="40"/>
  <c r="J52" i="40"/>
  <c r="G44" i="40"/>
  <c r="H44" i="40"/>
  <c r="I44" i="40"/>
  <c r="J44" i="40"/>
  <c r="G86" i="40"/>
  <c r="H86" i="40"/>
  <c r="I86" i="40"/>
  <c r="J86" i="40"/>
  <c r="G81" i="40"/>
  <c r="H81" i="40"/>
  <c r="I81" i="40"/>
  <c r="J81" i="40"/>
  <c r="G85" i="40"/>
  <c r="H85" i="40"/>
  <c r="I85" i="40"/>
  <c r="J85" i="40"/>
  <c r="G69" i="40"/>
  <c r="H69" i="40"/>
  <c r="I69" i="40"/>
  <c r="J69" i="40"/>
  <c r="G43" i="40"/>
  <c r="H43" i="40"/>
  <c r="I43" i="40"/>
  <c r="J43" i="40"/>
  <c r="G30" i="40"/>
  <c r="H30" i="40"/>
  <c r="I30" i="40"/>
  <c r="J30" i="40"/>
  <c r="G79" i="40"/>
  <c r="H79" i="40"/>
  <c r="I79" i="40"/>
  <c r="J79" i="40"/>
  <c r="G74" i="40"/>
  <c r="H74" i="40"/>
  <c r="I74" i="40"/>
  <c r="J74" i="40"/>
  <c r="G31" i="40"/>
  <c r="H31" i="40"/>
  <c r="I31" i="40"/>
  <c r="J31" i="40"/>
  <c r="G46" i="40"/>
  <c r="H46" i="40"/>
  <c r="I46" i="40"/>
  <c r="J46" i="40"/>
  <c r="G59" i="40"/>
  <c r="H59" i="40"/>
  <c r="I59" i="40"/>
  <c r="J59" i="40"/>
  <c r="G48" i="40"/>
  <c r="H48" i="40"/>
  <c r="I48" i="40"/>
  <c r="J48" i="40"/>
  <c r="G47" i="40"/>
  <c r="H47" i="40"/>
  <c r="I47" i="40"/>
  <c r="J47" i="40"/>
  <c r="G25" i="40"/>
  <c r="H25" i="40"/>
  <c r="I25" i="40"/>
  <c r="J25" i="40"/>
  <c r="G38" i="54"/>
  <c r="G32" i="54"/>
  <c r="H26" i="47"/>
  <c r="I26" i="47"/>
  <c r="J26" i="47"/>
  <c r="D19" i="47"/>
  <c r="I20" i="99"/>
  <c r="H84" i="40"/>
  <c r="I84" i="40"/>
  <c r="J84" i="40"/>
  <c r="H71" i="40"/>
  <c r="I71" i="40"/>
  <c r="J71" i="40"/>
  <c r="H64" i="40"/>
  <c r="I64" i="40"/>
  <c r="J64" i="40"/>
  <c r="H57" i="40"/>
  <c r="I57" i="40"/>
  <c r="J57" i="40"/>
  <c r="H82" i="40"/>
  <c r="I82" i="40"/>
  <c r="J82" i="40"/>
  <c r="H68" i="40"/>
  <c r="I68" i="40"/>
  <c r="J68" i="40"/>
  <c r="H63" i="40"/>
  <c r="I63" i="40"/>
  <c r="J63" i="40"/>
  <c r="H54" i="40"/>
  <c r="I54" i="40"/>
  <c r="J54" i="40"/>
  <c r="H61" i="40"/>
  <c r="I61" i="40"/>
  <c r="J61" i="40"/>
  <c r="H60" i="40"/>
  <c r="I60" i="40"/>
  <c r="J60" i="40"/>
  <c r="H53" i="40"/>
  <c r="I53" i="40"/>
  <c r="J53" i="40"/>
  <c r="H66" i="40"/>
  <c r="I66" i="40"/>
  <c r="J66" i="40"/>
  <c r="H55" i="40"/>
  <c r="I55" i="40"/>
  <c r="J55" i="40"/>
  <c r="H42" i="40"/>
  <c r="I42" i="40"/>
  <c r="J42" i="40"/>
  <c r="H65" i="40"/>
  <c r="I65" i="40"/>
  <c r="J65" i="40"/>
  <c r="H41" i="40"/>
  <c r="I41" i="40"/>
  <c r="J41" i="40"/>
  <c r="H26" i="40"/>
  <c r="I26" i="40"/>
  <c r="J26" i="40"/>
  <c r="D19" i="40"/>
  <c r="E17" i="99"/>
  <c r="H62" i="40"/>
  <c r="I62" i="40"/>
  <c r="J62" i="40"/>
  <c r="H58" i="40"/>
  <c r="I58" i="40"/>
  <c r="J58" i="40"/>
  <c r="H43" i="43"/>
  <c r="I43" i="43"/>
  <c r="J43" i="43"/>
  <c r="H74" i="43"/>
  <c r="I74" i="43"/>
  <c r="J74" i="43"/>
  <c r="H48" i="43"/>
  <c r="I48" i="43"/>
  <c r="J48" i="43"/>
  <c r="H25" i="43"/>
  <c r="I25" i="43"/>
  <c r="J25" i="43"/>
  <c r="H51" i="43"/>
  <c r="I51" i="43"/>
  <c r="J51" i="43"/>
  <c r="H45" i="43"/>
  <c r="I45" i="43"/>
  <c r="J45" i="43"/>
  <c r="H46" i="43"/>
  <c r="I46" i="43"/>
  <c r="J46" i="43"/>
  <c r="H28" i="43"/>
  <c r="I28" i="43"/>
  <c r="J28" i="43"/>
  <c r="G32" i="43"/>
  <c r="G39" i="43"/>
  <c r="G53" i="43"/>
  <c r="G41" i="43"/>
  <c r="G55" i="43"/>
  <c r="G42" i="43"/>
  <c r="G66" i="43"/>
  <c r="H66" i="43"/>
  <c r="I66" i="43"/>
  <c r="J66" i="43"/>
  <c r="G84" i="43"/>
  <c r="G68" i="43"/>
  <c r="H68" i="43"/>
  <c r="I68" i="43"/>
  <c r="J68" i="43"/>
  <c r="G76" i="43"/>
  <c r="G77" i="43"/>
  <c r="G31" i="43"/>
  <c r="G57" i="43"/>
  <c r="H57" i="43"/>
  <c r="I57" i="43"/>
  <c r="J57" i="43"/>
  <c r="H78" i="43"/>
  <c r="I78" i="43"/>
  <c r="J78" i="43"/>
  <c r="H85" i="43"/>
  <c r="I85" i="43"/>
  <c r="J85" i="43"/>
  <c r="H44" i="43"/>
  <c r="I44" i="43"/>
  <c r="J44" i="43"/>
  <c r="H47" i="43"/>
  <c r="I47" i="43"/>
  <c r="J47" i="43"/>
  <c r="H52" i="43"/>
  <c r="I52" i="43"/>
  <c r="J52" i="43"/>
  <c r="H54" i="43"/>
  <c r="I54" i="43"/>
  <c r="J54" i="43"/>
  <c r="H40" i="43"/>
  <c r="I40" i="43"/>
  <c r="J40" i="43"/>
  <c r="H30" i="43"/>
  <c r="I30" i="43"/>
  <c r="J30" i="43"/>
  <c r="H27" i="43"/>
  <c r="I27" i="43"/>
  <c r="J27" i="43"/>
  <c r="H73" i="43"/>
  <c r="I73" i="43"/>
  <c r="J73" i="43"/>
  <c r="H58" i="43"/>
  <c r="I58" i="43"/>
  <c r="J58" i="43"/>
  <c r="H32" i="43"/>
  <c r="I32" i="43"/>
  <c r="J32" i="43"/>
  <c r="H39" i="43"/>
  <c r="I39" i="43"/>
  <c r="J39" i="43"/>
  <c r="H53" i="43"/>
  <c r="I53" i="43"/>
  <c r="J53" i="43"/>
  <c r="H41" i="43"/>
  <c r="I41" i="43"/>
  <c r="J41" i="43"/>
  <c r="H55" i="43"/>
  <c r="I55" i="43"/>
  <c r="J55" i="43"/>
  <c r="H42" i="43"/>
  <c r="I42" i="43"/>
  <c r="J42" i="43"/>
  <c r="H62" i="43"/>
  <c r="I62" i="43"/>
  <c r="J62" i="43"/>
  <c r="H75" i="43"/>
  <c r="I75" i="43"/>
  <c r="J75" i="43"/>
  <c r="H77" i="43"/>
  <c r="I77" i="43"/>
  <c r="J77" i="43"/>
  <c r="H26" i="43"/>
  <c r="I26" i="43"/>
  <c r="J26" i="43"/>
  <c r="H31" i="43"/>
  <c r="I31" i="43"/>
  <c r="J31" i="43"/>
  <c r="H80" i="43"/>
  <c r="I80" i="43"/>
  <c r="J80" i="43"/>
  <c r="H81" i="43"/>
  <c r="I81" i="43"/>
  <c r="J81" i="43"/>
  <c r="H65" i="43"/>
  <c r="I65" i="43"/>
  <c r="J65" i="43"/>
  <c r="H84" i="43"/>
  <c r="I84" i="43"/>
  <c r="J84" i="43"/>
  <c r="H56" i="43"/>
  <c r="I56" i="43"/>
  <c r="J56" i="43"/>
  <c r="H76" i="43"/>
  <c r="I76" i="43"/>
  <c r="J76" i="43"/>
  <c r="H83" i="43"/>
  <c r="I83" i="43"/>
  <c r="J83" i="43"/>
  <c r="G37" i="43"/>
  <c r="H37" i="43"/>
  <c r="I37" i="43"/>
  <c r="J37" i="43"/>
  <c r="G63" i="43"/>
  <c r="H63" i="43"/>
  <c r="I63" i="43"/>
  <c r="J63" i="43"/>
  <c r="G60" i="43"/>
  <c r="H60" i="43"/>
  <c r="I60" i="43"/>
  <c r="J60" i="43"/>
  <c r="G69" i="43"/>
  <c r="H69" i="43"/>
  <c r="I69" i="43"/>
  <c r="J69" i="43"/>
  <c r="G70" i="43"/>
  <c r="H70" i="43"/>
  <c r="I70" i="43"/>
  <c r="J70" i="43"/>
  <c r="G67" i="43"/>
  <c r="H67" i="43"/>
  <c r="I67" i="43"/>
  <c r="J67" i="43"/>
  <c r="G72" i="43"/>
  <c r="H72" i="43"/>
  <c r="I72" i="43"/>
  <c r="J72" i="43"/>
  <c r="G61" i="43"/>
  <c r="H61" i="43"/>
  <c r="I61" i="43"/>
  <c r="J61" i="43"/>
  <c r="G79" i="43"/>
  <c r="H79" i="43"/>
  <c r="I79" i="43"/>
  <c r="J79" i="43"/>
  <c r="G50" i="43"/>
  <c r="H50" i="43"/>
  <c r="I50" i="43"/>
  <c r="J50" i="43"/>
  <c r="G36" i="86"/>
  <c r="H36" i="86"/>
  <c r="I36" i="86"/>
  <c r="J36" i="86"/>
  <c r="G38" i="86"/>
  <c r="H38" i="86"/>
  <c r="I38" i="86"/>
  <c r="J38" i="86"/>
  <c r="G35" i="86"/>
  <c r="H35" i="86"/>
  <c r="I35" i="86"/>
  <c r="J35" i="86"/>
  <c r="G43" i="86"/>
  <c r="H43" i="86"/>
  <c r="I43" i="86"/>
  <c r="J43" i="86"/>
  <c r="G39" i="54"/>
  <c r="G31" i="54"/>
  <c r="G25" i="54"/>
  <c r="G28" i="54"/>
  <c r="G35" i="54"/>
  <c r="G42" i="54"/>
  <c r="G40" i="54"/>
  <c r="G29" i="54"/>
  <c r="G26" i="54"/>
  <c r="G42" i="76"/>
  <c r="G50" i="76"/>
  <c r="H50" i="76"/>
  <c r="I50" i="76"/>
  <c r="J50" i="76"/>
  <c r="J16" i="76"/>
  <c r="H82" i="43"/>
  <c r="I82" i="43"/>
  <c r="J82" i="43"/>
  <c r="H59" i="43"/>
  <c r="I59" i="43"/>
  <c r="J59" i="43"/>
  <c r="H64" i="43"/>
  <c r="I64" i="43"/>
  <c r="J64" i="43"/>
  <c r="H38" i="43"/>
  <c r="I38" i="43"/>
  <c r="J38" i="43"/>
  <c r="D19" i="43"/>
  <c r="E17" i="98"/>
  <c r="H48" i="76"/>
  <c r="I48" i="76"/>
  <c r="J48" i="76"/>
  <c r="H42" i="76"/>
  <c r="I42" i="76"/>
  <c r="J42" i="76"/>
  <c r="H34" i="76"/>
  <c r="I34" i="76"/>
  <c r="J34" i="76"/>
  <c r="H38" i="76"/>
  <c r="I38" i="76"/>
  <c r="J38" i="76"/>
  <c r="G29" i="86"/>
  <c r="H29" i="86"/>
  <c r="I29" i="86"/>
  <c r="J29" i="86"/>
  <c r="G30" i="86"/>
  <c r="H30" i="86"/>
  <c r="I30" i="86"/>
  <c r="J30" i="86"/>
  <c r="G33" i="86"/>
  <c r="H33" i="86"/>
  <c r="I33" i="86"/>
  <c r="J33" i="86"/>
  <c r="G31" i="86"/>
  <c r="H31" i="86"/>
  <c r="I31" i="86"/>
  <c r="J31" i="86"/>
  <c r="G40" i="86"/>
  <c r="H40" i="86"/>
  <c r="I40" i="86"/>
  <c r="J40" i="86"/>
  <c r="G39" i="86"/>
  <c r="H39" i="86"/>
  <c r="I39" i="86"/>
  <c r="J39" i="86"/>
  <c r="G25" i="86"/>
  <c r="H25" i="86"/>
  <c r="I25" i="86"/>
  <c r="J25" i="86"/>
  <c r="G41" i="86"/>
  <c r="H41" i="86"/>
  <c r="I41" i="86"/>
  <c r="J41" i="86"/>
  <c r="G29" i="84"/>
  <c r="G27" i="84"/>
  <c r="H27" i="84"/>
  <c r="I27" i="84"/>
  <c r="J27" i="84"/>
  <c r="G26" i="84"/>
  <c r="H26" i="84"/>
  <c r="I26" i="84"/>
  <c r="J26" i="84"/>
  <c r="J16" i="84"/>
  <c r="H25" i="84"/>
  <c r="I25" i="84"/>
  <c r="J25" i="84"/>
  <c r="G28" i="84"/>
  <c r="G30" i="84"/>
  <c r="H30" i="84"/>
  <c r="I30" i="84"/>
  <c r="J30" i="84"/>
  <c r="G49" i="76"/>
  <c r="H49" i="76"/>
  <c r="I49" i="76"/>
  <c r="J49" i="76"/>
  <c r="G33" i="76"/>
  <c r="H33" i="76"/>
  <c r="I33" i="76"/>
  <c r="J33" i="76"/>
  <c r="G52" i="76"/>
  <c r="H52" i="76"/>
  <c r="I52" i="76"/>
  <c r="J52" i="76"/>
  <c r="G39" i="76"/>
  <c r="H39" i="76"/>
  <c r="I39" i="76"/>
  <c r="J39" i="76"/>
  <c r="G29" i="76"/>
  <c r="H29" i="76"/>
  <c r="I29" i="76"/>
  <c r="J29" i="76"/>
  <c r="G28" i="76"/>
  <c r="H28" i="76"/>
  <c r="I28" i="76"/>
  <c r="J28" i="76"/>
  <c r="G32" i="76"/>
  <c r="H32" i="76"/>
  <c r="I32" i="76"/>
  <c r="J32" i="76"/>
  <c r="G45" i="76"/>
  <c r="H45" i="76"/>
  <c r="I45" i="76"/>
  <c r="J45" i="76"/>
  <c r="G37" i="76"/>
  <c r="H37" i="76"/>
  <c r="I37" i="76"/>
  <c r="J37" i="76"/>
  <c r="G25" i="76"/>
  <c r="H25" i="76"/>
  <c r="I25" i="76"/>
  <c r="J25" i="76"/>
  <c r="G51" i="76"/>
  <c r="H51" i="76"/>
  <c r="I51" i="76"/>
  <c r="J51" i="76"/>
  <c r="G31" i="76"/>
  <c r="H31" i="76"/>
  <c r="I31" i="76"/>
  <c r="J31" i="76"/>
  <c r="G40" i="76"/>
  <c r="H40" i="76"/>
  <c r="I40" i="76"/>
  <c r="J40" i="76"/>
  <c r="G46" i="76"/>
  <c r="H46" i="76"/>
  <c r="I46" i="76"/>
  <c r="J46" i="76"/>
  <c r="G26" i="76"/>
  <c r="H26" i="76"/>
  <c r="I26" i="76"/>
  <c r="J26" i="76"/>
  <c r="G44" i="76"/>
  <c r="H44" i="76"/>
  <c r="I44" i="76"/>
  <c r="J44" i="76"/>
  <c r="G41" i="76"/>
  <c r="H41" i="76"/>
  <c r="I41" i="76"/>
  <c r="J41" i="76"/>
  <c r="G47" i="76"/>
  <c r="H47" i="76"/>
  <c r="I47" i="76"/>
  <c r="J47" i="76"/>
  <c r="G27" i="76"/>
  <c r="H27" i="76"/>
  <c r="I27" i="76"/>
  <c r="J27" i="76"/>
  <c r="H38" i="54"/>
  <c r="I38" i="54"/>
  <c r="J38" i="54"/>
  <c r="H26" i="54"/>
  <c r="I26" i="54"/>
  <c r="J26" i="54"/>
  <c r="H25" i="54"/>
  <c r="I25" i="54"/>
  <c r="J25" i="54"/>
  <c r="H29" i="54"/>
  <c r="I29" i="54"/>
  <c r="J29" i="54"/>
  <c r="G33" i="54"/>
  <c r="H33" i="54"/>
  <c r="I33" i="54"/>
  <c r="J33" i="54"/>
  <c r="G37" i="54"/>
  <c r="H37" i="54"/>
  <c r="I37" i="54"/>
  <c r="J37" i="54"/>
  <c r="J16" i="54"/>
  <c r="H42" i="54"/>
  <c r="I42" i="54"/>
  <c r="J42" i="54"/>
  <c r="G34" i="54"/>
  <c r="H34" i="54"/>
  <c r="I34" i="54"/>
  <c r="J34" i="54"/>
  <c r="G30" i="54"/>
  <c r="H30" i="54"/>
  <c r="I30" i="54"/>
  <c r="J30" i="54"/>
  <c r="G36" i="54"/>
  <c r="H36" i="54"/>
  <c r="I36" i="54"/>
  <c r="J36" i="54"/>
  <c r="G43" i="54"/>
  <c r="H43" i="54"/>
  <c r="I43" i="54"/>
  <c r="J43" i="54"/>
  <c r="G44" i="54"/>
  <c r="H44" i="54"/>
  <c r="I44" i="54"/>
  <c r="J44" i="54"/>
  <c r="G41" i="54"/>
  <c r="H41" i="54"/>
  <c r="I41" i="54"/>
  <c r="J41" i="54"/>
  <c r="D19" i="86"/>
  <c r="I32" i="98"/>
  <c r="H28" i="84"/>
  <c r="I28" i="84"/>
  <c r="J28" i="84"/>
  <c r="D19" i="84"/>
  <c r="I25" i="98"/>
  <c r="H29" i="84"/>
  <c r="I29" i="84"/>
  <c r="J29" i="84"/>
  <c r="D19" i="76"/>
  <c r="E18" i="98"/>
  <c r="H27" i="54"/>
  <c r="I27" i="54"/>
  <c r="J27" i="54"/>
  <c r="D19" i="54"/>
  <c r="I32" i="99"/>
  <c r="H39" i="54"/>
  <c r="I39" i="54"/>
  <c r="J39" i="54"/>
  <c r="H31" i="54"/>
  <c r="I31" i="54"/>
  <c r="J31" i="54"/>
  <c r="H32" i="54"/>
  <c r="I32" i="54"/>
  <c r="J32" i="54"/>
  <c r="H28" i="54"/>
  <c r="I28" i="54"/>
  <c r="J28" i="54"/>
  <c r="H35" i="54"/>
  <c r="I35" i="54"/>
  <c r="J35" i="54"/>
  <c r="H40" i="54"/>
  <c r="I40" i="54"/>
  <c r="J40" i="54"/>
  <c r="J347" i="53"/>
  <c r="G194" i="53"/>
  <c r="H76" i="53"/>
  <c r="G380" i="53"/>
  <c r="G88" i="53"/>
  <c r="I237" i="53"/>
  <c r="J76" i="53"/>
  <c r="H161" i="53"/>
  <c r="H380" i="53"/>
  <c r="H307" i="53"/>
  <c r="I347" i="53"/>
  <c r="G310" i="53"/>
  <c r="I284" i="53"/>
  <c r="I206" i="53"/>
  <c r="I198" i="53"/>
  <c r="I105" i="53"/>
  <c r="G322" i="53"/>
  <c r="G290" i="53"/>
  <c r="H210" i="53"/>
  <c r="J206" i="53"/>
  <c r="G158" i="53"/>
  <c r="J158" i="53"/>
  <c r="H185" i="53"/>
  <c r="J185" i="53"/>
  <c r="I219" i="53"/>
  <c r="H219" i="53"/>
  <c r="I225" i="53"/>
  <c r="J225" i="53"/>
  <c r="H225" i="53"/>
  <c r="G225" i="53"/>
  <c r="H246" i="53"/>
  <c r="J246" i="53"/>
  <c r="H305" i="53"/>
  <c r="J305" i="53"/>
  <c r="H317" i="53"/>
  <c r="J317" i="53"/>
  <c r="I353" i="53"/>
  <c r="J353" i="53"/>
  <c r="J406" i="53"/>
  <c r="I202" i="53"/>
  <c r="G202" i="53"/>
  <c r="H84" i="53"/>
  <c r="G76" i="53"/>
  <c r="H310" i="53"/>
  <c r="J395" i="53"/>
  <c r="J335" i="53"/>
  <c r="I361" i="53"/>
  <c r="I310" i="53"/>
  <c r="H290" i="53"/>
  <c r="I98" i="53"/>
  <c r="I322" i="53"/>
  <c r="I307" i="53"/>
  <c r="I290" i="53"/>
  <c r="H202" i="53"/>
  <c r="G105" i="53"/>
  <c r="H98" i="53"/>
  <c r="H45" i="53"/>
  <c r="J45" i="53"/>
  <c r="G86" i="53"/>
  <c r="J86" i="53"/>
  <c r="G126" i="53"/>
  <c r="J126" i="53"/>
  <c r="I208" i="53"/>
  <c r="J208" i="53"/>
  <c r="I342" i="53"/>
  <c r="H342" i="53"/>
  <c r="J342" i="53"/>
  <c r="G342" i="53"/>
  <c r="J359" i="53"/>
  <c r="H359" i="53"/>
  <c r="I385" i="53"/>
  <c r="J385" i="53"/>
  <c r="G406" i="53"/>
  <c r="J237" i="53"/>
  <c r="G84" i="53"/>
  <c r="G371" i="53"/>
  <c r="G395" i="53"/>
  <c r="G335" i="53"/>
  <c r="H361" i="53"/>
  <c r="H322" i="53"/>
  <c r="I380" i="53"/>
  <c r="F29" i="53"/>
  <c r="F27" i="53"/>
  <c r="J17" i="53"/>
  <c r="G29" i="53"/>
  <c r="F32" i="53"/>
  <c r="F33" i="53"/>
  <c r="F31" i="53"/>
  <c r="F30" i="53"/>
  <c r="I79" i="53"/>
  <c r="H79" i="53"/>
  <c r="J183" i="53"/>
  <c r="I183" i="53"/>
  <c r="G229" i="53"/>
  <c r="J229" i="53"/>
  <c r="H229" i="53"/>
  <c r="I233" i="53"/>
  <c r="G233" i="53"/>
  <c r="H233" i="53"/>
  <c r="J374" i="53"/>
  <c r="I374" i="53"/>
  <c r="G374" i="53"/>
  <c r="H391" i="53"/>
  <c r="J391" i="53"/>
  <c r="G210" i="53"/>
  <c r="J210" i="53"/>
  <c r="J224" i="53"/>
  <c r="I224" i="53"/>
  <c r="J262" i="53"/>
  <c r="H262" i="53"/>
  <c r="I330" i="53"/>
  <c r="J330" i="53"/>
  <c r="J43" i="53"/>
  <c r="H59" i="53"/>
  <c r="H67" i="53"/>
  <c r="H113" i="53"/>
  <c r="J147" i="53"/>
  <c r="I269" i="53"/>
  <c r="H334" i="53"/>
  <c r="H410" i="53"/>
  <c r="J75" i="53"/>
  <c r="G30" i="53"/>
  <c r="G25" i="53"/>
  <c r="G32" i="53"/>
  <c r="G27" i="53"/>
  <c r="G26" i="53"/>
  <c r="G31" i="53"/>
  <c r="H30" i="53"/>
  <c r="I30" i="53"/>
  <c r="J30" i="53"/>
  <c r="G33" i="53"/>
  <c r="G28" i="53"/>
  <c r="H28" i="53"/>
  <c r="I28" i="53"/>
  <c r="J28" i="53"/>
  <c r="G34" i="53"/>
  <c r="J16" i="53"/>
  <c r="H26" i="53"/>
  <c r="I26" i="53"/>
  <c r="J26" i="53"/>
  <c r="H33" i="53"/>
  <c r="I33" i="53"/>
  <c r="J33" i="53"/>
  <c r="H29" i="53"/>
  <c r="I29" i="53"/>
  <c r="J29" i="53"/>
  <c r="H34" i="53"/>
  <c r="I34" i="53"/>
  <c r="J34" i="53"/>
  <c r="H31" i="53"/>
  <c r="I31" i="53"/>
  <c r="J31" i="53"/>
  <c r="H25" i="53"/>
  <c r="I25" i="53"/>
  <c r="J25" i="53"/>
  <c r="H27" i="53"/>
  <c r="I27" i="53"/>
  <c r="J27" i="53"/>
  <c r="H32" i="53"/>
  <c r="I32" i="53"/>
  <c r="J32" i="53"/>
  <c r="D19" i="53"/>
  <c r="I25" i="99"/>
</calcChain>
</file>

<file path=xl/connections.xml><?xml version="1.0" encoding="utf-8"?>
<connections xmlns="http://schemas.openxmlformats.org/spreadsheetml/2006/main">
  <connection id="1" name="Connection1111" type="1" refreshedVersion="0" savePassword="1" background="1" saveData="1">
    <dbPr connection="DSN=MS Access 97 Database;DBQ=S:\roy\Proxy Weight\ProxyWtCompInfo.mdb;DefaultDir=S:\roy\Proxy Weight;DriverId=281;FIL=MS Access;MaxBufferSize=2048;PageTimeout=5;" command="SELECT qryCoInfo2001.COCODE, qryCoInfo2001.COMPANY_NAME, qryCoInfo2001.DIR_PRM_WRT, qryCoInfo2001.`LINE NAME`, qryCoInfo2001.LINE_NO_x000d__x000a_FROM `S:\roy\Proxy Weight\ProxyWtCompInfo`.qryCoInfo2001 qryCoInfo2001_x000d__x000a_WHERE (qryCoInfo2001.COCODE=?) AND (qryCoInfo2001.LINE_NO=?)"/>
    <parameters count="2">
      <parameter name="NAIC #:" sqlType="8" prompt="NAIC #:"/>
      <parameter name="AS Line #: (01 for Fire, 19.2 for PPAL)" sqlType="12" prompt="AS Line #: (01 for Fire, 19.2 for PPAL)"/>
    </parameters>
  </connection>
  <connection id="2" name="Connection11111" type="1" refreshedVersion="0" savePassword="1" background="1" saveData="1">
    <dbPr connection="DSN=MS Access 97 Database;DBQ=S:\roy\Proxy Weight\ProxyWtCompInfo.mdb;DefaultDir=S:\roy\Proxy Weight;DriverId=281;FIL=MS Access;MaxBufferSize=2048;PageTimeout=5;" command="SELECT qryCoInfo2001.COCODE, qryCoInfo2001.COMPANY_NAME, qryCoInfo2001.DIR_PRM_WRT, qryCoInfo2001.`LINE NAME`, qryCoInfo2001.LINE_NO_x000d__x000a_FROM `S:\roy\Proxy Weight\ProxyWtCompInfo`.qryCoInfo2001 qryCoInfo2001_x000d__x000a_WHERE (qryCoInfo2001.COCODE=?) AND (qryCoInfo2001.LINE_NO=?)"/>
    <parameters count="2">
      <parameter name="NAIC #:" sqlType="8" prompt="NAIC #:"/>
      <parameter name="AS Line #: (01 for Fire, 19.2 for PPAL)" sqlType="12" prompt="AS Line #: (01 for Fire, 19.2 for PPAL)"/>
    </parameters>
  </connection>
  <connection id="3" name="Connection211" type="1" refreshedVersion="0" savePassword="1" background="1" saveData="1">
    <dbPr connection="DSN=MS Access 97 Database;DBQ=S:\roy\Proxy Weight\ProxyWtCompInfo.mdb;DefaultDir=S:\roy\Proxy Weight;DriverId=281;FIL=MS Access;MaxBufferSize=2048;PageTimeout=5;" command="SELECT qryCoInfo2001.COCODE, qryCoInfo2001.COMPANY_NAME, qryCoInfo2001.DIR_PRM_WRT, qryCoInfo2001.`LINE NAME`, qryCoInfo2001.LINE_NO_x000d__x000a_FROM `S:\roy\Proxy Weight\ProxyWtCompInfo`.qryCoInfo2001 qryCoInfo2001_x000d__x000a_WHERE (qryCoInfo2001.COCODE=?) AND (qryCoInfo2001.LINE_NO=?)"/>
    <parameters count="2">
      <parameter name="NAIC #:" sqlType="8" prompt="NAIC #:"/>
      <parameter name="AS Line of Business #: (01 for Fire, 19.2 for PPAL)" sqlType="12" prompt="AS Line of Business #: (01 for Fire, 19.2 for PPAL)"/>
    </parameters>
  </connection>
  <connection id="4" name="Connection2111" type="1" refreshedVersion="0" savePassword="1" background="1" saveData="1">
    <dbPr connection="DSN=MS Access 97 Database;DBQ=S:\roy\Proxy Weight\ProxyWtCompInfo.mdb;DefaultDir=S:\roy\Proxy Weight;DriverId=281;FIL=MS Access;MaxBufferSize=2048;PageTimeout=5;" command="SELECT qryCoInfo2001.COCODE, qryCoInfo2001.COMPANY_NAME, qryCoInfo2001.DIR_PRM_WRT, qryCoInfo2001.`LINE NAME`, qryCoInfo2001.LINE_NO_x000d__x000a_FROM `S:\roy\Proxy Weight\ProxyWtCompInfo`.qryCoInfo2001 qryCoInfo2001_x000d__x000a_WHERE (qryCoInfo2001.COCODE=?) AND (qryCoInfo2001.LINE_NO=?)"/>
    <parameters count="2">
      <parameter name="NAIC #:" sqlType="8" prompt="NAIC #:"/>
      <parameter name="AS Line of Business #: (01 for Fire, 19.2 for PPAL)" sqlType="12" prompt="AS Line of Business #: (01 for Fire, 19.2 for PPAL)"/>
    </parameters>
  </connection>
</connections>
</file>

<file path=xl/sharedStrings.xml><?xml version="1.0" encoding="utf-8"?>
<sst xmlns="http://schemas.openxmlformats.org/spreadsheetml/2006/main" count="1327" uniqueCount="178">
  <si>
    <t>PROXY WEIGHTING CALCULATION</t>
  </si>
  <si>
    <t>NAIC #:</t>
  </si>
  <si>
    <t>Company Name:</t>
  </si>
  <si>
    <t>Coverage:</t>
  </si>
  <si>
    <t>Category (i)</t>
  </si>
  <si>
    <t>Exposure</t>
  </si>
  <si>
    <r>
      <t>[E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]</t>
    </r>
  </si>
  <si>
    <t>% of Exposure</t>
  </si>
  <si>
    <r>
      <t>[R</t>
    </r>
    <r>
      <rPr>
        <vertAlign val="subscript"/>
        <sz val="10"/>
        <rFont val="Arial"/>
        <family val="2"/>
      </rPr>
      <t>i</t>
    </r>
    <r>
      <rPr>
        <sz val="10"/>
        <rFont val="Arial"/>
      </rPr>
      <t>]</t>
    </r>
  </si>
  <si>
    <t>[1]</t>
  </si>
  <si>
    <t>[2]</t>
  </si>
  <si>
    <t>[3]</t>
  </si>
  <si>
    <t>[4]</t>
  </si>
  <si>
    <t>ABS of Bal Rel</t>
  </si>
  <si>
    <t>Factor Weight</t>
  </si>
  <si>
    <r>
      <t>|Ri-R|*E</t>
    </r>
    <r>
      <rPr>
        <vertAlign val="subscript"/>
        <sz val="10"/>
        <rFont val="Arial"/>
        <family val="2"/>
      </rPr>
      <t>i</t>
    </r>
    <r>
      <rPr>
        <sz val="10"/>
        <rFont val="Arial"/>
      </rPr>
      <t>*B</t>
    </r>
  </si>
  <si>
    <t>Factor Weight:</t>
  </si>
  <si>
    <r>
      <t>|R</t>
    </r>
    <r>
      <rPr>
        <vertAlign val="subscript"/>
        <sz val="10"/>
        <rFont val="Arial"/>
        <family val="2"/>
      </rPr>
      <t>i</t>
    </r>
    <r>
      <rPr>
        <sz val="10"/>
        <rFont val="Arial"/>
      </rPr>
      <t>-R|</t>
    </r>
  </si>
  <si>
    <r>
      <t>|Ri-R|*E</t>
    </r>
    <r>
      <rPr>
        <vertAlign val="subscript"/>
        <sz val="10"/>
        <rFont val="Arial"/>
        <family val="2"/>
      </rPr>
      <t>i</t>
    </r>
  </si>
  <si>
    <t>Bal. Relativity</t>
  </si>
  <si>
    <t>Line of Business:</t>
  </si>
  <si>
    <t>Filing #:</t>
  </si>
  <si>
    <t>Review Date:</t>
  </si>
  <si>
    <t>Company Filing Information</t>
  </si>
  <si>
    <t>Rating Factor:</t>
  </si>
  <si>
    <t>Weighting Method:</t>
  </si>
  <si>
    <t>Total Exposure:</t>
  </si>
  <si>
    <t>Proposed</t>
  </si>
  <si>
    <t>B (Coverage Base Rate):</t>
  </si>
  <si>
    <t xml:space="preserve"> Relativity</t>
  </si>
  <si>
    <t xml:space="preserve">R: </t>
  </si>
  <si>
    <t xml:space="preserve">Weighted Average Relativity: </t>
  </si>
  <si>
    <t>[5]</t>
  </si>
  <si>
    <t>[6]=[3]*[4]</t>
  </si>
  <si>
    <t>PROXY WEIGHTING FACTORS</t>
  </si>
  <si>
    <t>CA Line WP:</t>
  </si>
  <si>
    <t>Factors Chosen By Company</t>
  </si>
  <si>
    <t>Optional Factors</t>
  </si>
  <si>
    <t>Driving Safety Record</t>
  </si>
  <si>
    <t>Type of Vehicle</t>
  </si>
  <si>
    <t>Miles Driven Per Year</t>
  </si>
  <si>
    <t>Vehicle Performance Capabilities</t>
  </si>
  <si>
    <t>Years of Driving Experience</t>
  </si>
  <si>
    <t>Type of Use</t>
  </si>
  <si>
    <t>Percentage Used By Rated Driver</t>
  </si>
  <si>
    <t>Multi-Vehicle Household</t>
  </si>
  <si>
    <t>Academic Standing</t>
  </si>
  <si>
    <t>Completion of Driver Training</t>
  </si>
  <si>
    <t>Vehicle Characteristics</t>
  </si>
  <si>
    <t>Gender</t>
  </si>
  <si>
    <t>Marital Status</t>
  </si>
  <si>
    <t>Persistency</t>
  </si>
  <si>
    <t>Non-Smoker</t>
  </si>
  <si>
    <t>Secondary Driver Characteristics</t>
  </si>
  <si>
    <t>Multi-Policies</t>
  </si>
  <si>
    <t>Relative Claim Frequency</t>
  </si>
  <si>
    <t>Relative Claim Severity</t>
  </si>
  <si>
    <t>[6]*B</t>
  </si>
  <si>
    <t>Extra Vehicle/Superior</t>
  </si>
  <si>
    <t>Extra Vehicle/Superior &amp; GDD</t>
  </si>
  <si>
    <t>1 &amp; GDD</t>
  </si>
  <si>
    <t>2 &amp; GDD</t>
  </si>
  <si>
    <t>3 &amp; GDD</t>
  </si>
  <si>
    <t>4 &amp; GDD</t>
  </si>
  <si>
    <t>5 &amp; GDD</t>
  </si>
  <si>
    <t>6 &amp; GDD</t>
  </si>
  <si>
    <t>7 &amp; GDD</t>
  </si>
  <si>
    <t>8 &amp; GDD</t>
  </si>
  <si>
    <t>9 &amp; GDD</t>
  </si>
  <si>
    <t>10 &amp; GDD</t>
  </si>
  <si>
    <t>11 &amp; GDD</t>
  </si>
  <si>
    <t>12 &amp; GDD</t>
  </si>
  <si>
    <t>13 &amp; GDD</t>
  </si>
  <si>
    <t>14 &amp; GDD</t>
  </si>
  <si>
    <t>15 &amp; GDD</t>
  </si>
  <si>
    <t>16 &amp; GDD</t>
  </si>
  <si>
    <t>17 &amp; GDD</t>
  </si>
  <si>
    <t>18 &amp; GDD</t>
  </si>
  <si>
    <t>19 &amp; GDD</t>
  </si>
  <si>
    <t>20 &amp; GDD</t>
  </si>
  <si>
    <t>21 &amp; GDD</t>
  </si>
  <si>
    <t>22 &amp; GDD</t>
  </si>
  <si>
    <t>23 &amp; GDD</t>
  </si>
  <si>
    <t>24 &amp; GDD</t>
  </si>
  <si>
    <t>25 &amp; GDD</t>
  </si>
  <si>
    <t>26 &amp; GDD</t>
  </si>
  <si>
    <t>27 &amp; GDD</t>
  </si>
  <si>
    <t>28 &amp; GDD</t>
  </si>
  <si>
    <t>29 &amp; GDD</t>
  </si>
  <si>
    <t>30 &amp; GDD</t>
  </si>
  <si>
    <t>Bodily Injury and Property Damage</t>
  </si>
  <si>
    <t>Medical Payments</t>
  </si>
  <si>
    <t>Annual Mileage</t>
  </si>
  <si>
    <t>0-1,449</t>
  </si>
  <si>
    <t>1,450-2,449</t>
  </si>
  <si>
    <t>2,450-3,449</t>
  </si>
  <si>
    <t>3,450-4,449</t>
  </si>
  <si>
    <t>4,450-5,449</t>
  </si>
  <si>
    <t>5,450-6,449</t>
  </si>
  <si>
    <t>6,450-7,449</t>
  </si>
  <si>
    <t>7,450-8,449</t>
  </si>
  <si>
    <t>8,450-9,449</t>
  </si>
  <si>
    <t>9,450-10,449</t>
  </si>
  <si>
    <t>10,450-11,449</t>
  </si>
  <si>
    <t>11,450-12,449</t>
  </si>
  <si>
    <t>12,450-13,449</t>
  </si>
  <si>
    <t>13,450-14,449</t>
  </si>
  <si>
    <t>14,450-15,449</t>
  </si>
  <si>
    <t>15,450-16,449</t>
  </si>
  <si>
    <t>16,450-17,449</t>
  </si>
  <si>
    <t>17,450-18,449</t>
  </si>
  <si>
    <t>18,450-19,449</t>
  </si>
  <si>
    <t>19,450-20,449</t>
  </si>
  <si>
    <t>20,450-21,449</t>
  </si>
  <si>
    <t>21,450-23,949</t>
  </si>
  <si>
    <t>23,950-26,449</t>
  </si>
  <si>
    <t>26,450-28,949</t>
  </si>
  <si>
    <t>28,950-31,449</t>
  </si>
  <si>
    <t>31,450-33,949</t>
  </si>
  <si>
    <t>33,950 and Above</t>
  </si>
  <si>
    <t>Default</t>
  </si>
  <si>
    <t>Usage</t>
  </si>
  <si>
    <t>Pleasure/Commute</t>
  </si>
  <si>
    <t>Business</t>
  </si>
  <si>
    <t>Farm</t>
  </si>
  <si>
    <t>Percent Use</t>
  </si>
  <si>
    <t>Principal</t>
  </si>
  <si>
    <t>Occasional</t>
  </si>
  <si>
    <t>Student Away at School</t>
  </si>
  <si>
    <t>Multi-Car</t>
  </si>
  <si>
    <t>Y</t>
  </si>
  <si>
    <t>N</t>
  </si>
  <si>
    <t>Multi-Line</t>
  </si>
  <si>
    <t>(HO or CO or F/R) + PLUP</t>
  </si>
  <si>
    <t>HO or CO or F/R</t>
  </si>
  <si>
    <t>(R or MHO) + PLUP</t>
  </si>
  <si>
    <t>R or MHO</t>
  </si>
  <si>
    <t>Health or Life</t>
  </si>
  <si>
    <t>Loyalty</t>
  </si>
  <si>
    <t>2 Years or Less</t>
  </si>
  <si>
    <t>3 Years</t>
  </si>
  <si>
    <t>4 Years</t>
  </si>
  <si>
    <t>5 Years</t>
  </si>
  <si>
    <t>6 or more Years</t>
  </si>
  <si>
    <t>Mature Driving Discount</t>
  </si>
  <si>
    <t>LRG</t>
  </si>
  <si>
    <t>Frequency</t>
  </si>
  <si>
    <t>Severity</t>
  </si>
  <si>
    <t>Mileage</t>
  </si>
  <si>
    <t>Mature Driving</t>
  </si>
  <si>
    <t>VSD</t>
  </si>
  <si>
    <t>A</t>
  </si>
  <si>
    <t>B</t>
  </si>
  <si>
    <t>C</t>
  </si>
  <si>
    <t>D</t>
  </si>
  <si>
    <t>E</t>
  </si>
  <si>
    <t>Driver Safety Education</t>
  </si>
  <si>
    <t>N/A</t>
  </si>
  <si>
    <t>State Farm Mutual Automobile Insurance Company</t>
  </si>
  <si>
    <t>Private Passenger Auto</t>
  </si>
  <si>
    <t>Inexperienced Driver Safety Education Discount</t>
  </si>
  <si>
    <t>Notes:</t>
  </si>
  <si>
    <t>(1) The Years of Driving Experience weight is calculated in the attached YLGMS Workbook.</t>
  </si>
  <si>
    <t>(2) The Academic Standing weight is calculated in the attached YLGMS Workbook.</t>
  </si>
  <si>
    <t>State Farm considers the information contained herein as PRIVILEGED and CONFIDENTIAL. It constitutes TRADE SECRET</t>
  </si>
  <si>
    <t>material and is not to be disseminated beyond the designated recipients without the express written consent of State Farm</t>
  </si>
  <si>
    <t>©, Portions of the material contained in this document are protected by copyright</t>
  </si>
  <si>
    <t>No</t>
  </si>
  <si>
    <t>owned by the State Farm Mutual Automobile Insurance Company 2019</t>
  </si>
  <si>
    <t>California</t>
  </si>
  <si>
    <t>Weight Calculation</t>
  </si>
  <si>
    <t>Exhibit 7.A</t>
  </si>
  <si>
    <t>Exhibit 7.B</t>
  </si>
  <si>
    <t>Exhibit 7.C</t>
  </si>
  <si>
    <t>Pumped/Tempered Weight Calculation</t>
  </si>
  <si>
    <t>Pumped/Tempered Weight Calculation for Factors Combined with Years Licensed</t>
  </si>
  <si>
    <t>(3) The Marital Status weight is calculated in the attached YLGMS Workbook.</t>
  </si>
  <si>
    <t>Gender Removal Calculation for Factors Combined with Years Licensed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</si>
</sst>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_(* #,##0_);_(* \(#,##0\);_(* &quot;-&quot;??_);_(@_)"/>
    <numFmt numFmtId="167" formatCode="_(* #,##0.000_);_(* \(#,##0.000\);_(* &quot;-&quot;??_);_(@_)"/>
    <numFmt numFmtId="177" formatCode="0.0000"/>
    <numFmt numFmtId="178" formatCode="0.000"/>
    <numFmt numFmtId="182" formatCode="mm/dd/yy"/>
    <numFmt numFmtId="186" formatCode="m/d/yy"/>
    <numFmt numFmtId="193" formatCode="0.00_);\(0.00\)"/>
  </numFmts>
  <fonts count="19" x14ac:knownFonts="1">
    <font>
      <sz val="10"/>
      <name val="Arial"/>
    </font>
    <font>
      <sz val="10"/>
      <name val="Arial"/>
    </font>
    <font>
      <u/>
      <sz val="10"/>
      <color indexed="12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u/>
      <sz val="10"/>
      <color indexed="12"/>
      <name val="Arial"/>
      <family val="2"/>
    </font>
    <font>
      <b/>
      <sz val="8"/>
      <name val="Arial"/>
      <family val="2"/>
    </font>
    <font>
      <sz val="10"/>
      <color indexed="12"/>
      <name val="Arial"/>
      <family val="2"/>
    </font>
    <font>
      <b/>
      <i/>
      <sz val="10"/>
      <color indexed="12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8" fillId="0" borderId="0"/>
    <xf numFmtId="0" fontId="4" fillId="0" borderId="0"/>
    <xf numFmtId="0" fontId="4" fillId="0" borderId="0"/>
    <xf numFmtId="0" fontId="4" fillId="0" borderId="0"/>
    <xf numFmtId="0" fontId="17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2" xfId="0" applyBorder="1"/>
    <xf numFmtId="0" fontId="0" fillId="0" borderId="2" xfId="0" applyBorder="1" applyAlignment="1">
      <alignment horizontal="right"/>
    </xf>
    <xf numFmtId="0" fontId="5" fillId="0" borderId="2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6" fillId="0" borderId="0" xfId="0" applyFont="1" applyBorder="1" applyAlignment="1">
      <alignment horizontal="left"/>
    </xf>
    <xf numFmtId="182" fontId="6" fillId="0" borderId="0" xfId="1" applyNumberFormat="1" applyFont="1" applyBorder="1" applyAlignment="1">
      <alignment horizontal="right"/>
    </xf>
    <xf numFmtId="0" fontId="0" fillId="0" borderId="5" xfId="0" applyBorder="1" applyAlignment="1">
      <alignment horizontal="left"/>
    </xf>
    <xf numFmtId="0" fontId="5" fillId="0" borderId="0" xfId="0" applyFont="1" applyBorder="1" applyAlignment="1">
      <alignment horizontal="right"/>
    </xf>
    <xf numFmtId="0" fontId="8" fillId="0" borderId="0" xfId="9" applyFont="1" applyAlignment="1" applyProtection="1">
      <alignment horizontal="left"/>
    </xf>
    <xf numFmtId="0" fontId="9" fillId="0" borderId="2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5" fontId="9" fillId="0" borderId="6" xfId="1" applyNumberFormat="1" applyFont="1" applyBorder="1" applyAlignment="1">
      <alignment horizontal="right"/>
    </xf>
    <xf numFmtId="0" fontId="4" fillId="0" borderId="2" xfId="0" applyFont="1" applyBorder="1"/>
    <xf numFmtId="0" fontId="10" fillId="0" borderId="2" xfId="9" applyFont="1" applyBorder="1" applyAlignment="1" applyProtection="1">
      <alignment horizontal="left"/>
    </xf>
    <xf numFmtId="0" fontId="11" fillId="0" borderId="2" xfId="9" applyFont="1" applyBorder="1" applyAlignment="1" applyProtection="1">
      <alignment horizontal="left"/>
    </xf>
    <xf numFmtId="0" fontId="9" fillId="0" borderId="7" xfId="0" applyNumberFormat="1" applyFont="1" applyBorder="1" applyAlignment="1">
      <alignment horizontal="right"/>
    </xf>
    <xf numFmtId="186" fontId="9" fillId="0" borderId="8" xfId="1" applyNumberFormat="1" applyFont="1" applyBorder="1" applyAlignment="1">
      <alignment horizontal="right"/>
    </xf>
    <xf numFmtId="0" fontId="0" fillId="2" borderId="0" xfId="0" applyFill="1"/>
    <xf numFmtId="7" fontId="4" fillId="2" borderId="0" xfId="5" applyNumberFormat="1" applyFont="1" applyFill="1"/>
    <xf numFmtId="10" fontId="0" fillId="0" borderId="9" xfId="16" applyNumberFormat="1" applyFont="1" applyBorder="1"/>
    <xf numFmtId="167" fontId="0" fillId="0" borderId="9" xfId="1" applyNumberFormat="1" applyFont="1" applyBorder="1"/>
    <xf numFmtId="167" fontId="0" fillId="0" borderId="9" xfId="0" applyNumberFormat="1" applyBorder="1"/>
    <xf numFmtId="178" fontId="0" fillId="0" borderId="9" xfId="0" applyNumberFormat="1" applyBorder="1"/>
    <xf numFmtId="178" fontId="0" fillId="2" borderId="9" xfId="0" applyNumberFormat="1" applyFill="1" applyBorder="1" applyAlignment="1">
      <alignment horizontal="center"/>
    </xf>
    <xf numFmtId="178" fontId="0" fillId="2" borderId="9" xfId="0" applyNumberFormat="1" applyFill="1" applyBorder="1"/>
    <xf numFmtId="0" fontId="0" fillId="0" borderId="0" xfId="0" applyFill="1" applyBorder="1" applyAlignment="1">
      <alignment horizontal="right"/>
    </xf>
    <xf numFmtId="0" fontId="15" fillId="0" borderId="0" xfId="0" applyFont="1" applyAlignme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5" fontId="6" fillId="0" borderId="6" xfId="1" applyNumberFormat="1" applyFont="1" applyBorder="1" applyAlignment="1">
      <alignment horizontal="right"/>
    </xf>
    <xf numFmtId="0" fontId="4" fillId="0" borderId="1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right" vertical="center"/>
    </xf>
    <xf numFmtId="0" fontId="0" fillId="0" borderId="0" xfId="0" applyAlignment="1">
      <alignment vertical="center"/>
    </xf>
    <xf numFmtId="0" fontId="4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0" borderId="1" xfId="0" applyFill="1" applyBorder="1"/>
    <xf numFmtId="193" fontId="1" fillId="0" borderId="0" xfId="1" applyNumberFormat="1"/>
    <xf numFmtId="43" fontId="1" fillId="2" borderId="9" xfId="1" applyNumberFormat="1" applyFill="1" applyBorder="1"/>
    <xf numFmtId="0" fontId="0" fillId="0" borderId="0" xfId="0" applyFill="1"/>
    <xf numFmtId="0" fontId="6" fillId="0" borderId="0" xfId="0" applyFont="1" applyFill="1"/>
    <xf numFmtId="39" fontId="1" fillId="0" borderId="0" xfId="1" applyNumberFormat="1" applyFill="1" applyAlignment="1">
      <alignment horizontal="right"/>
    </xf>
    <xf numFmtId="37" fontId="0" fillId="0" borderId="0" xfId="0" applyNumberFormat="1" applyAlignment="1">
      <alignment horizontal="right"/>
    </xf>
    <xf numFmtId="0" fontId="0" fillId="0" borderId="11" xfId="0" applyBorder="1"/>
    <xf numFmtId="0" fontId="0" fillId="0" borderId="12" xfId="0" applyBorder="1" applyAlignment="1">
      <alignment horizontal="right"/>
    </xf>
    <xf numFmtId="165" fontId="1" fillId="2" borderId="9" xfId="1" applyNumberFormat="1" applyFill="1" applyBorder="1" applyAlignment="1">
      <alignment horizontal="right"/>
    </xf>
    <xf numFmtId="165" fontId="0" fillId="2" borderId="9" xfId="0" applyNumberFormat="1" applyFill="1" applyBorder="1"/>
    <xf numFmtId="165" fontId="1" fillId="2" borderId="9" xfId="1" applyNumberFormat="1" applyFill="1" applyBorder="1"/>
    <xf numFmtId="1" fontId="0" fillId="2" borderId="9" xfId="0" applyNumberFormat="1" applyFill="1" applyBorder="1" applyAlignment="1">
      <alignment horizontal="center"/>
    </xf>
    <xf numFmtId="178" fontId="4" fillId="2" borderId="9" xfId="0" applyNumberFormat="1" applyFont="1" applyFill="1" applyBorder="1" applyAlignment="1">
      <alignment horizontal="center"/>
    </xf>
    <xf numFmtId="1" fontId="4" fillId="2" borderId="9" xfId="0" applyNumberFormat="1" applyFont="1" applyFill="1" applyBorder="1" applyAlignment="1">
      <alignment horizontal="center"/>
    </xf>
    <xf numFmtId="178" fontId="4" fillId="2" borderId="9" xfId="0" applyNumberFormat="1" applyFont="1" applyFill="1" applyBorder="1"/>
    <xf numFmtId="2" fontId="0" fillId="0" borderId="0" xfId="0" applyNumberFormat="1"/>
    <xf numFmtId="165" fontId="1" fillId="2" borderId="9" xfId="1" applyNumberFormat="1" applyFill="1" applyBorder="1" applyAlignment="1">
      <alignment horizontal="left" indent="1"/>
    </xf>
    <xf numFmtId="0" fontId="17" fillId="0" borderId="0" xfId="15"/>
    <xf numFmtId="0" fontId="17" fillId="0" borderId="0" xfId="15"/>
    <xf numFmtId="0" fontId="4" fillId="2" borderId="0" xfId="0" applyFont="1" applyFill="1" applyAlignment="1">
      <alignment horizontal="left"/>
    </xf>
    <xf numFmtId="0" fontId="17" fillId="0" borderId="0" xfId="15"/>
    <xf numFmtId="0" fontId="17" fillId="0" borderId="0" xfId="15"/>
    <xf numFmtId="0" fontId="17" fillId="0" borderId="0" xfId="15"/>
    <xf numFmtId="177" fontId="6" fillId="0" borderId="13" xfId="0" applyNumberFormat="1" applyFont="1" applyFill="1" applyBorder="1" applyAlignment="1">
      <alignment horizontal="left"/>
    </xf>
    <xf numFmtId="177" fontId="0" fillId="2" borderId="9" xfId="0" applyNumberFormat="1" applyFill="1" applyBorder="1"/>
    <xf numFmtId="0" fontId="4" fillId="0" borderId="0" xfId="0" applyFont="1"/>
    <xf numFmtId="177" fontId="0" fillId="2" borderId="0" xfId="0" applyNumberFormat="1" applyFill="1" applyBorder="1"/>
    <xf numFmtId="177" fontId="4" fillId="3" borderId="0" xfId="0" applyNumberFormat="1" applyFont="1" applyFill="1" applyBorder="1"/>
    <xf numFmtId="0" fontId="16" fillId="0" borderId="0" xfId="10" applyFont="1"/>
    <xf numFmtId="0" fontId="4" fillId="0" borderId="0" xfId="10" applyFont="1"/>
    <xf numFmtId="0" fontId="6" fillId="0" borderId="0" xfId="0" applyFont="1" applyFill="1" applyAlignment="1">
      <alignment horizontal="left"/>
    </xf>
    <xf numFmtId="0" fontId="6" fillId="0" borderId="0" xfId="0" applyFont="1"/>
    <xf numFmtId="0" fontId="0" fillId="3" borderId="0" xfId="0" applyFill="1"/>
    <xf numFmtId="0" fontId="0" fillId="3" borderId="0" xfId="0" applyFill="1" applyAlignment="1">
      <alignment horizontal="center"/>
    </xf>
    <xf numFmtId="167" fontId="1" fillId="2" borderId="9" xfId="1" applyNumberFormat="1" applyFill="1" applyBorder="1" applyAlignment="1">
      <alignment horizontal="right"/>
    </xf>
    <xf numFmtId="167" fontId="1" fillId="2" borderId="9" xfId="1" applyNumberFormat="1" applyFill="1" applyBorder="1"/>
    <xf numFmtId="167" fontId="0" fillId="2" borderId="9" xfId="0" applyNumberFormat="1" applyFill="1" applyBorder="1"/>
    <xf numFmtId="177" fontId="4" fillId="3" borderId="9" xfId="0" applyNumberFormat="1" applyFont="1" applyFill="1" applyBorder="1"/>
    <xf numFmtId="177" fontId="4" fillId="2" borderId="0" xfId="0" applyNumberFormat="1" applyFont="1" applyFill="1" applyBorder="1"/>
    <xf numFmtId="0" fontId="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13" fillId="0" borderId="0" xfId="0" applyFont="1" applyAlignment="1">
      <alignment horizontal="center"/>
    </xf>
  </cellXfs>
  <cellStyles count="21">
    <cellStyle name="Comma" xfId="1" builtinId="3"/>
    <cellStyle name="Comma 2" xfId="2"/>
    <cellStyle name="Comma 3" xfId="3"/>
    <cellStyle name="Comma 3 2" xfId="4"/>
    <cellStyle name="Currency" xfId="5" builtinId="4"/>
    <cellStyle name="Currency 2" xfId="6"/>
    <cellStyle name="Currency 3" xfId="7"/>
    <cellStyle name="Currency 3 2" xfId="8"/>
    <cellStyle name="Hyperlink" xfId="9" builtinId="8"/>
    <cellStyle name="Normal" xfId="0" builtinId="0"/>
    <cellStyle name="Normal 2" xfId="10"/>
    <cellStyle name="Normal 2 2" xfId="11"/>
    <cellStyle name="Normal 3" xfId="12"/>
    <cellStyle name="Normal 3 2" xfId="13"/>
    <cellStyle name="Normal 4" xfId="14"/>
    <cellStyle name="Normal 5" xfId="15"/>
    <cellStyle name="Percent" xfId="16" builtinId="5"/>
    <cellStyle name="Percent 2" xfId="17"/>
    <cellStyle name="Percent 2 2" xfId="18"/>
    <cellStyle name="Percent 3" xfId="19"/>
    <cellStyle name="Percent 3 2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4921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5432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5535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5637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573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584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594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604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614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625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635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645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5228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860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870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881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891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901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911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922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932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942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963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952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1" preserveFormatting="0" connectionId="2" autoFormatId="0" applyNumberFormats="0" applyBorderFormats="0" applyFontFormats="1" applyPatternFormats="0" applyAlignmentFormats="0" applyWidthHeightFormats="1">
  <queryTableRefresh preserveSortFilterLayout="0">
    <queryTableFields/>
  </queryTableRefresh>
</queryTable>
</file>

<file path=xl/queryTables/queryTable2.xml><?xml version="1.0" encoding="utf-8"?>
<queryTable xmlns="http://schemas.openxmlformats.org/spreadsheetml/2006/main" name="ExternalData3" preserveFormatting="0" connectionId="4" autoFormatId="0" applyNumberFormats="0" applyBorderFormats="0" applyFontFormats="1" applyPatternFormats="0" applyAlignmentFormats="0" applyWidthHeightFormats="1">
  <queryTableRefresh preserveSortFilterLayout="0">
    <queryTableFields/>
  </queryTableRefresh>
</queryTable>
</file>

<file path=xl/queryTables/queryTable3.xml><?xml version="1.0" encoding="utf-8"?>
<queryTable xmlns="http://schemas.openxmlformats.org/spreadsheetml/2006/main" name="ExternalData3" preserveFormatting="0" connectionId="3" autoFormatId="0" applyNumberFormats="0" applyBorderFormats="0" applyFontFormats="1" applyPatternFormats="0" applyAlignmentFormats="0" applyWidthHeightFormats="1">
  <queryTableRefresh preserveSortFilterLayout="0">
    <queryTableFields/>
  </queryTableRefresh>
</queryTable>
</file>

<file path=xl/queryTables/queryTable4.xml><?xml version="1.0" encoding="utf-8"?>
<queryTable xmlns="http://schemas.openxmlformats.org/spreadsheetml/2006/main" name="ExternalData1" preserveFormatting="0" connectionId="1" autoFormatId="0" applyNumberFormats="0" applyBorderFormats="0" applyFontFormats="1" applyPatternFormats="0" applyAlignmentFormats="0" applyWidthHeightFormats="1">
  <queryTableRefresh preserveSortFilterLayout="0">
    <queryTableFields/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3"/>
  <sheetViews>
    <sheetView tabSelected="1" zoomScaleNormal="100" workbookViewId="0"/>
  </sheetViews>
  <sheetFormatPr defaultRowHeight="12.5" x14ac:dyDescent="0.25"/>
  <cols>
    <col min="1" max="1" width="1.7265625" customWidth="1"/>
    <col min="2" max="6" width="14" customWidth="1"/>
    <col min="7" max="7" width="9.7265625" customWidth="1"/>
  </cols>
  <sheetData>
    <row r="1" spans="2:8" ht="13" x14ac:dyDescent="0.3">
      <c r="B1" s="91" t="s">
        <v>158</v>
      </c>
      <c r="C1" s="91"/>
      <c r="D1" s="91"/>
      <c r="E1" s="91"/>
      <c r="F1" s="91"/>
      <c r="G1" s="91"/>
      <c r="H1" s="91"/>
    </row>
    <row r="2" spans="2:8" ht="13" x14ac:dyDescent="0.3">
      <c r="B2" s="91" t="s">
        <v>159</v>
      </c>
      <c r="C2" s="91"/>
      <c r="D2" s="91"/>
      <c r="E2" s="91"/>
      <c r="F2" s="91"/>
      <c r="G2" s="91"/>
      <c r="H2" s="91"/>
    </row>
    <row r="3" spans="2:8" ht="13" x14ac:dyDescent="0.3">
      <c r="B3" s="91" t="s">
        <v>169</v>
      </c>
      <c r="C3" s="91"/>
      <c r="D3" s="91"/>
      <c r="E3" s="91"/>
      <c r="F3" s="91"/>
      <c r="G3" s="91"/>
      <c r="H3" s="91"/>
    </row>
    <row r="4" spans="2:8" ht="13" x14ac:dyDescent="0.3">
      <c r="B4" s="91" t="s">
        <v>170</v>
      </c>
      <c r="C4" s="91"/>
      <c r="D4" s="91"/>
      <c r="E4" s="91"/>
      <c r="F4" s="91"/>
      <c r="G4" s="91"/>
      <c r="H4" s="91"/>
    </row>
    <row r="7" spans="2:8" x14ac:dyDescent="0.25">
      <c r="B7" s="77" t="s">
        <v>171</v>
      </c>
      <c r="C7" s="77" t="s">
        <v>174</v>
      </c>
    </row>
    <row r="9" spans="2:8" x14ac:dyDescent="0.25">
      <c r="B9" s="77" t="s">
        <v>172</v>
      </c>
      <c r="C9" s="77" t="s">
        <v>175</v>
      </c>
    </row>
    <row r="11" spans="2:8" x14ac:dyDescent="0.25">
      <c r="B11" s="77" t="s">
        <v>173</v>
      </c>
      <c r="C11" s="77" t="s">
        <v>177</v>
      </c>
    </row>
    <row r="13" spans="2:8" x14ac:dyDescent="0.25">
      <c r="B13" s="77"/>
      <c r="C13" s="77"/>
    </row>
  </sheetData>
  <mergeCells count="4">
    <mergeCell ref="B1:H1"/>
    <mergeCell ref="B2:H2"/>
    <mergeCell ref="B3:H3"/>
    <mergeCell ref="B4:H4"/>
  </mergeCells>
  <pageMargins left="0.7" right="0.7" top="0.75" bottom="0.75" header="0.3" footer="0.3"/>
  <pageSetup orientation="portrait" r:id="rId1"/>
  <headerFooter>
    <oddFooter>&amp;C&amp;"Arial,Bold"&amp;9©, Copyright, State Farm Mutual Automobile Insurance Company 2019
No reproduction of this copyrighted material allowed without express written consent from State Farm®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P39"/>
  <sheetViews>
    <sheetView showGridLines="0" view="pageBreakPreview" zoomScale="50" zoomScaleNormal="100" zoomScaleSheetLayoutView="50" workbookViewId="0">
      <selection activeCell="T6" sqref="T6"/>
    </sheetView>
  </sheetViews>
  <sheetFormatPr defaultRowHeight="12.5" x14ac:dyDescent="0.25"/>
  <cols>
    <col min="1" max="1" width="2.81640625" customWidth="1"/>
    <col min="2" max="2" width="1" customWidth="1"/>
    <col min="3" max="3" width="17.1796875" customWidth="1"/>
    <col min="4" max="4" width="13.81640625" bestFit="1" customWidth="1"/>
    <col min="5" max="5" width="14.54296875" customWidth="1"/>
    <col min="6" max="6" width="3.81640625" style="49" customWidth="1"/>
    <col min="7" max="7" width="4.7265625" customWidth="1"/>
    <col min="8" max="8" width="28.7265625" bestFit="1" customWidth="1"/>
    <col min="9" max="9" width="13.7265625" customWidth="1"/>
    <col min="10" max="10" width="8.81640625" hidden="1" customWidth="1"/>
    <col min="11" max="11" width="25.54296875" hidden="1" customWidth="1"/>
    <col min="12" max="12" width="8.81640625" hidden="1" customWidth="1"/>
    <col min="13" max="13" width="25.54296875" hidden="1" customWidth="1"/>
    <col min="14" max="14" width="14.54296875" hidden="1" customWidth="1"/>
    <col min="15" max="15" width="26.453125" hidden="1" customWidth="1"/>
    <col min="16" max="16" width="8.81640625" hidden="1" customWidth="1"/>
  </cols>
  <sheetData>
    <row r="1" spans="1:16" ht="13" x14ac:dyDescent="0.3">
      <c r="A1" s="83" t="s">
        <v>164</v>
      </c>
    </row>
    <row r="2" spans="1:16" ht="13" x14ac:dyDescent="0.3">
      <c r="A2" s="83" t="s">
        <v>165</v>
      </c>
    </row>
    <row r="3" spans="1:16" ht="13" x14ac:dyDescent="0.3">
      <c r="A3" s="83"/>
    </row>
    <row r="4" spans="1:16" ht="13" x14ac:dyDescent="0.3">
      <c r="A4" s="83" t="s">
        <v>166</v>
      </c>
    </row>
    <row r="5" spans="1:16" ht="13" x14ac:dyDescent="0.3">
      <c r="A5" s="83" t="s">
        <v>168</v>
      </c>
    </row>
    <row r="6" spans="1:16" s="84" customFormat="1" x14ac:dyDescent="0.25">
      <c r="F6" s="85"/>
    </row>
    <row r="8" spans="1:16" ht="20" x14ac:dyDescent="0.4">
      <c r="A8" s="92" t="s">
        <v>34</v>
      </c>
      <c r="B8" s="92"/>
      <c r="C8" s="92"/>
      <c r="D8" s="92"/>
      <c r="E8" s="92"/>
      <c r="F8" s="92"/>
      <c r="G8" s="92"/>
      <c r="H8" s="92"/>
      <c r="I8" s="92"/>
      <c r="L8" s="35"/>
      <c r="M8" s="35"/>
      <c r="N8" s="35"/>
      <c r="O8" s="35"/>
      <c r="P8" s="35"/>
    </row>
    <row r="10" spans="1:16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</row>
    <row r="11" spans="1:16" ht="13.5" customHeight="1" x14ac:dyDescent="0.25">
      <c r="A11" s="9" t="s">
        <v>1</v>
      </c>
      <c r="B11" s="2"/>
      <c r="C11" s="2"/>
      <c r="D11" s="18">
        <v>25178</v>
      </c>
      <c r="E11" s="2"/>
      <c r="F11" s="36"/>
      <c r="G11" s="2"/>
      <c r="H11" s="3" t="s">
        <v>21</v>
      </c>
      <c r="I11" s="24"/>
    </row>
    <row r="12" spans="1:16" x14ac:dyDescent="0.25">
      <c r="A12" s="10" t="s">
        <v>2</v>
      </c>
      <c r="B12" s="4"/>
      <c r="C12" s="4"/>
      <c r="D12" s="19" t="s">
        <v>158</v>
      </c>
      <c r="E12" s="4"/>
      <c r="F12" s="37"/>
      <c r="G12" s="4"/>
      <c r="H12" s="5" t="s">
        <v>22</v>
      </c>
      <c r="I12" s="25"/>
    </row>
    <row r="13" spans="1:16" ht="13" x14ac:dyDescent="0.3">
      <c r="A13" s="14" t="s">
        <v>20</v>
      </c>
      <c r="B13" s="6"/>
      <c r="C13" s="6"/>
      <c r="D13" s="17" t="s">
        <v>159</v>
      </c>
      <c r="E13" s="6"/>
      <c r="F13" s="38"/>
      <c r="G13" s="6"/>
      <c r="H13" s="7" t="s">
        <v>35</v>
      </c>
      <c r="I13" s="39" t="str">
        <f>IF(N9="","",N9)</f>
        <v/>
      </c>
    </row>
    <row r="14" spans="1:16" ht="24.75" customHeight="1" x14ac:dyDescent="0.3">
      <c r="A14" s="12" t="s">
        <v>90</v>
      </c>
      <c r="B14" s="4"/>
      <c r="C14" s="82"/>
      <c r="D14" s="12"/>
      <c r="E14" s="4"/>
      <c r="F14" s="37"/>
      <c r="G14" s="4"/>
      <c r="H14" s="5"/>
      <c r="I14" s="13"/>
    </row>
    <row r="15" spans="1:16" s="44" customFormat="1" ht="20.149999999999999" customHeight="1" x14ac:dyDescent="0.25">
      <c r="A15" s="40" t="s">
        <v>36</v>
      </c>
      <c r="B15" s="40"/>
      <c r="C15" s="40"/>
      <c r="D15" s="40"/>
      <c r="E15" s="40" t="s">
        <v>14</v>
      </c>
      <c r="F15" s="41"/>
      <c r="G15" s="42" t="s">
        <v>37</v>
      </c>
      <c r="H15" s="42"/>
      <c r="I15" s="43" t="s">
        <v>14</v>
      </c>
    </row>
    <row r="16" spans="1:16" s="44" customFormat="1" ht="20.149999999999999" customHeight="1" x14ac:dyDescent="0.25">
      <c r="A16" s="45"/>
      <c r="B16" s="45"/>
      <c r="C16" s="45"/>
      <c r="D16" s="45"/>
      <c r="E16" s="45"/>
      <c r="F16" s="41"/>
      <c r="G16" s="46"/>
      <c r="H16" s="46"/>
      <c r="I16" s="47"/>
    </row>
    <row r="17" spans="1:9" x14ac:dyDescent="0.25">
      <c r="A17">
        <v>1</v>
      </c>
      <c r="C17" s="48" t="s">
        <v>38</v>
      </c>
      <c r="E17" s="76">
        <f>'BIPD Driving Safety Record'!D19</f>
        <v>0.16703331363676799</v>
      </c>
      <c r="G17" s="41">
        <v>1</v>
      </c>
      <c r="H17" s="44" t="s">
        <v>39</v>
      </c>
      <c r="I17" s="50"/>
    </row>
    <row r="18" spans="1:9" x14ac:dyDescent="0.25">
      <c r="A18">
        <v>2</v>
      </c>
      <c r="C18" s="48" t="s">
        <v>40</v>
      </c>
      <c r="E18" s="76">
        <f>'BIPD Annual Mileage'!D19</f>
        <v>0.10784084548924966</v>
      </c>
      <c r="G18" s="49">
        <v>2</v>
      </c>
      <c r="H18" t="s">
        <v>41</v>
      </c>
      <c r="I18" s="50"/>
    </row>
    <row r="19" spans="1:9" x14ac:dyDescent="0.25">
      <c r="A19">
        <v>3</v>
      </c>
      <c r="C19" s="48" t="s">
        <v>42</v>
      </c>
      <c r="E19" s="89">
        <v>0.10630000000000001</v>
      </c>
      <c r="G19" s="49">
        <v>3</v>
      </c>
      <c r="H19" t="s">
        <v>43</v>
      </c>
      <c r="I19" s="78">
        <f>'BIPD Usage'!D19</f>
        <v>7.5056267749849682E-3</v>
      </c>
    </row>
    <row r="20" spans="1:9" x14ac:dyDescent="0.25">
      <c r="C20" s="48"/>
      <c r="E20" s="51"/>
      <c r="G20" s="49">
        <v>4</v>
      </c>
      <c r="H20" t="s">
        <v>44</v>
      </c>
      <c r="I20" s="78">
        <f>'BIPD Percent Use'!D19</f>
        <v>1.3407476012588569E-2</v>
      </c>
    </row>
    <row r="21" spans="1:9" x14ac:dyDescent="0.25">
      <c r="G21" s="49">
        <v>5</v>
      </c>
      <c r="H21" t="s">
        <v>45</v>
      </c>
      <c r="I21" s="90">
        <f>'BIPD Multi-Car'!D19</f>
        <v>7.2636159272253448E-2</v>
      </c>
    </row>
    <row r="22" spans="1:9" x14ac:dyDescent="0.25">
      <c r="G22" s="49">
        <v>6</v>
      </c>
      <c r="H22" t="s">
        <v>46</v>
      </c>
      <c r="I22" s="79">
        <v>4.9804286273914735E-4</v>
      </c>
    </row>
    <row r="23" spans="1:9" x14ac:dyDescent="0.25">
      <c r="G23" s="49">
        <v>7</v>
      </c>
      <c r="H23" t="s">
        <v>47</v>
      </c>
      <c r="I23" s="90">
        <f>'BIPD Mature Driving'!D19</f>
        <v>2.8070243198534883E-4</v>
      </c>
    </row>
    <row r="24" spans="1:9" x14ac:dyDescent="0.25">
      <c r="G24" s="49"/>
      <c r="H24" s="77" t="s">
        <v>156</v>
      </c>
      <c r="I24" s="90">
        <f>'BIPD IDSED'!D19</f>
        <v>2.4327994407791925E-3</v>
      </c>
    </row>
    <row r="25" spans="1:9" x14ac:dyDescent="0.25">
      <c r="G25" s="49">
        <v>8</v>
      </c>
      <c r="H25" t="s">
        <v>48</v>
      </c>
      <c r="I25" s="90">
        <f>'BIPD LRG'!D19</f>
        <v>4.0500408307798136E-2</v>
      </c>
    </row>
    <row r="26" spans="1:9" x14ac:dyDescent="0.25">
      <c r="G26" s="49">
        <v>9</v>
      </c>
      <c r="H26" t="s">
        <v>49</v>
      </c>
      <c r="I26" s="79" t="s">
        <v>157</v>
      </c>
    </row>
    <row r="27" spans="1:9" x14ac:dyDescent="0.25">
      <c r="G27" s="49">
        <v>10</v>
      </c>
      <c r="H27" t="s">
        <v>50</v>
      </c>
      <c r="I27" s="79">
        <v>3.8999999999999998E-3</v>
      </c>
    </row>
    <row r="28" spans="1:9" x14ac:dyDescent="0.25">
      <c r="G28" s="49">
        <v>11</v>
      </c>
      <c r="H28" t="s">
        <v>51</v>
      </c>
      <c r="I28" s="90">
        <f>'BIPD Loyalty'!D19</f>
        <v>7.8258329654190634E-2</v>
      </c>
    </row>
    <row r="29" spans="1:9" x14ac:dyDescent="0.25">
      <c r="G29" s="49">
        <v>12</v>
      </c>
      <c r="H29" t="s">
        <v>52</v>
      </c>
      <c r="I29" s="78"/>
    </row>
    <row r="30" spans="1:9" x14ac:dyDescent="0.25">
      <c r="G30" s="49">
        <v>13</v>
      </c>
      <c r="H30" t="s">
        <v>53</v>
      </c>
      <c r="I30" s="78"/>
    </row>
    <row r="31" spans="1:9" x14ac:dyDescent="0.25">
      <c r="G31" s="49">
        <v>14</v>
      </c>
      <c r="H31" t="s">
        <v>54</v>
      </c>
      <c r="I31" s="78">
        <f>'BIPD Multi-Line'!D19</f>
        <v>0.10511675475279017</v>
      </c>
    </row>
    <row r="32" spans="1:9" x14ac:dyDescent="0.25">
      <c r="G32" s="49">
        <v>15</v>
      </c>
      <c r="H32" t="s">
        <v>55</v>
      </c>
      <c r="I32" s="78">
        <f>'BIPD Frequency'!D19</f>
        <v>0.10543261526735796</v>
      </c>
    </row>
    <row r="33" spans="3:9" x14ac:dyDescent="0.25">
      <c r="G33" s="49">
        <v>16</v>
      </c>
      <c r="H33" t="s">
        <v>56</v>
      </c>
      <c r="I33" s="78">
        <f>'BIPD Severity'!D19</f>
        <v>8.8256525875240813E-2</v>
      </c>
    </row>
    <row r="35" spans="3:9" x14ac:dyDescent="0.25">
      <c r="C35" s="80" t="s">
        <v>161</v>
      </c>
    </row>
    <row r="36" spans="3:9" x14ac:dyDescent="0.25">
      <c r="C36" s="81" t="s">
        <v>162</v>
      </c>
    </row>
    <row r="37" spans="3:9" x14ac:dyDescent="0.25">
      <c r="C37" s="81" t="s">
        <v>163</v>
      </c>
    </row>
    <row r="38" spans="3:9" x14ac:dyDescent="0.25">
      <c r="C38" s="81" t="s">
        <v>176</v>
      </c>
    </row>
    <row r="39" spans="3:9" x14ac:dyDescent="0.25">
      <c r="C39" s="81"/>
    </row>
  </sheetData>
  <mergeCells count="2">
    <mergeCell ref="A8:I8"/>
    <mergeCell ref="A10:I10"/>
  </mergeCells>
  <dataValidations count="1">
    <dataValidation allowBlank="1" showInputMessage="1" showErrorMessage="1" promptTitle="Factor 4" prompt="It equals to the average of all optional factors' weights used by the company." sqref="E20"/>
  </dataValidations>
  <pageMargins left="0.48" right="0.25" top="0.65" bottom="0.72" header="0.3" footer="0.3"/>
  <pageSetup scale="91" orientation="portrait" r:id="rId1"/>
  <headerFooter alignWithMargins="0">
    <oddFooter>&amp;LCalifornia Department of Insurance&amp;CPage &amp;P of &amp;N&amp;RFile:  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P39"/>
  <sheetViews>
    <sheetView showGridLines="0" view="pageBreakPreview" zoomScale="50" zoomScaleNormal="100" zoomScaleSheetLayoutView="50" workbookViewId="0"/>
  </sheetViews>
  <sheetFormatPr defaultRowHeight="12.5" x14ac:dyDescent="0.25"/>
  <cols>
    <col min="1" max="1" width="2.81640625" customWidth="1"/>
    <col min="2" max="2" width="1" customWidth="1"/>
    <col min="3" max="3" width="17.1796875" customWidth="1"/>
    <col min="4" max="4" width="13.81640625" bestFit="1" customWidth="1"/>
    <col min="5" max="5" width="14.54296875" customWidth="1"/>
    <col min="6" max="6" width="3.81640625" style="49" customWidth="1"/>
    <col min="7" max="7" width="4.7265625" customWidth="1"/>
    <col min="8" max="8" width="28.7265625" bestFit="1" customWidth="1"/>
    <col min="9" max="9" width="13.7265625" customWidth="1"/>
    <col min="10" max="10" width="8.81640625" hidden="1" customWidth="1"/>
    <col min="11" max="11" width="25.54296875" hidden="1" customWidth="1"/>
    <col min="12" max="12" width="8.81640625" hidden="1" customWidth="1"/>
    <col min="13" max="13" width="25.54296875" hidden="1" customWidth="1"/>
    <col min="14" max="14" width="14.54296875" hidden="1" customWidth="1"/>
    <col min="15" max="15" width="26.453125" hidden="1" customWidth="1"/>
    <col min="16" max="16" width="8.81640625" hidden="1" customWidth="1"/>
  </cols>
  <sheetData>
    <row r="1" spans="1:16" ht="13" x14ac:dyDescent="0.3">
      <c r="A1" s="83" t="s">
        <v>164</v>
      </c>
    </row>
    <row r="2" spans="1:16" ht="13" x14ac:dyDescent="0.3">
      <c r="A2" s="83" t="s">
        <v>165</v>
      </c>
    </row>
    <row r="3" spans="1:16" ht="13" x14ac:dyDescent="0.3">
      <c r="A3" s="83"/>
    </row>
    <row r="4" spans="1:16" ht="13" x14ac:dyDescent="0.3">
      <c r="A4" s="83" t="s">
        <v>166</v>
      </c>
    </row>
    <row r="5" spans="1:16" ht="13" x14ac:dyDescent="0.3">
      <c r="A5" s="83" t="s">
        <v>168</v>
      </c>
    </row>
    <row r="6" spans="1:16" s="84" customFormat="1" x14ac:dyDescent="0.25">
      <c r="F6" s="85"/>
    </row>
    <row r="8" spans="1:16" ht="20" x14ac:dyDescent="0.4">
      <c r="A8" s="92" t="s">
        <v>34</v>
      </c>
      <c r="B8" s="92"/>
      <c r="C8" s="92"/>
      <c r="D8" s="92"/>
      <c r="E8" s="92"/>
      <c r="F8" s="92"/>
      <c r="G8" s="92"/>
      <c r="H8" s="92"/>
      <c r="I8" s="92"/>
      <c r="L8" s="35"/>
      <c r="M8" s="35"/>
      <c r="N8" s="35"/>
      <c r="O8" s="35"/>
      <c r="P8" s="35"/>
    </row>
    <row r="10" spans="1:16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</row>
    <row r="11" spans="1:16" ht="13.5" customHeight="1" x14ac:dyDescent="0.25">
      <c r="A11" s="9" t="s">
        <v>1</v>
      </c>
      <c r="B11" s="2"/>
      <c r="C11" s="2"/>
      <c r="D11" s="18">
        <v>25178</v>
      </c>
      <c r="E11" s="2"/>
      <c r="F11" s="36"/>
      <c r="G11" s="2"/>
      <c r="H11" s="3" t="s">
        <v>21</v>
      </c>
      <c r="I11" s="24"/>
    </row>
    <row r="12" spans="1:16" x14ac:dyDescent="0.25">
      <c r="A12" s="10" t="s">
        <v>2</v>
      </c>
      <c r="B12" s="4"/>
      <c r="C12" s="4"/>
      <c r="D12" s="19" t="s">
        <v>158</v>
      </c>
      <c r="E12" s="4"/>
      <c r="F12" s="37"/>
      <c r="G12" s="4"/>
      <c r="H12" s="5" t="s">
        <v>22</v>
      </c>
      <c r="I12" s="25"/>
    </row>
    <row r="13" spans="1:16" ht="13" x14ac:dyDescent="0.3">
      <c r="A13" s="14" t="s">
        <v>20</v>
      </c>
      <c r="B13" s="6"/>
      <c r="C13" s="6"/>
      <c r="D13" s="17" t="s">
        <v>159</v>
      </c>
      <c r="E13" s="6"/>
      <c r="F13" s="38"/>
      <c r="G13" s="6"/>
      <c r="H13" s="7" t="s">
        <v>35</v>
      </c>
      <c r="I13" s="39" t="str">
        <f>IF(N9="","",N9)</f>
        <v/>
      </c>
    </row>
    <row r="14" spans="1:16" ht="24.75" customHeight="1" x14ac:dyDescent="0.3">
      <c r="A14" s="12" t="s">
        <v>91</v>
      </c>
      <c r="B14" s="4"/>
      <c r="C14" s="4"/>
      <c r="D14" s="12"/>
      <c r="E14" s="4"/>
      <c r="F14" s="37"/>
      <c r="G14" s="4"/>
      <c r="H14" s="5"/>
      <c r="I14" s="13"/>
    </row>
    <row r="15" spans="1:16" s="44" customFormat="1" ht="20.149999999999999" customHeight="1" x14ac:dyDescent="0.25">
      <c r="A15" s="40" t="s">
        <v>36</v>
      </c>
      <c r="B15" s="40"/>
      <c r="C15" s="40"/>
      <c r="D15" s="40"/>
      <c r="E15" s="40" t="s">
        <v>14</v>
      </c>
      <c r="F15" s="41"/>
      <c r="G15" s="42" t="s">
        <v>37</v>
      </c>
      <c r="H15" s="42"/>
      <c r="I15" s="43" t="s">
        <v>14</v>
      </c>
    </row>
    <row r="16" spans="1:16" s="44" customFormat="1" ht="20.149999999999999" customHeight="1" x14ac:dyDescent="0.25">
      <c r="A16" s="45"/>
      <c r="B16" s="45"/>
      <c r="C16" s="45"/>
      <c r="D16" s="45"/>
      <c r="E16" s="45"/>
      <c r="F16" s="41"/>
      <c r="G16" s="46"/>
      <c r="H16" s="46"/>
      <c r="I16" s="47"/>
    </row>
    <row r="17" spans="1:9" x14ac:dyDescent="0.25">
      <c r="A17">
        <v>1</v>
      </c>
      <c r="C17" s="48" t="s">
        <v>38</v>
      </c>
      <c r="E17" s="76">
        <f>'MPC Driving Safety Record'!D19</f>
        <v>0.13281040681537534</v>
      </c>
      <c r="G17" s="41">
        <v>1</v>
      </c>
      <c r="H17" s="44" t="s">
        <v>39</v>
      </c>
      <c r="I17" s="50"/>
    </row>
    <row r="18" spans="1:9" x14ac:dyDescent="0.25">
      <c r="A18">
        <v>2</v>
      </c>
      <c r="C18" s="48" t="s">
        <v>40</v>
      </c>
      <c r="E18" s="76">
        <f>'MPC Mileage'!D19</f>
        <v>0.13179692742722388</v>
      </c>
      <c r="G18" s="49">
        <v>2</v>
      </c>
      <c r="H18" t="s">
        <v>41</v>
      </c>
      <c r="I18" s="50"/>
    </row>
    <row r="19" spans="1:9" x14ac:dyDescent="0.25">
      <c r="A19">
        <v>3</v>
      </c>
      <c r="C19" s="48" t="s">
        <v>42</v>
      </c>
      <c r="E19" s="89">
        <v>0.1305</v>
      </c>
      <c r="G19" s="49">
        <v>3</v>
      </c>
      <c r="H19" t="s">
        <v>43</v>
      </c>
      <c r="I19" s="78">
        <f>'MPC Usage'!D19</f>
        <v>3.2675228294204643E-3</v>
      </c>
    </row>
    <row r="20" spans="1:9" x14ac:dyDescent="0.25">
      <c r="C20" s="48"/>
      <c r="E20" s="51"/>
      <c r="G20" s="49">
        <v>4</v>
      </c>
      <c r="H20" t="s">
        <v>44</v>
      </c>
      <c r="I20" s="78">
        <f>'MPC Percent Use'!D19</f>
        <v>1.4088895498441965E-2</v>
      </c>
    </row>
    <row r="21" spans="1:9" x14ac:dyDescent="0.25">
      <c r="G21" s="49">
        <v>5</v>
      </c>
      <c r="H21" t="s">
        <v>45</v>
      </c>
      <c r="I21" s="79">
        <f>'MPC Multi-Car'!D19</f>
        <v>7.358952947035062E-2</v>
      </c>
    </row>
    <row r="22" spans="1:9" x14ac:dyDescent="0.25">
      <c r="G22" s="49">
        <v>6</v>
      </c>
      <c r="H22" t="s">
        <v>46</v>
      </c>
      <c r="I22" s="79">
        <v>1.9675411191779034E-3</v>
      </c>
    </row>
    <row r="23" spans="1:9" x14ac:dyDescent="0.25">
      <c r="G23" s="49">
        <v>7</v>
      </c>
      <c r="H23" t="s">
        <v>47</v>
      </c>
      <c r="I23" s="79">
        <f>'MPC Mature Driving'!D19</f>
        <v>3.5122645307651072E-4</v>
      </c>
    </row>
    <row r="24" spans="1:9" x14ac:dyDescent="0.25">
      <c r="G24" s="49"/>
      <c r="H24" s="77" t="s">
        <v>156</v>
      </c>
      <c r="I24" s="79">
        <f>'MPC IDSED'!D19</f>
        <v>1.9861777813169931E-2</v>
      </c>
    </row>
    <row r="25" spans="1:9" x14ac:dyDescent="0.25">
      <c r="G25" s="49">
        <v>8</v>
      </c>
      <c r="H25" t="s">
        <v>48</v>
      </c>
      <c r="I25" s="79">
        <f>'MPC VSD'!D19</f>
        <v>0.12898932355581028</v>
      </c>
    </row>
    <row r="26" spans="1:9" x14ac:dyDescent="0.25">
      <c r="G26" s="49">
        <v>9</v>
      </c>
      <c r="H26" t="s">
        <v>49</v>
      </c>
      <c r="I26" s="79" t="s">
        <v>157</v>
      </c>
    </row>
    <row r="27" spans="1:9" x14ac:dyDescent="0.25">
      <c r="G27" s="49">
        <v>10</v>
      </c>
      <c r="H27" t="s">
        <v>50</v>
      </c>
      <c r="I27" s="79">
        <v>4.1000000000000003E-3</v>
      </c>
    </row>
    <row r="28" spans="1:9" x14ac:dyDescent="0.25">
      <c r="G28" s="49">
        <v>11</v>
      </c>
      <c r="H28" t="s">
        <v>51</v>
      </c>
      <c r="I28" s="90">
        <f>'MPC Loyalty'!D19</f>
        <v>0.10544062034666871</v>
      </c>
    </row>
    <row r="29" spans="1:9" x14ac:dyDescent="0.25">
      <c r="G29" s="49">
        <v>12</v>
      </c>
      <c r="H29" t="s">
        <v>52</v>
      </c>
      <c r="I29" s="78"/>
    </row>
    <row r="30" spans="1:9" x14ac:dyDescent="0.25">
      <c r="G30" s="49">
        <v>13</v>
      </c>
      <c r="H30" t="s">
        <v>53</v>
      </c>
      <c r="I30" s="78"/>
    </row>
    <row r="31" spans="1:9" x14ac:dyDescent="0.25">
      <c r="G31" s="49">
        <v>14</v>
      </c>
      <c r="H31" t="s">
        <v>54</v>
      </c>
      <c r="I31" s="78">
        <f>'MPC Multi-Line'!D19</f>
        <v>0.1022450949958458</v>
      </c>
    </row>
    <row r="32" spans="1:9" x14ac:dyDescent="0.25">
      <c r="G32" s="49">
        <v>15</v>
      </c>
      <c r="H32" t="s">
        <v>55</v>
      </c>
      <c r="I32" s="78">
        <f>'MPC Frequency'!D19</f>
        <v>0.13005850355159182</v>
      </c>
    </row>
    <row r="33" spans="3:9" x14ac:dyDescent="0.25">
      <c r="G33" s="49">
        <v>16</v>
      </c>
      <c r="H33" t="s">
        <v>56</v>
      </c>
      <c r="I33" s="78">
        <f>'MPC Severity'!D19</f>
        <v>9.5931951399433862E-2</v>
      </c>
    </row>
    <row r="35" spans="3:9" x14ac:dyDescent="0.25">
      <c r="C35" s="80" t="s">
        <v>161</v>
      </c>
    </row>
    <row r="36" spans="3:9" x14ac:dyDescent="0.25">
      <c r="C36" s="81" t="s">
        <v>162</v>
      </c>
    </row>
    <row r="37" spans="3:9" x14ac:dyDescent="0.25">
      <c r="C37" s="81" t="s">
        <v>163</v>
      </c>
    </row>
    <row r="38" spans="3:9" x14ac:dyDescent="0.25">
      <c r="C38" s="81" t="s">
        <v>176</v>
      </c>
    </row>
    <row r="39" spans="3:9" x14ac:dyDescent="0.25">
      <c r="C39" s="81"/>
    </row>
  </sheetData>
  <mergeCells count="2">
    <mergeCell ref="A8:I8"/>
    <mergeCell ref="A10:I10"/>
  </mergeCells>
  <dataValidations count="1">
    <dataValidation allowBlank="1" showInputMessage="1" showErrorMessage="1" promptTitle="Factor 4" prompt="It equals to the average of all optional factors' weights used by the company." sqref="E20"/>
  </dataValidations>
  <pageMargins left="0.48" right="0.25" top="0.65" bottom="0.72" header="0.3" footer="0.3"/>
  <pageSetup scale="91" orientation="portrait" r:id="rId1"/>
  <headerFooter alignWithMargins="0">
    <oddFooter>&amp;LCalifornia Department of Insurance&amp;CPage &amp;P of &amp;N&amp;RFile:  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38</v>
      </c>
      <c r="E18" s="26"/>
      <c r="I18" s="1" t="s">
        <v>26</v>
      </c>
      <c r="J18" s="57">
        <f>SUM(D25:D412)</f>
        <v>3601077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0.16703331363676799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4" t="s">
        <v>59</v>
      </c>
      <c r="D25" s="60">
        <v>2819523</v>
      </c>
      <c r="E25" s="33">
        <v>0.8933330524398716</v>
      </c>
      <c r="F25" s="28">
        <f>IF(D25&lt;&gt;"",D25/$J$18,"")</f>
        <v>0.78296659582674855</v>
      </c>
      <c r="G25" s="29">
        <f>IF(F25&lt;&gt;"",IF($J$17&gt;0.5,(E25/$J$17),(E25-$J$17)),"")</f>
        <v>0.8933330524398716</v>
      </c>
      <c r="H25" s="29">
        <f>IF(F25&lt;&gt;"",ABS(G25-$J$16),"")</f>
        <v>0.1066669475601284</v>
      </c>
      <c r="I25" s="30">
        <f>IF(F25&lt;&gt;"",H25*F25,"")</f>
        <v>8.3516656818384036E-2</v>
      </c>
      <c r="J25" s="31">
        <f>IF(F25&lt;&gt;"",I25*$J$19,"")</f>
        <v>8.3516656818384036E-2</v>
      </c>
      <c r="M25" s="69"/>
      <c r="N25" s="69"/>
    </row>
    <row r="26" spans="1:14" ht="14.5" x14ac:dyDescent="0.35">
      <c r="A26" s="59">
        <v>2</v>
      </c>
      <c r="B26" s="58"/>
      <c r="C26" s="63" t="s">
        <v>60</v>
      </c>
      <c r="D26" s="60">
        <v>96515</v>
      </c>
      <c r="E26" s="33">
        <v>1.1482326563069689</v>
      </c>
      <c r="F26" s="28">
        <f t="shared" ref="F26:F89" si="0">IF(D26&lt;&gt;"",D26/$J$18,"")</f>
        <v>2.6801704045761866E-2</v>
      </c>
      <c r="G26" s="29">
        <f t="shared" ref="G26:G89" si="1">IF(F26&lt;&gt;"",IF($J$17&gt;0.5,(E26/$J$17),(E26-$J$17)),"")</f>
        <v>1.1482326563069689</v>
      </c>
      <c r="H26" s="29">
        <f t="shared" ref="H26:H89" si="2">IF(F26&lt;&gt;"",ABS(G26-$J$16),"")</f>
        <v>0.14823265630696891</v>
      </c>
      <c r="I26" s="30">
        <f t="shared" ref="I26:I89" si="3">IF(F26&lt;&gt;"",H26*F26,"")</f>
        <v>3.972887784256517E-3</v>
      </c>
      <c r="J26" s="31">
        <f t="shared" ref="J26:J89" si="4">IF(F26&lt;&gt;"",I26*$J$19,"")</f>
        <v>3.972887784256517E-3</v>
      </c>
      <c r="M26" s="69"/>
      <c r="N26" s="69"/>
    </row>
    <row r="27" spans="1:14" ht="14.5" x14ac:dyDescent="0.35">
      <c r="A27" s="59">
        <v>3</v>
      </c>
      <c r="B27" s="58"/>
      <c r="C27" s="63" t="s">
        <v>61</v>
      </c>
      <c r="D27" s="61">
        <v>104086</v>
      </c>
      <c r="E27" s="33">
        <v>1.1769102750255074</v>
      </c>
      <c r="F27" s="28">
        <f t="shared" si="0"/>
        <v>2.890413062536569E-2</v>
      </c>
      <c r="G27" s="29">
        <f t="shared" si="1"/>
        <v>1.1769102750255074</v>
      </c>
      <c r="H27" s="29">
        <f t="shared" si="2"/>
        <v>0.17691027502550738</v>
      </c>
      <c r="I27" s="30">
        <f t="shared" si="3"/>
        <v>5.1134376983066349E-3</v>
      </c>
      <c r="J27" s="31">
        <f t="shared" si="4"/>
        <v>5.1134376983066349E-3</v>
      </c>
      <c r="M27" s="69"/>
      <c r="N27" s="69"/>
    </row>
    <row r="28" spans="1:14" ht="14.5" x14ac:dyDescent="0.35">
      <c r="A28" s="59">
        <v>4</v>
      </c>
      <c r="B28" s="58"/>
      <c r="C28" s="63" t="s">
        <v>62</v>
      </c>
      <c r="D28" s="61">
        <v>112374</v>
      </c>
      <c r="E28" s="33">
        <v>1.2895356135501461</v>
      </c>
      <c r="F28" s="28">
        <f t="shared" si="0"/>
        <v>3.1205664305428624E-2</v>
      </c>
      <c r="G28" s="29">
        <f t="shared" si="1"/>
        <v>1.2895356135501461</v>
      </c>
      <c r="H28" s="29">
        <f t="shared" si="2"/>
        <v>0.28953561355014612</v>
      </c>
      <c r="I28" s="30">
        <f t="shared" si="3"/>
        <v>9.0351511609121707E-3</v>
      </c>
      <c r="J28" s="31">
        <f t="shared" si="4"/>
        <v>9.0351511609121707E-3</v>
      </c>
      <c r="M28" s="69"/>
      <c r="N28" s="69"/>
    </row>
    <row r="29" spans="1:14" ht="14.5" x14ac:dyDescent="0.35">
      <c r="A29" s="59">
        <v>5</v>
      </c>
      <c r="B29" s="58"/>
      <c r="C29" s="63" t="s">
        <v>63</v>
      </c>
      <c r="D29" s="61">
        <v>104879</v>
      </c>
      <c r="E29" s="33">
        <v>1.3578169673989595</v>
      </c>
      <c r="F29" s="28">
        <f t="shared" si="0"/>
        <v>2.9124342523084067E-2</v>
      </c>
      <c r="G29" s="29">
        <f t="shared" si="1"/>
        <v>1.3578169673989595</v>
      </c>
      <c r="H29" s="29">
        <f t="shared" si="2"/>
        <v>0.35781696739895952</v>
      </c>
      <c r="I29" s="30">
        <f t="shared" si="3"/>
        <v>1.0421183919098503E-2</v>
      </c>
      <c r="J29" s="31">
        <f t="shared" si="4"/>
        <v>1.0421183919098503E-2</v>
      </c>
      <c r="M29" s="69"/>
      <c r="N29" s="69"/>
    </row>
    <row r="30" spans="1:14" ht="14.5" x14ac:dyDescent="0.35">
      <c r="A30" s="59">
        <v>6</v>
      </c>
      <c r="B30" s="58"/>
      <c r="C30" s="63" t="s">
        <v>64</v>
      </c>
      <c r="D30" s="62">
        <v>86708</v>
      </c>
      <c r="E30" s="33">
        <v>1.4184891749051607</v>
      </c>
      <c r="F30" s="28">
        <f t="shared" si="0"/>
        <v>2.4078352115214422E-2</v>
      </c>
      <c r="G30" s="29">
        <f t="shared" si="1"/>
        <v>1.4184891749051607</v>
      </c>
      <c r="H30" s="29">
        <f t="shared" si="2"/>
        <v>0.41848917490516069</v>
      </c>
      <c r="I30" s="30">
        <f t="shared" si="3"/>
        <v>1.0076529709772014E-2</v>
      </c>
      <c r="J30" s="31">
        <f t="shared" si="4"/>
        <v>1.0076529709772014E-2</v>
      </c>
      <c r="M30" s="69"/>
      <c r="N30" s="69"/>
    </row>
    <row r="31" spans="1:14" ht="14.5" x14ac:dyDescent="0.35">
      <c r="A31" s="59">
        <v>7</v>
      </c>
      <c r="B31" s="58"/>
      <c r="C31" s="63" t="s">
        <v>65</v>
      </c>
      <c r="D31" s="62">
        <v>61801</v>
      </c>
      <c r="E31" s="33">
        <v>1.4879257079424764</v>
      </c>
      <c r="F31" s="28">
        <f t="shared" si="0"/>
        <v>1.7161810202892078E-2</v>
      </c>
      <c r="G31" s="29">
        <f t="shared" si="1"/>
        <v>1.4879257079424764</v>
      </c>
      <c r="H31" s="29">
        <f t="shared" si="2"/>
        <v>0.48792570794247636</v>
      </c>
      <c r="I31" s="30">
        <f t="shared" si="3"/>
        <v>8.3736883928205302E-3</v>
      </c>
      <c r="J31" s="31">
        <f t="shared" si="4"/>
        <v>8.3736883928205302E-3</v>
      </c>
      <c r="M31" s="69"/>
      <c r="N31" s="69"/>
    </row>
    <row r="32" spans="1:14" ht="14.5" x14ac:dyDescent="0.35">
      <c r="A32" s="59">
        <v>8</v>
      </c>
      <c r="B32" s="58"/>
      <c r="C32" s="63" t="s">
        <v>66</v>
      </c>
      <c r="D32" s="61">
        <v>12688</v>
      </c>
      <c r="E32" s="33">
        <v>1.597040259858258</v>
      </c>
      <c r="F32" s="28">
        <f t="shared" si="0"/>
        <v>3.5233903634940326E-3</v>
      </c>
      <c r="G32" s="29">
        <f t="shared" si="1"/>
        <v>1.597040259858258</v>
      </c>
      <c r="H32" s="29">
        <f t="shared" si="2"/>
        <v>0.59704025985825804</v>
      </c>
      <c r="I32" s="30">
        <f t="shared" si="3"/>
        <v>2.1036058982025593E-3</v>
      </c>
      <c r="J32" s="31">
        <f t="shared" si="4"/>
        <v>2.1036058982025593E-3</v>
      </c>
      <c r="M32" s="69"/>
      <c r="N32" s="69"/>
    </row>
    <row r="33" spans="1:14" ht="14.5" x14ac:dyDescent="0.35">
      <c r="A33" s="59">
        <v>9</v>
      </c>
      <c r="B33" s="58"/>
      <c r="C33" s="63" t="s">
        <v>67</v>
      </c>
      <c r="D33" s="62">
        <v>8167</v>
      </c>
      <c r="E33" s="33">
        <v>1.7656718400917386</v>
      </c>
      <c r="F33" s="28">
        <f t="shared" si="0"/>
        <v>2.2679326212685816E-3</v>
      </c>
      <c r="G33" s="29">
        <f t="shared" si="1"/>
        <v>1.7656718400917386</v>
      </c>
      <c r="H33" s="29">
        <f t="shared" si="2"/>
        <v>0.76567184009173861</v>
      </c>
      <c r="I33" s="30">
        <f t="shared" si="3"/>
        <v>1.736492143330795E-3</v>
      </c>
      <c r="J33" s="31">
        <f t="shared" si="4"/>
        <v>1.736492143330795E-3</v>
      </c>
      <c r="M33" s="69"/>
      <c r="N33" s="69"/>
    </row>
    <row r="34" spans="1:14" ht="14.5" x14ac:dyDescent="0.35">
      <c r="A34" s="59">
        <v>10</v>
      </c>
      <c r="B34" s="58"/>
      <c r="C34" s="63" t="s">
        <v>68</v>
      </c>
      <c r="D34" s="62">
        <v>3604</v>
      </c>
      <c r="E34" s="33">
        <v>1.7996712020128727</v>
      </c>
      <c r="F34" s="28">
        <f t="shared" si="0"/>
        <v>1.0008117016103793E-3</v>
      </c>
      <c r="G34" s="29">
        <f t="shared" si="1"/>
        <v>1.7996712020128727</v>
      </c>
      <c r="H34" s="29">
        <f t="shared" si="2"/>
        <v>0.79967120201287267</v>
      </c>
      <c r="I34" s="30">
        <f t="shared" si="3"/>
        <v>8.0032029641532044E-4</v>
      </c>
      <c r="J34" s="31">
        <f t="shared" si="4"/>
        <v>8.0032029641532044E-4</v>
      </c>
      <c r="M34" s="69"/>
      <c r="N34" s="69"/>
    </row>
    <row r="35" spans="1:14" ht="14.5" x14ac:dyDescent="0.35">
      <c r="A35" s="59">
        <v>11</v>
      </c>
      <c r="B35" s="58"/>
      <c r="C35" s="63" t="s">
        <v>69</v>
      </c>
      <c r="D35" s="62">
        <v>1150</v>
      </c>
      <c r="E35" s="33">
        <v>1.9839009439233017</v>
      </c>
      <c r="F35" s="28">
        <f t="shared" si="0"/>
        <v>3.1934890589676364E-4</v>
      </c>
      <c r="G35" s="29">
        <f t="shared" si="1"/>
        <v>1.9839009439233017</v>
      </c>
      <c r="H35" s="29">
        <f t="shared" si="2"/>
        <v>0.98390094392330174</v>
      </c>
      <c r="I35" s="30">
        <f t="shared" si="3"/>
        <v>3.1420768995269941E-4</v>
      </c>
      <c r="J35" s="31">
        <f t="shared" si="4"/>
        <v>3.1420768995269941E-4</v>
      </c>
      <c r="M35" s="69"/>
      <c r="N35" s="69"/>
    </row>
    <row r="36" spans="1:14" ht="14.5" x14ac:dyDescent="0.35">
      <c r="A36" s="59">
        <v>12</v>
      </c>
      <c r="B36" s="58"/>
      <c r="C36" s="63" t="s">
        <v>70</v>
      </c>
      <c r="D36" s="62">
        <v>480</v>
      </c>
      <c r="E36" s="33">
        <v>2.0347887939690006</v>
      </c>
      <c r="F36" s="28">
        <f t="shared" si="0"/>
        <v>1.3329345637430135E-4</v>
      </c>
      <c r="G36" s="29">
        <f t="shared" si="1"/>
        <v>2.0347887939690006</v>
      </c>
      <c r="H36" s="29">
        <f t="shared" si="2"/>
        <v>1.0347887939690006</v>
      </c>
      <c r="I36" s="30">
        <f t="shared" si="3"/>
        <v>1.3793057496552289E-4</v>
      </c>
      <c r="J36" s="31">
        <f t="shared" si="4"/>
        <v>1.3793057496552289E-4</v>
      </c>
      <c r="M36" s="69"/>
      <c r="N36" s="69"/>
    </row>
    <row r="37" spans="1:14" ht="14.5" x14ac:dyDescent="0.35">
      <c r="A37" s="59">
        <v>13</v>
      </c>
      <c r="B37" s="58"/>
      <c r="C37" s="63" t="s">
        <v>71</v>
      </c>
      <c r="D37" s="60">
        <v>264</v>
      </c>
      <c r="E37" s="33">
        <v>2.2375252001231591</v>
      </c>
      <c r="F37" s="28">
        <f t="shared" si="0"/>
        <v>7.3311401005865751E-5</v>
      </c>
      <c r="G37" s="29">
        <f t="shared" si="1"/>
        <v>2.2375252001231591</v>
      </c>
      <c r="H37" s="29">
        <f t="shared" si="2"/>
        <v>1.2375252001231591</v>
      </c>
      <c r="I37" s="30">
        <f t="shared" si="3"/>
        <v>9.0724706201093189E-5</v>
      </c>
      <c r="J37" s="31">
        <f t="shared" si="4"/>
        <v>9.0724706201093189E-5</v>
      </c>
      <c r="M37" s="69"/>
      <c r="N37" s="69"/>
    </row>
    <row r="38" spans="1:14" ht="14.5" x14ac:dyDescent="0.35">
      <c r="A38" s="59">
        <v>14</v>
      </c>
      <c r="B38" s="58"/>
      <c r="C38" s="63" t="s">
        <v>72</v>
      </c>
      <c r="D38" s="60">
        <v>107</v>
      </c>
      <c r="E38" s="33">
        <v>2.5195541987825933</v>
      </c>
      <c r="F38" s="28">
        <f t="shared" si="0"/>
        <v>2.9713332983438011E-5</v>
      </c>
      <c r="G38" s="29">
        <f t="shared" si="1"/>
        <v>2.5195541987825933</v>
      </c>
      <c r="H38" s="29">
        <f t="shared" si="2"/>
        <v>1.5195541987825933</v>
      </c>
      <c r="I38" s="30">
        <f t="shared" si="3"/>
        <v>4.5151019894808554E-5</v>
      </c>
      <c r="J38" s="31">
        <f t="shared" si="4"/>
        <v>4.5151019894808554E-5</v>
      </c>
      <c r="M38" s="69"/>
      <c r="N38" s="69"/>
    </row>
    <row r="39" spans="1:14" ht="14.5" x14ac:dyDescent="0.35">
      <c r="A39" s="59">
        <v>15</v>
      </c>
      <c r="B39" s="58"/>
      <c r="C39" s="63" t="s">
        <v>73</v>
      </c>
      <c r="D39" s="61">
        <v>69</v>
      </c>
      <c r="E39" s="33">
        <v>2.5790712271002922</v>
      </c>
      <c r="F39" s="28">
        <f t="shared" si="0"/>
        <v>1.9160934353805819E-5</v>
      </c>
      <c r="G39" s="29">
        <f t="shared" si="1"/>
        <v>2.5790712271002922</v>
      </c>
      <c r="H39" s="29">
        <f t="shared" si="2"/>
        <v>1.5790712271002922</v>
      </c>
      <c r="I39" s="30">
        <f t="shared" si="3"/>
        <v>3.02564801224523E-5</v>
      </c>
      <c r="J39" s="31">
        <f t="shared" si="4"/>
        <v>3.02564801224523E-5</v>
      </c>
      <c r="M39" s="69"/>
      <c r="N39" s="69"/>
    </row>
    <row r="40" spans="1:14" ht="14.5" x14ac:dyDescent="0.35">
      <c r="A40" s="59">
        <v>16</v>
      </c>
      <c r="B40" s="58"/>
      <c r="C40" s="63" t="s">
        <v>74</v>
      </c>
      <c r="D40" s="61">
        <v>21</v>
      </c>
      <c r="E40" s="33">
        <v>2.8040472947865789</v>
      </c>
      <c r="F40" s="28">
        <f t="shared" si="0"/>
        <v>5.831588716375684E-6</v>
      </c>
      <c r="G40" s="29">
        <f t="shared" si="1"/>
        <v>2.8040472947865789</v>
      </c>
      <c r="H40" s="29">
        <f t="shared" si="2"/>
        <v>1.8040472947865789</v>
      </c>
      <c r="I40" s="30">
        <f t="shared" si="3"/>
        <v>1.0520461848085491E-5</v>
      </c>
      <c r="J40" s="31">
        <f t="shared" si="4"/>
        <v>1.0520461848085491E-5</v>
      </c>
      <c r="M40" s="69"/>
      <c r="N40" s="69"/>
    </row>
    <row r="41" spans="1:14" ht="14.5" x14ac:dyDescent="0.35">
      <c r="A41" s="59">
        <v>17</v>
      </c>
      <c r="B41" s="58"/>
      <c r="C41" s="63" t="s">
        <v>75</v>
      </c>
      <c r="D41" s="61">
        <v>26</v>
      </c>
      <c r="E41" s="33">
        <v>2.9338431637179703</v>
      </c>
      <c r="F41" s="28">
        <f t="shared" si="0"/>
        <v>7.2200622202746567E-6</v>
      </c>
      <c r="G41" s="29">
        <f t="shared" si="1"/>
        <v>2.9338431637179703</v>
      </c>
      <c r="H41" s="29">
        <f t="shared" si="2"/>
        <v>1.9338431637179703</v>
      </c>
      <c r="I41" s="30">
        <f t="shared" si="3"/>
        <v>1.3962467966296535E-5</v>
      </c>
      <c r="J41" s="31">
        <f t="shared" si="4"/>
        <v>1.3962467966296535E-5</v>
      </c>
      <c r="M41" s="69"/>
      <c r="N41" s="69"/>
    </row>
    <row r="42" spans="1:14" ht="14.5" x14ac:dyDescent="0.35">
      <c r="A42" s="59">
        <v>18</v>
      </c>
      <c r="B42" s="58"/>
      <c r="C42" s="63" t="s">
        <v>76</v>
      </c>
      <c r="D42" s="62">
        <v>13</v>
      </c>
      <c r="E42" s="33">
        <v>3.2941441986387749</v>
      </c>
      <c r="F42" s="28">
        <f t="shared" si="0"/>
        <v>3.6100311101373283E-6</v>
      </c>
      <c r="G42" s="29">
        <f t="shared" si="1"/>
        <v>3.2941441986387749</v>
      </c>
      <c r="H42" s="29">
        <f t="shared" si="2"/>
        <v>2.2941441986387749</v>
      </c>
      <c r="I42" s="30">
        <f t="shared" si="3"/>
        <v>8.2819319282270481E-6</v>
      </c>
      <c r="J42" s="31">
        <f t="shared" si="4"/>
        <v>8.2819319282270481E-6</v>
      </c>
      <c r="M42" s="69"/>
      <c r="N42" s="69"/>
    </row>
    <row r="43" spans="1:14" ht="14.5" x14ac:dyDescent="0.35">
      <c r="A43" s="59">
        <v>19</v>
      </c>
      <c r="B43" s="58"/>
      <c r="C43" s="63" t="s">
        <v>77</v>
      </c>
      <c r="D43" s="62">
        <v>5</v>
      </c>
      <c r="E43" s="33">
        <v>3.7694117934542732</v>
      </c>
      <c r="F43" s="28">
        <f t="shared" si="0"/>
        <v>1.3884735038989724E-6</v>
      </c>
      <c r="G43" s="29">
        <f t="shared" si="1"/>
        <v>3.7694117934542732</v>
      </c>
      <c r="H43" s="29">
        <f t="shared" si="2"/>
        <v>2.7694117934542732</v>
      </c>
      <c r="I43" s="30">
        <f t="shared" si="3"/>
        <v>3.8452548965965917E-6</v>
      </c>
      <c r="J43" s="31">
        <f t="shared" si="4"/>
        <v>3.8452548965965917E-6</v>
      </c>
      <c r="M43" s="69"/>
      <c r="N43" s="69"/>
    </row>
    <row r="44" spans="1:14" ht="14.5" x14ac:dyDescent="0.35">
      <c r="A44" s="59">
        <v>20</v>
      </c>
      <c r="B44" s="58"/>
      <c r="C44" s="63" t="s">
        <v>78</v>
      </c>
      <c r="D44" s="61">
        <v>5</v>
      </c>
      <c r="E44" s="33">
        <v>3.9424003905878124</v>
      </c>
      <c r="F44" s="28">
        <f t="shared" si="0"/>
        <v>1.3884735038989724E-6</v>
      </c>
      <c r="G44" s="29">
        <f t="shared" si="1"/>
        <v>3.9424003905878124</v>
      </c>
      <c r="H44" s="29">
        <f t="shared" si="2"/>
        <v>2.9424003905878124</v>
      </c>
      <c r="I44" s="30">
        <f t="shared" si="3"/>
        <v>4.085444980193165E-6</v>
      </c>
      <c r="J44" s="31">
        <f t="shared" si="4"/>
        <v>4.085444980193165E-6</v>
      </c>
      <c r="M44" s="69"/>
      <c r="N44" s="69"/>
    </row>
    <row r="45" spans="1:14" ht="14.5" x14ac:dyDescent="0.35">
      <c r="A45" s="59">
        <v>21</v>
      </c>
      <c r="B45" s="58"/>
      <c r="C45" s="63" t="s">
        <v>79</v>
      </c>
      <c r="D45" s="62">
        <v>5</v>
      </c>
      <c r="E45" s="33">
        <v>3.9678018878466035</v>
      </c>
      <c r="F45" s="28">
        <f t="shared" si="0"/>
        <v>1.3884735038989724E-6</v>
      </c>
      <c r="G45" s="29">
        <f t="shared" si="1"/>
        <v>3.9678018878466035</v>
      </c>
      <c r="H45" s="29">
        <f t="shared" si="2"/>
        <v>2.9678018878466035</v>
      </c>
      <c r="I45" s="30">
        <f t="shared" si="3"/>
        <v>4.120714286096359E-6</v>
      </c>
      <c r="J45" s="31">
        <f t="shared" si="4"/>
        <v>4.120714286096359E-6</v>
      </c>
      <c r="M45" s="69"/>
      <c r="N45" s="69"/>
    </row>
    <row r="46" spans="1:14" ht="14.5" x14ac:dyDescent="0.35">
      <c r="A46" s="59">
        <v>22</v>
      </c>
      <c r="B46" s="58"/>
      <c r="C46" s="63" t="s">
        <v>80</v>
      </c>
      <c r="D46" s="62">
        <v>1</v>
      </c>
      <c r="E46" s="33">
        <v>4.2369979390804575</v>
      </c>
      <c r="F46" s="28">
        <f t="shared" si="0"/>
        <v>2.7769470077979452E-7</v>
      </c>
      <c r="G46" s="29">
        <f t="shared" si="1"/>
        <v>4.2369979390804575</v>
      </c>
      <c r="H46" s="29">
        <f t="shared" si="2"/>
        <v>3.2369979390804575</v>
      </c>
      <c r="I46" s="30">
        <f t="shared" si="3"/>
        <v>8.9889717411775918E-7</v>
      </c>
      <c r="J46" s="31">
        <f t="shared" si="4"/>
        <v>8.9889717411775918E-7</v>
      </c>
      <c r="M46" s="69"/>
      <c r="N46" s="69"/>
    </row>
    <row r="47" spans="1:14" ht="14.5" x14ac:dyDescent="0.35">
      <c r="A47" s="59">
        <v>23</v>
      </c>
      <c r="B47" s="58"/>
      <c r="C47" s="63" t="s">
        <v>81</v>
      </c>
      <c r="D47" s="62">
        <v>6</v>
      </c>
      <c r="E47" s="33">
        <v>4.314984553033181</v>
      </c>
      <c r="F47" s="28">
        <f t="shared" si="0"/>
        <v>1.666168204678767E-6</v>
      </c>
      <c r="G47" s="29">
        <f t="shared" si="1"/>
        <v>4.314984553033181</v>
      </c>
      <c r="H47" s="29">
        <f t="shared" si="2"/>
        <v>3.314984553033181</v>
      </c>
      <c r="I47" s="30">
        <f t="shared" si="3"/>
        <v>5.5233218612651396E-6</v>
      </c>
      <c r="J47" s="31">
        <f t="shared" si="4"/>
        <v>5.5233218612651396E-6</v>
      </c>
      <c r="M47" s="69"/>
      <c r="N47" s="69"/>
    </row>
    <row r="48" spans="1:14" ht="14.5" x14ac:dyDescent="0.35">
      <c r="A48" s="59">
        <v>24</v>
      </c>
      <c r="B48" s="58"/>
      <c r="C48" s="63" t="s">
        <v>82</v>
      </c>
      <c r="D48" s="62">
        <v>1</v>
      </c>
      <c r="E48" s="33">
        <v>4.6401901004707389</v>
      </c>
      <c r="F48" s="28">
        <f t="shared" si="0"/>
        <v>2.7769470077979452E-7</v>
      </c>
      <c r="G48" s="29">
        <f t="shared" si="1"/>
        <v>4.6401901004707389</v>
      </c>
      <c r="H48" s="29">
        <f t="shared" si="2"/>
        <v>3.6401901004707389</v>
      </c>
      <c r="I48" s="30">
        <f t="shared" si="3"/>
        <v>1.010861500731792E-6</v>
      </c>
      <c r="J48" s="31">
        <f t="shared" si="4"/>
        <v>1.010861500731792E-6</v>
      </c>
      <c r="M48" s="69"/>
      <c r="N48" s="69"/>
    </row>
    <row r="49" spans="1:15" ht="14.5" x14ac:dyDescent="0.35">
      <c r="A49" s="59">
        <v>25</v>
      </c>
      <c r="B49" s="58"/>
      <c r="C49" s="63" t="s">
        <v>83</v>
      </c>
      <c r="D49" s="60">
        <v>2</v>
      </c>
      <c r="E49" s="33">
        <v>4.9167583315862595</v>
      </c>
      <c r="F49" s="28">
        <f t="shared" si="0"/>
        <v>5.5538940155958903E-7</v>
      </c>
      <c r="G49" s="29">
        <f t="shared" si="1"/>
        <v>4.9167583315862595</v>
      </c>
      <c r="H49" s="29">
        <f t="shared" si="2"/>
        <v>3.9167583315862595</v>
      </c>
      <c r="I49" s="30">
        <f t="shared" si="3"/>
        <v>2.1753260658332269E-6</v>
      </c>
      <c r="J49" s="31">
        <f t="shared" si="4"/>
        <v>2.1753260658332269E-6</v>
      </c>
      <c r="M49" s="69"/>
      <c r="N49" s="69"/>
    </row>
    <row r="50" spans="1:15" ht="14.5" x14ac:dyDescent="0.35">
      <c r="A50" s="59">
        <v>26</v>
      </c>
      <c r="B50" s="58"/>
      <c r="C50" s="63" t="s">
        <v>84</v>
      </c>
      <c r="D50" s="60">
        <v>0</v>
      </c>
      <c r="E50" s="33">
        <v>5.0391390325605183</v>
      </c>
      <c r="F50" s="28">
        <f t="shared" si="0"/>
        <v>0</v>
      </c>
      <c r="G50" s="29">
        <f t="shared" si="1"/>
        <v>5.0391390325605183</v>
      </c>
      <c r="H50" s="29">
        <f t="shared" si="2"/>
        <v>4.0391390325605183</v>
      </c>
      <c r="I50" s="30">
        <f t="shared" si="3"/>
        <v>0</v>
      </c>
      <c r="J50" s="31">
        <f t="shared" si="4"/>
        <v>0</v>
      </c>
      <c r="M50" s="69"/>
      <c r="N50" s="69"/>
    </row>
    <row r="51" spans="1:15" ht="14.5" x14ac:dyDescent="0.35">
      <c r="A51" s="59">
        <v>27</v>
      </c>
      <c r="B51" s="58"/>
      <c r="C51" s="63" t="s">
        <v>85</v>
      </c>
      <c r="D51" s="61">
        <v>1</v>
      </c>
      <c r="E51" s="33">
        <v>5.2908616935599495</v>
      </c>
      <c r="F51" s="28">
        <f t="shared" si="0"/>
        <v>2.7769470077979452E-7</v>
      </c>
      <c r="G51" s="29">
        <f t="shared" si="1"/>
        <v>5.2908616935599495</v>
      </c>
      <c r="H51" s="29">
        <f t="shared" si="2"/>
        <v>4.2908616935599495</v>
      </c>
      <c r="I51" s="30">
        <f t="shared" si="3"/>
        <v>1.1915495540806125E-6</v>
      </c>
      <c r="J51" s="31">
        <f t="shared" si="4"/>
        <v>1.1915495540806125E-6</v>
      </c>
      <c r="M51" s="69"/>
      <c r="N51" s="69"/>
    </row>
    <row r="52" spans="1:15" ht="14.5" x14ac:dyDescent="0.35">
      <c r="A52" s="59">
        <v>28</v>
      </c>
      <c r="B52" s="58"/>
      <c r="C52" s="63" t="s">
        <v>86</v>
      </c>
      <c r="D52" s="61">
        <v>0</v>
      </c>
      <c r="E52" s="33">
        <v>5.3407452545708818</v>
      </c>
      <c r="F52" s="28">
        <f t="shared" si="0"/>
        <v>0</v>
      </c>
      <c r="G52" s="29">
        <f t="shared" si="1"/>
        <v>5.3407452545708818</v>
      </c>
      <c r="H52" s="29">
        <f t="shared" si="2"/>
        <v>4.3407452545708818</v>
      </c>
      <c r="I52" s="30">
        <f t="shared" si="3"/>
        <v>0</v>
      </c>
      <c r="J52" s="31">
        <f t="shared" si="4"/>
        <v>0</v>
      </c>
      <c r="M52" s="69"/>
      <c r="N52" s="69"/>
    </row>
    <row r="53" spans="1:15" ht="14.5" x14ac:dyDescent="0.35">
      <c r="A53" s="59">
        <v>29</v>
      </c>
      <c r="B53" s="58"/>
      <c r="C53" s="63" t="s">
        <v>87</v>
      </c>
      <c r="D53" s="61">
        <v>1</v>
      </c>
      <c r="E53" s="33">
        <v>5.4557275957890807</v>
      </c>
      <c r="F53" s="28">
        <f t="shared" si="0"/>
        <v>2.7769470077979452E-7</v>
      </c>
      <c r="G53" s="29">
        <f t="shared" si="1"/>
        <v>5.4557275957890807</v>
      </c>
      <c r="H53" s="29">
        <f t="shared" si="2"/>
        <v>4.4557275957890807</v>
      </c>
      <c r="I53" s="30">
        <f t="shared" si="3"/>
        <v>1.237331941468922E-6</v>
      </c>
      <c r="J53" s="31">
        <f t="shared" si="4"/>
        <v>1.237331941468922E-6</v>
      </c>
      <c r="M53" s="69"/>
      <c r="N53" s="69"/>
    </row>
    <row r="54" spans="1:15" ht="14.5" x14ac:dyDescent="0.35">
      <c r="A54" s="59">
        <v>30</v>
      </c>
      <c r="B54" s="58"/>
      <c r="C54" s="63" t="s">
        <v>88</v>
      </c>
      <c r="D54" s="62">
        <v>0</v>
      </c>
      <c r="E54" s="33">
        <v>5.554922642985245</v>
      </c>
      <c r="F54" s="28">
        <f t="shared" si="0"/>
        <v>0</v>
      </c>
      <c r="G54" s="29">
        <f t="shared" si="1"/>
        <v>5.554922642985245</v>
      </c>
      <c r="H54" s="29">
        <f t="shared" si="2"/>
        <v>4.554922642985245</v>
      </c>
      <c r="I54" s="30">
        <f t="shared" si="3"/>
        <v>0</v>
      </c>
      <c r="J54" s="31">
        <f t="shared" si="4"/>
        <v>0</v>
      </c>
      <c r="M54" s="69"/>
      <c r="N54" s="69"/>
    </row>
    <row r="55" spans="1:15" ht="14.5" x14ac:dyDescent="0.35">
      <c r="A55" s="59">
        <v>31</v>
      </c>
      <c r="B55" s="58"/>
      <c r="C55" s="63" t="s">
        <v>89</v>
      </c>
      <c r="D55" s="62">
        <v>0</v>
      </c>
      <c r="E55" s="33">
        <v>6.1048211163547146</v>
      </c>
      <c r="F55" s="28">
        <f t="shared" si="0"/>
        <v>0</v>
      </c>
      <c r="G55" s="29">
        <f t="shared" si="1"/>
        <v>6.1048211163547146</v>
      </c>
      <c r="H55" s="29">
        <f t="shared" si="2"/>
        <v>5.1048211163547146</v>
      </c>
      <c r="I55" s="30">
        <f t="shared" si="3"/>
        <v>0</v>
      </c>
      <c r="J55" s="31">
        <f t="shared" si="4"/>
        <v>0</v>
      </c>
      <c r="M55" s="69"/>
      <c r="N55" s="70"/>
      <c r="O55" s="70"/>
    </row>
    <row r="56" spans="1:15" ht="14.5" x14ac:dyDescent="0.35">
      <c r="A56" s="59">
        <v>32</v>
      </c>
      <c r="B56" s="58"/>
      <c r="C56" s="65" t="s">
        <v>58</v>
      </c>
      <c r="D56" s="61">
        <v>95073</v>
      </c>
      <c r="E56" s="33">
        <v>1.1166663155498393</v>
      </c>
      <c r="F56" s="28">
        <f t="shared" si="0"/>
        <v>2.6401268287237403E-2</v>
      </c>
      <c r="G56" s="29">
        <f t="shared" si="1"/>
        <v>1.1166663155498393</v>
      </c>
      <c r="H56" s="29">
        <f t="shared" si="2"/>
        <v>0.11666631554983931</v>
      </c>
      <c r="I56" s="30">
        <f t="shared" si="3"/>
        <v>3.0801386969148041E-3</v>
      </c>
      <c r="J56" s="31">
        <f t="shared" si="4"/>
        <v>3.0801386969148041E-3</v>
      </c>
      <c r="N56" s="70"/>
      <c r="O56" s="70"/>
    </row>
    <row r="57" spans="1:15" ht="14.5" x14ac:dyDescent="0.35">
      <c r="A57" s="59">
        <v>33</v>
      </c>
      <c r="B57" s="58"/>
      <c r="C57" s="63">
        <v>1</v>
      </c>
      <c r="D57" s="62">
        <v>1021</v>
      </c>
      <c r="E57" s="33">
        <v>1.4352908203837109</v>
      </c>
      <c r="F57" s="28">
        <f t="shared" si="0"/>
        <v>2.8352628949617018E-4</v>
      </c>
      <c r="G57" s="29">
        <f t="shared" si="1"/>
        <v>1.4352908203837109</v>
      </c>
      <c r="H57" s="29">
        <f t="shared" si="2"/>
        <v>0.43529082038371092</v>
      </c>
      <c r="I57" s="30">
        <f t="shared" si="3"/>
        <v>1.2341639115513744E-4</v>
      </c>
      <c r="J57" s="31">
        <f t="shared" si="4"/>
        <v>1.2341639115513744E-4</v>
      </c>
      <c r="N57" s="70"/>
      <c r="O57" s="70"/>
    </row>
    <row r="58" spans="1:15" ht="14.5" x14ac:dyDescent="0.35">
      <c r="A58" s="59">
        <v>34</v>
      </c>
      <c r="B58" s="58"/>
      <c r="C58" s="63">
        <v>2</v>
      </c>
      <c r="D58" s="62">
        <v>1775</v>
      </c>
      <c r="E58" s="33">
        <v>1.4711378437818841</v>
      </c>
      <c r="F58" s="28">
        <f t="shared" si="0"/>
        <v>4.9290809388413518E-4</v>
      </c>
      <c r="G58" s="29">
        <f t="shared" si="1"/>
        <v>1.4711378437818841</v>
      </c>
      <c r="H58" s="29">
        <f t="shared" si="2"/>
        <v>0.47113784378188406</v>
      </c>
      <c r="I58" s="30">
        <f t="shared" si="3"/>
        <v>2.3222765653520993E-4</v>
      </c>
      <c r="J58" s="31">
        <f t="shared" si="4"/>
        <v>2.3222765653520993E-4</v>
      </c>
      <c r="N58" s="70"/>
      <c r="O58" s="70"/>
    </row>
    <row r="59" spans="1:15" ht="14.5" x14ac:dyDescent="0.35">
      <c r="A59" s="59">
        <v>35</v>
      </c>
      <c r="B59" s="58"/>
      <c r="C59" s="63">
        <v>3</v>
      </c>
      <c r="D59" s="62">
        <v>1936</v>
      </c>
      <c r="E59" s="33">
        <v>1.6119195169376825</v>
      </c>
      <c r="F59" s="28">
        <f t="shared" si="0"/>
        <v>5.3761694070968212E-4</v>
      </c>
      <c r="G59" s="29">
        <f t="shared" si="1"/>
        <v>1.6119195169376825</v>
      </c>
      <c r="H59" s="29">
        <f t="shared" si="2"/>
        <v>0.61191951693768254</v>
      </c>
      <c r="I59" s="30">
        <f t="shared" si="3"/>
        <v>3.2897829865658341E-4</v>
      </c>
      <c r="J59" s="31">
        <f t="shared" si="4"/>
        <v>3.2897829865658341E-4</v>
      </c>
      <c r="N59" s="70"/>
      <c r="O59" s="70"/>
    </row>
    <row r="60" spans="1:15" ht="14.5" x14ac:dyDescent="0.35">
      <c r="A60" s="59">
        <v>36</v>
      </c>
      <c r="B60" s="58"/>
      <c r="C60" s="63">
        <v>4</v>
      </c>
      <c r="D60" s="62">
        <v>15138</v>
      </c>
      <c r="E60" s="33">
        <v>1.6972712092486995</v>
      </c>
      <c r="F60" s="28">
        <f t="shared" si="0"/>
        <v>4.203742380404529E-3</v>
      </c>
      <c r="G60" s="29">
        <f t="shared" si="1"/>
        <v>1.6972712092486995</v>
      </c>
      <c r="H60" s="29">
        <f t="shared" si="2"/>
        <v>0.69727120924869945</v>
      </c>
      <c r="I60" s="30">
        <f t="shared" si="3"/>
        <v>2.9311485329546723E-3</v>
      </c>
      <c r="J60" s="31">
        <f t="shared" si="4"/>
        <v>2.9311485329546723E-3</v>
      </c>
      <c r="N60" s="70"/>
      <c r="O60" s="70"/>
    </row>
    <row r="61" spans="1:15" ht="14.5" x14ac:dyDescent="0.35">
      <c r="A61" s="59">
        <v>37</v>
      </c>
      <c r="B61" s="58"/>
      <c r="C61" s="63">
        <v>5</v>
      </c>
      <c r="D61" s="60">
        <v>17382</v>
      </c>
      <c r="E61" s="33">
        <v>1.7731114686314509</v>
      </c>
      <c r="F61" s="28">
        <f t="shared" si="0"/>
        <v>4.8268892889543882E-3</v>
      </c>
      <c r="G61" s="29">
        <f t="shared" si="1"/>
        <v>1.7731114686314509</v>
      </c>
      <c r="H61" s="29">
        <f t="shared" si="2"/>
        <v>0.77311146863145086</v>
      </c>
      <c r="I61" s="30">
        <f t="shared" si="3"/>
        <v>3.7317234671049465E-3</v>
      </c>
      <c r="J61" s="31">
        <f t="shared" si="4"/>
        <v>3.7317234671049465E-3</v>
      </c>
      <c r="N61" s="70"/>
      <c r="O61" s="70"/>
    </row>
    <row r="62" spans="1:15" ht="14.5" x14ac:dyDescent="0.35">
      <c r="A62" s="59">
        <v>38</v>
      </c>
      <c r="B62" s="58"/>
      <c r="C62" s="63">
        <v>6</v>
      </c>
      <c r="D62" s="60">
        <v>13131</v>
      </c>
      <c r="E62" s="33">
        <v>1.8599071349280953</v>
      </c>
      <c r="F62" s="28">
        <f t="shared" si="0"/>
        <v>3.6464091159394813E-3</v>
      </c>
      <c r="G62" s="29">
        <f t="shared" si="1"/>
        <v>1.8599071349280953</v>
      </c>
      <c r="H62" s="29">
        <f t="shared" si="2"/>
        <v>0.85990713492809534</v>
      </c>
      <c r="I62" s="30">
        <f t="shared" si="3"/>
        <v>3.1355732156632082E-3</v>
      </c>
      <c r="J62" s="31">
        <f t="shared" si="4"/>
        <v>3.1355732156632082E-3</v>
      </c>
      <c r="N62" s="70"/>
      <c r="O62" s="70"/>
    </row>
    <row r="63" spans="1:15" ht="14.5" x14ac:dyDescent="0.35">
      <c r="A63" s="59">
        <v>39</v>
      </c>
      <c r="B63" s="58"/>
      <c r="C63" s="63">
        <v>7</v>
      </c>
      <c r="D63" s="61">
        <v>5874</v>
      </c>
      <c r="E63" s="33">
        <v>1.9963003248228224</v>
      </c>
      <c r="F63" s="28">
        <f t="shared" si="0"/>
        <v>1.6311786723805129E-3</v>
      </c>
      <c r="G63" s="29">
        <f t="shared" si="1"/>
        <v>1.9963003248228224</v>
      </c>
      <c r="H63" s="29">
        <f t="shared" si="2"/>
        <v>0.99630032482282238</v>
      </c>
      <c r="I63" s="30">
        <f t="shared" si="3"/>
        <v>1.6251438411367652E-3</v>
      </c>
      <c r="J63" s="31">
        <f t="shared" si="4"/>
        <v>1.6251438411367652E-3</v>
      </c>
      <c r="N63" s="70"/>
      <c r="O63" s="70"/>
    </row>
    <row r="64" spans="1:15" ht="14.5" x14ac:dyDescent="0.35">
      <c r="A64" s="59">
        <v>40</v>
      </c>
      <c r="B64" s="58"/>
      <c r="C64" s="63">
        <v>8</v>
      </c>
      <c r="D64" s="61">
        <v>8157</v>
      </c>
      <c r="E64" s="33">
        <v>2.207089800114673</v>
      </c>
      <c r="F64" s="28">
        <f t="shared" si="0"/>
        <v>2.2651556742607835E-3</v>
      </c>
      <c r="G64" s="29">
        <f t="shared" si="1"/>
        <v>2.207089800114673</v>
      </c>
      <c r="H64" s="29">
        <f t="shared" si="2"/>
        <v>1.207089800114673</v>
      </c>
      <c r="I64" s="30">
        <f t="shared" si="3"/>
        <v>2.7342463100720666E-3</v>
      </c>
      <c r="J64" s="31">
        <f t="shared" si="4"/>
        <v>2.7342463100720666E-3</v>
      </c>
      <c r="N64" s="70"/>
      <c r="O64" s="70"/>
    </row>
    <row r="65" spans="1:15" ht="14.5" x14ac:dyDescent="0.35">
      <c r="A65" s="59">
        <v>41</v>
      </c>
      <c r="B65" s="58"/>
      <c r="C65" s="63">
        <v>9</v>
      </c>
      <c r="D65" s="61">
        <v>8351</v>
      </c>
      <c r="E65" s="33">
        <v>2.2495890025160907</v>
      </c>
      <c r="F65" s="28">
        <f t="shared" si="0"/>
        <v>2.3190284462120637E-3</v>
      </c>
      <c r="G65" s="29">
        <f t="shared" si="1"/>
        <v>2.2495890025160907</v>
      </c>
      <c r="H65" s="29">
        <f t="shared" si="2"/>
        <v>1.2495890025160907</v>
      </c>
      <c r="I65" s="30">
        <f t="shared" si="3"/>
        <v>2.8978324429085726E-3</v>
      </c>
      <c r="J65" s="31">
        <f t="shared" si="4"/>
        <v>2.8978324429085726E-3</v>
      </c>
      <c r="N65" s="70"/>
      <c r="O65" s="70"/>
    </row>
    <row r="66" spans="1:15" ht="14.5" x14ac:dyDescent="0.35">
      <c r="A66" s="59">
        <v>42</v>
      </c>
      <c r="B66" s="58"/>
      <c r="C66" s="63">
        <v>10</v>
      </c>
      <c r="D66" s="62">
        <v>7960</v>
      </c>
      <c r="E66" s="33">
        <v>2.4798761799041271</v>
      </c>
      <c r="F66" s="28">
        <f t="shared" si="0"/>
        <v>2.2104498182071641E-3</v>
      </c>
      <c r="G66" s="29">
        <f t="shared" si="1"/>
        <v>2.4798761799041271</v>
      </c>
      <c r="H66" s="29">
        <f t="shared" si="2"/>
        <v>1.4798761799041271</v>
      </c>
      <c r="I66" s="30">
        <f t="shared" si="3"/>
        <v>3.2711920328381901E-3</v>
      </c>
      <c r="J66" s="31">
        <f t="shared" si="4"/>
        <v>3.2711920328381901E-3</v>
      </c>
      <c r="N66" s="70"/>
      <c r="O66" s="70"/>
    </row>
    <row r="67" spans="1:15" ht="14.5" x14ac:dyDescent="0.35">
      <c r="A67" s="59">
        <v>43</v>
      </c>
      <c r="B67" s="58"/>
      <c r="C67" s="63">
        <v>11</v>
      </c>
      <c r="D67" s="62">
        <v>4691</v>
      </c>
      <c r="E67" s="33">
        <v>2.543485992461251</v>
      </c>
      <c r="F67" s="28">
        <f t="shared" si="0"/>
        <v>1.302665841358016E-3</v>
      </c>
      <c r="G67" s="29">
        <f t="shared" si="1"/>
        <v>2.543485992461251</v>
      </c>
      <c r="H67" s="29">
        <f t="shared" si="2"/>
        <v>1.543485992461251</v>
      </c>
      <c r="I67" s="30">
        <f t="shared" si="3"/>
        <v>2.0106464789938477E-3</v>
      </c>
      <c r="J67" s="31">
        <f t="shared" si="4"/>
        <v>2.0106464789938477E-3</v>
      </c>
      <c r="N67" s="70"/>
      <c r="O67" s="70"/>
    </row>
    <row r="68" spans="1:15" ht="14.5" x14ac:dyDescent="0.35">
      <c r="A68" s="59">
        <v>44</v>
      </c>
      <c r="B68" s="58"/>
      <c r="C68" s="63">
        <v>12</v>
      </c>
      <c r="D68" s="61">
        <v>3302</v>
      </c>
      <c r="E68" s="33">
        <v>2.7969065001539493</v>
      </c>
      <c r="F68" s="28">
        <f t="shared" si="0"/>
        <v>9.1694790197488138E-4</v>
      </c>
      <c r="G68" s="29">
        <f t="shared" si="1"/>
        <v>2.7969065001539493</v>
      </c>
      <c r="H68" s="29">
        <f t="shared" si="2"/>
        <v>1.7969065001539493</v>
      </c>
      <c r="I68" s="30">
        <f t="shared" si="3"/>
        <v>1.6476696453611907E-3</v>
      </c>
      <c r="J68" s="31">
        <f t="shared" si="4"/>
        <v>1.6476696453611907E-3</v>
      </c>
      <c r="N68" s="70"/>
      <c r="O68" s="70"/>
    </row>
    <row r="69" spans="1:15" ht="14.5" x14ac:dyDescent="0.35">
      <c r="A69" s="59">
        <v>45</v>
      </c>
      <c r="B69" s="58"/>
      <c r="C69" s="63">
        <v>13</v>
      </c>
      <c r="D69" s="62">
        <v>1478</v>
      </c>
      <c r="E69" s="33">
        <v>3.1494427484782417</v>
      </c>
      <c r="F69" s="28">
        <f t="shared" si="0"/>
        <v>4.1043276775253626E-4</v>
      </c>
      <c r="G69" s="29">
        <f t="shared" si="1"/>
        <v>3.1494427484782417</v>
      </c>
      <c r="H69" s="29">
        <f t="shared" si="2"/>
        <v>2.1494427484782417</v>
      </c>
      <c r="I69" s="30">
        <f t="shared" si="3"/>
        <v>8.8220173638354333E-4</v>
      </c>
      <c r="J69" s="31">
        <f t="shared" si="4"/>
        <v>8.8220173638354333E-4</v>
      </c>
      <c r="N69" s="70"/>
      <c r="O69" s="70"/>
    </row>
    <row r="70" spans="1:15" ht="14.5" x14ac:dyDescent="0.35">
      <c r="A70" s="59">
        <v>46</v>
      </c>
      <c r="B70" s="58"/>
      <c r="C70" s="63">
        <v>14</v>
      </c>
      <c r="D70" s="62">
        <v>1252</v>
      </c>
      <c r="E70" s="33">
        <v>3.2238390338753651</v>
      </c>
      <c r="F70" s="28">
        <f t="shared" si="0"/>
        <v>3.476737653763027E-4</v>
      </c>
      <c r="G70" s="29">
        <f t="shared" si="1"/>
        <v>3.2238390338753651</v>
      </c>
      <c r="H70" s="29">
        <f t="shared" si="2"/>
        <v>2.2238390338753651</v>
      </c>
      <c r="I70" s="30">
        <f t="shared" si="3"/>
        <v>7.7317049049824738E-4</v>
      </c>
      <c r="J70" s="31">
        <f t="shared" si="4"/>
        <v>7.7317049049824738E-4</v>
      </c>
      <c r="N70" s="70"/>
      <c r="O70" s="70"/>
    </row>
    <row r="71" spans="1:15" ht="14.5" x14ac:dyDescent="0.35">
      <c r="A71" s="59">
        <v>47</v>
      </c>
      <c r="B71" s="58"/>
      <c r="C71" s="63">
        <v>15</v>
      </c>
      <c r="D71" s="62">
        <v>650</v>
      </c>
      <c r="E71" s="33">
        <v>3.5050591184832234</v>
      </c>
      <c r="F71" s="28">
        <f t="shared" si="0"/>
        <v>1.8050155550686643E-4</v>
      </c>
      <c r="G71" s="29">
        <f t="shared" si="1"/>
        <v>3.5050591184832234</v>
      </c>
      <c r="H71" s="29">
        <f t="shared" si="2"/>
        <v>2.5050591184832234</v>
      </c>
      <c r="I71" s="30">
        <f t="shared" si="3"/>
        <v>4.5216706752288145E-4</v>
      </c>
      <c r="J71" s="31">
        <f t="shared" si="4"/>
        <v>4.5216706752288145E-4</v>
      </c>
      <c r="N71" s="70"/>
      <c r="O71" s="70"/>
    </row>
    <row r="72" spans="1:15" ht="14.5" x14ac:dyDescent="0.35">
      <c r="A72" s="59">
        <v>48</v>
      </c>
      <c r="B72" s="58"/>
      <c r="C72" s="63">
        <v>16</v>
      </c>
      <c r="D72" s="62">
        <v>475</v>
      </c>
      <c r="E72" s="33">
        <v>3.6673039546474628</v>
      </c>
      <c r="F72" s="28">
        <f t="shared" si="0"/>
        <v>1.3190498287040238E-4</v>
      </c>
      <c r="G72" s="29">
        <f t="shared" si="1"/>
        <v>3.6673039546474628</v>
      </c>
      <c r="H72" s="29">
        <f t="shared" si="2"/>
        <v>2.6673039546474628</v>
      </c>
      <c r="I72" s="30">
        <f t="shared" si="3"/>
        <v>3.5183068244793011E-4</v>
      </c>
      <c r="J72" s="31">
        <f t="shared" si="4"/>
        <v>3.5183068244793011E-4</v>
      </c>
      <c r="N72" s="70"/>
      <c r="O72" s="70"/>
    </row>
    <row r="73" spans="1:15" ht="14.5" x14ac:dyDescent="0.35">
      <c r="A73" s="59">
        <v>49</v>
      </c>
      <c r="B73" s="58"/>
      <c r="C73" s="63">
        <v>17</v>
      </c>
      <c r="D73" s="60">
        <v>288</v>
      </c>
      <c r="E73" s="33">
        <v>4.1176802482984689</v>
      </c>
      <c r="F73" s="28">
        <f t="shared" si="0"/>
        <v>7.9976073824580815E-5</v>
      </c>
      <c r="G73" s="29">
        <f t="shared" si="1"/>
        <v>4.1176802482984689</v>
      </c>
      <c r="H73" s="29">
        <f t="shared" si="2"/>
        <v>3.1176802482984689</v>
      </c>
      <c r="I73" s="30">
        <f t="shared" si="3"/>
        <v>2.4933982569935579E-4</v>
      </c>
      <c r="J73" s="31">
        <f t="shared" si="4"/>
        <v>2.4933982569935579E-4</v>
      </c>
      <c r="N73" s="70"/>
      <c r="O73" s="70"/>
    </row>
    <row r="74" spans="1:15" ht="14.5" x14ac:dyDescent="0.35">
      <c r="A74" s="59">
        <v>50</v>
      </c>
      <c r="B74" s="58"/>
      <c r="C74" s="63">
        <v>18</v>
      </c>
      <c r="D74" s="60">
        <v>179</v>
      </c>
      <c r="E74" s="33">
        <v>4.7117647418178414</v>
      </c>
      <c r="F74" s="28">
        <f t="shared" si="0"/>
        <v>4.9707351439583215E-5</v>
      </c>
      <c r="G74" s="29">
        <f t="shared" si="1"/>
        <v>4.7117647418178414</v>
      </c>
      <c r="H74" s="29">
        <f t="shared" si="2"/>
        <v>3.7117647418178414</v>
      </c>
      <c r="I74" s="30">
        <f t="shared" si="3"/>
        <v>1.8450199448259331E-4</v>
      </c>
      <c r="J74" s="31">
        <f t="shared" si="4"/>
        <v>1.8450199448259331E-4</v>
      </c>
      <c r="N74" s="70"/>
      <c r="O74" s="70"/>
    </row>
    <row r="75" spans="1:15" ht="14.5" x14ac:dyDescent="0.35">
      <c r="A75" s="59">
        <v>51</v>
      </c>
      <c r="B75" s="58"/>
      <c r="C75" s="63">
        <v>19</v>
      </c>
      <c r="D75" s="61">
        <v>138</v>
      </c>
      <c r="E75" s="33">
        <v>4.9280004882347654</v>
      </c>
      <c r="F75" s="28">
        <f t="shared" si="0"/>
        <v>3.8321868707611638E-5</v>
      </c>
      <c r="G75" s="29">
        <f t="shared" si="1"/>
        <v>4.9280004882347654</v>
      </c>
      <c r="H75" s="29">
        <f t="shared" si="2"/>
        <v>3.9280004882347654</v>
      </c>
      <c r="I75" s="30">
        <f t="shared" si="3"/>
        <v>1.5052831899356708E-4</v>
      </c>
      <c r="J75" s="31">
        <f t="shared" si="4"/>
        <v>1.5052831899356708E-4</v>
      </c>
      <c r="N75" s="70"/>
      <c r="O75" s="70"/>
    </row>
    <row r="76" spans="1:15" ht="14.5" x14ac:dyDescent="0.35">
      <c r="A76" s="59">
        <v>52</v>
      </c>
      <c r="B76" s="58"/>
      <c r="C76" s="63">
        <v>20</v>
      </c>
      <c r="D76" s="61">
        <v>109</v>
      </c>
      <c r="E76" s="33">
        <v>4.9597523598082542</v>
      </c>
      <c r="F76" s="28">
        <f t="shared" si="0"/>
        <v>3.02687223849976E-5</v>
      </c>
      <c r="G76" s="29">
        <f t="shared" si="1"/>
        <v>4.9597523598082542</v>
      </c>
      <c r="H76" s="29">
        <f t="shared" si="2"/>
        <v>3.9597523598082542</v>
      </c>
      <c r="I76" s="30">
        <f t="shared" si="3"/>
        <v>1.1985664489237518E-4</v>
      </c>
      <c r="J76" s="31">
        <f t="shared" si="4"/>
        <v>1.1985664489237518E-4</v>
      </c>
      <c r="N76" s="70"/>
      <c r="O76" s="70"/>
    </row>
    <row r="77" spans="1:15" ht="14.5" x14ac:dyDescent="0.35">
      <c r="A77" s="59">
        <v>53</v>
      </c>
      <c r="B77" s="58"/>
      <c r="C77" s="63">
        <v>21</v>
      </c>
      <c r="D77" s="61">
        <v>49</v>
      </c>
      <c r="E77" s="33">
        <v>5.2962474238505726</v>
      </c>
      <c r="F77" s="28">
        <f t="shared" si="0"/>
        <v>1.360704033820993E-5</v>
      </c>
      <c r="G77" s="29">
        <f t="shared" si="1"/>
        <v>5.2962474238505726</v>
      </c>
      <c r="H77" s="29">
        <f t="shared" si="2"/>
        <v>4.2962474238505726</v>
      </c>
      <c r="I77" s="30">
        <f t="shared" si="3"/>
        <v>5.8459211999265233E-5</v>
      </c>
      <c r="J77" s="31">
        <f t="shared" si="4"/>
        <v>5.8459211999265233E-5</v>
      </c>
      <c r="N77" s="70"/>
      <c r="O77" s="70"/>
    </row>
    <row r="78" spans="1:15" ht="14.5" x14ac:dyDescent="0.35">
      <c r="A78" s="59">
        <v>54</v>
      </c>
      <c r="B78" s="58"/>
      <c r="C78" s="63">
        <v>22</v>
      </c>
      <c r="D78" s="62">
        <v>42</v>
      </c>
      <c r="E78" s="33">
        <v>5.3937306912914762</v>
      </c>
      <c r="F78" s="28">
        <f t="shared" si="0"/>
        <v>1.1663177432751368E-5</v>
      </c>
      <c r="G78" s="29">
        <f t="shared" si="1"/>
        <v>5.3937306912914762</v>
      </c>
      <c r="H78" s="29">
        <f t="shared" si="2"/>
        <v>4.3937306912914762</v>
      </c>
      <c r="I78" s="30">
        <f t="shared" si="3"/>
        <v>5.1244860644257812E-5</v>
      </c>
      <c r="J78" s="31">
        <f t="shared" si="4"/>
        <v>5.1244860644257812E-5</v>
      </c>
      <c r="N78" s="70"/>
      <c r="O78" s="70"/>
    </row>
    <row r="79" spans="1:15" ht="14.5" x14ac:dyDescent="0.35">
      <c r="A79" s="59">
        <v>55</v>
      </c>
      <c r="B79" s="58"/>
      <c r="C79" s="63">
        <v>23</v>
      </c>
      <c r="D79" s="62">
        <v>32</v>
      </c>
      <c r="E79" s="33">
        <v>5.8002376255884229</v>
      </c>
      <c r="F79" s="28">
        <f t="shared" si="0"/>
        <v>8.8862304249534245E-6</v>
      </c>
      <c r="G79" s="29">
        <f t="shared" si="1"/>
        <v>5.8002376255884229</v>
      </c>
      <c r="H79" s="29">
        <f t="shared" si="2"/>
        <v>4.8002376255884229</v>
      </c>
      <c r="I79" s="30">
        <f t="shared" si="3"/>
        <v>4.2656017635510029E-5</v>
      </c>
      <c r="J79" s="31">
        <f t="shared" si="4"/>
        <v>4.2656017635510029E-5</v>
      </c>
      <c r="N79" s="70"/>
      <c r="O79" s="70"/>
    </row>
    <row r="80" spans="1:15" ht="14.5" x14ac:dyDescent="0.35">
      <c r="A80" s="59">
        <v>56</v>
      </c>
      <c r="B80" s="58"/>
      <c r="C80" s="63">
        <v>24</v>
      </c>
      <c r="D80" s="61">
        <v>23</v>
      </c>
      <c r="E80" s="33">
        <v>6.1459479144828242</v>
      </c>
      <c r="F80" s="28">
        <f t="shared" si="0"/>
        <v>6.3869781179352736E-6</v>
      </c>
      <c r="G80" s="29">
        <f t="shared" si="1"/>
        <v>6.1459479144828242</v>
      </c>
      <c r="H80" s="29">
        <f t="shared" si="2"/>
        <v>5.1459479144828242</v>
      </c>
      <c r="I80" s="30">
        <f t="shared" si="3"/>
        <v>3.2867056725836453E-5</v>
      </c>
      <c r="J80" s="31">
        <f t="shared" si="4"/>
        <v>3.2867056725836453E-5</v>
      </c>
      <c r="N80" s="70"/>
      <c r="O80" s="70"/>
    </row>
    <row r="81" spans="1:15" ht="14.5" x14ac:dyDescent="0.35">
      <c r="A81" s="59">
        <v>57</v>
      </c>
      <c r="B81" s="58"/>
      <c r="C81" s="63">
        <v>25</v>
      </c>
      <c r="D81" s="62">
        <v>13</v>
      </c>
      <c r="E81" s="33">
        <v>6.2989237907006483</v>
      </c>
      <c r="F81" s="28">
        <f t="shared" si="0"/>
        <v>3.6100311101373283E-6</v>
      </c>
      <c r="G81" s="29">
        <f t="shared" si="1"/>
        <v>6.2989237907006483</v>
      </c>
      <c r="H81" s="29">
        <f t="shared" si="2"/>
        <v>5.2989237907006483</v>
      </c>
      <c r="I81" s="30">
        <f t="shared" si="3"/>
        <v>1.912927973467616E-5</v>
      </c>
      <c r="J81" s="31">
        <f t="shared" si="4"/>
        <v>1.912927973467616E-5</v>
      </c>
      <c r="N81" s="70"/>
      <c r="O81" s="70"/>
    </row>
    <row r="82" spans="1:15" ht="14.5" x14ac:dyDescent="0.35">
      <c r="A82" s="59">
        <v>58</v>
      </c>
      <c r="B82" s="58"/>
      <c r="C82" s="63">
        <v>26</v>
      </c>
      <c r="D82" s="62">
        <v>17</v>
      </c>
      <c r="E82" s="33">
        <v>6.6135771169499362</v>
      </c>
      <c r="F82" s="28">
        <f t="shared" si="0"/>
        <v>4.7208099132565066E-6</v>
      </c>
      <c r="G82" s="29">
        <f t="shared" si="1"/>
        <v>6.6135771169499362</v>
      </c>
      <c r="H82" s="29">
        <f t="shared" si="2"/>
        <v>5.6135771169499362</v>
      </c>
      <c r="I82" s="30">
        <f t="shared" si="3"/>
        <v>2.6500630502527138E-5</v>
      </c>
      <c r="J82" s="31">
        <f t="shared" si="4"/>
        <v>2.6500630502527138E-5</v>
      </c>
      <c r="N82" s="70"/>
      <c r="O82" s="70"/>
    </row>
    <row r="83" spans="1:15" ht="14.5" x14ac:dyDescent="0.35">
      <c r="A83" s="59">
        <v>59</v>
      </c>
      <c r="B83" s="58"/>
      <c r="C83" s="63">
        <v>27</v>
      </c>
      <c r="D83" s="62">
        <v>9</v>
      </c>
      <c r="E83" s="33">
        <v>6.6759315682136018</v>
      </c>
      <c r="F83" s="28">
        <f t="shared" si="0"/>
        <v>2.4992523070181505E-6</v>
      </c>
      <c r="G83" s="29">
        <f t="shared" si="1"/>
        <v>6.6759315682136018</v>
      </c>
      <c r="H83" s="29">
        <f t="shared" si="2"/>
        <v>5.6759315682136018</v>
      </c>
      <c r="I83" s="30">
        <f t="shared" si="3"/>
        <v>1.4185585066334993E-5</v>
      </c>
      <c r="J83" s="31">
        <f t="shared" si="4"/>
        <v>1.4185585066334993E-5</v>
      </c>
      <c r="N83" s="70"/>
      <c r="O83" s="70"/>
    </row>
    <row r="84" spans="1:15" ht="14.5" x14ac:dyDescent="0.35">
      <c r="A84" s="59">
        <v>60</v>
      </c>
      <c r="B84" s="58"/>
      <c r="C84" s="63">
        <v>28</v>
      </c>
      <c r="D84" s="62">
        <v>18</v>
      </c>
      <c r="E84" s="33">
        <v>6.8196594947363502</v>
      </c>
      <c r="F84" s="28">
        <f t="shared" si="0"/>
        <v>4.998504614036301E-6</v>
      </c>
      <c r="G84" s="29">
        <f t="shared" si="1"/>
        <v>6.8196594947363502</v>
      </c>
      <c r="H84" s="29">
        <f t="shared" si="2"/>
        <v>5.8196594947363502</v>
      </c>
      <c r="I84" s="30">
        <f t="shared" si="3"/>
        <v>2.9089594836559816E-5</v>
      </c>
      <c r="J84" s="31">
        <f t="shared" si="4"/>
        <v>2.9089594836559816E-5</v>
      </c>
      <c r="N84" s="70"/>
      <c r="O84" s="70"/>
    </row>
    <row r="85" spans="1:15" ht="14.5" x14ac:dyDescent="0.35">
      <c r="A85" s="59">
        <v>61</v>
      </c>
      <c r="B85" s="58"/>
      <c r="C85" s="63">
        <v>29</v>
      </c>
      <c r="D85" s="60">
        <v>8</v>
      </c>
      <c r="E85" s="33">
        <v>6.9436533037315558</v>
      </c>
      <c r="F85" s="28">
        <f t="shared" si="0"/>
        <v>2.2215576062383561E-6</v>
      </c>
      <c r="G85" s="29">
        <f t="shared" si="1"/>
        <v>6.9436533037315558</v>
      </c>
      <c r="H85" s="29">
        <f t="shared" si="2"/>
        <v>5.9436533037315558</v>
      </c>
      <c r="I85" s="30">
        <f t="shared" si="3"/>
        <v>1.3204168205748572E-5</v>
      </c>
      <c r="J85" s="31">
        <f t="shared" si="4"/>
        <v>1.3204168205748572E-5</v>
      </c>
      <c r="N85" s="70"/>
      <c r="O85" s="70"/>
    </row>
    <row r="86" spans="1:15" x14ac:dyDescent="0.25">
      <c r="A86" s="59">
        <v>62</v>
      </c>
      <c r="B86" s="58"/>
      <c r="C86" s="63">
        <v>30</v>
      </c>
      <c r="D86" s="60">
        <v>4</v>
      </c>
      <c r="E86" s="33">
        <v>7.6310263954433921</v>
      </c>
      <c r="F86" s="28">
        <f t="shared" si="0"/>
        <v>1.1107788031191781E-6</v>
      </c>
      <c r="G86" s="29">
        <f t="shared" si="1"/>
        <v>7.6310263954433921</v>
      </c>
      <c r="H86" s="29">
        <f t="shared" si="2"/>
        <v>6.6310263954433921</v>
      </c>
      <c r="I86" s="30">
        <f t="shared" si="3"/>
        <v>7.3656035629822883E-6</v>
      </c>
      <c r="J86" s="31">
        <f t="shared" si="4"/>
        <v>7.3656035629822883E-6</v>
      </c>
    </row>
    <row r="87" spans="1:15" x14ac:dyDescent="0.25">
      <c r="A87" s="59">
        <v>63</v>
      </c>
      <c r="B87" s="58"/>
      <c r="C87" s="32"/>
      <c r="D87" s="61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61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61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62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62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61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62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62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62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62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60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60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61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61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61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62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62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61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62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62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62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62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60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60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61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61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61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62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62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61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62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62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62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62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60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60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61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61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61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62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62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61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62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62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62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62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60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60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61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61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61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62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62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61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62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62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62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62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60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60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61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61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61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62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62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61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62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62"/>
      <c r="E154" s="33"/>
      <c r="F154" s="28" t="str">
        <f t="shared" ref="F154:F170" si="10">IF(D154&lt;&gt;"",D154/$J$18,"")</f>
        <v/>
      </c>
      <c r="G154" s="29" t="str">
        <f t="shared" ref="G154:G170" si="11">IF(F154&lt;&gt;"",IF($J$17&gt;0.5,(E154/$J$17),(E154-$J$17)),"")</f>
        <v/>
      </c>
      <c r="H154" s="29" t="str">
        <f t="shared" ref="H154:H170" si="12">IF(F154&lt;&gt;"",ABS(G154-$J$16),"")</f>
        <v/>
      </c>
      <c r="I154" s="30" t="str">
        <f t="shared" ref="I154:I170" si="13">IF(F154&lt;&gt;"",H154*F154,"")</f>
        <v/>
      </c>
      <c r="J154" s="31" t="str">
        <f t="shared" ref="J154:J170" si="14">IF(F154&lt;&gt;"",I154*$J$19,"")</f>
        <v/>
      </c>
    </row>
    <row r="155" spans="1:10" x14ac:dyDescent="0.25">
      <c r="A155" s="59">
        <v>131</v>
      </c>
      <c r="B155" s="58"/>
      <c r="C155" s="32"/>
      <c r="D155" s="62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62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60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60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61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61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61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62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62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61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62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62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62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62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60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60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61"/>
      <c r="E171" s="33"/>
      <c r="F171" s="28" t="str">
        <f t="shared" ref="F171:F234" si="15">IF(D171&lt;&gt;"",D171/$J$18,"")</f>
        <v/>
      </c>
      <c r="G171" s="29" t="str">
        <f t="shared" ref="G171:G234" si="16">IF(F171&lt;&gt;"",IF($J$17&gt;0.5,(E171/$J$17),(E171-$J$17)),"")</f>
        <v/>
      </c>
      <c r="H171" s="29" t="str">
        <f t="shared" ref="H171:H234" si="17">IF(F171&lt;&gt;"",ABS(G171-$J$16),"")</f>
        <v/>
      </c>
      <c r="I171" s="30" t="str">
        <f t="shared" ref="I171:I234" si="18">IF(F171&lt;&gt;"",H171*F171,"")</f>
        <v/>
      </c>
      <c r="J171" s="31" t="str">
        <f t="shared" ref="J171:J234" si="19">IF(F171&lt;&gt;"",I171*$J$19,"")</f>
        <v/>
      </c>
    </row>
    <row r="172" spans="1:10" x14ac:dyDescent="0.25">
      <c r="A172" s="59">
        <v>148</v>
      </c>
      <c r="B172" s="58"/>
      <c r="C172" s="32"/>
      <c r="D172" s="61"/>
      <c r="E172" s="33"/>
      <c r="F172" s="28" t="str">
        <f t="shared" si="15"/>
        <v/>
      </c>
      <c r="G172" s="29" t="str">
        <f t="shared" si="16"/>
        <v/>
      </c>
      <c r="H172" s="29" t="str">
        <f t="shared" si="17"/>
        <v/>
      </c>
      <c r="I172" s="30" t="str">
        <f t="shared" si="18"/>
        <v/>
      </c>
      <c r="J172" s="31" t="str">
        <f t="shared" si="19"/>
        <v/>
      </c>
    </row>
    <row r="173" spans="1:10" x14ac:dyDescent="0.25">
      <c r="A173" s="59">
        <v>149</v>
      </c>
      <c r="B173" s="58"/>
      <c r="C173" s="32"/>
      <c r="D173" s="61"/>
      <c r="E173" s="33"/>
      <c r="F173" s="28" t="str">
        <f t="shared" si="15"/>
        <v/>
      </c>
      <c r="G173" s="29" t="str">
        <f t="shared" si="16"/>
        <v/>
      </c>
      <c r="H173" s="29" t="str">
        <f t="shared" si="17"/>
        <v/>
      </c>
      <c r="I173" s="30" t="str">
        <f t="shared" si="18"/>
        <v/>
      </c>
      <c r="J173" s="31" t="str">
        <f t="shared" si="19"/>
        <v/>
      </c>
    </row>
    <row r="174" spans="1:10" x14ac:dyDescent="0.25">
      <c r="A174" s="59">
        <v>150</v>
      </c>
      <c r="B174" s="58"/>
      <c r="C174" s="32"/>
      <c r="D174" s="62"/>
      <c r="E174" s="33"/>
      <c r="F174" s="28" t="str">
        <f t="shared" si="15"/>
        <v/>
      </c>
      <c r="G174" s="29" t="str">
        <f t="shared" si="16"/>
        <v/>
      </c>
      <c r="H174" s="29" t="str">
        <f t="shared" si="17"/>
        <v/>
      </c>
      <c r="I174" s="30" t="str">
        <f t="shared" si="18"/>
        <v/>
      </c>
      <c r="J174" s="31" t="str">
        <f t="shared" si="19"/>
        <v/>
      </c>
    </row>
    <row r="175" spans="1:10" x14ac:dyDescent="0.25">
      <c r="A175" s="59">
        <v>151</v>
      </c>
      <c r="B175" s="58"/>
      <c r="C175" s="32"/>
      <c r="D175" s="62"/>
      <c r="E175" s="33"/>
      <c r="F175" s="28" t="str">
        <f t="shared" si="15"/>
        <v/>
      </c>
      <c r="G175" s="29" t="str">
        <f t="shared" si="16"/>
        <v/>
      </c>
      <c r="H175" s="29" t="str">
        <f t="shared" si="17"/>
        <v/>
      </c>
      <c r="I175" s="30" t="str">
        <f t="shared" si="18"/>
        <v/>
      </c>
      <c r="J175" s="31" t="str">
        <f t="shared" si="19"/>
        <v/>
      </c>
    </row>
    <row r="176" spans="1:10" x14ac:dyDescent="0.25">
      <c r="A176" s="59">
        <v>152</v>
      </c>
      <c r="B176" s="58"/>
      <c r="C176" s="32"/>
      <c r="D176" s="61"/>
      <c r="E176" s="33"/>
      <c r="F176" s="28" t="str">
        <f t="shared" si="15"/>
        <v/>
      </c>
      <c r="G176" s="29" t="str">
        <f t="shared" si="16"/>
        <v/>
      </c>
      <c r="H176" s="29" t="str">
        <f t="shared" si="17"/>
        <v/>
      </c>
      <c r="I176" s="30" t="str">
        <f t="shared" si="18"/>
        <v/>
      </c>
      <c r="J176" s="31" t="str">
        <f t="shared" si="19"/>
        <v/>
      </c>
    </row>
    <row r="177" spans="1:10" x14ac:dyDescent="0.25">
      <c r="A177" s="59">
        <v>153</v>
      </c>
      <c r="B177" s="58"/>
      <c r="C177" s="32"/>
      <c r="D177" s="62"/>
      <c r="E177" s="33"/>
      <c r="F177" s="28" t="str">
        <f t="shared" si="15"/>
        <v/>
      </c>
      <c r="G177" s="29" t="str">
        <f t="shared" si="16"/>
        <v/>
      </c>
      <c r="H177" s="29" t="str">
        <f t="shared" si="17"/>
        <v/>
      </c>
      <c r="I177" s="30" t="str">
        <f t="shared" si="18"/>
        <v/>
      </c>
      <c r="J177" s="31" t="str">
        <f t="shared" si="19"/>
        <v/>
      </c>
    </row>
    <row r="178" spans="1:10" x14ac:dyDescent="0.25">
      <c r="A178" s="59">
        <v>154</v>
      </c>
      <c r="B178" s="58"/>
      <c r="C178" s="32"/>
      <c r="D178" s="62"/>
      <c r="E178" s="33"/>
      <c r="F178" s="28" t="str">
        <f t="shared" si="15"/>
        <v/>
      </c>
      <c r="G178" s="29" t="str">
        <f t="shared" si="16"/>
        <v/>
      </c>
      <c r="H178" s="29" t="str">
        <f t="shared" si="17"/>
        <v/>
      </c>
      <c r="I178" s="30" t="str">
        <f t="shared" si="18"/>
        <v/>
      </c>
      <c r="J178" s="31" t="str">
        <f t="shared" si="19"/>
        <v/>
      </c>
    </row>
    <row r="179" spans="1:10" x14ac:dyDescent="0.25">
      <c r="A179" s="59">
        <v>155</v>
      </c>
      <c r="B179" s="58"/>
      <c r="C179" s="32"/>
      <c r="D179" s="62"/>
      <c r="E179" s="33"/>
      <c r="F179" s="28" t="str">
        <f t="shared" si="15"/>
        <v/>
      </c>
      <c r="G179" s="29" t="str">
        <f t="shared" si="16"/>
        <v/>
      </c>
      <c r="H179" s="29" t="str">
        <f t="shared" si="17"/>
        <v/>
      </c>
      <c r="I179" s="30" t="str">
        <f t="shared" si="18"/>
        <v/>
      </c>
      <c r="J179" s="31" t="str">
        <f t="shared" si="19"/>
        <v/>
      </c>
    </row>
    <row r="180" spans="1:10" x14ac:dyDescent="0.25">
      <c r="A180" s="59">
        <v>156</v>
      </c>
      <c r="B180" s="58"/>
      <c r="C180" s="32"/>
      <c r="D180" s="62"/>
      <c r="E180" s="33"/>
      <c r="F180" s="28" t="str">
        <f t="shared" si="15"/>
        <v/>
      </c>
      <c r="G180" s="29" t="str">
        <f t="shared" si="16"/>
        <v/>
      </c>
      <c r="H180" s="29" t="str">
        <f t="shared" si="17"/>
        <v/>
      </c>
      <c r="I180" s="30" t="str">
        <f t="shared" si="18"/>
        <v/>
      </c>
      <c r="J180" s="31" t="str">
        <f t="shared" si="19"/>
        <v/>
      </c>
    </row>
    <row r="181" spans="1:10" x14ac:dyDescent="0.25">
      <c r="A181" s="59">
        <v>157</v>
      </c>
      <c r="B181" s="58"/>
      <c r="C181" s="32"/>
      <c r="D181" s="60"/>
      <c r="E181" s="33"/>
      <c r="F181" s="28" t="str">
        <f t="shared" si="15"/>
        <v/>
      </c>
      <c r="G181" s="29" t="str">
        <f t="shared" si="16"/>
        <v/>
      </c>
      <c r="H181" s="29" t="str">
        <f t="shared" si="17"/>
        <v/>
      </c>
      <c r="I181" s="30" t="str">
        <f t="shared" si="18"/>
        <v/>
      </c>
      <c r="J181" s="31" t="str">
        <f t="shared" si="19"/>
        <v/>
      </c>
    </row>
    <row r="182" spans="1:10" x14ac:dyDescent="0.25">
      <c r="A182" s="59">
        <v>158</v>
      </c>
      <c r="B182" s="58"/>
      <c r="C182" s="32"/>
      <c r="D182" s="60"/>
      <c r="E182" s="33"/>
      <c r="F182" s="28" t="str">
        <f t="shared" si="15"/>
        <v/>
      </c>
      <c r="G182" s="29" t="str">
        <f t="shared" si="16"/>
        <v/>
      </c>
      <c r="H182" s="29" t="str">
        <f t="shared" si="17"/>
        <v/>
      </c>
      <c r="I182" s="30" t="str">
        <f t="shared" si="18"/>
        <v/>
      </c>
      <c r="J182" s="31" t="str">
        <f t="shared" si="19"/>
        <v/>
      </c>
    </row>
    <row r="183" spans="1:10" x14ac:dyDescent="0.25">
      <c r="A183" s="59">
        <v>159</v>
      </c>
      <c r="B183" s="58"/>
      <c r="C183" s="32"/>
      <c r="D183" s="61"/>
      <c r="E183" s="33"/>
      <c r="F183" s="28" t="str">
        <f t="shared" si="15"/>
        <v/>
      </c>
      <c r="G183" s="29" t="str">
        <f t="shared" si="16"/>
        <v/>
      </c>
      <c r="H183" s="29" t="str">
        <f t="shared" si="17"/>
        <v/>
      </c>
      <c r="I183" s="30" t="str">
        <f t="shared" si="18"/>
        <v/>
      </c>
      <c r="J183" s="31" t="str">
        <f t="shared" si="19"/>
        <v/>
      </c>
    </row>
    <row r="184" spans="1:10" x14ac:dyDescent="0.25">
      <c r="A184" s="59">
        <v>160</v>
      </c>
      <c r="B184" s="58"/>
      <c r="C184" s="32"/>
      <c r="D184" s="61"/>
      <c r="E184" s="33"/>
      <c r="F184" s="28" t="str">
        <f t="shared" si="15"/>
        <v/>
      </c>
      <c r="G184" s="29" t="str">
        <f t="shared" si="16"/>
        <v/>
      </c>
      <c r="H184" s="29" t="str">
        <f t="shared" si="17"/>
        <v/>
      </c>
      <c r="I184" s="30" t="str">
        <f t="shared" si="18"/>
        <v/>
      </c>
      <c r="J184" s="31" t="str">
        <f t="shared" si="19"/>
        <v/>
      </c>
    </row>
    <row r="185" spans="1:10" x14ac:dyDescent="0.25">
      <c r="A185" s="59">
        <v>161</v>
      </c>
      <c r="B185" s="58"/>
      <c r="C185" s="32"/>
      <c r="D185" s="61"/>
      <c r="E185" s="33"/>
      <c r="F185" s="28" t="str">
        <f t="shared" si="15"/>
        <v/>
      </c>
      <c r="G185" s="29" t="str">
        <f t="shared" si="16"/>
        <v/>
      </c>
      <c r="H185" s="29" t="str">
        <f t="shared" si="17"/>
        <v/>
      </c>
      <c r="I185" s="30" t="str">
        <f t="shared" si="18"/>
        <v/>
      </c>
      <c r="J185" s="31" t="str">
        <f t="shared" si="19"/>
        <v/>
      </c>
    </row>
    <row r="186" spans="1:10" x14ac:dyDescent="0.25">
      <c r="A186" s="59">
        <v>162</v>
      </c>
      <c r="B186" s="58"/>
      <c r="C186" s="32"/>
      <c r="D186" s="62"/>
      <c r="E186" s="33"/>
      <c r="F186" s="28" t="str">
        <f t="shared" si="15"/>
        <v/>
      </c>
      <c r="G186" s="29" t="str">
        <f t="shared" si="16"/>
        <v/>
      </c>
      <c r="H186" s="29" t="str">
        <f t="shared" si="17"/>
        <v/>
      </c>
      <c r="I186" s="30" t="str">
        <f t="shared" si="18"/>
        <v/>
      </c>
      <c r="J186" s="31" t="str">
        <f t="shared" si="19"/>
        <v/>
      </c>
    </row>
    <row r="187" spans="1:10" x14ac:dyDescent="0.25">
      <c r="A187" s="59">
        <v>163</v>
      </c>
      <c r="B187" s="58"/>
      <c r="C187" s="32"/>
      <c r="D187" s="62"/>
      <c r="E187" s="33"/>
      <c r="F187" s="28" t="str">
        <f t="shared" si="15"/>
        <v/>
      </c>
      <c r="G187" s="29" t="str">
        <f t="shared" si="16"/>
        <v/>
      </c>
      <c r="H187" s="29" t="str">
        <f t="shared" si="17"/>
        <v/>
      </c>
      <c r="I187" s="30" t="str">
        <f t="shared" si="18"/>
        <v/>
      </c>
      <c r="J187" s="31" t="str">
        <f t="shared" si="19"/>
        <v/>
      </c>
    </row>
    <row r="188" spans="1:10" x14ac:dyDescent="0.25">
      <c r="A188" s="59">
        <v>164</v>
      </c>
      <c r="B188" s="58"/>
      <c r="C188" s="32"/>
      <c r="D188" s="61"/>
      <c r="E188" s="33"/>
      <c r="F188" s="28" t="str">
        <f t="shared" si="15"/>
        <v/>
      </c>
      <c r="G188" s="29" t="str">
        <f t="shared" si="16"/>
        <v/>
      </c>
      <c r="H188" s="29" t="str">
        <f t="shared" si="17"/>
        <v/>
      </c>
      <c r="I188" s="30" t="str">
        <f t="shared" si="18"/>
        <v/>
      </c>
      <c r="J188" s="31" t="str">
        <f t="shared" si="19"/>
        <v/>
      </c>
    </row>
    <row r="189" spans="1:10" x14ac:dyDescent="0.25">
      <c r="A189" s="59">
        <v>165</v>
      </c>
      <c r="B189" s="58"/>
      <c r="C189" s="32"/>
      <c r="D189" s="62"/>
      <c r="E189" s="33"/>
      <c r="F189" s="28" t="str">
        <f t="shared" si="15"/>
        <v/>
      </c>
      <c r="G189" s="29" t="str">
        <f t="shared" si="16"/>
        <v/>
      </c>
      <c r="H189" s="29" t="str">
        <f t="shared" si="17"/>
        <v/>
      </c>
      <c r="I189" s="30" t="str">
        <f t="shared" si="18"/>
        <v/>
      </c>
      <c r="J189" s="31" t="str">
        <f t="shared" si="19"/>
        <v/>
      </c>
    </row>
    <row r="190" spans="1:10" x14ac:dyDescent="0.25">
      <c r="A190" s="59">
        <v>166</v>
      </c>
      <c r="B190" s="58"/>
      <c r="C190" s="32"/>
      <c r="D190" s="62"/>
      <c r="E190" s="33"/>
      <c r="F190" s="28" t="str">
        <f t="shared" si="15"/>
        <v/>
      </c>
      <c r="G190" s="29" t="str">
        <f t="shared" si="16"/>
        <v/>
      </c>
      <c r="H190" s="29" t="str">
        <f t="shared" si="17"/>
        <v/>
      </c>
      <c r="I190" s="30" t="str">
        <f t="shared" si="18"/>
        <v/>
      </c>
      <c r="J190" s="31" t="str">
        <f t="shared" si="19"/>
        <v/>
      </c>
    </row>
    <row r="191" spans="1:10" x14ac:dyDescent="0.25">
      <c r="A191" s="59">
        <v>167</v>
      </c>
      <c r="B191" s="58"/>
      <c r="C191" s="32"/>
      <c r="D191" s="62"/>
      <c r="E191" s="33"/>
      <c r="F191" s="28" t="str">
        <f t="shared" si="15"/>
        <v/>
      </c>
      <c r="G191" s="29" t="str">
        <f t="shared" si="16"/>
        <v/>
      </c>
      <c r="H191" s="29" t="str">
        <f t="shared" si="17"/>
        <v/>
      </c>
      <c r="I191" s="30" t="str">
        <f t="shared" si="18"/>
        <v/>
      </c>
      <c r="J191" s="31" t="str">
        <f t="shared" si="19"/>
        <v/>
      </c>
    </row>
    <row r="192" spans="1:10" x14ac:dyDescent="0.25">
      <c r="A192" s="59">
        <v>168</v>
      </c>
      <c r="B192" s="58"/>
      <c r="C192" s="32"/>
      <c r="D192" s="62"/>
      <c r="E192" s="33"/>
      <c r="F192" s="28" t="str">
        <f t="shared" si="15"/>
        <v/>
      </c>
      <c r="G192" s="29" t="str">
        <f t="shared" si="16"/>
        <v/>
      </c>
      <c r="H192" s="29" t="str">
        <f t="shared" si="17"/>
        <v/>
      </c>
      <c r="I192" s="30" t="str">
        <f t="shared" si="18"/>
        <v/>
      </c>
      <c r="J192" s="31" t="str">
        <f t="shared" si="19"/>
        <v/>
      </c>
    </row>
    <row r="193" spans="1:10" x14ac:dyDescent="0.25">
      <c r="A193" s="59">
        <v>169</v>
      </c>
      <c r="B193" s="58"/>
      <c r="C193" s="32"/>
      <c r="D193" s="60"/>
      <c r="E193" s="33"/>
      <c r="F193" s="28" t="str">
        <f t="shared" si="15"/>
        <v/>
      </c>
      <c r="G193" s="29" t="str">
        <f t="shared" si="16"/>
        <v/>
      </c>
      <c r="H193" s="29" t="str">
        <f t="shared" si="17"/>
        <v/>
      </c>
      <c r="I193" s="30" t="str">
        <f t="shared" si="18"/>
        <v/>
      </c>
      <c r="J193" s="31" t="str">
        <f t="shared" si="19"/>
        <v/>
      </c>
    </row>
    <row r="194" spans="1:10" x14ac:dyDescent="0.25">
      <c r="A194" s="59">
        <v>170</v>
      </c>
      <c r="B194" s="58"/>
      <c r="C194" s="32"/>
      <c r="D194" s="60"/>
      <c r="E194" s="33"/>
      <c r="F194" s="28" t="str">
        <f t="shared" si="15"/>
        <v/>
      </c>
      <c r="G194" s="29" t="str">
        <f t="shared" si="16"/>
        <v/>
      </c>
      <c r="H194" s="29" t="str">
        <f t="shared" si="17"/>
        <v/>
      </c>
      <c r="I194" s="30" t="str">
        <f t="shared" si="18"/>
        <v/>
      </c>
      <c r="J194" s="31" t="str">
        <f t="shared" si="19"/>
        <v/>
      </c>
    </row>
    <row r="195" spans="1:10" x14ac:dyDescent="0.25">
      <c r="A195" s="59">
        <v>171</v>
      </c>
      <c r="B195" s="58"/>
      <c r="C195" s="32"/>
      <c r="D195" s="61"/>
      <c r="E195" s="33"/>
      <c r="F195" s="28" t="str">
        <f t="shared" si="15"/>
        <v/>
      </c>
      <c r="G195" s="29" t="str">
        <f t="shared" si="16"/>
        <v/>
      </c>
      <c r="H195" s="29" t="str">
        <f t="shared" si="17"/>
        <v/>
      </c>
      <c r="I195" s="30" t="str">
        <f t="shared" si="18"/>
        <v/>
      </c>
      <c r="J195" s="31" t="str">
        <f t="shared" si="19"/>
        <v/>
      </c>
    </row>
    <row r="196" spans="1:10" x14ac:dyDescent="0.25">
      <c r="A196" s="59">
        <v>172</v>
      </c>
      <c r="B196" s="58"/>
      <c r="C196" s="32"/>
      <c r="D196" s="61"/>
      <c r="E196" s="33"/>
      <c r="F196" s="28" t="str">
        <f t="shared" si="15"/>
        <v/>
      </c>
      <c r="G196" s="29" t="str">
        <f t="shared" si="16"/>
        <v/>
      </c>
      <c r="H196" s="29" t="str">
        <f t="shared" si="17"/>
        <v/>
      </c>
      <c r="I196" s="30" t="str">
        <f t="shared" si="18"/>
        <v/>
      </c>
      <c r="J196" s="31" t="str">
        <f t="shared" si="19"/>
        <v/>
      </c>
    </row>
    <row r="197" spans="1:10" x14ac:dyDescent="0.25">
      <c r="A197" s="59">
        <v>173</v>
      </c>
      <c r="B197" s="58"/>
      <c r="C197" s="32"/>
      <c r="D197" s="61"/>
      <c r="E197" s="33"/>
      <c r="F197" s="28" t="str">
        <f t="shared" si="15"/>
        <v/>
      </c>
      <c r="G197" s="29" t="str">
        <f t="shared" si="16"/>
        <v/>
      </c>
      <c r="H197" s="29" t="str">
        <f t="shared" si="17"/>
        <v/>
      </c>
      <c r="I197" s="30" t="str">
        <f t="shared" si="18"/>
        <v/>
      </c>
      <c r="J197" s="31" t="str">
        <f t="shared" si="19"/>
        <v/>
      </c>
    </row>
    <row r="198" spans="1:10" x14ac:dyDescent="0.25">
      <c r="A198" s="59">
        <v>174</v>
      </c>
      <c r="B198" s="58"/>
      <c r="C198" s="32"/>
      <c r="D198" s="62"/>
      <c r="E198" s="33"/>
      <c r="F198" s="28" t="str">
        <f t="shared" si="15"/>
        <v/>
      </c>
      <c r="G198" s="29" t="str">
        <f t="shared" si="16"/>
        <v/>
      </c>
      <c r="H198" s="29" t="str">
        <f t="shared" si="17"/>
        <v/>
      </c>
      <c r="I198" s="30" t="str">
        <f t="shared" si="18"/>
        <v/>
      </c>
      <c r="J198" s="31" t="str">
        <f t="shared" si="19"/>
        <v/>
      </c>
    </row>
    <row r="199" spans="1:10" x14ac:dyDescent="0.25">
      <c r="A199" s="59">
        <v>175</v>
      </c>
      <c r="B199" s="58"/>
      <c r="C199" s="32"/>
      <c r="D199" s="62"/>
      <c r="E199" s="33"/>
      <c r="F199" s="28" t="str">
        <f t="shared" si="15"/>
        <v/>
      </c>
      <c r="G199" s="29" t="str">
        <f t="shared" si="16"/>
        <v/>
      </c>
      <c r="H199" s="29" t="str">
        <f t="shared" si="17"/>
        <v/>
      </c>
      <c r="I199" s="30" t="str">
        <f t="shared" si="18"/>
        <v/>
      </c>
      <c r="J199" s="31" t="str">
        <f t="shared" si="19"/>
        <v/>
      </c>
    </row>
    <row r="200" spans="1:10" x14ac:dyDescent="0.25">
      <c r="A200" s="59">
        <v>176</v>
      </c>
      <c r="B200" s="58"/>
      <c r="C200" s="32"/>
      <c r="D200" s="61"/>
      <c r="E200" s="33"/>
      <c r="F200" s="28" t="str">
        <f t="shared" si="15"/>
        <v/>
      </c>
      <c r="G200" s="29" t="str">
        <f t="shared" si="16"/>
        <v/>
      </c>
      <c r="H200" s="29" t="str">
        <f t="shared" si="17"/>
        <v/>
      </c>
      <c r="I200" s="30" t="str">
        <f t="shared" si="18"/>
        <v/>
      </c>
      <c r="J200" s="31" t="str">
        <f t="shared" si="19"/>
        <v/>
      </c>
    </row>
    <row r="201" spans="1:10" x14ac:dyDescent="0.25">
      <c r="A201" s="59">
        <v>177</v>
      </c>
      <c r="B201" s="58"/>
      <c r="C201" s="32"/>
      <c r="D201" s="62"/>
      <c r="E201" s="33"/>
      <c r="F201" s="28" t="str">
        <f t="shared" si="15"/>
        <v/>
      </c>
      <c r="G201" s="29" t="str">
        <f t="shared" si="16"/>
        <v/>
      </c>
      <c r="H201" s="29" t="str">
        <f t="shared" si="17"/>
        <v/>
      </c>
      <c r="I201" s="30" t="str">
        <f t="shared" si="18"/>
        <v/>
      </c>
      <c r="J201" s="31" t="str">
        <f t="shared" si="19"/>
        <v/>
      </c>
    </row>
    <row r="202" spans="1:10" x14ac:dyDescent="0.25">
      <c r="A202" s="59">
        <v>178</v>
      </c>
      <c r="B202" s="58"/>
      <c r="C202" s="32"/>
      <c r="D202" s="62"/>
      <c r="E202" s="33"/>
      <c r="F202" s="28" t="str">
        <f t="shared" si="15"/>
        <v/>
      </c>
      <c r="G202" s="29" t="str">
        <f t="shared" si="16"/>
        <v/>
      </c>
      <c r="H202" s="29" t="str">
        <f t="shared" si="17"/>
        <v/>
      </c>
      <c r="I202" s="30" t="str">
        <f t="shared" si="18"/>
        <v/>
      </c>
      <c r="J202" s="31" t="str">
        <f t="shared" si="19"/>
        <v/>
      </c>
    </row>
    <row r="203" spans="1:10" x14ac:dyDescent="0.25">
      <c r="A203" s="59">
        <v>179</v>
      </c>
      <c r="B203" s="58"/>
      <c r="C203" s="32"/>
      <c r="D203" s="62"/>
      <c r="E203" s="33"/>
      <c r="F203" s="28" t="str">
        <f t="shared" si="15"/>
        <v/>
      </c>
      <c r="G203" s="29" t="str">
        <f t="shared" si="16"/>
        <v/>
      </c>
      <c r="H203" s="29" t="str">
        <f t="shared" si="17"/>
        <v/>
      </c>
      <c r="I203" s="30" t="str">
        <f t="shared" si="18"/>
        <v/>
      </c>
      <c r="J203" s="31" t="str">
        <f t="shared" si="19"/>
        <v/>
      </c>
    </row>
    <row r="204" spans="1:10" x14ac:dyDescent="0.25">
      <c r="A204" s="59">
        <v>180</v>
      </c>
      <c r="B204" s="58"/>
      <c r="C204" s="32"/>
      <c r="D204" s="62"/>
      <c r="E204" s="33"/>
      <c r="F204" s="28" t="str">
        <f t="shared" si="15"/>
        <v/>
      </c>
      <c r="G204" s="29" t="str">
        <f t="shared" si="16"/>
        <v/>
      </c>
      <c r="H204" s="29" t="str">
        <f t="shared" si="17"/>
        <v/>
      </c>
      <c r="I204" s="30" t="str">
        <f t="shared" si="18"/>
        <v/>
      </c>
      <c r="J204" s="31" t="str">
        <f t="shared" si="19"/>
        <v/>
      </c>
    </row>
    <row r="205" spans="1:10" x14ac:dyDescent="0.25">
      <c r="A205" s="59">
        <v>181</v>
      </c>
      <c r="B205" s="58"/>
      <c r="C205" s="32"/>
      <c r="D205" s="60"/>
      <c r="E205" s="33"/>
      <c r="F205" s="28" t="str">
        <f t="shared" si="15"/>
        <v/>
      </c>
      <c r="G205" s="29" t="str">
        <f t="shared" si="16"/>
        <v/>
      </c>
      <c r="H205" s="29" t="str">
        <f t="shared" si="17"/>
        <v/>
      </c>
      <c r="I205" s="30" t="str">
        <f t="shared" si="18"/>
        <v/>
      </c>
      <c r="J205" s="31" t="str">
        <f t="shared" si="19"/>
        <v/>
      </c>
    </row>
    <row r="206" spans="1:10" x14ac:dyDescent="0.25">
      <c r="A206" s="59">
        <v>182</v>
      </c>
      <c r="B206" s="58"/>
      <c r="C206" s="32"/>
      <c r="D206" s="60"/>
      <c r="E206" s="33"/>
      <c r="F206" s="28" t="str">
        <f t="shared" si="15"/>
        <v/>
      </c>
      <c r="G206" s="29" t="str">
        <f t="shared" si="16"/>
        <v/>
      </c>
      <c r="H206" s="29" t="str">
        <f t="shared" si="17"/>
        <v/>
      </c>
      <c r="I206" s="30" t="str">
        <f t="shared" si="18"/>
        <v/>
      </c>
      <c r="J206" s="31" t="str">
        <f t="shared" si="19"/>
        <v/>
      </c>
    </row>
    <row r="207" spans="1:10" x14ac:dyDescent="0.25">
      <c r="A207" s="59">
        <v>183</v>
      </c>
      <c r="B207" s="58"/>
      <c r="C207" s="32"/>
      <c r="D207" s="61"/>
      <c r="E207" s="33"/>
      <c r="F207" s="28" t="str">
        <f t="shared" si="15"/>
        <v/>
      </c>
      <c r="G207" s="29" t="str">
        <f t="shared" si="16"/>
        <v/>
      </c>
      <c r="H207" s="29" t="str">
        <f t="shared" si="17"/>
        <v/>
      </c>
      <c r="I207" s="30" t="str">
        <f t="shared" si="18"/>
        <v/>
      </c>
      <c r="J207" s="31" t="str">
        <f t="shared" si="19"/>
        <v/>
      </c>
    </row>
    <row r="208" spans="1:10" x14ac:dyDescent="0.25">
      <c r="A208" s="59">
        <v>184</v>
      </c>
      <c r="B208" s="58"/>
      <c r="C208" s="32"/>
      <c r="D208" s="61"/>
      <c r="E208" s="33"/>
      <c r="F208" s="28" t="str">
        <f t="shared" si="15"/>
        <v/>
      </c>
      <c r="G208" s="29" t="str">
        <f t="shared" si="16"/>
        <v/>
      </c>
      <c r="H208" s="29" t="str">
        <f t="shared" si="17"/>
        <v/>
      </c>
      <c r="I208" s="30" t="str">
        <f t="shared" si="18"/>
        <v/>
      </c>
      <c r="J208" s="31" t="str">
        <f t="shared" si="19"/>
        <v/>
      </c>
    </row>
    <row r="209" spans="1:10" x14ac:dyDescent="0.25">
      <c r="A209" s="59">
        <v>185</v>
      </c>
      <c r="B209" s="58"/>
      <c r="C209" s="32"/>
      <c r="D209" s="61"/>
      <c r="E209" s="33"/>
      <c r="F209" s="28" t="str">
        <f t="shared" si="15"/>
        <v/>
      </c>
      <c r="G209" s="29" t="str">
        <f t="shared" si="16"/>
        <v/>
      </c>
      <c r="H209" s="29" t="str">
        <f t="shared" si="17"/>
        <v/>
      </c>
      <c r="I209" s="30" t="str">
        <f t="shared" si="18"/>
        <v/>
      </c>
      <c r="J209" s="31" t="str">
        <f t="shared" si="19"/>
        <v/>
      </c>
    </row>
    <row r="210" spans="1:10" x14ac:dyDescent="0.25">
      <c r="A210" s="59">
        <v>186</v>
      </c>
      <c r="B210" s="58"/>
      <c r="C210" s="32"/>
      <c r="D210" s="62"/>
      <c r="E210" s="33"/>
      <c r="F210" s="28" t="str">
        <f t="shared" si="15"/>
        <v/>
      </c>
      <c r="G210" s="29" t="str">
        <f t="shared" si="16"/>
        <v/>
      </c>
      <c r="H210" s="29" t="str">
        <f t="shared" si="17"/>
        <v/>
      </c>
      <c r="I210" s="30" t="str">
        <f t="shared" si="18"/>
        <v/>
      </c>
      <c r="J210" s="31" t="str">
        <f t="shared" si="19"/>
        <v/>
      </c>
    </row>
    <row r="211" spans="1:10" x14ac:dyDescent="0.25">
      <c r="A211" s="59">
        <v>187</v>
      </c>
      <c r="B211" s="58"/>
      <c r="C211" s="32"/>
      <c r="D211" s="62"/>
      <c r="E211" s="33"/>
      <c r="F211" s="28" t="str">
        <f t="shared" si="15"/>
        <v/>
      </c>
      <c r="G211" s="29" t="str">
        <f t="shared" si="16"/>
        <v/>
      </c>
      <c r="H211" s="29" t="str">
        <f t="shared" si="17"/>
        <v/>
      </c>
      <c r="I211" s="30" t="str">
        <f t="shared" si="18"/>
        <v/>
      </c>
      <c r="J211" s="31" t="str">
        <f t="shared" si="19"/>
        <v/>
      </c>
    </row>
    <row r="212" spans="1:10" x14ac:dyDescent="0.25">
      <c r="A212" s="59">
        <v>188</v>
      </c>
      <c r="B212" s="58"/>
      <c r="C212" s="32"/>
      <c r="D212" s="61"/>
      <c r="E212" s="33"/>
      <c r="F212" s="28" t="str">
        <f t="shared" si="15"/>
        <v/>
      </c>
      <c r="G212" s="29" t="str">
        <f t="shared" si="16"/>
        <v/>
      </c>
      <c r="H212" s="29" t="str">
        <f t="shared" si="17"/>
        <v/>
      </c>
      <c r="I212" s="30" t="str">
        <f t="shared" si="18"/>
        <v/>
      </c>
      <c r="J212" s="31" t="str">
        <f t="shared" si="19"/>
        <v/>
      </c>
    </row>
    <row r="213" spans="1:10" x14ac:dyDescent="0.25">
      <c r="A213" s="59">
        <v>189</v>
      </c>
      <c r="B213" s="58"/>
      <c r="C213" s="32"/>
      <c r="D213" s="62"/>
      <c r="E213" s="33"/>
      <c r="F213" s="28" t="str">
        <f t="shared" si="15"/>
        <v/>
      </c>
      <c r="G213" s="29" t="str">
        <f t="shared" si="16"/>
        <v/>
      </c>
      <c r="H213" s="29" t="str">
        <f t="shared" si="17"/>
        <v/>
      </c>
      <c r="I213" s="30" t="str">
        <f t="shared" si="18"/>
        <v/>
      </c>
      <c r="J213" s="31" t="str">
        <f t="shared" si="19"/>
        <v/>
      </c>
    </row>
    <row r="214" spans="1:10" x14ac:dyDescent="0.25">
      <c r="A214" s="59">
        <v>190</v>
      </c>
      <c r="B214" s="58"/>
      <c r="C214" s="32"/>
      <c r="D214" s="62"/>
      <c r="E214" s="33"/>
      <c r="F214" s="28" t="str">
        <f t="shared" si="15"/>
        <v/>
      </c>
      <c r="G214" s="29" t="str">
        <f t="shared" si="16"/>
        <v/>
      </c>
      <c r="H214" s="29" t="str">
        <f t="shared" si="17"/>
        <v/>
      </c>
      <c r="I214" s="30" t="str">
        <f t="shared" si="18"/>
        <v/>
      </c>
      <c r="J214" s="31" t="str">
        <f t="shared" si="19"/>
        <v/>
      </c>
    </row>
    <row r="215" spans="1:10" x14ac:dyDescent="0.25">
      <c r="A215" s="59">
        <v>191</v>
      </c>
      <c r="B215" s="58"/>
      <c r="C215" s="32"/>
      <c r="D215" s="62"/>
      <c r="E215" s="33"/>
      <c r="F215" s="28" t="str">
        <f t="shared" si="15"/>
        <v/>
      </c>
      <c r="G215" s="29" t="str">
        <f t="shared" si="16"/>
        <v/>
      </c>
      <c r="H215" s="29" t="str">
        <f t="shared" si="17"/>
        <v/>
      </c>
      <c r="I215" s="30" t="str">
        <f t="shared" si="18"/>
        <v/>
      </c>
      <c r="J215" s="31" t="str">
        <f t="shared" si="19"/>
        <v/>
      </c>
    </row>
    <row r="216" spans="1:10" x14ac:dyDescent="0.25">
      <c r="A216" s="59">
        <v>192</v>
      </c>
      <c r="B216" s="58"/>
      <c r="C216" s="32"/>
      <c r="D216" s="62"/>
      <c r="E216" s="33"/>
      <c r="F216" s="28" t="str">
        <f t="shared" si="15"/>
        <v/>
      </c>
      <c r="G216" s="29" t="str">
        <f t="shared" si="16"/>
        <v/>
      </c>
      <c r="H216" s="29" t="str">
        <f t="shared" si="17"/>
        <v/>
      </c>
      <c r="I216" s="30" t="str">
        <f t="shared" si="18"/>
        <v/>
      </c>
      <c r="J216" s="31" t="str">
        <f t="shared" si="19"/>
        <v/>
      </c>
    </row>
    <row r="217" spans="1:10" x14ac:dyDescent="0.25">
      <c r="A217" s="59">
        <v>193</v>
      </c>
      <c r="B217" s="58"/>
      <c r="C217" s="32"/>
      <c r="D217" s="60"/>
      <c r="E217" s="33"/>
      <c r="F217" s="28" t="str">
        <f t="shared" si="15"/>
        <v/>
      </c>
      <c r="G217" s="29" t="str">
        <f t="shared" si="16"/>
        <v/>
      </c>
      <c r="H217" s="29" t="str">
        <f t="shared" si="17"/>
        <v/>
      </c>
      <c r="I217" s="30" t="str">
        <f t="shared" si="18"/>
        <v/>
      </c>
      <c r="J217" s="31" t="str">
        <f t="shared" si="19"/>
        <v/>
      </c>
    </row>
    <row r="218" spans="1:10" x14ac:dyDescent="0.25">
      <c r="A218" s="59">
        <v>194</v>
      </c>
      <c r="B218" s="58"/>
      <c r="C218" s="32"/>
      <c r="D218" s="60"/>
      <c r="E218" s="33"/>
      <c r="F218" s="28" t="str">
        <f t="shared" si="15"/>
        <v/>
      </c>
      <c r="G218" s="29" t="str">
        <f t="shared" si="16"/>
        <v/>
      </c>
      <c r="H218" s="29" t="str">
        <f t="shared" si="17"/>
        <v/>
      </c>
      <c r="I218" s="30" t="str">
        <f t="shared" si="18"/>
        <v/>
      </c>
      <c r="J218" s="31" t="str">
        <f t="shared" si="19"/>
        <v/>
      </c>
    </row>
    <row r="219" spans="1:10" x14ac:dyDescent="0.25">
      <c r="A219" s="59">
        <v>195</v>
      </c>
      <c r="B219" s="58"/>
      <c r="C219" s="32"/>
      <c r="D219" s="61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61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61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62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62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61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62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62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62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62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60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60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61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61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61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62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62"/>
      <c r="E235" s="33"/>
      <c r="F235" s="28" t="str">
        <f t="shared" ref="F235:F298" si="20">IF(D235&lt;&gt;"",D235/$J$18,"")</f>
        <v/>
      </c>
      <c r="G235" s="29" t="str">
        <f t="shared" ref="G235:G298" si="21">IF(F235&lt;&gt;"",IF($J$17&gt;0.5,(E235/$J$17),(E235-$J$17)),"")</f>
        <v/>
      </c>
      <c r="H235" s="29" t="str">
        <f t="shared" ref="H235:H298" si="22">IF(F235&lt;&gt;"",ABS(G235-$J$16),"")</f>
        <v/>
      </c>
      <c r="I235" s="30" t="str">
        <f t="shared" ref="I235:I298" si="23">IF(F235&lt;&gt;"",H235*F235,"")</f>
        <v/>
      </c>
      <c r="J235" s="31" t="str">
        <f t="shared" ref="J235:J298" si="24">IF(F235&lt;&gt;"",I235*$J$19,"")</f>
        <v/>
      </c>
    </row>
    <row r="236" spans="1:10" x14ac:dyDescent="0.25">
      <c r="A236" s="59">
        <v>212</v>
      </c>
      <c r="B236" s="58"/>
      <c r="C236" s="32"/>
      <c r="D236" s="61"/>
      <c r="E236" s="33"/>
      <c r="F236" s="28" t="str">
        <f t="shared" si="20"/>
        <v/>
      </c>
      <c r="G236" s="29" t="str">
        <f t="shared" si="21"/>
        <v/>
      </c>
      <c r="H236" s="29" t="str">
        <f t="shared" si="22"/>
        <v/>
      </c>
      <c r="I236" s="30" t="str">
        <f t="shared" si="23"/>
        <v/>
      </c>
      <c r="J236" s="31" t="str">
        <f t="shared" si="24"/>
        <v/>
      </c>
    </row>
    <row r="237" spans="1:10" x14ac:dyDescent="0.25">
      <c r="A237" s="59">
        <v>213</v>
      </c>
      <c r="B237" s="58"/>
      <c r="C237" s="32"/>
      <c r="D237" s="62"/>
      <c r="E237" s="33"/>
      <c r="F237" s="28" t="str">
        <f t="shared" si="20"/>
        <v/>
      </c>
      <c r="G237" s="29" t="str">
        <f t="shared" si="21"/>
        <v/>
      </c>
      <c r="H237" s="29" t="str">
        <f t="shared" si="22"/>
        <v/>
      </c>
      <c r="I237" s="30" t="str">
        <f t="shared" si="23"/>
        <v/>
      </c>
      <c r="J237" s="31" t="str">
        <f t="shared" si="24"/>
        <v/>
      </c>
    </row>
    <row r="238" spans="1:10" x14ac:dyDescent="0.25">
      <c r="A238" s="59">
        <v>214</v>
      </c>
      <c r="B238" s="58"/>
      <c r="C238" s="32"/>
      <c r="D238" s="62"/>
      <c r="E238" s="33"/>
      <c r="F238" s="28" t="str">
        <f t="shared" si="20"/>
        <v/>
      </c>
      <c r="G238" s="29" t="str">
        <f t="shared" si="21"/>
        <v/>
      </c>
      <c r="H238" s="29" t="str">
        <f t="shared" si="22"/>
        <v/>
      </c>
      <c r="I238" s="30" t="str">
        <f t="shared" si="23"/>
        <v/>
      </c>
      <c r="J238" s="31" t="str">
        <f t="shared" si="24"/>
        <v/>
      </c>
    </row>
    <row r="239" spans="1:10" x14ac:dyDescent="0.25">
      <c r="A239" s="59">
        <v>215</v>
      </c>
      <c r="B239" s="58"/>
      <c r="C239" s="32"/>
      <c r="D239" s="62"/>
      <c r="E239" s="33"/>
      <c r="F239" s="28" t="str">
        <f t="shared" si="20"/>
        <v/>
      </c>
      <c r="G239" s="29" t="str">
        <f t="shared" si="21"/>
        <v/>
      </c>
      <c r="H239" s="29" t="str">
        <f t="shared" si="22"/>
        <v/>
      </c>
      <c r="I239" s="30" t="str">
        <f t="shared" si="23"/>
        <v/>
      </c>
      <c r="J239" s="31" t="str">
        <f t="shared" si="24"/>
        <v/>
      </c>
    </row>
    <row r="240" spans="1:10" x14ac:dyDescent="0.25">
      <c r="A240" s="59">
        <v>216</v>
      </c>
      <c r="B240" s="58"/>
      <c r="C240" s="32"/>
      <c r="D240" s="62"/>
      <c r="E240" s="33"/>
      <c r="F240" s="28" t="str">
        <f t="shared" si="20"/>
        <v/>
      </c>
      <c r="G240" s="29" t="str">
        <f t="shared" si="21"/>
        <v/>
      </c>
      <c r="H240" s="29" t="str">
        <f t="shared" si="22"/>
        <v/>
      </c>
      <c r="I240" s="30" t="str">
        <f t="shared" si="23"/>
        <v/>
      </c>
      <c r="J240" s="31" t="str">
        <f t="shared" si="24"/>
        <v/>
      </c>
    </row>
    <row r="241" spans="1:10" x14ac:dyDescent="0.25">
      <c r="A241" s="59">
        <v>217</v>
      </c>
      <c r="B241" s="58"/>
      <c r="C241" s="32"/>
      <c r="D241" s="60"/>
      <c r="E241" s="33"/>
      <c r="F241" s="28" t="str">
        <f t="shared" si="20"/>
        <v/>
      </c>
      <c r="G241" s="29" t="str">
        <f t="shared" si="21"/>
        <v/>
      </c>
      <c r="H241" s="29" t="str">
        <f t="shared" si="22"/>
        <v/>
      </c>
      <c r="I241" s="30" t="str">
        <f t="shared" si="23"/>
        <v/>
      </c>
      <c r="J241" s="31" t="str">
        <f t="shared" si="24"/>
        <v/>
      </c>
    </row>
    <row r="242" spans="1:10" x14ac:dyDescent="0.25">
      <c r="A242" s="59">
        <v>218</v>
      </c>
      <c r="B242" s="58"/>
      <c r="C242" s="32"/>
      <c r="D242" s="60"/>
      <c r="E242" s="33"/>
      <c r="F242" s="28" t="str">
        <f t="shared" si="20"/>
        <v/>
      </c>
      <c r="G242" s="29" t="str">
        <f t="shared" si="21"/>
        <v/>
      </c>
      <c r="H242" s="29" t="str">
        <f t="shared" si="22"/>
        <v/>
      </c>
      <c r="I242" s="30" t="str">
        <f t="shared" si="23"/>
        <v/>
      </c>
      <c r="J242" s="31" t="str">
        <f t="shared" si="24"/>
        <v/>
      </c>
    </row>
    <row r="243" spans="1:10" x14ac:dyDescent="0.25">
      <c r="A243" s="59">
        <v>219</v>
      </c>
      <c r="B243" s="58"/>
      <c r="C243" s="32"/>
      <c r="D243" s="61"/>
      <c r="E243" s="33"/>
      <c r="F243" s="28" t="str">
        <f t="shared" si="20"/>
        <v/>
      </c>
      <c r="G243" s="29" t="str">
        <f t="shared" si="21"/>
        <v/>
      </c>
      <c r="H243" s="29" t="str">
        <f t="shared" si="22"/>
        <v/>
      </c>
      <c r="I243" s="30" t="str">
        <f t="shared" si="23"/>
        <v/>
      </c>
      <c r="J243" s="31" t="str">
        <f t="shared" si="24"/>
        <v/>
      </c>
    </row>
    <row r="244" spans="1:10" x14ac:dyDescent="0.25">
      <c r="A244" s="59">
        <v>220</v>
      </c>
      <c r="B244" s="58"/>
      <c r="C244" s="32"/>
      <c r="D244" s="61"/>
      <c r="E244" s="33"/>
      <c r="F244" s="28" t="str">
        <f t="shared" si="20"/>
        <v/>
      </c>
      <c r="G244" s="29" t="str">
        <f t="shared" si="21"/>
        <v/>
      </c>
      <c r="H244" s="29" t="str">
        <f t="shared" si="22"/>
        <v/>
      </c>
      <c r="I244" s="30" t="str">
        <f t="shared" si="23"/>
        <v/>
      </c>
      <c r="J244" s="31" t="str">
        <f t="shared" si="24"/>
        <v/>
      </c>
    </row>
    <row r="245" spans="1:10" x14ac:dyDescent="0.25">
      <c r="A245" s="59">
        <v>221</v>
      </c>
      <c r="B245" s="58"/>
      <c r="C245" s="32"/>
      <c r="D245" s="61"/>
      <c r="E245" s="33"/>
      <c r="F245" s="28" t="str">
        <f t="shared" si="20"/>
        <v/>
      </c>
      <c r="G245" s="29" t="str">
        <f t="shared" si="21"/>
        <v/>
      </c>
      <c r="H245" s="29" t="str">
        <f t="shared" si="22"/>
        <v/>
      </c>
      <c r="I245" s="30" t="str">
        <f t="shared" si="23"/>
        <v/>
      </c>
      <c r="J245" s="31" t="str">
        <f t="shared" si="24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20"/>
        <v/>
      </c>
      <c r="G246" s="29" t="str">
        <f t="shared" si="21"/>
        <v/>
      </c>
      <c r="H246" s="29" t="str">
        <f t="shared" si="22"/>
        <v/>
      </c>
      <c r="I246" s="30" t="str">
        <f t="shared" si="23"/>
        <v/>
      </c>
      <c r="J246" s="31" t="str">
        <f t="shared" si="24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20"/>
        <v/>
      </c>
      <c r="G247" s="29" t="str">
        <f t="shared" si="21"/>
        <v/>
      </c>
      <c r="H247" s="29" t="str">
        <f t="shared" si="22"/>
        <v/>
      </c>
      <c r="I247" s="30" t="str">
        <f t="shared" si="23"/>
        <v/>
      </c>
      <c r="J247" s="31" t="str">
        <f t="shared" si="24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20"/>
        <v/>
      </c>
      <c r="G248" s="29" t="str">
        <f t="shared" si="21"/>
        <v/>
      </c>
      <c r="H248" s="29" t="str">
        <f t="shared" si="22"/>
        <v/>
      </c>
      <c r="I248" s="30" t="str">
        <f t="shared" si="23"/>
        <v/>
      </c>
      <c r="J248" s="31" t="str">
        <f t="shared" si="24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20"/>
        <v/>
      </c>
      <c r="G249" s="29" t="str">
        <f t="shared" si="21"/>
        <v/>
      </c>
      <c r="H249" s="29" t="str">
        <f t="shared" si="22"/>
        <v/>
      </c>
      <c r="I249" s="30" t="str">
        <f t="shared" si="23"/>
        <v/>
      </c>
      <c r="J249" s="31" t="str">
        <f t="shared" si="24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20"/>
        <v/>
      </c>
      <c r="G250" s="29" t="str">
        <f t="shared" si="21"/>
        <v/>
      </c>
      <c r="H250" s="29" t="str">
        <f t="shared" si="22"/>
        <v/>
      </c>
      <c r="I250" s="30" t="str">
        <f t="shared" si="23"/>
        <v/>
      </c>
      <c r="J250" s="31" t="str">
        <f t="shared" si="24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20"/>
        <v/>
      </c>
      <c r="G251" s="29" t="str">
        <f t="shared" si="21"/>
        <v/>
      </c>
      <c r="H251" s="29" t="str">
        <f t="shared" si="22"/>
        <v/>
      </c>
      <c r="I251" s="30" t="str">
        <f t="shared" si="23"/>
        <v/>
      </c>
      <c r="J251" s="31" t="str">
        <f t="shared" si="24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20"/>
        <v/>
      </c>
      <c r="G252" s="29" t="str">
        <f t="shared" si="21"/>
        <v/>
      </c>
      <c r="H252" s="29" t="str">
        <f t="shared" si="22"/>
        <v/>
      </c>
      <c r="I252" s="30" t="str">
        <f t="shared" si="23"/>
        <v/>
      </c>
      <c r="J252" s="31" t="str">
        <f t="shared" si="24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20"/>
        <v/>
      </c>
      <c r="G253" s="29" t="str">
        <f t="shared" si="21"/>
        <v/>
      </c>
      <c r="H253" s="29" t="str">
        <f t="shared" si="22"/>
        <v/>
      </c>
      <c r="I253" s="30" t="str">
        <f t="shared" si="23"/>
        <v/>
      </c>
      <c r="J253" s="31" t="str">
        <f t="shared" si="24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20"/>
        <v/>
      </c>
      <c r="G254" s="29" t="str">
        <f t="shared" si="21"/>
        <v/>
      </c>
      <c r="H254" s="29" t="str">
        <f t="shared" si="22"/>
        <v/>
      </c>
      <c r="I254" s="30" t="str">
        <f t="shared" si="23"/>
        <v/>
      </c>
      <c r="J254" s="31" t="str">
        <f t="shared" si="24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20"/>
        <v/>
      </c>
      <c r="G255" s="29" t="str">
        <f t="shared" si="21"/>
        <v/>
      </c>
      <c r="H255" s="29" t="str">
        <f t="shared" si="22"/>
        <v/>
      </c>
      <c r="I255" s="30" t="str">
        <f t="shared" si="23"/>
        <v/>
      </c>
      <c r="J255" s="31" t="str">
        <f t="shared" si="24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20"/>
        <v/>
      </c>
      <c r="G256" s="29" t="str">
        <f t="shared" si="21"/>
        <v/>
      </c>
      <c r="H256" s="29" t="str">
        <f t="shared" si="22"/>
        <v/>
      </c>
      <c r="I256" s="30" t="str">
        <f t="shared" si="23"/>
        <v/>
      </c>
      <c r="J256" s="31" t="str">
        <f t="shared" si="24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20"/>
        <v/>
      </c>
      <c r="G257" s="29" t="str">
        <f t="shared" si="21"/>
        <v/>
      </c>
      <c r="H257" s="29" t="str">
        <f t="shared" si="22"/>
        <v/>
      </c>
      <c r="I257" s="30" t="str">
        <f t="shared" si="23"/>
        <v/>
      </c>
      <c r="J257" s="31" t="str">
        <f t="shared" si="24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20"/>
        <v/>
      </c>
      <c r="G258" s="29" t="str">
        <f t="shared" si="21"/>
        <v/>
      </c>
      <c r="H258" s="29" t="str">
        <f t="shared" si="22"/>
        <v/>
      </c>
      <c r="I258" s="30" t="str">
        <f t="shared" si="23"/>
        <v/>
      </c>
      <c r="J258" s="31" t="str">
        <f t="shared" si="24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20"/>
        <v/>
      </c>
      <c r="G259" s="29" t="str">
        <f t="shared" si="21"/>
        <v/>
      </c>
      <c r="H259" s="29" t="str">
        <f t="shared" si="22"/>
        <v/>
      </c>
      <c r="I259" s="30" t="str">
        <f t="shared" si="23"/>
        <v/>
      </c>
      <c r="J259" s="31" t="str">
        <f t="shared" si="24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20"/>
        <v/>
      </c>
      <c r="G260" s="29" t="str">
        <f t="shared" si="21"/>
        <v/>
      </c>
      <c r="H260" s="29" t="str">
        <f t="shared" si="22"/>
        <v/>
      </c>
      <c r="I260" s="30" t="str">
        <f t="shared" si="23"/>
        <v/>
      </c>
      <c r="J260" s="31" t="str">
        <f t="shared" si="24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20"/>
        <v/>
      </c>
      <c r="G261" s="29" t="str">
        <f t="shared" si="21"/>
        <v/>
      </c>
      <c r="H261" s="29" t="str">
        <f t="shared" si="22"/>
        <v/>
      </c>
      <c r="I261" s="30" t="str">
        <f t="shared" si="23"/>
        <v/>
      </c>
      <c r="J261" s="31" t="str">
        <f t="shared" si="24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20"/>
        <v/>
      </c>
      <c r="G262" s="29" t="str">
        <f t="shared" si="21"/>
        <v/>
      </c>
      <c r="H262" s="29" t="str">
        <f t="shared" si="22"/>
        <v/>
      </c>
      <c r="I262" s="30" t="str">
        <f t="shared" si="23"/>
        <v/>
      </c>
      <c r="J262" s="31" t="str">
        <f t="shared" si="24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20"/>
        <v/>
      </c>
      <c r="G263" s="29" t="str">
        <f t="shared" si="21"/>
        <v/>
      </c>
      <c r="H263" s="29" t="str">
        <f t="shared" si="22"/>
        <v/>
      </c>
      <c r="I263" s="30" t="str">
        <f t="shared" si="23"/>
        <v/>
      </c>
      <c r="J263" s="31" t="str">
        <f t="shared" si="24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20"/>
        <v/>
      </c>
      <c r="G264" s="29" t="str">
        <f t="shared" si="21"/>
        <v/>
      </c>
      <c r="H264" s="29" t="str">
        <f t="shared" si="22"/>
        <v/>
      </c>
      <c r="I264" s="30" t="str">
        <f t="shared" si="23"/>
        <v/>
      </c>
      <c r="J264" s="31" t="str">
        <f t="shared" si="24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20"/>
        <v/>
      </c>
      <c r="G265" s="29" t="str">
        <f t="shared" si="21"/>
        <v/>
      </c>
      <c r="H265" s="29" t="str">
        <f t="shared" si="22"/>
        <v/>
      </c>
      <c r="I265" s="30" t="str">
        <f t="shared" si="23"/>
        <v/>
      </c>
      <c r="J265" s="31" t="str">
        <f t="shared" si="24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20"/>
        <v/>
      </c>
      <c r="G266" s="29" t="str">
        <f t="shared" si="21"/>
        <v/>
      </c>
      <c r="H266" s="29" t="str">
        <f t="shared" si="22"/>
        <v/>
      </c>
      <c r="I266" s="30" t="str">
        <f t="shared" si="23"/>
        <v/>
      </c>
      <c r="J266" s="31" t="str">
        <f t="shared" si="24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20"/>
        <v/>
      </c>
      <c r="G267" s="29" t="str">
        <f t="shared" si="21"/>
        <v/>
      </c>
      <c r="H267" s="29" t="str">
        <f t="shared" si="22"/>
        <v/>
      </c>
      <c r="I267" s="30" t="str">
        <f t="shared" si="23"/>
        <v/>
      </c>
      <c r="J267" s="31" t="str">
        <f t="shared" si="24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20"/>
        <v/>
      </c>
      <c r="G268" s="29" t="str">
        <f t="shared" si="21"/>
        <v/>
      </c>
      <c r="H268" s="29" t="str">
        <f t="shared" si="22"/>
        <v/>
      </c>
      <c r="I268" s="30" t="str">
        <f t="shared" si="23"/>
        <v/>
      </c>
      <c r="J268" s="31" t="str">
        <f t="shared" si="24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20"/>
        <v/>
      </c>
      <c r="G269" s="29" t="str">
        <f t="shared" si="21"/>
        <v/>
      </c>
      <c r="H269" s="29" t="str">
        <f t="shared" si="22"/>
        <v/>
      </c>
      <c r="I269" s="30" t="str">
        <f t="shared" si="23"/>
        <v/>
      </c>
      <c r="J269" s="31" t="str">
        <f t="shared" si="24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20"/>
        <v/>
      </c>
      <c r="G270" s="29" t="str">
        <f t="shared" si="21"/>
        <v/>
      </c>
      <c r="H270" s="29" t="str">
        <f t="shared" si="22"/>
        <v/>
      </c>
      <c r="I270" s="30" t="str">
        <f t="shared" si="23"/>
        <v/>
      </c>
      <c r="J270" s="31" t="str">
        <f t="shared" si="24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20"/>
        <v/>
      </c>
      <c r="G271" s="29" t="str">
        <f t="shared" si="21"/>
        <v/>
      </c>
      <c r="H271" s="29" t="str">
        <f t="shared" si="22"/>
        <v/>
      </c>
      <c r="I271" s="30" t="str">
        <f t="shared" si="23"/>
        <v/>
      </c>
      <c r="J271" s="31" t="str">
        <f t="shared" si="24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20"/>
        <v/>
      </c>
      <c r="G272" s="29" t="str">
        <f t="shared" si="21"/>
        <v/>
      </c>
      <c r="H272" s="29" t="str">
        <f t="shared" si="22"/>
        <v/>
      </c>
      <c r="I272" s="30" t="str">
        <f t="shared" si="23"/>
        <v/>
      </c>
      <c r="J272" s="31" t="str">
        <f t="shared" si="24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20"/>
        <v/>
      </c>
      <c r="G273" s="29" t="str">
        <f t="shared" si="21"/>
        <v/>
      </c>
      <c r="H273" s="29" t="str">
        <f t="shared" si="22"/>
        <v/>
      </c>
      <c r="I273" s="30" t="str">
        <f t="shared" si="23"/>
        <v/>
      </c>
      <c r="J273" s="31" t="str">
        <f t="shared" si="24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20"/>
        <v/>
      </c>
      <c r="G274" s="29" t="str">
        <f t="shared" si="21"/>
        <v/>
      </c>
      <c r="H274" s="29" t="str">
        <f t="shared" si="22"/>
        <v/>
      </c>
      <c r="I274" s="30" t="str">
        <f t="shared" si="23"/>
        <v/>
      </c>
      <c r="J274" s="31" t="str">
        <f t="shared" si="24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20"/>
        <v/>
      </c>
      <c r="G275" s="29" t="str">
        <f t="shared" si="21"/>
        <v/>
      </c>
      <c r="H275" s="29" t="str">
        <f t="shared" si="22"/>
        <v/>
      </c>
      <c r="I275" s="30" t="str">
        <f t="shared" si="23"/>
        <v/>
      </c>
      <c r="J275" s="31" t="str">
        <f t="shared" si="24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20"/>
        <v/>
      </c>
      <c r="G276" s="29" t="str">
        <f t="shared" si="21"/>
        <v/>
      </c>
      <c r="H276" s="29" t="str">
        <f t="shared" si="22"/>
        <v/>
      </c>
      <c r="I276" s="30" t="str">
        <f t="shared" si="23"/>
        <v/>
      </c>
      <c r="J276" s="31" t="str">
        <f t="shared" si="24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20"/>
        <v/>
      </c>
      <c r="G277" s="29" t="str">
        <f t="shared" si="21"/>
        <v/>
      </c>
      <c r="H277" s="29" t="str">
        <f t="shared" si="22"/>
        <v/>
      </c>
      <c r="I277" s="30" t="str">
        <f t="shared" si="23"/>
        <v/>
      </c>
      <c r="J277" s="31" t="str">
        <f t="shared" si="24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20"/>
        <v/>
      </c>
      <c r="G278" s="29" t="str">
        <f t="shared" si="21"/>
        <v/>
      </c>
      <c r="H278" s="29" t="str">
        <f t="shared" si="22"/>
        <v/>
      </c>
      <c r="I278" s="30" t="str">
        <f t="shared" si="23"/>
        <v/>
      </c>
      <c r="J278" s="31" t="str">
        <f t="shared" si="24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20"/>
        <v/>
      </c>
      <c r="G279" s="29" t="str">
        <f t="shared" si="21"/>
        <v/>
      </c>
      <c r="H279" s="29" t="str">
        <f t="shared" si="22"/>
        <v/>
      </c>
      <c r="I279" s="30" t="str">
        <f t="shared" si="23"/>
        <v/>
      </c>
      <c r="J279" s="31" t="str">
        <f t="shared" si="24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20"/>
        <v/>
      </c>
      <c r="G280" s="29" t="str">
        <f t="shared" si="21"/>
        <v/>
      </c>
      <c r="H280" s="29" t="str">
        <f t="shared" si="22"/>
        <v/>
      </c>
      <c r="I280" s="30" t="str">
        <f t="shared" si="23"/>
        <v/>
      </c>
      <c r="J280" s="31" t="str">
        <f t="shared" si="24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20"/>
        <v/>
      </c>
      <c r="G281" s="29" t="str">
        <f t="shared" si="21"/>
        <v/>
      </c>
      <c r="H281" s="29" t="str">
        <f t="shared" si="22"/>
        <v/>
      </c>
      <c r="I281" s="30" t="str">
        <f t="shared" si="23"/>
        <v/>
      </c>
      <c r="J281" s="31" t="str">
        <f t="shared" si="24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si="20"/>
        <v/>
      </c>
      <c r="G282" s="29" t="str">
        <f t="shared" si="21"/>
        <v/>
      </c>
      <c r="H282" s="29" t="str">
        <f t="shared" si="22"/>
        <v/>
      </c>
      <c r="I282" s="30" t="str">
        <f t="shared" si="23"/>
        <v/>
      </c>
      <c r="J282" s="31" t="str">
        <f t="shared" si="24"/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ref="F299:F362" si="25">IF(D299&lt;&gt;"",D299/$J$18,"")</f>
        <v/>
      </c>
      <c r="G299" s="29" t="str">
        <f t="shared" ref="G299:G362" si="26">IF(F299&lt;&gt;"",IF($J$17&gt;0.5,(E299/$J$17),(E299-$J$17)),"")</f>
        <v/>
      </c>
      <c r="H299" s="29" t="str">
        <f t="shared" ref="H299:H362" si="27">IF(F299&lt;&gt;"",ABS(G299-$J$16),"")</f>
        <v/>
      </c>
      <c r="I299" s="30" t="str">
        <f t="shared" ref="I299:I362" si="28">IF(F299&lt;&gt;"",H299*F299,"")</f>
        <v/>
      </c>
      <c r="J299" s="31" t="str">
        <f t="shared" ref="J299:J362" si="29">IF(F299&lt;&gt;"",I299*$J$19,"")</f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5"/>
        <v/>
      </c>
      <c r="G300" s="29" t="str">
        <f t="shared" si="26"/>
        <v/>
      </c>
      <c r="H300" s="29" t="str">
        <f t="shared" si="27"/>
        <v/>
      </c>
      <c r="I300" s="30" t="str">
        <f t="shared" si="28"/>
        <v/>
      </c>
      <c r="J300" s="31" t="str">
        <f t="shared" si="29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5"/>
        <v/>
      </c>
      <c r="G301" s="29" t="str">
        <f t="shared" si="26"/>
        <v/>
      </c>
      <c r="H301" s="29" t="str">
        <f t="shared" si="27"/>
        <v/>
      </c>
      <c r="I301" s="30" t="str">
        <f t="shared" si="28"/>
        <v/>
      </c>
      <c r="J301" s="31" t="str">
        <f t="shared" si="29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5"/>
        <v/>
      </c>
      <c r="G302" s="29" t="str">
        <f t="shared" si="26"/>
        <v/>
      </c>
      <c r="H302" s="29" t="str">
        <f t="shared" si="27"/>
        <v/>
      </c>
      <c r="I302" s="30" t="str">
        <f t="shared" si="28"/>
        <v/>
      </c>
      <c r="J302" s="31" t="str">
        <f t="shared" si="29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5"/>
        <v/>
      </c>
      <c r="G303" s="29" t="str">
        <f t="shared" si="26"/>
        <v/>
      </c>
      <c r="H303" s="29" t="str">
        <f t="shared" si="27"/>
        <v/>
      </c>
      <c r="I303" s="30" t="str">
        <f t="shared" si="28"/>
        <v/>
      </c>
      <c r="J303" s="31" t="str">
        <f t="shared" si="29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5"/>
        <v/>
      </c>
      <c r="G304" s="29" t="str">
        <f t="shared" si="26"/>
        <v/>
      </c>
      <c r="H304" s="29" t="str">
        <f t="shared" si="27"/>
        <v/>
      </c>
      <c r="I304" s="30" t="str">
        <f t="shared" si="28"/>
        <v/>
      </c>
      <c r="J304" s="31" t="str">
        <f t="shared" si="29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5"/>
        <v/>
      </c>
      <c r="G305" s="29" t="str">
        <f t="shared" si="26"/>
        <v/>
      </c>
      <c r="H305" s="29" t="str">
        <f t="shared" si="27"/>
        <v/>
      </c>
      <c r="I305" s="30" t="str">
        <f t="shared" si="28"/>
        <v/>
      </c>
      <c r="J305" s="31" t="str">
        <f t="shared" si="29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5"/>
        <v/>
      </c>
      <c r="G306" s="29" t="str">
        <f t="shared" si="26"/>
        <v/>
      </c>
      <c r="H306" s="29" t="str">
        <f t="shared" si="27"/>
        <v/>
      </c>
      <c r="I306" s="30" t="str">
        <f t="shared" si="28"/>
        <v/>
      </c>
      <c r="J306" s="31" t="str">
        <f t="shared" si="29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5"/>
        <v/>
      </c>
      <c r="G307" s="29" t="str">
        <f t="shared" si="26"/>
        <v/>
      </c>
      <c r="H307" s="29" t="str">
        <f t="shared" si="27"/>
        <v/>
      </c>
      <c r="I307" s="30" t="str">
        <f t="shared" si="28"/>
        <v/>
      </c>
      <c r="J307" s="31" t="str">
        <f t="shared" si="29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5"/>
        <v/>
      </c>
      <c r="G308" s="29" t="str">
        <f t="shared" si="26"/>
        <v/>
      </c>
      <c r="H308" s="29" t="str">
        <f t="shared" si="27"/>
        <v/>
      </c>
      <c r="I308" s="30" t="str">
        <f t="shared" si="28"/>
        <v/>
      </c>
      <c r="J308" s="31" t="str">
        <f t="shared" si="29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5"/>
        <v/>
      </c>
      <c r="G309" s="29" t="str">
        <f t="shared" si="26"/>
        <v/>
      </c>
      <c r="H309" s="29" t="str">
        <f t="shared" si="27"/>
        <v/>
      </c>
      <c r="I309" s="30" t="str">
        <f t="shared" si="28"/>
        <v/>
      </c>
      <c r="J309" s="31" t="str">
        <f t="shared" si="29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5"/>
        <v/>
      </c>
      <c r="G310" s="29" t="str">
        <f t="shared" si="26"/>
        <v/>
      </c>
      <c r="H310" s="29" t="str">
        <f t="shared" si="27"/>
        <v/>
      </c>
      <c r="I310" s="30" t="str">
        <f t="shared" si="28"/>
        <v/>
      </c>
      <c r="J310" s="31" t="str">
        <f t="shared" si="29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5"/>
        <v/>
      </c>
      <c r="G311" s="29" t="str">
        <f t="shared" si="26"/>
        <v/>
      </c>
      <c r="H311" s="29" t="str">
        <f t="shared" si="27"/>
        <v/>
      </c>
      <c r="I311" s="30" t="str">
        <f t="shared" si="28"/>
        <v/>
      </c>
      <c r="J311" s="31" t="str">
        <f t="shared" si="29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5"/>
        <v/>
      </c>
      <c r="G312" s="29" t="str">
        <f t="shared" si="26"/>
        <v/>
      </c>
      <c r="H312" s="29" t="str">
        <f t="shared" si="27"/>
        <v/>
      </c>
      <c r="I312" s="30" t="str">
        <f t="shared" si="28"/>
        <v/>
      </c>
      <c r="J312" s="31" t="str">
        <f t="shared" si="29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5"/>
        <v/>
      </c>
      <c r="G313" s="29" t="str">
        <f t="shared" si="26"/>
        <v/>
      </c>
      <c r="H313" s="29" t="str">
        <f t="shared" si="27"/>
        <v/>
      </c>
      <c r="I313" s="30" t="str">
        <f t="shared" si="28"/>
        <v/>
      </c>
      <c r="J313" s="31" t="str">
        <f t="shared" si="29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5"/>
        <v/>
      </c>
      <c r="G314" s="29" t="str">
        <f t="shared" si="26"/>
        <v/>
      </c>
      <c r="H314" s="29" t="str">
        <f t="shared" si="27"/>
        <v/>
      </c>
      <c r="I314" s="30" t="str">
        <f t="shared" si="28"/>
        <v/>
      </c>
      <c r="J314" s="31" t="str">
        <f t="shared" si="29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5"/>
        <v/>
      </c>
      <c r="G315" s="29" t="str">
        <f t="shared" si="26"/>
        <v/>
      </c>
      <c r="H315" s="29" t="str">
        <f t="shared" si="27"/>
        <v/>
      </c>
      <c r="I315" s="30" t="str">
        <f t="shared" si="28"/>
        <v/>
      </c>
      <c r="J315" s="31" t="str">
        <f t="shared" si="29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5"/>
        <v/>
      </c>
      <c r="G316" s="29" t="str">
        <f t="shared" si="26"/>
        <v/>
      </c>
      <c r="H316" s="29" t="str">
        <f t="shared" si="27"/>
        <v/>
      </c>
      <c r="I316" s="30" t="str">
        <f t="shared" si="28"/>
        <v/>
      </c>
      <c r="J316" s="31" t="str">
        <f t="shared" si="29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5"/>
        <v/>
      </c>
      <c r="G317" s="29" t="str">
        <f t="shared" si="26"/>
        <v/>
      </c>
      <c r="H317" s="29" t="str">
        <f t="shared" si="27"/>
        <v/>
      </c>
      <c r="I317" s="30" t="str">
        <f t="shared" si="28"/>
        <v/>
      </c>
      <c r="J317" s="31" t="str">
        <f t="shared" si="29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5"/>
        <v/>
      </c>
      <c r="G318" s="29" t="str">
        <f t="shared" si="26"/>
        <v/>
      </c>
      <c r="H318" s="29" t="str">
        <f t="shared" si="27"/>
        <v/>
      </c>
      <c r="I318" s="30" t="str">
        <f t="shared" si="28"/>
        <v/>
      </c>
      <c r="J318" s="31" t="str">
        <f t="shared" si="29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5"/>
        <v/>
      </c>
      <c r="G319" s="29" t="str">
        <f t="shared" si="26"/>
        <v/>
      </c>
      <c r="H319" s="29" t="str">
        <f t="shared" si="27"/>
        <v/>
      </c>
      <c r="I319" s="30" t="str">
        <f t="shared" si="28"/>
        <v/>
      </c>
      <c r="J319" s="31" t="str">
        <f t="shared" si="29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5"/>
        <v/>
      </c>
      <c r="G320" s="29" t="str">
        <f t="shared" si="26"/>
        <v/>
      </c>
      <c r="H320" s="29" t="str">
        <f t="shared" si="27"/>
        <v/>
      </c>
      <c r="I320" s="30" t="str">
        <f t="shared" si="28"/>
        <v/>
      </c>
      <c r="J320" s="31" t="str">
        <f t="shared" si="29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5"/>
        <v/>
      </c>
      <c r="G321" s="29" t="str">
        <f t="shared" si="26"/>
        <v/>
      </c>
      <c r="H321" s="29" t="str">
        <f t="shared" si="27"/>
        <v/>
      </c>
      <c r="I321" s="30" t="str">
        <f t="shared" si="28"/>
        <v/>
      </c>
      <c r="J321" s="31" t="str">
        <f t="shared" si="29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5"/>
        <v/>
      </c>
      <c r="G322" s="29" t="str">
        <f t="shared" si="26"/>
        <v/>
      </c>
      <c r="H322" s="29" t="str">
        <f t="shared" si="27"/>
        <v/>
      </c>
      <c r="I322" s="30" t="str">
        <f t="shared" si="28"/>
        <v/>
      </c>
      <c r="J322" s="31" t="str">
        <f t="shared" si="29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5"/>
        <v/>
      </c>
      <c r="G323" s="29" t="str">
        <f t="shared" si="26"/>
        <v/>
      </c>
      <c r="H323" s="29" t="str">
        <f t="shared" si="27"/>
        <v/>
      </c>
      <c r="I323" s="30" t="str">
        <f t="shared" si="28"/>
        <v/>
      </c>
      <c r="J323" s="31" t="str">
        <f t="shared" si="29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5"/>
        <v/>
      </c>
      <c r="G324" s="29" t="str">
        <f t="shared" si="26"/>
        <v/>
      </c>
      <c r="H324" s="29" t="str">
        <f t="shared" si="27"/>
        <v/>
      </c>
      <c r="I324" s="30" t="str">
        <f t="shared" si="28"/>
        <v/>
      </c>
      <c r="J324" s="31" t="str">
        <f t="shared" si="29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5"/>
        <v/>
      </c>
      <c r="G325" s="29" t="str">
        <f t="shared" si="26"/>
        <v/>
      </c>
      <c r="H325" s="29" t="str">
        <f t="shared" si="27"/>
        <v/>
      </c>
      <c r="I325" s="30" t="str">
        <f t="shared" si="28"/>
        <v/>
      </c>
      <c r="J325" s="31" t="str">
        <f t="shared" si="29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5"/>
        <v/>
      </c>
      <c r="G326" s="29" t="str">
        <f t="shared" si="26"/>
        <v/>
      </c>
      <c r="H326" s="29" t="str">
        <f t="shared" si="27"/>
        <v/>
      </c>
      <c r="I326" s="30" t="str">
        <f t="shared" si="28"/>
        <v/>
      </c>
      <c r="J326" s="31" t="str">
        <f t="shared" si="29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5"/>
        <v/>
      </c>
      <c r="G327" s="29" t="str">
        <f t="shared" si="26"/>
        <v/>
      </c>
      <c r="H327" s="29" t="str">
        <f t="shared" si="27"/>
        <v/>
      </c>
      <c r="I327" s="30" t="str">
        <f t="shared" si="28"/>
        <v/>
      </c>
      <c r="J327" s="31" t="str">
        <f t="shared" si="29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5"/>
        <v/>
      </c>
      <c r="G328" s="29" t="str">
        <f t="shared" si="26"/>
        <v/>
      </c>
      <c r="H328" s="29" t="str">
        <f t="shared" si="27"/>
        <v/>
      </c>
      <c r="I328" s="30" t="str">
        <f t="shared" si="28"/>
        <v/>
      </c>
      <c r="J328" s="31" t="str">
        <f t="shared" si="29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5"/>
        <v/>
      </c>
      <c r="G329" s="29" t="str">
        <f t="shared" si="26"/>
        <v/>
      </c>
      <c r="H329" s="29" t="str">
        <f t="shared" si="27"/>
        <v/>
      </c>
      <c r="I329" s="30" t="str">
        <f t="shared" si="28"/>
        <v/>
      </c>
      <c r="J329" s="31" t="str">
        <f t="shared" si="29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5"/>
        <v/>
      </c>
      <c r="G330" s="29" t="str">
        <f t="shared" si="26"/>
        <v/>
      </c>
      <c r="H330" s="29" t="str">
        <f t="shared" si="27"/>
        <v/>
      </c>
      <c r="I330" s="30" t="str">
        <f t="shared" si="28"/>
        <v/>
      </c>
      <c r="J330" s="31" t="str">
        <f t="shared" si="29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5"/>
        <v/>
      </c>
      <c r="G331" s="29" t="str">
        <f t="shared" si="26"/>
        <v/>
      </c>
      <c r="H331" s="29" t="str">
        <f t="shared" si="27"/>
        <v/>
      </c>
      <c r="I331" s="30" t="str">
        <f t="shared" si="28"/>
        <v/>
      </c>
      <c r="J331" s="31" t="str">
        <f t="shared" si="29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5"/>
        <v/>
      </c>
      <c r="G332" s="29" t="str">
        <f t="shared" si="26"/>
        <v/>
      </c>
      <c r="H332" s="29" t="str">
        <f t="shared" si="27"/>
        <v/>
      </c>
      <c r="I332" s="30" t="str">
        <f t="shared" si="28"/>
        <v/>
      </c>
      <c r="J332" s="31" t="str">
        <f t="shared" si="29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5"/>
        <v/>
      </c>
      <c r="G333" s="29" t="str">
        <f t="shared" si="26"/>
        <v/>
      </c>
      <c r="H333" s="29" t="str">
        <f t="shared" si="27"/>
        <v/>
      </c>
      <c r="I333" s="30" t="str">
        <f t="shared" si="28"/>
        <v/>
      </c>
      <c r="J333" s="31" t="str">
        <f t="shared" si="29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5"/>
        <v/>
      </c>
      <c r="G334" s="29" t="str">
        <f t="shared" si="26"/>
        <v/>
      </c>
      <c r="H334" s="29" t="str">
        <f t="shared" si="27"/>
        <v/>
      </c>
      <c r="I334" s="30" t="str">
        <f t="shared" si="28"/>
        <v/>
      </c>
      <c r="J334" s="31" t="str">
        <f t="shared" si="29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5"/>
        <v/>
      </c>
      <c r="G335" s="29" t="str">
        <f t="shared" si="26"/>
        <v/>
      </c>
      <c r="H335" s="29" t="str">
        <f t="shared" si="27"/>
        <v/>
      </c>
      <c r="I335" s="30" t="str">
        <f t="shared" si="28"/>
        <v/>
      </c>
      <c r="J335" s="31" t="str">
        <f t="shared" si="29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5"/>
        <v/>
      </c>
      <c r="G336" s="29" t="str">
        <f t="shared" si="26"/>
        <v/>
      </c>
      <c r="H336" s="29" t="str">
        <f t="shared" si="27"/>
        <v/>
      </c>
      <c r="I336" s="30" t="str">
        <f t="shared" si="28"/>
        <v/>
      </c>
      <c r="J336" s="31" t="str">
        <f t="shared" si="29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5"/>
        <v/>
      </c>
      <c r="G337" s="29" t="str">
        <f t="shared" si="26"/>
        <v/>
      </c>
      <c r="H337" s="29" t="str">
        <f t="shared" si="27"/>
        <v/>
      </c>
      <c r="I337" s="30" t="str">
        <f t="shared" si="28"/>
        <v/>
      </c>
      <c r="J337" s="31" t="str">
        <f t="shared" si="29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5"/>
        <v/>
      </c>
      <c r="G338" s="29" t="str">
        <f t="shared" si="26"/>
        <v/>
      </c>
      <c r="H338" s="29" t="str">
        <f t="shared" si="27"/>
        <v/>
      </c>
      <c r="I338" s="30" t="str">
        <f t="shared" si="28"/>
        <v/>
      </c>
      <c r="J338" s="31" t="str">
        <f t="shared" si="29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5"/>
        <v/>
      </c>
      <c r="G339" s="29" t="str">
        <f t="shared" si="26"/>
        <v/>
      </c>
      <c r="H339" s="29" t="str">
        <f t="shared" si="27"/>
        <v/>
      </c>
      <c r="I339" s="30" t="str">
        <f t="shared" si="28"/>
        <v/>
      </c>
      <c r="J339" s="31" t="str">
        <f t="shared" si="29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5"/>
        <v/>
      </c>
      <c r="G340" s="29" t="str">
        <f t="shared" si="26"/>
        <v/>
      </c>
      <c r="H340" s="29" t="str">
        <f t="shared" si="27"/>
        <v/>
      </c>
      <c r="I340" s="30" t="str">
        <f t="shared" si="28"/>
        <v/>
      </c>
      <c r="J340" s="31" t="str">
        <f t="shared" si="29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5"/>
        <v/>
      </c>
      <c r="G341" s="29" t="str">
        <f t="shared" si="26"/>
        <v/>
      </c>
      <c r="H341" s="29" t="str">
        <f t="shared" si="27"/>
        <v/>
      </c>
      <c r="I341" s="30" t="str">
        <f t="shared" si="28"/>
        <v/>
      </c>
      <c r="J341" s="31" t="str">
        <f t="shared" si="29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5"/>
        <v/>
      </c>
      <c r="G342" s="29" t="str">
        <f t="shared" si="26"/>
        <v/>
      </c>
      <c r="H342" s="29" t="str">
        <f t="shared" si="27"/>
        <v/>
      </c>
      <c r="I342" s="30" t="str">
        <f t="shared" si="28"/>
        <v/>
      </c>
      <c r="J342" s="31" t="str">
        <f t="shared" si="29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5"/>
        <v/>
      </c>
      <c r="G343" s="29" t="str">
        <f t="shared" si="26"/>
        <v/>
      </c>
      <c r="H343" s="29" t="str">
        <f t="shared" si="27"/>
        <v/>
      </c>
      <c r="I343" s="30" t="str">
        <f t="shared" si="28"/>
        <v/>
      </c>
      <c r="J343" s="31" t="str">
        <f t="shared" si="29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5"/>
        <v/>
      </c>
      <c r="G344" s="29" t="str">
        <f t="shared" si="26"/>
        <v/>
      </c>
      <c r="H344" s="29" t="str">
        <f t="shared" si="27"/>
        <v/>
      </c>
      <c r="I344" s="30" t="str">
        <f t="shared" si="28"/>
        <v/>
      </c>
      <c r="J344" s="31" t="str">
        <f t="shared" si="29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5"/>
        <v/>
      </c>
      <c r="G345" s="29" t="str">
        <f t="shared" si="26"/>
        <v/>
      </c>
      <c r="H345" s="29" t="str">
        <f t="shared" si="27"/>
        <v/>
      </c>
      <c r="I345" s="30" t="str">
        <f t="shared" si="28"/>
        <v/>
      </c>
      <c r="J345" s="31" t="str">
        <f t="shared" si="29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si="25"/>
        <v/>
      </c>
      <c r="G346" s="29" t="str">
        <f t="shared" si="26"/>
        <v/>
      </c>
      <c r="H346" s="29" t="str">
        <f t="shared" si="27"/>
        <v/>
      </c>
      <c r="I346" s="30" t="str">
        <f t="shared" si="28"/>
        <v/>
      </c>
      <c r="J346" s="31" t="str">
        <f t="shared" si="29"/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ref="F363:F390" si="30">IF(D363&lt;&gt;"",D363/$J$18,"")</f>
        <v/>
      </c>
      <c r="G363" s="29" t="str">
        <f t="shared" ref="G363:G390" si="31">IF(F363&lt;&gt;"",IF($J$17&gt;0.5,(E363/$J$17),(E363-$J$17)),"")</f>
        <v/>
      </c>
      <c r="H363" s="29" t="str">
        <f t="shared" ref="H363:H390" si="32">IF(F363&lt;&gt;"",ABS(G363-$J$16),"")</f>
        <v/>
      </c>
      <c r="I363" s="30" t="str">
        <f t="shared" ref="I363:I390" si="33">IF(F363&lt;&gt;"",H363*F363,"")</f>
        <v/>
      </c>
      <c r="J363" s="31" t="str">
        <f t="shared" ref="J363:J390" si="34">IF(F363&lt;&gt;"",I363*$J$19,"")</f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30"/>
        <v/>
      </c>
      <c r="G364" s="29" t="str">
        <f t="shared" si="31"/>
        <v/>
      </c>
      <c r="H364" s="29" t="str">
        <f t="shared" si="32"/>
        <v/>
      </c>
      <c r="I364" s="30" t="str">
        <f t="shared" si="33"/>
        <v/>
      </c>
      <c r="J364" s="31" t="str">
        <f t="shared" si="34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30"/>
        <v/>
      </c>
      <c r="G365" s="29" t="str">
        <f t="shared" si="31"/>
        <v/>
      </c>
      <c r="H365" s="29" t="str">
        <f t="shared" si="32"/>
        <v/>
      </c>
      <c r="I365" s="30" t="str">
        <f t="shared" si="33"/>
        <v/>
      </c>
      <c r="J365" s="31" t="str">
        <f t="shared" si="34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30"/>
        <v/>
      </c>
      <c r="G366" s="29" t="str">
        <f t="shared" si="31"/>
        <v/>
      </c>
      <c r="H366" s="29" t="str">
        <f t="shared" si="32"/>
        <v/>
      </c>
      <c r="I366" s="30" t="str">
        <f t="shared" si="33"/>
        <v/>
      </c>
      <c r="J366" s="31" t="str">
        <f t="shared" si="34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30"/>
        <v/>
      </c>
      <c r="G367" s="29" t="str">
        <f t="shared" si="31"/>
        <v/>
      </c>
      <c r="H367" s="29" t="str">
        <f t="shared" si="32"/>
        <v/>
      </c>
      <c r="I367" s="30" t="str">
        <f t="shared" si="33"/>
        <v/>
      </c>
      <c r="J367" s="31" t="str">
        <f t="shared" si="34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30"/>
        <v/>
      </c>
      <c r="G368" s="29" t="str">
        <f t="shared" si="31"/>
        <v/>
      </c>
      <c r="H368" s="29" t="str">
        <f t="shared" si="32"/>
        <v/>
      </c>
      <c r="I368" s="30" t="str">
        <f t="shared" si="33"/>
        <v/>
      </c>
      <c r="J368" s="31" t="str">
        <f t="shared" si="34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30"/>
        <v/>
      </c>
      <c r="G369" s="29" t="str">
        <f t="shared" si="31"/>
        <v/>
      </c>
      <c r="H369" s="29" t="str">
        <f t="shared" si="32"/>
        <v/>
      </c>
      <c r="I369" s="30" t="str">
        <f t="shared" si="33"/>
        <v/>
      </c>
      <c r="J369" s="31" t="str">
        <f t="shared" si="34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30"/>
        <v/>
      </c>
      <c r="G370" s="29" t="str">
        <f t="shared" si="31"/>
        <v/>
      </c>
      <c r="H370" s="29" t="str">
        <f t="shared" si="32"/>
        <v/>
      </c>
      <c r="I370" s="30" t="str">
        <f t="shared" si="33"/>
        <v/>
      </c>
      <c r="J370" s="31" t="str">
        <f t="shared" si="34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30"/>
        <v/>
      </c>
      <c r="G371" s="29" t="str">
        <f t="shared" si="31"/>
        <v/>
      </c>
      <c r="H371" s="29" t="str">
        <f t="shared" si="32"/>
        <v/>
      </c>
      <c r="I371" s="30" t="str">
        <f t="shared" si="33"/>
        <v/>
      </c>
      <c r="J371" s="31" t="str">
        <f t="shared" si="34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30"/>
        <v/>
      </c>
      <c r="G372" s="29" t="str">
        <f t="shared" si="31"/>
        <v/>
      </c>
      <c r="H372" s="29" t="str">
        <f t="shared" si="32"/>
        <v/>
      </c>
      <c r="I372" s="30" t="str">
        <f t="shared" si="33"/>
        <v/>
      </c>
      <c r="J372" s="31" t="str">
        <f t="shared" si="34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30"/>
        <v/>
      </c>
      <c r="G373" s="29" t="str">
        <f t="shared" si="31"/>
        <v/>
      </c>
      <c r="H373" s="29" t="str">
        <f t="shared" si="32"/>
        <v/>
      </c>
      <c r="I373" s="30" t="str">
        <f t="shared" si="33"/>
        <v/>
      </c>
      <c r="J373" s="31" t="str">
        <f t="shared" si="34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30"/>
        <v/>
      </c>
      <c r="G374" s="29" t="str">
        <f t="shared" si="31"/>
        <v/>
      </c>
      <c r="H374" s="29" t="str">
        <f t="shared" si="32"/>
        <v/>
      </c>
      <c r="I374" s="30" t="str">
        <f t="shared" si="33"/>
        <v/>
      </c>
      <c r="J374" s="31" t="str">
        <f t="shared" si="34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30"/>
        <v/>
      </c>
      <c r="G375" s="29" t="str">
        <f t="shared" si="31"/>
        <v/>
      </c>
      <c r="H375" s="29" t="str">
        <f t="shared" si="32"/>
        <v/>
      </c>
      <c r="I375" s="30" t="str">
        <f t="shared" si="33"/>
        <v/>
      </c>
      <c r="J375" s="31" t="str">
        <f t="shared" si="34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30"/>
        <v/>
      </c>
      <c r="G376" s="29" t="str">
        <f t="shared" si="31"/>
        <v/>
      </c>
      <c r="H376" s="29" t="str">
        <f t="shared" si="32"/>
        <v/>
      </c>
      <c r="I376" s="30" t="str">
        <f t="shared" si="33"/>
        <v/>
      </c>
      <c r="J376" s="31" t="str">
        <f t="shared" si="34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30"/>
        <v/>
      </c>
      <c r="G377" s="29" t="str">
        <f t="shared" si="31"/>
        <v/>
      </c>
      <c r="H377" s="29" t="str">
        <f t="shared" si="32"/>
        <v/>
      </c>
      <c r="I377" s="30" t="str">
        <f t="shared" si="33"/>
        <v/>
      </c>
      <c r="J377" s="31" t="str">
        <f t="shared" si="34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30"/>
        <v/>
      </c>
      <c r="G378" s="29" t="str">
        <f t="shared" si="31"/>
        <v/>
      </c>
      <c r="H378" s="29" t="str">
        <f t="shared" si="32"/>
        <v/>
      </c>
      <c r="I378" s="30" t="str">
        <f t="shared" si="33"/>
        <v/>
      </c>
      <c r="J378" s="31" t="str">
        <f t="shared" si="34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30"/>
        <v/>
      </c>
      <c r="G379" s="29" t="str">
        <f t="shared" si="31"/>
        <v/>
      </c>
      <c r="H379" s="29" t="str">
        <f t="shared" si="32"/>
        <v/>
      </c>
      <c r="I379" s="30" t="str">
        <f t="shared" si="33"/>
        <v/>
      </c>
      <c r="J379" s="31" t="str">
        <f t="shared" si="34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30"/>
        <v/>
      </c>
      <c r="G380" s="29" t="str">
        <f t="shared" si="31"/>
        <v/>
      </c>
      <c r="H380" s="29" t="str">
        <f t="shared" si="32"/>
        <v/>
      </c>
      <c r="I380" s="30" t="str">
        <f t="shared" si="33"/>
        <v/>
      </c>
      <c r="J380" s="31" t="str">
        <f t="shared" si="34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30"/>
        <v/>
      </c>
      <c r="G381" s="29" t="str">
        <f t="shared" si="31"/>
        <v/>
      </c>
      <c r="H381" s="29" t="str">
        <f t="shared" si="32"/>
        <v/>
      </c>
      <c r="I381" s="30" t="str">
        <f t="shared" si="33"/>
        <v/>
      </c>
      <c r="J381" s="31" t="str">
        <f t="shared" si="34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30"/>
        <v/>
      </c>
      <c r="G382" s="29" t="str">
        <f t="shared" si="31"/>
        <v/>
      </c>
      <c r="H382" s="29" t="str">
        <f t="shared" si="32"/>
        <v/>
      </c>
      <c r="I382" s="30" t="str">
        <f t="shared" si="33"/>
        <v/>
      </c>
      <c r="J382" s="31" t="str">
        <f t="shared" si="34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30"/>
        <v/>
      </c>
      <c r="G383" s="29" t="str">
        <f t="shared" si="31"/>
        <v/>
      </c>
      <c r="H383" s="29" t="str">
        <f t="shared" si="32"/>
        <v/>
      </c>
      <c r="I383" s="30" t="str">
        <f t="shared" si="33"/>
        <v/>
      </c>
      <c r="J383" s="31" t="str">
        <f t="shared" si="34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30"/>
        <v/>
      </c>
      <c r="G384" s="29" t="str">
        <f t="shared" si="31"/>
        <v/>
      </c>
      <c r="H384" s="29" t="str">
        <f t="shared" si="32"/>
        <v/>
      </c>
      <c r="I384" s="30" t="str">
        <f t="shared" si="33"/>
        <v/>
      </c>
      <c r="J384" s="31" t="str">
        <f t="shared" si="34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30"/>
        <v/>
      </c>
      <c r="G385" s="29" t="str">
        <f t="shared" si="31"/>
        <v/>
      </c>
      <c r="H385" s="29" t="str">
        <f t="shared" si="32"/>
        <v/>
      </c>
      <c r="I385" s="30" t="str">
        <f t="shared" si="33"/>
        <v/>
      </c>
      <c r="J385" s="31" t="str">
        <f t="shared" si="34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30"/>
        <v/>
      </c>
      <c r="G386" s="29" t="str">
        <f t="shared" si="31"/>
        <v/>
      </c>
      <c r="H386" s="29" t="str">
        <f t="shared" si="32"/>
        <v/>
      </c>
      <c r="I386" s="30" t="str">
        <f t="shared" si="33"/>
        <v/>
      </c>
      <c r="J386" s="31" t="str">
        <f t="shared" si="34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30"/>
        <v/>
      </c>
      <c r="G387" s="29" t="str">
        <f t="shared" si="31"/>
        <v/>
      </c>
      <c r="H387" s="29" t="str">
        <f t="shared" si="32"/>
        <v/>
      </c>
      <c r="I387" s="30" t="str">
        <f t="shared" si="33"/>
        <v/>
      </c>
      <c r="J387" s="31" t="str">
        <f t="shared" si="34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30"/>
        <v/>
      </c>
      <c r="G388" s="29" t="str">
        <f t="shared" si="31"/>
        <v/>
      </c>
      <c r="H388" s="29" t="str">
        <f t="shared" si="32"/>
        <v/>
      </c>
      <c r="I388" s="30" t="str">
        <f t="shared" si="33"/>
        <v/>
      </c>
      <c r="J388" s="31" t="str">
        <f t="shared" si="34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30"/>
        <v/>
      </c>
      <c r="G389" s="29" t="str">
        <f t="shared" si="31"/>
        <v/>
      </c>
      <c r="H389" s="29" t="str">
        <f t="shared" si="32"/>
        <v/>
      </c>
      <c r="I389" s="30" t="str">
        <f t="shared" si="33"/>
        <v/>
      </c>
      <c r="J389" s="31" t="str">
        <f t="shared" si="34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30"/>
        <v/>
      </c>
      <c r="G390" s="29" t="str">
        <f t="shared" si="31"/>
        <v/>
      </c>
      <c r="H390" s="29" t="str">
        <f t="shared" si="32"/>
        <v/>
      </c>
      <c r="I390" s="30" t="str">
        <f t="shared" si="33"/>
        <v/>
      </c>
      <c r="J390" s="31" t="str">
        <f t="shared" si="34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ref="F391:F412" si="35">IF(D391&lt;&gt;"",D391/$J$18,"")</f>
        <v/>
      </c>
      <c r="G391" s="29" t="str">
        <f t="shared" ref="G391:G412" si="36">IF(F391&lt;&gt;"",IF($J$17&gt;0.5,(E391/$J$17),(E391-$J$17)),"")</f>
        <v/>
      </c>
      <c r="H391" s="29" t="str">
        <f t="shared" ref="H391:H412" si="37">IF(F391&lt;&gt;"",ABS(G391-$J$16),"")</f>
        <v/>
      </c>
      <c r="I391" s="30" t="str">
        <f t="shared" ref="I391:I412" si="38">IF(F391&lt;&gt;"",H391*F391,"")</f>
        <v/>
      </c>
      <c r="J391" s="31" t="str">
        <f t="shared" ref="J391:J412" si="39">IF(F391&lt;&gt;"",I391*$J$19,"")</f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35"/>
        <v/>
      </c>
      <c r="G392" s="29" t="str">
        <f t="shared" si="36"/>
        <v/>
      </c>
      <c r="H392" s="29" t="str">
        <f t="shared" si="37"/>
        <v/>
      </c>
      <c r="I392" s="30" t="str">
        <f t="shared" si="38"/>
        <v/>
      </c>
      <c r="J392" s="31" t="str">
        <f t="shared" si="3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35"/>
        <v/>
      </c>
      <c r="G393" s="29" t="str">
        <f t="shared" si="36"/>
        <v/>
      </c>
      <c r="H393" s="29" t="str">
        <f t="shared" si="37"/>
        <v/>
      </c>
      <c r="I393" s="30" t="str">
        <f t="shared" si="38"/>
        <v/>
      </c>
      <c r="J393" s="31" t="str">
        <f t="shared" si="3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35"/>
        <v/>
      </c>
      <c r="G394" s="29" t="str">
        <f t="shared" si="36"/>
        <v/>
      </c>
      <c r="H394" s="29" t="str">
        <f t="shared" si="37"/>
        <v/>
      </c>
      <c r="I394" s="30" t="str">
        <f t="shared" si="38"/>
        <v/>
      </c>
      <c r="J394" s="31" t="str">
        <f t="shared" si="3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35"/>
        <v/>
      </c>
      <c r="G395" s="29" t="str">
        <f t="shared" si="36"/>
        <v/>
      </c>
      <c r="H395" s="29" t="str">
        <f t="shared" si="37"/>
        <v/>
      </c>
      <c r="I395" s="30" t="str">
        <f t="shared" si="38"/>
        <v/>
      </c>
      <c r="J395" s="31" t="str">
        <f t="shared" si="3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35"/>
        <v/>
      </c>
      <c r="G396" s="29" t="str">
        <f t="shared" si="36"/>
        <v/>
      </c>
      <c r="H396" s="29" t="str">
        <f t="shared" si="37"/>
        <v/>
      </c>
      <c r="I396" s="30" t="str">
        <f t="shared" si="38"/>
        <v/>
      </c>
      <c r="J396" s="31" t="str">
        <f t="shared" si="3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35"/>
        <v/>
      </c>
      <c r="G397" s="29" t="str">
        <f t="shared" si="36"/>
        <v/>
      </c>
      <c r="H397" s="29" t="str">
        <f t="shared" si="37"/>
        <v/>
      </c>
      <c r="I397" s="30" t="str">
        <f t="shared" si="38"/>
        <v/>
      </c>
      <c r="J397" s="31" t="str">
        <f t="shared" si="3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35"/>
        <v/>
      </c>
      <c r="G398" s="29" t="str">
        <f t="shared" si="36"/>
        <v/>
      </c>
      <c r="H398" s="29" t="str">
        <f t="shared" si="37"/>
        <v/>
      </c>
      <c r="I398" s="30" t="str">
        <f t="shared" si="38"/>
        <v/>
      </c>
      <c r="J398" s="31" t="str">
        <f t="shared" si="3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35"/>
        <v/>
      </c>
      <c r="G399" s="29" t="str">
        <f t="shared" si="36"/>
        <v/>
      </c>
      <c r="H399" s="29" t="str">
        <f t="shared" si="37"/>
        <v/>
      </c>
      <c r="I399" s="30" t="str">
        <f t="shared" si="38"/>
        <v/>
      </c>
      <c r="J399" s="31" t="str">
        <f t="shared" si="3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35"/>
        <v/>
      </c>
      <c r="G400" s="29" t="str">
        <f t="shared" si="36"/>
        <v/>
      </c>
      <c r="H400" s="29" t="str">
        <f t="shared" si="37"/>
        <v/>
      </c>
      <c r="I400" s="30" t="str">
        <f t="shared" si="38"/>
        <v/>
      </c>
      <c r="J400" s="31" t="str">
        <f t="shared" si="3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35"/>
        <v/>
      </c>
      <c r="G401" s="29" t="str">
        <f t="shared" si="36"/>
        <v/>
      </c>
      <c r="H401" s="29" t="str">
        <f t="shared" si="37"/>
        <v/>
      </c>
      <c r="I401" s="30" t="str">
        <f t="shared" si="38"/>
        <v/>
      </c>
      <c r="J401" s="31" t="str">
        <f t="shared" si="3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35"/>
        <v/>
      </c>
      <c r="G402" s="29" t="str">
        <f t="shared" si="36"/>
        <v/>
      </c>
      <c r="H402" s="29" t="str">
        <f t="shared" si="37"/>
        <v/>
      </c>
      <c r="I402" s="30" t="str">
        <f t="shared" si="38"/>
        <v/>
      </c>
      <c r="J402" s="31" t="str">
        <f t="shared" si="3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35"/>
        <v/>
      </c>
      <c r="G403" s="29" t="str">
        <f t="shared" si="36"/>
        <v/>
      </c>
      <c r="H403" s="29" t="str">
        <f t="shared" si="37"/>
        <v/>
      </c>
      <c r="I403" s="30" t="str">
        <f t="shared" si="38"/>
        <v/>
      </c>
      <c r="J403" s="31" t="str">
        <f t="shared" si="3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35"/>
        <v/>
      </c>
      <c r="G404" s="29" t="str">
        <f t="shared" si="36"/>
        <v/>
      </c>
      <c r="H404" s="29" t="str">
        <f t="shared" si="37"/>
        <v/>
      </c>
      <c r="I404" s="30" t="str">
        <f t="shared" si="38"/>
        <v/>
      </c>
      <c r="J404" s="31" t="str">
        <f t="shared" si="3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35"/>
        <v/>
      </c>
      <c r="G405" s="29" t="str">
        <f t="shared" si="36"/>
        <v/>
      </c>
      <c r="H405" s="29" t="str">
        <f t="shared" si="37"/>
        <v/>
      </c>
      <c r="I405" s="30" t="str">
        <f t="shared" si="38"/>
        <v/>
      </c>
      <c r="J405" s="31" t="str">
        <f t="shared" si="3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35"/>
        <v/>
      </c>
      <c r="G406" s="29" t="str">
        <f t="shared" si="36"/>
        <v/>
      </c>
      <c r="H406" s="29" t="str">
        <f t="shared" si="37"/>
        <v/>
      </c>
      <c r="I406" s="30" t="str">
        <f t="shared" si="38"/>
        <v/>
      </c>
      <c r="J406" s="31" t="str">
        <f t="shared" si="3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35"/>
        <v/>
      </c>
      <c r="G407" s="29" t="str">
        <f t="shared" si="36"/>
        <v/>
      </c>
      <c r="H407" s="29" t="str">
        <f t="shared" si="37"/>
        <v/>
      </c>
      <c r="I407" s="30" t="str">
        <f t="shared" si="38"/>
        <v/>
      </c>
      <c r="J407" s="31" t="str">
        <f t="shared" si="3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35"/>
        <v/>
      </c>
      <c r="G408" s="29" t="str">
        <f t="shared" si="36"/>
        <v/>
      </c>
      <c r="H408" s="29" t="str">
        <f t="shared" si="37"/>
        <v/>
      </c>
      <c r="I408" s="30" t="str">
        <f t="shared" si="38"/>
        <v/>
      </c>
      <c r="J408" s="31" t="str">
        <f t="shared" si="3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35"/>
        <v/>
      </c>
      <c r="G409" s="29" t="str">
        <f t="shared" si="36"/>
        <v/>
      </c>
      <c r="H409" s="29" t="str">
        <f t="shared" si="37"/>
        <v/>
      </c>
      <c r="I409" s="30" t="str">
        <f t="shared" si="38"/>
        <v/>
      </c>
      <c r="J409" s="31" t="str">
        <f t="shared" si="3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 t="shared" si="35"/>
        <v/>
      </c>
      <c r="G410" s="29" t="str">
        <f t="shared" si="36"/>
        <v/>
      </c>
      <c r="H410" s="29" t="str">
        <f t="shared" si="37"/>
        <v/>
      </c>
      <c r="I410" s="30" t="str">
        <f t="shared" si="38"/>
        <v/>
      </c>
      <c r="J410" s="31" t="str">
        <f t="shared" si="39"/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 t="shared" si="35"/>
        <v/>
      </c>
      <c r="G411" s="29" t="str">
        <f t="shared" si="36"/>
        <v/>
      </c>
      <c r="H411" s="29" t="str">
        <f t="shared" si="37"/>
        <v/>
      </c>
      <c r="I411" s="30" t="str">
        <f t="shared" si="38"/>
        <v/>
      </c>
      <c r="J411" s="31" t="str">
        <f t="shared" si="39"/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 t="shared" si="35"/>
        <v/>
      </c>
      <c r="G412" s="29" t="str">
        <f t="shared" si="36"/>
        <v/>
      </c>
      <c r="H412" s="29" t="str">
        <f t="shared" si="37"/>
        <v/>
      </c>
      <c r="I412" s="30" t="str">
        <f t="shared" si="38"/>
        <v/>
      </c>
      <c r="J412" s="31" t="str">
        <f t="shared" si="39"/>
        <v/>
      </c>
    </row>
  </sheetData>
  <mergeCells count="2">
    <mergeCell ref="A8:J8"/>
    <mergeCell ref="A10:J10"/>
  </mergeCells>
  <phoneticPr fontId="12" type="noConversion"/>
  <dataValidations disablePrompts="1"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92</v>
      </c>
      <c r="E18" s="26"/>
      <c r="I18" s="1" t="s">
        <v>26</v>
      </c>
      <c r="J18" s="57">
        <f>SUM(D25:D412)</f>
        <v>3594644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0.10784084548924966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4" t="s">
        <v>93</v>
      </c>
      <c r="D25" s="60">
        <v>108869</v>
      </c>
      <c r="E25" s="33">
        <v>0.6583892740496613</v>
      </c>
      <c r="F25" s="28">
        <f>IF(D25&lt;&gt;"",D25/$J$18,"")</f>
        <v>3.0286448393776963E-2</v>
      </c>
      <c r="G25" s="29">
        <f>IF(F25&lt;&gt;"",IF($J$17&gt;0.5,(E25/$J$17),(E25-$J$17)),"")</f>
        <v>0.6583892740496613</v>
      </c>
      <c r="H25" s="29">
        <f>IF(F25&lt;&gt;"",ABS(G25-$J$16),"")</f>
        <v>0.3416107259503387</v>
      </c>
      <c r="I25" s="30">
        <f>IF(F25&lt;&gt;"",H25*F25,"")</f>
        <v>1.0346175622255618E-2</v>
      </c>
      <c r="J25" s="31">
        <f>IF(F25&lt;&gt;"",I25*$J$19,"")</f>
        <v>1.0346175622255618E-2</v>
      </c>
      <c r="M25" s="74"/>
      <c r="N25" s="74"/>
    </row>
    <row r="26" spans="1:14" ht="14.5" x14ac:dyDescent="0.35">
      <c r="A26" s="59">
        <v>2</v>
      </c>
      <c r="B26" s="58"/>
      <c r="C26" s="63" t="s">
        <v>94</v>
      </c>
      <c r="D26" s="60">
        <v>112356</v>
      </c>
      <c r="E26" s="33">
        <v>0.71970435376977338</v>
      </c>
      <c r="F26" s="28">
        <f t="shared" ref="F26:F89" si="0">IF(D26&lt;&gt;"",D26/$J$18,"")</f>
        <v>3.1256502730173004E-2</v>
      </c>
      <c r="G26" s="29">
        <f t="shared" ref="G26:G89" si="1">IF(F26&lt;&gt;"",IF($J$17&gt;0.5,(E26/$J$17),(E26-$J$17)),"")</f>
        <v>0.71970435376977338</v>
      </c>
      <c r="H26" s="29">
        <f t="shared" ref="H26:H89" si="2">IF(F26&lt;&gt;"",ABS(G26-$J$16),"")</f>
        <v>0.28029564623022662</v>
      </c>
      <c r="I26" s="30">
        <f t="shared" ref="I26:I89" si="3">IF(F26&lt;&gt;"",H26*F26,"")</f>
        <v>8.7610616316506854E-3</v>
      </c>
      <c r="J26" s="31">
        <f t="shared" ref="J26:J89" si="4">IF(F26&lt;&gt;"",I26*$J$19,"")</f>
        <v>8.7610616316506854E-3</v>
      </c>
      <c r="M26" s="74"/>
      <c r="N26" s="74"/>
    </row>
    <row r="27" spans="1:14" ht="14.5" x14ac:dyDescent="0.35">
      <c r="A27" s="59">
        <v>3</v>
      </c>
      <c r="B27" s="58"/>
      <c r="C27" s="63" t="s">
        <v>95</v>
      </c>
      <c r="D27" s="61">
        <v>131269</v>
      </c>
      <c r="E27" s="33">
        <v>0.79223127474122568</v>
      </c>
      <c r="F27" s="28">
        <f t="shared" si="0"/>
        <v>3.6517941693252516E-2</v>
      </c>
      <c r="G27" s="29">
        <f t="shared" si="1"/>
        <v>0.79223127474122568</v>
      </c>
      <c r="H27" s="29">
        <f t="shared" si="2"/>
        <v>0.20776872525877432</v>
      </c>
      <c r="I27" s="30">
        <f t="shared" si="3"/>
        <v>7.5872861946813218E-3</v>
      </c>
      <c r="J27" s="31">
        <f t="shared" si="4"/>
        <v>7.5872861946813218E-3</v>
      </c>
      <c r="M27" s="74"/>
      <c r="N27" s="74"/>
    </row>
    <row r="28" spans="1:14" ht="14.5" x14ac:dyDescent="0.35">
      <c r="A28" s="59">
        <v>4</v>
      </c>
      <c r="B28" s="58"/>
      <c r="C28" s="63" t="s">
        <v>96</v>
      </c>
      <c r="D28" s="61">
        <v>149784</v>
      </c>
      <c r="E28" s="33">
        <v>0.80797612047395673</v>
      </c>
      <c r="F28" s="28">
        <f t="shared" si="0"/>
        <v>4.1668660373600279E-2</v>
      </c>
      <c r="G28" s="29">
        <f t="shared" si="1"/>
        <v>0.80797612047395673</v>
      </c>
      <c r="H28" s="29">
        <f t="shared" si="2"/>
        <v>0.19202387952604327</v>
      </c>
      <c r="I28" s="30">
        <f t="shared" si="3"/>
        <v>8.0013778195918324E-3</v>
      </c>
      <c r="J28" s="31">
        <f t="shared" si="4"/>
        <v>8.0013778195918324E-3</v>
      </c>
      <c r="M28" s="74"/>
      <c r="N28" s="74"/>
    </row>
    <row r="29" spans="1:14" ht="14.5" x14ac:dyDescent="0.35">
      <c r="A29" s="59">
        <v>5</v>
      </c>
      <c r="B29" s="58"/>
      <c r="C29" s="63" t="s">
        <v>97</v>
      </c>
      <c r="D29" s="61">
        <v>179643</v>
      </c>
      <c r="E29" s="33">
        <v>0.87073923362760897</v>
      </c>
      <c r="F29" s="28">
        <f t="shared" si="0"/>
        <v>4.9975185303468159E-2</v>
      </c>
      <c r="G29" s="29">
        <f t="shared" si="1"/>
        <v>0.87073923362760897</v>
      </c>
      <c r="H29" s="29">
        <f t="shared" si="2"/>
        <v>0.12926076637239103</v>
      </c>
      <c r="I29" s="30">
        <f t="shared" si="3"/>
        <v>6.4598307519285478E-3</v>
      </c>
      <c r="J29" s="31">
        <f t="shared" si="4"/>
        <v>6.4598307519285478E-3</v>
      </c>
      <c r="M29" s="74"/>
      <c r="N29" s="74"/>
    </row>
    <row r="30" spans="1:14" ht="14.5" x14ac:dyDescent="0.35">
      <c r="A30" s="59">
        <v>6</v>
      </c>
      <c r="B30" s="58"/>
      <c r="C30" s="63" t="s">
        <v>98</v>
      </c>
      <c r="D30" s="62">
        <v>218207</v>
      </c>
      <c r="E30" s="33">
        <v>0.9159642397974197</v>
      </c>
      <c r="F30" s="28">
        <f t="shared" si="0"/>
        <v>6.0703368678511699E-2</v>
      </c>
      <c r="G30" s="29">
        <f t="shared" si="1"/>
        <v>0.9159642397974197</v>
      </c>
      <c r="H30" s="29">
        <f t="shared" si="2"/>
        <v>8.4035760202580301E-2</v>
      </c>
      <c r="I30" s="30">
        <f t="shared" si="3"/>
        <v>5.1012537337562329E-3</v>
      </c>
      <c r="J30" s="31">
        <f t="shared" si="4"/>
        <v>5.1012537337562329E-3</v>
      </c>
      <c r="M30" s="74"/>
      <c r="N30" s="74"/>
    </row>
    <row r="31" spans="1:14" ht="14.5" x14ac:dyDescent="0.35">
      <c r="A31" s="59">
        <v>7</v>
      </c>
      <c r="B31" s="58"/>
      <c r="C31" s="63" t="s">
        <v>99</v>
      </c>
      <c r="D31" s="62">
        <v>252562</v>
      </c>
      <c r="E31" s="33">
        <v>0.95763011055984781</v>
      </c>
      <c r="F31" s="28">
        <f t="shared" si="0"/>
        <v>7.0260643334917175E-2</v>
      </c>
      <c r="G31" s="29">
        <f t="shared" si="1"/>
        <v>0.95763011055984781</v>
      </c>
      <c r="H31" s="29">
        <f t="shared" si="2"/>
        <v>4.2369889440152186E-2</v>
      </c>
      <c r="I31" s="30">
        <f t="shared" si="3"/>
        <v>2.9769356900944061E-3</v>
      </c>
      <c r="J31" s="31">
        <f t="shared" si="4"/>
        <v>2.9769356900944061E-3</v>
      </c>
      <c r="M31" s="74"/>
      <c r="N31" s="74"/>
    </row>
    <row r="32" spans="1:14" ht="14.5" x14ac:dyDescent="0.35">
      <c r="A32" s="59">
        <v>8</v>
      </c>
      <c r="B32" s="58"/>
      <c r="C32" s="63" t="s">
        <v>100</v>
      </c>
      <c r="D32" s="61">
        <v>284723</v>
      </c>
      <c r="E32" s="33">
        <v>1.004373931492673</v>
      </c>
      <c r="F32" s="28">
        <f t="shared" si="0"/>
        <v>7.9207565477972225E-2</v>
      </c>
      <c r="G32" s="29">
        <f t="shared" si="1"/>
        <v>1.004373931492673</v>
      </c>
      <c r="H32" s="29">
        <f t="shared" si="2"/>
        <v>4.3739314926729556E-3</v>
      </c>
      <c r="I32" s="30">
        <f t="shared" si="3"/>
        <v>3.464484651020579E-4</v>
      </c>
      <c r="J32" s="31">
        <f t="shared" si="4"/>
        <v>3.464484651020579E-4</v>
      </c>
      <c r="M32" s="74"/>
      <c r="N32" s="74"/>
    </row>
    <row r="33" spans="1:14" ht="14.5" x14ac:dyDescent="0.35">
      <c r="A33" s="59">
        <v>9</v>
      </c>
      <c r="B33" s="58"/>
      <c r="C33" s="63" t="s">
        <v>101</v>
      </c>
      <c r="D33" s="62">
        <v>322693</v>
      </c>
      <c r="E33" s="33">
        <v>1.021115580538414</v>
      </c>
      <c r="F33" s="28">
        <f t="shared" si="0"/>
        <v>8.9770503003913607E-2</v>
      </c>
      <c r="G33" s="29">
        <f t="shared" si="1"/>
        <v>1.021115580538414</v>
      </c>
      <c r="H33" s="29">
        <f t="shared" si="2"/>
        <v>2.1115580538414003E-2</v>
      </c>
      <c r="I33" s="30">
        <f t="shared" si="3"/>
        <v>1.895556286153074E-3</v>
      </c>
      <c r="J33" s="31">
        <f t="shared" si="4"/>
        <v>1.895556286153074E-3</v>
      </c>
      <c r="M33" s="74"/>
      <c r="N33" s="74"/>
    </row>
    <row r="34" spans="1:14" ht="14.5" x14ac:dyDescent="0.35">
      <c r="A34" s="59">
        <v>10</v>
      </c>
      <c r="B34" s="58"/>
      <c r="C34" s="63" t="s">
        <v>102</v>
      </c>
      <c r="D34" s="62">
        <v>344618</v>
      </c>
      <c r="E34" s="33">
        <v>1.0411177932712434</v>
      </c>
      <c r="F34" s="28">
        <f t="shared" si="0"/>
        <v>9.5869855262440448E-2</v>
      </c>
      <c r="G34" s="29">
        <f t="shared" si="1"/>
        <v>1.0411177932712434</v>
      </c>
      <c r="H34" s="29">
        <f t="shared" si="2"/>
        <v>4.111779327124343E-2</v>
      </c>
      <c r="I34" s="30">
        <f t="shared" si="3"/>
        <v>3.9419568896250558E-3</v>
      </c>
      <c r="J34" s="31">
        <f t="shared" si="4"/>
        <v>3.9419568896250558E-3</v>
      </c>
      <c r="M34" s="74"/>
      <c r="N34" s="74"/>
    </row>
    <row r="35" spans="1:14" ht="14.5" x14ac:dyDescent="0.35">
      <c r="A35" s="59">
        <v>11</v>
      </c>
      <c r="B35" s="58"/>
      <c r="C35" s="63" t="s">
        <v>103</v>
      </c>
      <c r="D35" s="62">
        <v>307448</v>
      </c>
      <c r="E35" s="33">
        <v>1.0669171209667114</v>
      </c>
      <c r="F35" s="28">
        <f t="shared" si="0"/>
        <v>8.5529471068623214E-2</v>
      </c>
      <c r="G35" s="29">
        <f t="shared" si="1"/>
        <v>1.0669171209667114</v>
      </c>
      <c r="H35" s="29">
        <f t="shared" si="2"/>
        <v>6.691712096671143E-2</v>
      </c>
      <c r="I35" s="30">
        <f t="shared" si="3"/>
        <v>5.7233859617179051E-3</v>
      </c>
      <c r="J35" s="31">
        <f t="shared" si="4"/>
        <v>5.7233859617179051E-3</v>
      </c>
      <c r="M35" s="74"/>
      <c r="N35" s="74"/>
    </row>
    <row r="36" spans="1:14" ht="14.5" x14ac:dyDescent="0.35">
      <c r="A36" s="59">
        <v>12</v>
      </c>
      <c r="B36" s="58"/>
      <c r="C36" s="63" t="s">
        <v>104</v>
      </c>
      <c r="D36" s="62">
        <v>234730</v>
      </c>
      <c r="E36" s="33">
        <v>1.0691777445177639</v>
      </c>
      <c r="F36" s="28">
        <f t="shared" si="0"/>
        <v>6.5299929561870376E-2</v>
      </c>
      <c r="G36" s="29">
        <f t="shared" si="1"/>
        <v>1.0691777445177639</v>
      </c>
      <c r="H36" s="29">
        <f t="shared" si="2"/>
        <v>6.9177744517763928E-2</v>
      </c>
      <c r="I36" s="30">
        <f t="shared" si="3"/>
        <v>4.5173018442590494E-3</v>
      </c>
      <c r="J36" s="31">
        <f t="shared" si="4"/>
        <v>4.5173018442590494E-3</v>
      </c>
      <c r="M36" s="74"/>
      <c r="N36" s="74"/>
    </row>
    <row r="37" spans="1:14" ht="14.5" x14ac:dyDescent="0.35">
      <c r="A37" s="59">
        <v>13</v>
      </c>
      <c r="B37" s="58"/>
      <c r="C37" s="63" t="s">
        <v>105</v>
      </c>
      <c r="D37" s="61">
        <v>171456</v>
      </c>
      <c r="E37" s="33">
        <v>1.0730294497699788</v>
      </c>
      <c r="F37" s="28">
        <f t="shared" si="0"/>
        <v>4.7697630140842877E-2</v>
      </c>
      <c r="G37" s="29">
        <f t="shared" si="1"/>
        <v>1.0730294497699788</v>
      </c>
      <c r="H37" s="29">
        <f t="shared" si="2"/>
        <v>7.3029449769978827E-2</v>
      </c>
      <c r="I37" s="30">
        <f t="shared" si="3"/>
        <v>3.483331684517713E-3</v>
      </c>
      <c r="J37" s="31">
        <f t="shared" si="4"/>
        <v>3.483331684517713E-3</v>
      </c>
      <c r="M37" s="74"/>
      <c r="N37" s="74"/>
    </row>
    <row r="38" spans="1:14" ht="14.5" x14ac:dyDescent="0.35">
      <c r="A38" s="59">
        <v>14</v>
      </c>
      <c r="B38" s="58"/>
      <c r="C38" s="63" t="s">
        <v>106</v>
      </c>
      <c r="D38" s="61">
        <v>124159</v>
      </c>
      <c r="E38" s="33">
        <v>1.0770184068323208</v>
      </c>
      <c r="F38" s="28">
        <f t="shared" si="0"/>
        <v>3.453999895399934E-2</v>
      </c>
      <c r="G38" s="29">
        <f t="shared" si="1"/>
        <v>1.0770184068323208</v>
      </c>
      <c r="H38" s="29">
        <f t="shared" si="2"/>
        <v>7.7018406832320752E-2</v>
      </c>
      <c r="I38" s="30">
        <f t="shared" si="3"/>
        <v>2.6602156914270546E-3</v>
      </c>
      <c r="J38" s="31">
        <f t="shared" si="4"/>
        <v>2.6602156914270546E-3</v>
      </c>
      <c r="M38" s="74"/>
      <c r="N38" s="74"/>
    </row>
    <row r="39" spans="1:14" ht="14.5" x14ac:dyDescent="0.35">
      <c r="A39" s="59">
        <v>15</v>
      </c>
      <c r="B39" s="58"/>
      <c r="C39" s="63" t="s">
        <v>107</v>
      </c>
      <c r="D39" s="62">
        <v>95170</v>
      </c>
      <c r="E39" s="33">
        <v>1.0967100175143452</v>
      </c>
      <c r="F39" s="28">
        <f t="shared" si="0"/>
        <v>2.6475500772816445E-2</v>
      </c>
      <c r="G39" s="29">
        <f t="shared" si="1"/>
        <v>1.0967100175143452</v>
      </c>
      <c r="H39" s="29">
        <f t="shared" si="2"/>
        <v>9.6710017514345159E-2</v>
      </c>
      <c r="I39" s="30">
        <f t="shared" si="3"/>
        <v>2.560446143440137E-3</v>
      </c>
      <c r="J39" s="31">
        <f t="shared" si="4"/>
        <v>2.560446143440137E-3</v>
      </c>
      <c r="M39" s="74"/>
      <c r="N39" s="74"/>
    </row>
    <row r="40" spans="1:14" ht="14.5" x14ac:dyDescent="0.35">
      <c r="A40" s="59">
        <v>16</v>
      </c>
      <c r="B40" s="58"/>
      <c r="C40" s="63" t="s">
        <v>108</v>
      </c>
      <c r="D40" s="61">
        <v>76818</v>
      </c>
      <c r="E40" s="33">
        <v>1.11690797745574</v>
      </c>
      <c r="F40" s="28">
        <f t="shared" si="0"/>
        <v>2.1370127333888975E-2</v>
      </c>
      <c r="G40" s="29">
        <f t="shared" si="1"/>
        <v>1.11690797745574</v>
      </c>
      <c r="H40" s="29">
        <f t="shared" si="2"/>
        <v>0.11690797745574</v>
      </c>
      <c r="I40" s="30">
        <f t="shared" si="3"/>
        <v>2.4983383645765852E-3</v>
      </c>
      <c r="J40" s="31">
        <f t="shared" si="4"/>
        <v>2.4983383645765852E-3</v>
      </c>
      <c r="M40" s="74"/>
      <c r="N40" s="74"/>
    </row>
    <row r="41" spans="1:14" ht="14.5" x14ac:dyDescent="0.35">
      <c r="A41" s="59">
        <v>17</v>
      </c>
      <c r="B41" s="58"/>
      <c r="C41" s="63" t="s">
        <v>109</v>
      </c>
      <c r="D41" s="62">
        <v>63602</v>
      </c>
      <c r="E41" s="33">
        <v>1.1406501774670701</v>
      </c>
      <c r="F41" s="28">
        <f t="shared" si="0"/>
        <v>1.7693546287198398E-2</v>
      </c>
      <c r="G41" s="29">
        <f t="shared" si="1"/>
        <v>1.1406501774670701</v>
      </c>
      <c r="H41" s="29">
        <f t="shared" si="2"/>
        <v>0.14065017746707009</v>
      </c>
      <c r="I41" s="30">
        <f t="shared" si="3"/>
        <v>2.4886004253162736E-3</v>
      </c>
      <c r="J41" s="31">
        <f t="shared" si="4"/>
        <v>2.4886004253162736E-3</v>
      </c>
      <c r="M41" s="74"/>
      <c r="N41" s="74"/>
    </row>
    <row r="42" spans="1:14" ht="14.5" x14ac:dyDescent="0.35">
      <c r="A42" s="59">
        <v>18</v>
      </c>
      <c r="B42" s="58"/>
      <c r="C42" s="63" t="s">
        <v>110</v>
      </c>
      <c r="D42" s="62">
        <v>52777</v>
      </c>
      <c r="E42" s="33">
        <v>1.185973958908155</v>
      </c>
      <c r="F42" s="28">
        <f t="shared" si="0"/>
        <v>1.4682121511893806E-2</v>
      </c>
      <c r="G42" s="29">
        <f t="shared" si="1"/>
        <v>1.185973958908155</v>
      </c>
      <c r="H42" s="29">
        <f t="shared" si="2"/>
        <v>0.18597395890815505</v>
      </c>
      <c r="I42" s="30">
        <f t="shared" si="3"/>
        <v>2.7304922627374778E-3</v>
      </c>
      <c r="J42" s="31">
        <f t="shared" si="4"/>
        <v>2.7304922627374778E-3</v>
      </c>
      <c r="M42" s="74"/>
      <c r="N42" s="74"/>
    </row>
    <row r="43" spans="1:14" ht="14.5" x14ac:dyDescent="0.35">
      <c r="A43" s="59">
        <v>19</v>
      </c>
      <c r="B43" s="58"/>
      <c r="C43" s="63" t="s">
        <v>111</v>
      </c>
      <c r="D43" s="62">
        <v>44419</v>
      </c>
      <c r="E43" s="33">
        <v>1.1966871187025785</v>
      </c>
      <c r="F43" s="28">
        <f t="shared" si="0"/>
        <v>1.2356995574526991E-2</v>
      </c>
      <c r="G43" s="29">
        <f t="shared" si="1"/>
        <v>1.1966871187025785</v>
      </c>
      <c r="H43" s="29">
        <f t="shared" si="2"/>
        <v>0.19668711870257849</v>
      </c>
      <c r="I43" s="30">
        <f t="shared" si="3"/>
        <v>2.4304618553742273E-3</v>
      </c>
      <c r="J43" s="31">
        <f t="shared" si="4"/>
        <v>2.4304618553742273E-3</v>
      </c>
      <c r="M43" s="74"/>
      <c r="N43" s="74"/>
    </row>
    <row r="44" spans="1:14" ht="14.5" x14ac:dyDescent="0.35">
      <c r="A44" s="59">
        <v>20</v>
      </c>
      <c r="B44" s="58"/>
      <c r="C44" s="63" t="s">
        <v>112</v>
      </c>
      <c r="D44" s="62">
        <v>37461</v>
      </c>
      <c r="E44" s="33">
        <v>1.232570350081853</v>
      </c>
      <c r="F44" s="28">
        <f t="shared" si="0"/>
        <v>1.0421337968377397E-2</v>
      </c>
      <c r="G44" s="29">
        <f t="shared" si="1"/>
        <v>1.232570350081853</v>
      </c>
      <c r="H44" s="29">
        <f t="shared" si="2"/>
        <v>0.23257035008185301</v>
      </c>
      <c r="I44" s="30">
        <f t="shared" si="3"/>
        <v>2.4236942196268381E-3</v>
      </c>
      <c r="J44" s="31">
        <f t="shared" si="4"/>
        <v>2.4236942196268381E-3</v>
      </c>
      <c r="M44" s="74"/>
      <c r="N44" s="74"/>
    </row>
    <row r="45" spans="1:14" ht="14.5" x14ac:dyDescent="0.35">
      <c r="A45" s="59">
        <v>21</v>
      </c>
      <c r="B45" s="58"/>
      <c r="C45" s="63" t="s">
        <v>113</v>
      </c>
      <c r="D45" s="62">
        <v>31538</v>
      </c>
      <c r="E45" s="33">
        <v>1.2465490819818525</v>
      </c>
      <c r="F45" s="28">
        <f t="shared" si="0"/>
        <v>8.7736087356633918E-3</v>
      </c>
      <c r="G45" s="29">
        <f t="shared" si="1"/>
        <v>1.2465490819818525</v>
      </c>
      <c r="H45" s="29">
        <f t="shared" si="2"/>
        <v>0.24654908198185255</v>
      </c>
      <c r="I45" s="30">
        <f t="shared" si="3"/>
        <v>2.1631251794457713E-3</v>
      </c>
      <c r="J45" s="31">
        <f t="shared" si="4"/>
        <v>2.1631251794457713E-3</v>
      </c>
      <c r="M45" s="74"/>
      <c r="N45" s="74"/>
    </row>
    <row r="46" spans="1:14" ht="14.5" x14ac:dyDescent="0.35">
      <c r="A46" s="59">
        <v>22</v>
      </c>
      <c r="B46" s="58"/>
      <c r="C46" s="63" t="s">
        <v>114</v>
      </c>
      <c r="D46" s="62">
        <v>57970</v>
      </c>
      <c r="E46" s="33">
        <v>1.2565214746377074</v>
      </c>
      <c r="F46" s="28">
        <f t="shared" si="0"/>
        <v>1.6126770829044547E-2</v>
      </c>
      <c r="G46" s="29">
        <f t="shared" si="1"/>
        <v>1.2565214746377074</v>
      </c>
      <c r="H46" s="29">
        <f t="shared" si="2"/>
        <v>0.25652147463770736</v>
      </c>
      <c r="I46" s="30">
        <f t="shared" si="3"/>
        <v>4.1368630342108696E-3</v>
      </c>
      <c r="J46" s="31">
        <f t="shared" si="4"/>
        <v>4.1368630342108696E-3</v>
      </c>
      <c r="M46" s="74"/>
      <c r="N46" s="74"/>
    </row>
    <row r="47" spans="1:14" ht="14.5" x14ac:dyDescent="0.35">
      <c r="A47" s="59">
        <v>23</v>
      </c>
      <c r="B47" s="58"/>
      <c r="C47" s="63" t="s">
        <v>115</v>
      </c>
      <c r="D47" s="62">
        <v>36899</v>
      </c>
      <c r="E47" s="33">
        <v>1.2664938672935622</v>
      </c>
      <c r="F47" s="28">
        <f t="shared" si="0"/>
        <v>1.0264994252560198E-2</v>
      </c>
      <c r="G47" s="29">
        <f t="shared" si="1"/>
        <v>1.2664938672935622</v>
      </c>
      <c r="H47" s="29">
        <f t="shared" si="2"/>
        <v>0.26649386729356217</v>
      </c>
      <c r="I47" s="30">
        <f t="shared" si="3"/>
        <v>2.7355580161109558E-3</v>
      </c>
      <c r="J47" s="31">
        <f t="shared" si="4"/>
        <v>2.7355580161109558E-3</v>
      </c>
      <c r="M47" s="74"/>
      <c r="N47" s="74"/>
    </row>
    <row r="48" spans="1:14" ht="14.5" x14ac:dyDescent="0.35">
      <c r="A48" s="59">
        <v>24</v>
      </c>
      <c r="B48" s="58"/>
      <c r="C48" s="63" t="s">
        <v>116</v>
      </c>
      <c r="D48" s="62">
        <v>23596</v>
      </c>
      <c r="E48" s="33">
        <v>1.2739617006712738</v>
      </c>
      <c r="F48" s="28">
        <f t="shared" si="0"/>
        <v>6.5642105310011224E-3</v>
      </c>
      <c r="G48" s="29">
        <f t="shared" si="1"/>
        <v>1.2739617006712738</v>
      </c>
      <c r="H48" s="29">
        <f t="shared" si="2"/>
        <v>0.27396170067127379</v>
      </c>
      <c r="I48" s="30">
        <f t="shared" si="3"/>
        <v>1.7983422806373526E-3</v>
      </c>
      <c r="J48" s="31">
        <f t="shared" si="4"/>
        <v>1.7983422806373526E-3</v>
      </c>
      <c r="M48" s="74"/>
      <c r="N48" s="74"/>
    </row>
    <row r="49" spans="1:15" ht="14.5" x14ac:dyDescent="0.35">
      <c r="A49" s="59">
        <v>25</v>
      </c>
      <c r="B49" s="58"/>
      <c r="C49" s="63" t="s">
        <v>117</v>
      </c>
      <c r="D49" s="62">
        <v>15415</v>
      </c>
      <c r="E49" s="33">
        <v>1.2964110452611268</v>
      </c>
      <c r="F49" s="28">
        <f t="shared" si="0"/>
        <v>4.2883245183667701E-3</v>
      </c>
      <c r="G49" s="29">
        <f t="shared" si="1"/>
        <v>1.2964110452611268</v>
      </c>
      <c r="H49" s="29">
        <f t="shared" si="2"/>
        <v>0.29641104526112683</v>
      </c>
      <c r="I49" s="30">
        <f t="shared" si="3"/>
        <v>1.2711067529080126E-3</v>
      </c>
      <c r="J49" s="31">
        <f t="shared" si="4"/>
        <v>1.2711067529080126E-3</v>
      </c>
      <c r="M49" s="74"/>
      <c r="N49" s="74"/>
    </row>
    <row r="50" spans="1:15" ht="14.5" x14ac:dyDescent="0.35">
      <c r="A50" s="59">
        <v>26</v>
      </c>
      <c r="B50" s="58"/>
      <c r="C50" s="63" t="s">
        <v>118</v>
      </c>
      <c r="D50" s="62">
        <v>9990</v>
      </c>
      <c r="E50" s="33">
        <v>1.3472279695104017</v>
      </c>
      <c r="F50" s="28">
        <f t="shared" si="0"/>
        <v>2.7791347349000344E-3</v>
      </c>
      <c r="G50" s="29">
        <f t="shared" si="1"/>
        <v>1.3472279695104017</v>
      </c>
      <c r="H50" s="29">
        <f t="shared" si="2"/>
        <v>0.34722796951040169</v>
      </c>
      <c r="I50" s="30">
        <f t="shared" si="3"/>
        <v>9.6499331099516748E-4</v>
      </c>
      <c r="J50" s="31">
        <f t="shared" si="4"/>
        <v>9.6499331099516748E-4</v>
      </c>
      <c r="M50" s="74"/>
      <c r="N50" s="74"/>
    </row>
    <row r="51" spans="1:15" ht="14.5" x14ac:dyDescent="0.35">
      <c r="A51" s="59">
        <v>27</v>
      </c>
      <c r="B51" s="58"/>
      <c r="C51" s="63" t="s">
        <v>119</v>
      </c>
      <c r="D51" s="62">
        <v>25390</v>
      </c>
      <c r="E51" s="66">
        <v>1.445996935098949</v>
      </c>
      <c r="F51" s="28">
        <f t="shared" si="0"/>
        <v>7.0632863782894772E-3</v>
      </c>
      <c r="G51" s="29">
        <f t="shared" si="1"/>
        <v>1.445996935098949</v>
      </c>
      <c r="H51" s="29">
        <f t="shared" si="2"/>
        <v>0.445996935098949</v>
      </c>
      <c r="I51" s="30">
        <f t="shared" si="3"/>
        <v>3.1502040764432625E-3</v>
      </c>
      <c r="J51" s="31">
        <f t="shared" si="4"/>
        <v>3.1502040764432625E-3</v>
      </c>
      <c r="M51" s="74"/>
      <c r="N51" s="74"/>
    </row>
    <row r="52" spans="1:15" ht="14.5" x14ac:dyDescent="0.35">
      <c r="A52" s="59">
        <v>28</v>
      </c>
      <c r="B52" s="58"/>
      <c r="C52" s="63" t="s">
        <v>120</v>
      </c>
      <c r="D52" s="62">
        <v>81082</v>
      </c>
      <c r="E52" s="66">
        <v>0.79223127474122568</v>
      </c>
      <c r="F52" s="28">
        <f t="shared" si="0"/>
        <v>2.255633659411057E-2</v>
      </c>
      <c r="G52" s="29">
        <f t="shared" si="1"/>
        <v>0.79223127474122568</v>
      </c>
      <c r="H52" s="29">
        <f t="shared" si="2"/>
        <v>0.20776872525877432</v>
      </c>
      <c r="I52" s="30">
        <f t="shared" si="3"/>
        <v>4.686501300666196E-3</v>
      </c>
      <c r="J52" s="31">
        <f t="shared" si="4"/>
        <v>4.686501300666196E-3</v>
      </c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N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N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N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N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N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N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N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N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N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N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N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N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N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N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N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N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N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N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N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N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N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N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N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N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N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N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N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N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N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N85" s="74"/>
      <c r="O85" s="74"/>
    </row>
    <row r="86" spans="1:15" x14ac:dyDescent="0.2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0.99999999999999989</v>
      </c>
    </row>
    <row r="18" spans="1:14" ht="13" thickBot="1" x14ac:dyDescent="0.3">
      <c r="A18" t="s">
        <v>24</v>
      </c>
      <c r="D18" s="71" t="s">
        <v>121</v>
      </c>
      <c r="E18" s="26"/>
      <c r="I18" s="1" t="s">
        <v>26</v>
      </c>
      <c r="J18" s="57">
        <f>SUM(D25:D412)</f>
        <v>3601077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7.5056267749849682E-3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4" t="s">
        <v>122</v>
      </c>
      <c r="D25" s="60">
        <v>3541143</v>
      </c>
      <c r="E25" s="33">
        <v>0.99643759659436693</v>
      </c>
      <c r="F25" s="28">
        <f>IF(D25&lt;&gt;"",D25/$J$18,"")</f>
        <v>0.98335664580346382</v>
      </c>
      <c r="G25" s="29">
        <f>IF(F25&lt;&gt;"",IF($J$17&gt;0.5,(E25/$J$17),(E25-$J$17)),"")</f>
        <v>0.99643759659436704</v>
      </c>
      <c r="H25" s="29">
        <f>IF(F25&lt;&gt;"",ABS(G25-$J$16),"")</f>
        <v>3.5624034056329634E-3</v>
      </c>
      <c r="I25" s="30">
        <f>IF(F25&lt;&gt;"",H25*F25,"")</f>
        <v>3.5031130639620674E-3</v>
      </c>
      <c r="J25" s="31">
        <f>IF(F25&lt;&gt;"",I25*$J$19,"")</f>
        <v>3.5031130639620674E-3</v>
      </c>
      <c r="M25" s="74"/>
      <c r="N25" s="74"/>
    </row>
    <row r="26" spans="1:14" ht="14.5" x14ac:dyDescent="0.35">
      <c r="A26" s="59">
        <v>2</v>
      </c>
      <c r="B26" s="58"/>
      <c r="C26" s="63" t="s">
        <v>123</v>
      </c>
      <c r="D26" s="60">
        <v>53415</v>
      </c>
      <c r="E26" s="33">
        <v>1.2530032757650738</v>
      </c>
      <c r="F26" s="28">
        <f t="shared" ref="F26:F89" si="0">IF(D26&lt;&gt;"",D26/$J$18,"")</f>
        <v>1.4833062442152723E-2</v>
      </c>
      <c r="G26" s="29">
        <f t="shared" ref="G26:G89" si="1">IF(F26&lt;&gt;"",IF($J$17&gt;0.5,(E26/$J$17),(E26-$J$17)),"")</f>
        <v>1.253003275765074</v>
      </c>
      <c r="H26" s="29">
        <f t="shared" ref="H26:H89" si="2">IF(F26&lt;&gt;"",ABS(G26-$J$16),"")</f>
        <v>0.25300327576507398</v>
      </c>
      <c r="I26" s="30">
        <f t="shared" ref="I26:I89" si="3">IF(F26&lt;&gt;"",H26*F26,"")</f>
        <v>3.752813387492527E-3</v>
      </c>
      <c r="J26" s="31">
        <f t="shared" ref="J26:J89" si="4">IF(F26&lt;&gt;"",I26*$J$19,"")</f>
        <v>3.752813387492527E-3</v>
      </c>
      <c r="M26" s="74"/>
      <c r="N26" s="74"/>
    </row>
    <row r="27" spans="1:14" ht="14.5" x14ac:dyDescent="0.35">
      <c r="A27" s="59">
        <v>3</v>
      </c>
      <c r="B27" s="58"/>
      <c r="C27" s="63" t="s">
        <v>124</v>
      </c>
      <c r="D27" s="61">
        <v>6519</v>
      </c>
      <c r="E27" s="33">
        <v>0.8620662537263708</v>
      </c>
      <c r="F27" s="28">
        <f t="shared" si="0"/>
        <v>1.8102917543834803E-3</v>
      </c>
      <c r="G27" s="29">
        <f t="shared" si="1"/>
        <v>0.86206625372637091</v>
      </c>
      <c r="H27" s="29">
        <f t="shared" si="2"/>
        <v>0.13793374627362909</v>
      </c>
      <c r="I27" s="30">
        <f t="shared" si="3"/>
        <v>2.4970032353037382E-4</v>
      </c>
      <c r="J27" s="31">
        <f t="shared" si="4"/>
        <v>2.4970032353037382E-4</v>
      </c>
      <c r="M27" s="74"/>
      <c r="N27" s="74"/>
    </row>
    <row r="28" spans="1:14" ht="14.5" x14ac:dyDescent="0.35">
      <c r="A28" s="59">
        <v>4</v>
      </c>
      <c r="B28" s="58"/>
      <c r="C28" s="63"/>
      <c r="D28" s="61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M28" s="74"/>
      <c r="N28" s="74"/>
    </row>
    <row r="29" spans="1:14" ht="14.5" x14ac:dyDescent="0.35">
      <c r="A29" s="59">
        <v>5</v>
      </c>
      <c r="B29" s="58"/>
      <c r="C29" s="63"/>
      <c r="D29" s="61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N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N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N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N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N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N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N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N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N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N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N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N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N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N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N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N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N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N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N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N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N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N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N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N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N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N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N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N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N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N85" s="74"/>
      <c r="O85" s="74"/>
    </row>
    <row r="86" spans="1:15" x14ac:dyDescent="0.2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125</v>
      </c>
      <c r="E18" s="26"/>
      <c r="I18" s="1" t="s">
        <v>26</v>
      </c>
      <c r="J18" s="57">
        <f>SUM(D25:D412)</f>
        <v>3601074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1.3407476012588569E-2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4" t="s">
        <v>126</v>
      </c>
      <c r="D25" s="60">
        <v>3481288</v>
      </c>
      <c r="E25" s="33">
        <v>1.006934403771615</v>
      </c>
      <c r="F25" s="28">
        <f>IF(D25&lt;&gt;"",D25/$J$18,"")</f>
        <v>0.96673603486071102</v>
      </c>
      <c r="G25" s="29">
        <f>IF(F25&lt;&gt;"",IF($J$17&gt;0.5,(E25/$J$17),(E25-$J$17)),"")</f>
        <v>1.006934403771615</v>
      </c>
      <c r="H25" s="29">
        <f>IF(F25&lt;&gt;"",ABS(G25-$J$16),"")</f>
        <v>6.9344037716150275E-3</v>
      </c>
      <c r="I25" s="30">
        <f>IF(F25&lt;&gt;"",H25*F25,"")</f>
        <v>6.7037380062942714E-3</v>
      </c>
      <c r="J25" s="31">
        <f>IF(F25&lt;&gt;"",I25*$J$19,"")</f>
        <v>6.7037380062942714E-3</v>
      </c>
      <c r="M25" s="74"/>
      <c r="N25" s="74"/>
    </row>
    <row r="26" spans="1:14" ht="14.5" x14ac:dyDescent="0.35">
      <c r="A26" s="59">
        <v>2</v>
      </c>
      <c r="B26" s="58"/>
      <c r="C26" s="63" t="s">
        <v>127</v>
      </c>
      <c r="D26" s="60">
        <v>90839</v>
      </c>
      <c r="E26" s="33">
        <v>0.82240351406387846</v>
      </c>
      <c r="F26" s="28">
        <f t="shared" ref="F26:F89" si="0">IF(D26&lt;&gt;"",D26/$J$18,"")</f>
        <v>2.5225529939123716E-2</v>
      </c>
      <c r="G26" s="29">
        <f t="shared" ref="G26:G89" si="1">IF(F26&lt;&gt;"",IF($J$17&gt;0.5,(E26/$J$17),(E26-$J$17)),"")</f>
        <v>0.82240351406387846</v>
      </c>
      <c r="H26" s="29">
        <f t="shared" ref="H26:H89" si="2">IF(F26&lt;&gt;"",ABS(G26-$J$16),"")</f>
        <v>0.17759648593612154</v>
      </c>
      <c r="I26" s="30">
        <f t="shared" ref="I26:I89" si="3">IF(F26&lt;&gt;"",H26*F26,"")</f>
        <v>4.4799654730647981E-3</v>
      </c>
      <c r="J26" s="31">
        <f t="shared" ref="J26:J89" si="4">IF(F26&lt;&gt;"",I26*$J$19,"")</f>
        <v>4.4799654730647981E-3</v>
      </c>
      <c r="M26" s="74"/>
      <c r="N26" s="74"/>
    </row>
    <row r="27" spans="1:14" ht="14.5" x14ac:dyDescent="0.35">
      <c r="A27" s="59">
        <v>3</v>
      </c>
      <c r="B27" s="58"/>
      <c r="C27" s="63" t="s">
        <v>128</v>
      </c>
      <c r="D27" s="61">
        <v>28947</v>
      </c>
      <c r="E27" s="33">
        <v>0.72335753441369099</v>
      </c>
      <c r="F27" s="28">
        <f t="shared" si="0"/>
        <v>8.0384352001652837E-3</v>
      </c>
      <c r="G27" s="29">
        <f t="shared" si="1"/>
        <v>0.72335753441369099</v>
      </c>
      <c r="H27" s="29">
        <f t="shared" si="2"/>
        <v>0.27664246558630901</v>
      </c>
      <c r="I27" s="30">
        <f t="shared" si="3"/>
        <v>2.2237725332294993E-3</v>
      </c>
      <c r="J27" s="31">
        <f t="shared" si="4"/>
        <v>2.2237725332294993E-3</v>
      </c>
      <c r="M27" s="74"/>
      <c r="N27" s="74"/>
    </row>
    <row r="28" spans="1:14" ht="14.5" x14ac:dyDescent="0.35">
      <c r="A28" s="59">
        <v>4</v>
      </c>
      <c r="B28" s="58"/>
      <c r="C28" s="63"/>
      <c r="D28" s="61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M28" s="74"/>
      <c r="N28" s="74"/>
    </row>
    <row r="29" spans="1:14" ht="14.5" x14ac:dyDescent="0.35">
      <c r="A29" s="59">
        <v>5</v>
      </c>
      <c r="B29" s="58"/>
      <c r="C29" s="63"/>
      <c r="D29" s="61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N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N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N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N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N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N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N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N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N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N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N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N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N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N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N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N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N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N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N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N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N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N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N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N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N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N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N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N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N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N85" s="74"/>
      <c r="O85" s="74"/>
    </row>
    <row r="86" spans="1:15" x14ac:dyDescent="0.2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129</v>
      </c>
      <c r="E18" s="26"/>
      <c r="I18" s="1" t="s">
        <v>26</v>
      </c>
      <c r="J18" s="57">
        <f>SUM(D25:D412)</f>
        <v>3601077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7.2636159272253448E-2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4" t="s">
        <v>130</v>
      </c>
      <c r="D25" s="60">
        <v>2959217</v>
      </c>
      <c r="E25" s="33">
        <v>0.95580445730684016</v>
      </c>
      <c r="F25" s="28">
        <f>IF(D25&lt;&gt;"",D25/$J$18,"")</f>
        <v>0.82175887935748115</v>
      </c>
      <c r="G25" s="29">
        <f>IF(F25&lt;&gt;"",IF($J$17&gt;0.5,(E25/$J$17),(E25-$J$17)),"")</f>
        <v>0.95580445730684016</v>
      </c>
      <c r="H25" s="29">
        <f>IF(F25&lt;&gt;"",ABS(G25-$J$16),"")</f>
        <v>4.4195542693159839E-2</v>
      </c>
      <c r="I25" s="30">
        <f>IF(F25&lt;&gt;"",H25*F25,"")</f>
        <v>3.6318079636126745E-2</v>
      </c>
      <c r="J25" s="31">
        <f>IF(F25&lt;&gt;"",I25*$J$19,"")</f>
        <v>3.6318079636126745E-2</v>
      </c>
      <c r="M25" s="74"/>
      <c r="N25" s="74"/>
    </row>
    <row r="26" spans="1:14" ht="14.5" x14ac:dyDescent="0.35">
      <c r="A26" s="59">
        <v>2</v>
      </c>
      <c r="B26" s="58"/>
      <c r="C26" s="63" t="s">
        <v>131</v>
      </c>
      <c r="D26" s="60">
        <v>641860</v>
      </c>
      <c r="E26" s="33">
        <v>1.2037581423703365</v>
      </c>
      <c r="F26" s="28">
        <f t="shared" ref="F26:F89" si="0">IF(D26&lt;&gt;"",D26/$J$18,"")</f>
        <v>0.1782411206425189</v>
      </c>
      <c r="G26" s="29">
        <f t="shared" ref="G26:G89" si="1">IF(F26&lt;&gt;"",IF($J$17&gt;0.5,(E26/$J$17),(E26-$J$17)),"")</f>
        <v>1.2037581423703365</v>
      </c>
      <c r="H26" s="29">
        <f t="shared" ref="H26:H89" si="2">IF(F26&lt;&gt;"",ABS(G26-$J$16),"")</f>
        <v>0.20375814237033651</v>
      </c>
      <c r="I26" s="30">
        <f t="shared" ref="I26:I89" si="3">IF(F26&lt;&gt;"",H26*F26,"")</f>
        <v>3.6318079636126696E-2</v>
      </c>
      <c r="J26" s="31">
        <f t="shared" ref="J26:J89" si="4">IF(F26&lt;&gt;"",I26*$J$19,"")</f>
        <v>3.6318079636126696E-2</v>
      </c>
      <c r="M26" s="74"/>
      <c r="N26" s="74"/>
    </row>
    <row r="27" spans="1:14" ht="14.5" x14ac:dyDescent="0.35">
      <c r="A27" s="59">
        <v>3</v>
      </c>
      <c r="B27" s="58"/>
      <c r="C27" s="63"/>
      <c r="D27" s="61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M27" s="74"/>
      <c r="N27" s="74"/>
    </row>
    <row r="28" spans="1:14" ht="14.5" x14ac:dyDescent="0.35">
      <c r="A28" s="59">
        <v>4</v>
      </c>
      <c r="B28" s="58"/>
      <c r="C28" s="63"/>
      <c r="D28" s="61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M28" s="74"/>
      <c r="N28" s="74"/>
    </row>
    <row r="29" spans="1:14" ht="14.5" x14ac:dyDescent="0.35">
      <c r="A29" s="59">
        <v>5</v>
      </c>
      <c r="B29" s="58"/>
      <c r="C29" s="63"/>
      <c r="D29" s="61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N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N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N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N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N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N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N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N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N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N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N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N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N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N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N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N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N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N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N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N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N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N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N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N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N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N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N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N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N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N85" s="74"/>
      <c r="O85" s="74"/>
    </row>
    <row r="86" spans="1:15" x14ac:dyDescent="0.2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0.99999999999999978</v>
      </c>
    </row>
    <row r="18" spans="1:14" ht="13" thickBot="1" x14ac:dyDescent="0.3">
      <c r="A18" t="s">
        <v>24</v>
      </c>
      <c r="D18" s="71" t="s">
        <v>132</v>
      </c>
      <c r="E18" s="26"/>
      <c r="I18" s="1" t="s">
        <v>26</v>
      </c>
      <c r="J18" s="57">
        <f>SUM(D25:D412)</f>
        <v>3601043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0.10511675475279017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4" t="s">
        <v>133</v>
      </c>
      <c r="D25" s="60">
        <v>771710</v>
      </c>
      <c r="E25" s="33">
        <v>0.85280521497326978</v>
      </c>
      <c r="F25" s="28">
        <f>IF(D25&lt;&gt;"",D25/$J$18,"")</f>
        <v>0.21430180089490738</v>
      </c>
      <c r="G25" s="29">
        <f>IF(F25&lt;&gt;"",IF($J$17&gt;0.5,(E25/$J$17),(E25-$J$17)),"")</f>
        <v>0.85280521497327</v>
      </c>
      <c r="H25" s="29">
        <f>IF(F25&lt;&gt;"",ABS(G25-$J$16),"")</f>
        <v>0.14719478502673</v>
      </c>
      <c r="I25" s="30">
        <f>IF(F25&lt;&gt;"",H25*F25,"")</f>
        <v>3.1544107513566989E-2</v>
      </c>
      <c r="J25" s="31">
        <f>IF(F25&lt;&gt;"",I25*$J$19,"")</f>
        <v>3.1544107513566989E-2</v>
      </c>
      <c r="M25" s="74"/>
      <c r="N25" s="74"/>
    </row>
    <row r="26" spans="1:14" ht="14.5" x14ac:dyDescent="0.35">
      <c r="A26" s="59">
        <v>2</v>
      </c>
      <c r="B26" s="58"/>
      <c r="C26" s="63" t="s">
        <v>134</v>
      </c>
      <c r="D26" s="60">
        <v>1372619</v>
      </c>
      <c r="E26" s="33">
        <v>0.94486941431697502</v>
      </c>
      <c r="F26" s="28">
        <f t="shared" ref="F26:F89" si="0">IF(D26&lt;&gt;"",D26/$J$18,"")</f>
        <v>0.38117262137664004</v>
      </c>
      <c r="G26" s="29">
        <f t="shared" ref="G26:G89" si="1">IF(F26&lt;&gt;"",IF($J$17&gt;0.5,(E26/$J$17),(E26-$J$17)),"")</f>
        <v>0.94486941431697524</v>
      </c>
      <c r="H26" s="29">
        <f t="shared" ref="H26:H89" si="2">IF(F26&lt;&gt;"",ABS(G26-$J$16),"")</f>
        <v>5.5130585683024758E-2</v>
      </c>
      <c r="I26" s="30">
        <f t="shared" ref="I26:I89" si="3">IF(F26&lt;&gt;"",H26*F26,"")</f>
        <v>2.1014269862828009E-2</v>
      </c>
      <c r="J26" s="31">
        <f t="shared" ref="J26:J89" si="4">IF(F26&lt;&gt;"",I26*$J$19,"")</f>
        <v>2.1014269862828009E-2</v>
      </c>
      <c r="M26" s="74"/>
      <c r="N26" s="74"/>
    </row>
    <row r="27" spans="1:14" ht="14.5" x14ac:dyDescent="0.35">
      <c r="A27" s="59">
        <v>3</v>
      </c>
      <c r="B27" s="58"/>
      <c r="C27" s="63" t="s">
        <v>135</v>
      </c>
      <c r="D27" s="61">
        <v>50318</v>
      </c>
      <c r="E27" s="33">
        <v>1.0020461275935919</v>
      </c>
      <c r="F27" s="28">
        <f t="shared" si="0"/>
        <v>1.3973173883233275E-2</v>
      </c>
      <c r="G27" s="29">
        <f t="shared" si="1"/>
        <v>1.0020461275935921</v>
      </c>
      <c r="H27" s="29">
        <f t="shared" si="2"/>
        <v>2.0461275935921286E-3</v>
      </c>
      <c r="I27" s="30">
        <f t="shared" si="3"/>
        <v>2.8590896652544479E-5</v>
      </c>
      <c r="J27" s="31">
        <f t="shared" si="4"/>
        <v>2.8590896652544479E-5</v>
      </c>
      <c r="M27" s="74"/>
      <c r="N27" s="74"/>
    </row>
    <row r="28" spans="1:14" ht="14.5" x14ac:dyDescent="0.35">
      <c r="A28" s="59">
        <v>4</v>
      </c>
      <c r="B28" s="58"/>
      <c r="C28" s="63" t="s">
        <v>136</v>
      </c>
      <c r="D28" s="61">
        <v>708101</v>
      </c>
      <c r="E28" s="33">
        <v>1.0853884554205253</v>
      </c>
      <c r="F28" s="28">
        <f t="shared" si="0"/>
        <v>0.19663775189577021</v>
      </c>
      <c r="G28" s="29">
        <f t="shared" si="1"/>
        <v>1.0853884554205255</v>
      </c>
      <c r="H28" s="29">
        <f t="shared" si="2"/>
        <v>8.5388455420525533E-2</v>
      </c>
      <c r="I28" s="30">
        <f t="shared" si="3"/>
        <v>1.6790593911744336E-2</v>
      </c>
      <c r="J28" s="31">
        <f t="shared" si="4"/>
        <v>1.6790593911744336E-2</v>
      </c>
      <c r="M28" s="74"/>
      <c r="N28" s="74"/>
    </row>
    <row r="29" spans="1:14" ht="14.5" x14ac:dyDescent="0.35">
      <c r="A29" s="59">
        <v>5</v>
      </c>
      <c r="B29" s="58"/>
      <c r="C29" s="63" t="s">
        <v>137</v>
      </c>
      <c r="D29" s="61">
        <v>110756</v>
      </c>
      <c r="E29" s="33">
        <v>1.1435342655323391</v>
      </c>
      <c r="F29" s="28">
        <f t="shared" si="0"/>
        <v>3.0756644672113052E-2</v>
      </c>
      <c r="G29" s="29">
        <f t="shared" si="1"/>
        <v>1.1435342655323393</v>
      </c>
      <c r="H29" s="29">
        <f t="shared" si="2"/>
        <v>0.14353426553233928</v>
      </c>
      <c r="I29" s="30">
        <f t="shared" si="3"/>
        <v>4.4146324032508831E-3</v>
      </c>
      <c r="J29" s="31">
        <f t="shared" si="4"/>
        <v>4.4146324032508831E-3</v>
      </c>
      <c r="M29" s="74"/>
      <c r="N29" s="74"/>
    </row>
    <row r="30" spans="1:14" ht="14.5" x14ac:dyDescent="0.35">
      <c r="A30" s="59">
        <v>6</v>
      </c>
      <c r="B30" s="58"/>
      <c r="C30" s="63" t="s">
        <v>131</v>
      </c>
      <c r="D30" s="62">
        <v>587539</v>
      </c>
      <c r="E30" s="33">
        <v>1.1919891072921838</v>
      </c>
      <c r="F30" s="28">
        <f t="shared" si="0"/>
        <v>0.16315800727733604</v>
      </c>
      <c r="G30" s="29">
        <f t="shared" si="1"/>
        <v>1.191989107292184</v>
      </c>
      <c r="H30" s="29">
        <f t="shared" si="2"/>
        <v>0.19198910729218399</v>
      </c>
      <c r="I30" s="30">
        <f t="shared" si="3"/>
        <v>3.1324560164747405E-2</v>
      </c>
      <c r="J30" s="31">
        <f t="shared" si="4"/>
        <v>3.1324560164747405E-2</v>
      </c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N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N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N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N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N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N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N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N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N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N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N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N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N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N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N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N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N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N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N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N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N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N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N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N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N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N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N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N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N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N85" s="74"/>
      <c r="O85" s="74"/>
    </row>
    <row r="86" spans="1:15" x14ac:dyDescent="0.2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138</v>
      </c>
      <c r="E18" s="26"/>
      <c r="I18" s="1" t="s">
        <v>26</v>
      </c>
      <c r="J18" s="57">
        <f>SUM(D25:D412)</f>
        <v>3601077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7.8258329654190634E-2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4" t="s">
        <v>139</v>
      </c>
      <c r="D25" s="60">
        <v>459990</v>
      </c>
      <c r="E25" s="33">
        <v>1.2463490108567552</v>
      </c>
      <c r="F25" s="28">
        <f>IF(D25&lt;&gt;"",D25/$J$18,"")</f>
        <v>0.12773678541169767</v>
      </c>
      <c r="G25" s="29">
        <f>IF(F25&lt;&gt;"",IF($J$17&gt;0.5,(E25/$J$17),(E25-$J$17)),"")</f>
        <v>1.2463490108567552</v>
      </c>
      <c r="H25" s="29">
        <f>IF(F25&lt;&gt;"",ABS(G25-$J$16),"")</f>
        <v>0.2463490108567552</v>
      </c>
      <c r="I25" s="30">
        <f>IF(F25&lt;&gt;"",H25*F25,"")</f>
        <v>3.1467830736193317E-2</v>
      </c>
      <c r="J25" s="31">
        <f>IF(F25&lt;&gt;"",I25*$J$19,"")</f>
        <v>3.1467830736193317E-2</v>
      </c>
      <c r="M25" s="74"/>
      <c r="N25" s="74"/>
    </row>
    <row r="26" spans="1:14" ht="14.5" x14ac:dyDescent="0.35">
      <c r="A26" s="59">
        <v>2</v>
      </c>
      <c r="B26" s="58"/>
      <c r="C26" s="63" t="s">
        <v>140</v>
      </c>
      <c r="D26" s="60">
        <v>135994</v>
      </c>
      <c r="E26" s="33">
        <v>1.1146210666198624</v>
      </c>
      <c r="F26" s="28">
        <f t="shared" ref="F26:F89" si="0">IF(D26&lt;&gt;"",D26/$J$18,"")</f>
        <v>3.7764813137847374E-2</v>
      </c>
      <c r="G26" s="29">
        <f t="shared" ref="G26:G89" si="1">IF(F26&lt;&gt;"",IF($J$17&gt;0.5,(E26/$J$17),(E26-$J$17)),"")</f>
        <v>1.1146210666198624</v>
      </c>
      <c r="H26" s="29">
        <f t="shared" ref="H26:H89" si="2">IF(F26&lt;&gt;"",ABS(G26-$J$16),"")</f>
        <v>0.11462106661986238</v>
      </c>
      <c r="I26" s="30">
        <f t="shared" ref="I26:I89" si="3">IF(F26&lt;&gt;"",H26*F26,"")</f>
        <v>4.328643162559858E-3</v>
      </c>
      <c r="J26" s="31">
        <f t="shared" ref="J26:J89" si="4">IF(F26&lt;&gt;"",I26*$J$19,"")</f>
        <v>4.328643162559858E-3</v>
      </c>
      <c r="M26" s="74"/>
      <c r="N26" s="74"/>
    </row>
    <row r="27" spans="1:14" ht="14.5" x14ac:dyDescent="0.35">
      <c r="A27" s="59">
        <v>3</v>
      </c>
      <c r="B27" s="58"/>
      <c r="C27" s="63" t="s">
        <v>141</v>
      </c>
      <c r="D27" s="61">
        <v>144942</v>
      </c>
      <c r="E27" s="33">
        <v>1.0538235538951426</v>
      </c>
      <c r="F27" s="28">
        <f t="shared" si="0"/>
        <v>4.0249625320424975E-2</v>
      </c>
      <c r="G27" s="29">
        <f t="shared" si="1"/>
        <v>1.0538235538951426</v>
      </c>
      <c r="H27" s="29">
        <f t="shared" si="2"/>
        <v>5.3823553895142595E-2</v>
      </c>
      <c r="I27" s="30">
        <f t="shared" si="3"/>
        <v>2.1663778776931895E-3</v>
      </c>
      <c r="J27" s="31">
        <f t="shared" si="4"/>
        <v>2.1663778776931895E-3</v>
      </c>
      <c r="M27" s="74"/>
      <c r="N27" s="74"/>
    </row>
    <row r="28" spans="1:14" ht="14.5" x14ac:dyDescent="0.35">
      <c r="A28" s="59">
        <v>4</v>
      </c>
      <c r="B28" s="58"/>
      <c r="C28" s="63" t="s">
        <v>142</v>
      </c>
      <c r="D28" s="61">
        <v>125157</v>
      </c>
      <c r="E28" s="33">
        <v>1.0335577163202361</v>
      </c>
      <c r="F28" s="28">
        <f t="shared" si="0"/>
        <v>3.4755435665496742E-2</v>
      </c>
      <c r="G28" s="29">
        <f t="shared" si="1"/>
        <v>1.0335577163202361</v>
      </c>
      <c r="H28" s="29">
        <f t="shared" si="2"/>
        <v>3.3557716320236075E-2</v>
      </c>
      <c r="I28" s="30">
        <f t="shared" si="3"/>
        <v>1.1663130506489551E-3</v>
      </c>
      <c r="J28" s="31">
        <f t="shared" si="4"/>
        <v>1.1663130506489551E-3</v>
      </c>
      <c r="M28" s="74"/>
      <c r="N28" s="74"/>
    </row>
    <row r="29" spans="1:14" ht="14.5" x14ac:dyDescent="0.35">
      <c r="A29" s="59">
        <v>5</v>
      </c>
      <c r="B29" s="58"/>
      <c r="C29" s="63" t="s">
        <v>143</v>
      </c>
      <c r="D29" s="61">
        <v>2734994</v>
      </c>
      <c r="E29" s="33">
        <v>0.94847991056358372</v>
      </c>
      <c r="F29" s="28">
        <f t="shared" si="0"/>
        <v>0.75949334046453321</v>
      </c>
      <c r="G29" s="29">
        <f t="shared" si="1"/>
        <v>0.94847991056358372</v>
      </c>
      <c r="H29" s="29">
        <f t="shared" si="2"/>
        <v>5.1520089436416283E-2</v>
      </c>
      <c r="I29" s="30">
        <f t="shared" si="3"/>
        <v>3.912916482709531E-2</v>
      </c>
      <c r="J29" s="31">
        <f t="shared" si="4"/>
        <v>3.912916482709531E-2</v>
      </c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N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N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N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N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N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N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N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N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N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N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N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N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N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N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N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N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N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N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N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N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N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N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N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N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N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N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N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N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N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N85" s="74"/>
      <c r="O85" s="74"/>
    </row>
    <row r="86" spans="1:15" x14ac:dyDescent="0.2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0.99999999999999989</v>
      </c>
    </row>
    <row r="18" spans="1:14" ht="13" thickBot="1" x14ac:dyDescent="0.3">
      <c r="A18" t="s">
        <v>24</v>
      </c>
      <c r="D18" s="71" t="s">
        <v>160</v>
      </c>
      <c r="E18" s="26"/>
      <c r="I18" s="1" t="s">
        <v>26</v>
      </c>
      <c r="J18" s="57">
        <f>SUM(D25:D412)</f>
        <v>3601077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2.4327994407791925E-3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4" t="s">
        <v>130</v>
      </c>
      <c r="D25" s="60">
        <v>250058</v>
      </c>
      <c r="E25" s="33">
        <v>0.98248266779746674</v>
      </c>
      <c r="F25" s="28">
        <f>IF(D25&lt;&gt;"",D25/$J$18,"")</f>
        <v>6.9439781487593846E-2</v>
      </c>
      <c r="G25" s="29">
        <f>IF(F25&lt;&gt;"",IF($J$17&gt;0.5,(E25/$J$17),(E25-$J$17)),"")</f>
        <v>0.98248266779746685</v>
      </c>
      <c r="H25" s="29">
        <f>IF(F25&lt;&gt;"",ABS(G25-$J$16),"")</f>
        <v>1.7517332202533153E-2</v>
      </c>
      <c r="I25" s="30">
        <f>IF(F25&lt;&gt;"",H25*F25,"")</f>
        <v>1.2163997203894932E-3</v>
      </c>
      <c r="J25" s="31">
        <f>IF(F25&lt;&gt;"",I25*$J$19,"")</f>
        <v>1.2163997203894932E-3</v>
      </c>
      <c r="M25" s="74"/>
      <c r="N25" s="74"/>
    </row>
    <row r="26" spans="1:14" ht="14.5" x14ac:dyDescent="0.35">
      <c r="A26" s="59">
        <v>2</v>
      </c>
      <c r="B26" s="58"/>
      <c r="C26" s="63" t="s">
        <v>131</v>
      </c>
      <c r="D26" s="60">
        <v>3351019</v>
      </c>
      <c r="E26" s="33">
        <v>1.0013071692687809</v>
      </c>
      <c r="F26" s="28">
        <f t="shared" ref="F26:F89" si="0">IF(D26&lt;&gt;"",D26/$J$18,"")</f>
        <v>0.93056021851240611</v>
      </c>
      <c r="G26" s="29">
        <f t="shared" ref="G26:G89" si="1">IF(F26&lt;&gt;"",IF($J$17&gt;0.5,(E26/$J$17),(E26-$J$17)),"")</f>
        <v>1.0013071692687812</v>
      </c>
      <c r="H26" s="29">
        <f t="shared" ref="H26:H89" si="2">IF(F26&lt;&gt;"",ABS(G26-$J$16),"")</f>
        <v>1.3071692687811609E-3</v>
      </c>
      <c r="I26" s="30">
        <f t="shared" ref="I26:I89" si="3">IF(F26&lt;&gt;"",H26*F26,"")</f>
        <v>1.2163997203896992E-3</v>
      </c>
      <c r="J26" s="31">
        <f t="shared" ref="J26:J89" si="4">IF(F26&lt;&gt;"",I26*$J$19,"")</f>
        <v>1.2163997203896992E-3</v>
      </c>
      <c r="M26" s="74"/>
      <c r="N26" s="74"/>
    </row>
    <row r="27" spans="1:14" ht="14.5" x14ac:dyDescent="0.35">
      <c r="A27" s="59">
        <v>3</v>
      </c>
      <c r="B27" s="58"/>
      <c r="C27" s="63"/>
      <c r="D27" s="61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M27" s="74"/>
      <c r="N27" s="74"/>
    </row>
    <row r="28" spans="1:14" ht="14.5" x14ac:dyDescent="0.35">
      <c r="A28" s="59">
        <v>4</v>
      </c>
      <c r="B28" s="58"/>
      <c r="C28" s="63"/>
      <c r="D28" s="61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M28" s="74"/>
      <c r="N28" s="74"/>
    </row>
    <row r="29" spans="1:14" ht="14.5" x14ac:dyDescent="0.35">
      <c r="A29" s="59">
        <v>5</v>
      </c>
      <c r="B29" s="58"/>
      <c r="C29" s="63"/>
      <c r="D29" s="61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N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N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N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N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N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N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N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N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N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N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N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N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N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N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N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N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N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N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N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N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N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N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N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N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N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N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N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N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N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N85" s="74"/>
      <c r="O85" s="74"/>
    </row>
    <row r="86" spans="1:15" x14ac:dyDescent="0.2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144</v>
      </c>
      <c r="E18" s="26"/>
      <c r="I18" s="1" t="s">
        <v>26</v>
      </c>
      <c r="J18" s="57">
        <f>SUM(D25:D412)</f>
        <v>3601077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2.8070243198534883E-4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4" t="s">
        <v>130</v>
      </c>
      <c r="D25" s="60">
        <v>25426</v>
      </c>
      <c r="E25" s="33">
        <v>0.98012209801647343</v>
      </c>
      <c r="F25" s="28">
        <f>IF(D25&lt;&gt;"",D25/$J$18,"")</f>
        <v>7.0606654620270545E-3</v>
      </c>
      <c r="G25" s="29">
        <f>IF(F25&lt;&gt;"",IF($J$17&gt;0.5,(E25/$J$17),(E25-$J$17)),"")</f>
        <v>0.98012209801647343</v>
      </c>
      <c r="H25" s="29">
        <f>IF(F25&lt;&gt;"",ABS(G25-$J$16),"")</f>
        <v>1.9877901983526569E-2</v>
      </c>
      <c r="I25" s="30">
        <f>IF(F25&lt;&gt;"",H25*F25,"")</f>
        <v>1.4035121599264511E-4</v>
      </c>
      <c r="J25" s="31">
        <f>IF(F25&lt;&gt;"",I25*$J$19,"")</f>
        <v>1.4035121599264511E-4</v>
      </c>
      <c r="M25" s="74"/>
      <c r="N25" s="74"/>
    </row>
    <row r="26" spans="1:14" ht="14.5" x14ac:dyDescent="0.35">
      <c r="A26" s="59">
        <v>2</v>
      </c>
      <c r="B26" s="58"/>
      <c r="C26" s="63" t="s">
        <v>131</v>
      </c>
      <c r="D26" s="60">
        <v>3575651</v>
      </c>
      <c r="E26" s="33">
        <v>1.000141349235659</v>
      </c>
      <c r="F26" s="28">
        <f t="shared" ref="F26:F89" si="0">IF(D26&lt;&gt;"",D26/$J$18,"")</f>
        <v>0.9929393345379729</v>
      </c>
      <c r="G26" s="29">
        <f t="shared" ref="G26:G89" si="1">IF(F26&lt;&gt;"",IF($J$17&gt;0.5,(E26/$J$17),(E26-$J$17)),"")</f>
        <v>1.000141349235659</v>
      </c>
      <c r="H26" s="29">
        <f t="shared" ref="H26:H89" si="2">IF(F26&lt;&gt;"",ABS(G26-$J$16),"")</f>
        <v>1.4134923565900515E-4</v>
      </c>
      <c r="I26" s="30">
        <f t="shared" ref="I26:I89" si="3">IF(F26&lt;&gt;"",H26*F26,"")</f>
        <v>1.4035121599270369E-4</v>
      </c>
      <c r="J26" s="31">
        <f t="shared" ref="J26:J89" si="4">IF(F26&lt;&gt;"",I26*$J$19,"")</f>
        <v>1.4035121599270369E-4</v>
      </c>
      <c r="M26" s="74"/>
      <c r="N26" s="74"/>
    </row>
    <row r="27" spans="1:14" ht="14.5" x14ac:dyDescent="0.35">
      <c r="A27" s="59">
        <v>3</v>
      </c>
      <c r="B27" s="58"/>
      <c r="C27" s="63"/>
      <c r="D27" s="61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M27" s="74"/>
      <c r="N27" s="74"/>
    </row>
    <row r="28" spans="1:14" ht="14.5" x14ac:dyDescent="0.35">
      <c r="A28" s="59">
        <v>4</v>
      </c>
      <c r="B28" s="58"/>
      <c r="C28" s="63"/>
      <c r="D28" s="61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M28" s="74"/>
      <c r="N28" s="74"/>
    </row>
    <row r="29" spans="1:14" ht="14.5" x14ac:dyDescent="0.35">
      <c r="A29" s="59">
        <v>5</v>
      </c>
      <c r="B29" s="58"/>
      <c r="C29" s="63"/>
      <c r="D29" s="61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N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N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N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N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N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N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N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N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N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N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N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N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N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N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N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N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N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N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N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N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N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N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N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N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N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N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N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N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N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N85" s="74"/>
      <c r="O85" s="74"/>
    </row>
    <row r="86" spans="1:15" x14ac:dyDescent="0.2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1.0008138521186536</v>
      </c>
    </row>
    <row r="18" spans="1:14" ht="13" thickBot="1" x14ac:dyDescent="0.3">
      <c r="A18" t="s">
        <v>24</v>
      </c>
      <c r="D18" s="71" t="s">
        <v>145</v>
      </c>
      <c r="E18" s="26"/>
      <c r="I18" s="1" t="s">
        <v>26</v>
      </c>
      <c r="J18" s="57">
        <f>SUM(D25:D412)</f>
        <v>3601077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4.0500408307798136E-2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3">
        <v>1</v>
      </c>
      <c r="D25" s="60">
        <v>1484</v>
      </c>
      <c r="E25" s="33">
        <v>0.75644733624525506</v>
      </c>
      <c r="F25" s="28">
        <f>IF(D25&lt;&gt;"",D25/$J$18,"")</f>
        <v>4.1209893595721501E-4</v>
      </c>
      <c r="G25" s="29">
        <f>IF(F25&lt;&gt;"",IF($J$17&gt;0.5,(E25/$J$17),(E25-$J$17)),"")</f>
        <v>0.75583220060744405</v>
      </c>
      <c r="H25" s="29">
        <f>IF(F25&lt;&gt;"",ABS(G25-$J$16),"")</f>
        <v>0.24416779939255595</v>
      </c>
      <c r="I25" s="30">
        <f>IF(F25&lt;&gt;"",H25*F25,"")</f>
        <v>1.0062129032468703E-4</v>
      </c>
      <c r="J25" s="31">
        <f>IF(F25&lt;&gt;"",I25*$J$19,"")</f>
        <v>1.0062129032468703E-4</v>
      </c>
      <c r="M25" s="74"/>
      <c r="N25" s="74"/>
    </row>
    <row r="26" spans="1:14" ht="14.5" x14ac:dyDescent="0.35">
      <c r="A26" s="59">
        <v>2</v>
      </c>
      <c r="B26" s="58"/>
      <c r="C26" s="63">
        <v>2</v>
      </c>
      <c r="D26" s="60">
        <v>27928</v>
      </c>
      <c r="E26" s="33">
        <v>0.76653330072852521</v>
      </c>
      <c r="F26" s="28">
        <f t="shared" ref="F26:F89" si="0">IF(D26&lt;&gt;"",D26/$J$18,"")</f>
        <v>7.7554576033781004E-3</v>
      </c>
      <c r="G26" s="29">
        <f t="shared" ref="G26:G89" si="1">IF(F26&lt;&gt;"",IF($J$17&gt;0.5,(E26/$J$17),(E26-$J$17)),"")</f>
        <v>0.76590996328221006</v>
      </c>
      <c r="H26" s="29">
        <f t="shared" ref="H26:H89" si="2">IF(F26&lt;&gt;"",ABS(G26-$J$16),"")</f>
        <v>0.23409003671778994</v>
      </c>
      <c r="I26" s="30">
        <f t="shared" ref="I26:I89" si="3">IF(F26&lt;&gt;"",H26*F26,"")</f>
        <v>1.8154753551380427E-3</v>
      </c>
      <c r="J26" s="31">
        <f t="shared" ref="J26:J89" si="4">IF(F26&lt;&gt;"",I26*$J$19,"")</f>
        <v>1.8154753551380427E-3</v>
      </c>
      <c r="M26" s="74"/>
      <c r="N26" s="74"/>
    </row>
    <row r="27" spans="1:14" ht="14.5" x14ac:dyDescent="0.35">
      <c r="A27" s="59">
        <v>3</v>
      </c>
      <c r="B27" s="58"/>
      <c r="C27" s="63">
        <v>3</v>
      </c>
      <c r="D27" s="61">
        <v>218402</v>
      </c>
      <c r="E27" s="33">
        <v>0.83088956249639856</v>
      </c>
      <c r="F27" s="28">
        <f t="shared" si="0"/>
        <v>6.0649078039708676E-2</v>
      </c>
      <c r="G27" s="29">
        <f t="shared" si="1"/>
        <v>0.83021389116214062</v>
      </c>
      <c r="H27" s="29">
        <f t="shared" si="2"/>
        <v>0.16978610883785938</v>
      </c>
      <c r="I27" s="30">
        <f t="shared" si="3"/>
        <v>1.0297370964965805E-2</v>
      </c>
      <c r="J27" s="31">
        <f t="shared" si="4"/>
        <v>1.0297370964965805E-2</v>
      </c>
      <c r="M27" s="74"/>
      <c r="N27" s="74"/>
    </row>
    <row r="28" spans="1:14" ht="14.5" x14ac:dyDescent="0.35">
      <c r="A28" s="59">
        <v>4</v>
      </c>
      <c r="B28" s="58"/>
      <c r="C28" s="63">
        <v>4</v>
      </c>
      <c r="D28" s="61">
        <v>679164</v>
      </c>
      <c r="E28" s="33">
        <v>0.95816662591065638</v>
      </c>
      <c r="F28" s="28">
        <f t="shared" si="0"/>
        <v>0.18860024376040835</v>
      </c>
      <c r="G28" s="29">
        <f t="shared" si="1"/>
        <v>0.95738745410276249</v>
      </c>
      <c r="H28" s="29">
        <f t="shared" si="2"/>
        <v>4.2612545897237508E-2</v>
      </c>
      <c r="I28" s="30">
        <f t="shared" si="3"/>
        <v>8.036736543470582E-3</v>
      </c>
      <c r="J28" s="31">
        <f t="shared" si="4"/>
        <v>8.036736543470582E-3</v>
      </c>
      <c r="M28" s="74"/>
      <c r="N28" s="74"/>
    </row>
    <row r="29" spans="1:14" ht="14.5" x14ac:dyDescent="0.35">
      <c r="A29" s="59">
        <v>5</v>
      </c>
      <c r="B29" s="58"/>
      <c r="C29" s="63">
        <v>5</v>
      </c>
      <c r="D29" s="61">
        <v>1718121</v>
      </c>
      <c r="E29" s="33">
        <v>1.0085964483270069</v>
      </c>
      <c r="F29" s="28">
        <f t="shared" si="0"/>
        <v>0.47711309699848131</v>
      </c>
      <c r="G29" s="29">
        <f t="shared" si="1"/>
        <v>1.0077762674765922</v>
      </c>
      <c r="H29" s="29">
        <f t="shared" si="2"/>
        <v>7.7762674765922135E-3</v>
      </c>
      <c r="I29" s="30">
        <f t="shared" si="3"/>
        <v>3.7101590588454764E-3</v>
      </c>
      <c r="J29" s="31">
        <f t="shared" si="4"/>
        <v>3.7101590588454764E-3</v>
      </c>
      <c r="M29" s="74"/>
      <c r="N29" s="74"/>
    </row>
    <row r="30" spans="1:14" ht="14.5" x14ac:dyDescent="0.35">
      <c r="A30" s="59">
        <v>6</v>
      </c>
      <c r="B30" s="58"/>
      <c r="C30" s="63">
        <v>6</v>
      </c>
      <c r="D30" s="62">
        <v>409247</v>
      </c>
      <c r="E30" s="33">
        <v>1.0634637127997661</v>
      </c>
      <c r="F30" s="28">
        <f t="shared" si="0"/>
        <v>0.11364572321002855</v>
      </c>
      <c r="G30" s="29">
        <f t="shared" si="1"/>
        <v>1.0625989144219847</v>
      </c>
      <c r="H30" s="29">
        <f t="shared" si="2"/>
        <v>6.259891442198473E-2</v>
      </c>
      <c r="I30" s="30">
        <f t="shared" si="3"/>
        <v>7.1140989016491409E-3</v>
      </c>
      <c r="J30" s="31">
        <f t="shared" si="4"/>
        <v>7.1140989016491409E-3</v>
      </c>
      <c r="M30" s="74"/>
      <c r="N30" s="74"/>
    </row>
    <row r="31" spans="1:14" ht="14.5" x14ac:dyDescent="0.35">
      <c r="A31" s="59">
        <v>7</v>
      </c>
      <c r="B31" s="58"/>
      <c r="C31" s="63">
        <v>7</v>
      </c>
      <c r="D31" s="62">
        <v>128528</v>
      </c>
      <c r="E31" s="33">
        <v>1.1397139866095176</v>
      </c>
      <c r="F31" s="28">
        <f t="shared" si="0"/>
        <v>3.5691544501825427E-2</v>
      </c>
      <c r="G31" s="29">
        <f t="shared" si="1"/>
        <v>1.1387871822485491</v>
      </c>
      <c r="H31" s="29">
        <f t="shared" si="2"/>
        <v>0.13878718224854913</v>
      </c>
      <c r="I31" s="30">
        <f t="shared" si="3"/>
        <v>4.9535288915070474E-3</v>
      </c>
      <c r="J31" s="31">
        <f t="shared" si="4"/>
        <v>4.9535288915070474E-3</v>
      </c>
      <c r="M31" s="74"/>
      <c r="N31" s="74"/>
    </row>
    <row r="32" spans="1:14" ht="14.5" x14ac:dyDescent="0.35">
      <c r="A32" s="59">
        <v>8</v>
      </c>
      <c r="B32" s="58"/>
      <c r="C32" s="63">
        <v>8</v>
      </c>
      <c r="D32" s="61">
        <v>57788</v>
      </c>
      <c r="E32" s="33">
        <v>1.1699718800593277</v>
      </c>
      <c r="F32" s="28">
        <f t="shared" si="0"/>
        <v>1.6047421368662763E-2</v>
      </c>
      <c r="G32" s="29">
        <f t="shared" si="1"/>
        <v>1.1690204702728468</v>
      </c>
      <c r="H32" s="29">
        <f t="shared" si="2"/>
        <v>0.16902047027284683</v>
      </c>
      <c r="I32" s="30">
        <f t="shared" si="3"/>
        <v>2.7123427063979115E-3</v>
      </c>
      <c r="J32" s="31">
        <f t="shared" si="4"/>
        <v>2.7123427063979115E-3</v>
      </c>
      <c r="M32" s="74"/>
      <c r="N32" s="74"/>
    </row>
    <row r="33" spans="1:14" ht="14.5" x14ac:dyDescent="0.35">
      <c r="A33" s="59">
        <v>9</v>
      </c>
      <c r="B33" s="58"/>
      <c r="C33" s="63">
        <v>9</v>
      </c>
      <c r="D33" s="62">
        <v>19490</v>
      </c>
      <c r="E33" s="33">
        <v>1.190143809025868</v>
      </c>
      <c r="F33" s="28">
        <f t="shared" si="0"/>
        <v>5.4122697181981944E-3</v>
      </c>
      <c r="G33" s="29">
        <f t="shared" si="1"/>
        <v>1.1891759956223789</v>
      </c>
      <c r="H33" s="29">
        <f t="shared" si="2"/>
        <v>0.18917599562237886</v>
      </c>
      <c r="I33" s="30">
        <f t="shared" si="3"/>
        <v>1.0238715125169952E-3</v>
      </c>
      <c r="J33" s="31">
        <f t="shared" si="4"/>
        <v>1.0238715125169952E-3</v>
      </c>
      <c r="M33" s="74"/>
      <c r="N33" s="74"/>
    </row>
    <row r="34" spans="1:14" ht="14.5" x14ac:dyDescent="0.35">
      <c r="A34" s="59">
        <v>10</v>
      </c>
      <c r="B34" s="58"/>
      <c r="C34" s="65" t="s">
        <v>167</v>
      </c>
      <c r="D34" s="62">
        <v>340925</v>
      </c>
      <c r="E34" s="33">
        <v>1.0085964483270069</v>
      </c>
      <c r="F34" s="28">
        <f t="shared" si="0"/>
        <v>9.4673065863351433E-2</v>
      </c>
      <c r="G34" s="29">
        <f t="shared" si="1"/>
        <v>1.0077762674765922</v>
      </c>
      <c r="H34" s="29">
        <f t="shared" si="2"/>
        <v>7.7762674765922135E-3</v>
      </c>
      <c r="I34" s="30">
        <f t="shared" si="3"/>
        <v>7.3620308298245223E-4</v>
      </c>
      <c r="J34" s="31">
        <f t="shared" si="4"/>
        <v>7.3620308298245223E-4</v>
      </c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N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N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N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N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N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N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N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N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N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N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N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N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N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N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N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N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N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N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N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N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N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N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N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N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N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N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N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N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N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N85" s="74"/>
      <c r="O85" s="74"/>
    </row>
    <row r="86" spans="1:15" x14ac:dyDescent="0.2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0.99999999999999978</v>
      </c>
    </row>
    <row r="18" spans="1:14" ht="13" thickBot="1" x14ac:dyDescent="0.3">
      <c r="A18" t="s">
        <v>24</v>
      </c>
      <c r="D18" s="71" t="s">
        <v>146</v>
      </c>
      <c r="E18" s="26"/>
      <c r="I18" s="1" t="s">
        <v>26</v>
      </c>
      <c r="J18" s="57">
        <f>SUM(D25:D412)</f>
        <v>3601076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0.10543261526735796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3">
        <v>1</v>
      </c>
      <c r="D25" s="60">
        <v>28041</v>
      </c>
      <c r="E25" s="33">
        <v>0.66243822965438881</v>
      </c>
      <c r="F25" s="28">
        <f>IF(D25&lt;&gt;"",D25/$J$18,"")</f>
        <v>7.7868392669302178E-3</v>
      </c>
      <c r="G25" s="29">
        <f>IF(F25&lt;&gt;"",IF($J$17&gt;0.5,(E25/$J$17),(E25-$J$17)),"")</f>
        <v>0.66243822965438892</v>
      </c>
      <c r="H25" s="29">
        <f>IF(F25&lt;&gt;"",ABS(G25-$J$16),"")</f>
        <v>0.33756177034561108</v>
      </c>
      <c r="I25" s="30">
        <f>IF(F25&lt;&gt;"",H25*F25,"")</f>
        <v>2.6285392483416845E-3</v>
      </c>
      <c r="J25" s="31">
        <f>IF(F25&lt;&gt;"",I25*$J$19,"")</f>
        <v>2.6285392483416845E-3</v>
      </c>
      <c r="M25" s="74"/>
      <c r="N25" s="74"/>
    </row>
    <row r="26" spans="1:14" ht="14.5" x14ac:dyDescent="0.35">
      <c r="A26" s="59">
        <v>2</v>
      </c>
      <c r="B26" s="58"/>
      <c r="C26" s="63">
        <v>2</v>
      </c>
      <c r="D26" s="60">
        <v>50596</v>
      </c>
      <c r="E26" s="33">
        <v>0.69475524605827355</v>
      </c>
      <c r="F26" s="28">
        <f t="shared" ref="F26:F89" si="0">IF(D26&lt;&gt;"",D26/$J$18,"")</f>
        <v>1.4050244982333059E-2</v>
      </c>
      <c r="G26" s="29">
        <f t="shared" ref="G26:G89" si="1">IF(F26&lt;&gt;"",IF($J$17&gt;0.5,(E26/$J$17),(E26-$J$17)),"")</f>
        <v>0.69475524605827366</v>
      </c>
      <c r="H26" s="29">
        <f t="shared" ref="H26:H89" si="2">IF(F26&lt;&gt;"",ABS(G26-$J$16),"")</f>
        <v>0.30524475394172634</v>
      </c>
      <c r="I26" s="30">
        <f t="shared" ref="I26:I89" si="3">IF(F26&lt;&gt;"",H26*F26,"")</f>
        <v>4.2887635724532299E-3</v>
      </c>
      <c r="J26" s="31">
        <f t="shared" ref="J26:J89" si="4">IF(F26&lt;&gt;"",I26*$J$19,"")</f>
        <v>4.2887635724532299E-3</v>
      </c>
      <c r="M26" s="74"/>
      <c r="N26" s="74"/>
    </row>
    <row r="27" spans="1:14" ht="14.5" x14ac:dyDescent="0.35">
      <c r="A27" s="59">
        <v>3</v>
      </c>
      <c r="B27" s="58"/>
      <c r="C27" s="63">
        <v>3</v>
      </c>
      <c r="D27" s="61">
        <v>109532</v>
      </c>
      <c r="E27" s="33">
        <v>0.7270722624621585</v>
      </c>
      <c r="F27" s="28">
        <f t="shared" si="0"/>
        <v>3.0416464412303435E-2</v>
      </c>
      <c r="G27" s="29">
        <f t="shared" si="1"/>
        <v>0.72707226246215861</v>
      </c>
      <c r="H27" s="29">
        <f t="shared" si="2"/>
        <v>0.27292773753784139</v>
      </c>
      <c r="I27" s="30">
        <f t="shared" si="3"/>
        <v>8.3014968159502451E-3</v>
      </c>
      <c r="J27" s="31">
        <f t="shared" si="4"/>
        <v>8.3014968159502451E-3</v>
      </c>
      <c r="M27" s="74"/>
      <c r="N27" s="74"/>
    </row>
    <row r="28" spans="1:14" ht="14.5" x14ac:dyDescent="0.35">
      <c r="A28" s="59">
        <v>4</v>
      </c>
      <c r="B28" s="58"/>
      <c r="C28" s="63">
        <v>4</v>
      </c>
      <c r="D28" s="61">
        <v>83545</v>
      </c>
      <c r="E28" s="33">
        <v>0.75938927886604324</v>
      </c>
      <c r="F28" s="28">
        <f t="shared" si="0"/>
        <v>2.3200010219167826E-2</v>
      </c>
      <c r="G28" s="29">
        <f t="shared" si="1"/>
        <v>0.75938927886604346</v>
      </c>
      <c r="H28" s="29">
        <f t="shared" si="2"/>
        <v>0.24061072113395654</v>
      </c>
      <c r="I28" s="30">
        <f t="shared" si="3"/>
        <v>5.5821711891491316E-3</v>
      </c>
      <c r="J28" s="31">
        <f t="shared" si="4"/>
        <v>5.5821711891491316E-3</v>
      </c>
      <c r="M28" s="74"/>
      <c r="N28" s="74"/>
    </row>
    <row r="29" spans="1:14" ht="14.5" x14ac:dyDescent="0.35">
      <c r="A29" s="59">
        <v>5</v>
      </c>
      <c r="B29" s="58"/>
      <c r="C29" s="63">
        <v>5</v>
      </c>
      <c r="D29" s="61">
        <v>168459</v>
      </c>
      <c r="E29" s="33">
        <v>0.7917062952699282</v>
      </c>
      <c r="F29" s="28">
        <f t="shared" si="0"/>
        <v>4.6780184589272765E-2</v>
      </c>
      <c r="G29" s="29">
        <f t="shared" si="1"/>
        <v>0.79170629526992842</v>
      </c>
      <c r="H29" s="29">
        <f t="shared" si="2"/>
        <v>0.20829370473007158</v>
      </c>
      <c r="I29" s="30">
        <f t="shared" si="3"/>
        <v>9.7440179560562262E-3</v>
      </c>
      <c r="J29" s="31">
        <f t="shared" si="4"/>
        <v>9.7440179560562262E-3</v>
      </c>
      <c r="M29" s="74"/>
      <c r="N29" s="74"/>
    </row>
    <row r="30" spans="1:14" ht="14.5" x14ac:dyDescent="0.35">
      <c r="A30" s="59">
        <v>6</v>
      </c>
      <c r="B30" s="58"/>
      <c r="C30" s="63">
        <v>6</v>
      </c>
      <c r="D30" s="62">
        <v>153341</v>
      </c>
      <c r="E30" s="33">
        <v>0.85669753257781833</v>
      </c>
      <c r="F30" s="28">
        <f t="shared" si="0"/>
        <v>4.2581994937068809E-2</v>
      </c>
      <c r="G30" s="29">
        <f t="shared" si="1"/>
        <v>0.85669753257781855</v>
      </c>
      <c r="H30" s="29">
        <f t="shared" si="2"/>
        <v>0.14330246742218145</v>
      </c>
      <c r="I30" s="30">
        <f t="shared" si="3"/>
        <v>6.1021049422407981E-3</v>
      </c>
      <c r="J30" s="31">
        <f t="shared" si="4"/>
        <v>6.1021049422407981E-3</v>
      </c>
      <c r="M30" s="74"/>
      <c r="N30" s="74"/>
    </row>
    <row r="31" spans="1:14" ht="14.5" x14ac:dyDescent="0.35">
      <c r="A31" s="59">
        <v>7</v>
      </c>
      <c r="B31" s="58"/>
      <c r="C31" s="63">
        <v>7</v>
      </c>
      <c r="D31" s="62">
        <v>177995</v>
      </c>
      <c r="E31" s="33">
        <v>0.88865734448158284</v>
      </c>
      <c r="F31" s="28">
        <f t="shared" si="0"/>
        <v>4.94282819912715E-2</v>
      </c>
      <c r="G31" s="29">
        <f t="shared" si="1"/>
        <v>0.88865734448158307</v>
      </c>
      <c r="H31" s="29">
        <f t="shared" si="2"/>
        <v>0.11134265551841693</v>
      </c>
      <c r="I31" s="30">
        <f t="shared" si="3"/>
        <v>5.5034761746213141E-3</v>
      </c>
      <c r="J31" s="31">
        <f t="shared" si="4"/>
        <v>5.5034761746213141E-3</v>
      </c>
      <c r="M31" s="74"/>
      <c r="N31" s="74"/>
    </row>
    <row r="32" spans="1:14" ht="14.5" x14ac:dyDescent="0.35">
      <c r="A32" s="59">
        <v>8</v>
      </c>
      <c r="B32" s="58"/>
      <c r="C32" s="63">
        <v>8</v>
      </c>
      <c r="D32" s="61">
        <v>291382</v>
      </c>
      <c r="E32" s="33">
        <v>0.92097436088546791</v>
      </c>
      <c r="F32" s="28">
        <f t="shared" si="0"/>
        <v>8.0915259772356932E-2</v>
      </c>
      <c r="G32" s="29">
        <f t="shared" si="1"/>
        <v>0.92097436088546814</v>
      </c>
      <c r="H32" s="29">
        <f t="shared" si="2"/>
        <v>7.9025639114531865E-2</v>
      </c>
      <c r="I32" s="30">
        <f t="shared" si="3"/>
        <v>6.394380117628877E-3</v>
      </c>
      <c r="J32" s="31">
        <f t="shared" si="4"/>
        <v>6.394380117628877E-3</v>
      </c>
      <c r="M32" s="74"/>
      <c r="N32" s="74"/>
    </row>
    <row r="33" spans="1:14" ht="14.5" x14ac:dyDescent="0.35">
      <c r="A33" s="59">
        <v>9</v>
      </c>
      <c r="B33" s="58"/>
      <c r="C33" s="63">
        <v>9</v>
      </c>
      <c r="D33" s="62">
        <v>317704</v>
      </c>
      <c r="E33" s="33">
        <v>0.96944988549129518</v>
      </c>
      <c r="F33" s="28">
        <f t="shared" si="0"/>
        <v>8.8224741716087074E-2</v>
      </c>
      <c r="G33" s="29">
        <f t="shared" si="1"/>
        <v>0.9694498854912954</v>
      </c>
      <c r="H33" s="29">
        <f t="shared" si="2"/>
        <v>3.0550114508704596E-2</v>
      </c>
      <c r="I33" s="30">
        <f t="shared" si="3"/>
        <v>2.6952759619273473E-3</v>
      </c>
      <c r="J33" s="31">
        <f t="shared" si="4"/>
        <v>2.6952759619273473E-3</v>
      </c>
      <c r="M33" s="74"/>
      <c r="N33" s="74"/>
    </row>
    <row r="34" spans="1:14" ht="14.5" x14ac:dyDescent="0.35">
      <c r="A34" s="59">
        <v>10</v>
      </c>
      <c r="B34" s="58"/>
      <c r="C34" s="63">
        <v>10</v>
      </c>
      <c r="D34" s="62">
        <v>369346</v>
      </c>
      <c r="E34" s="33">
        <v>0.98560839369323761</v>
      </c>
      <c r="F34" s="28">
        <f t="shared" si="0"/>
        <v>0.10256545543609744</v>
      </c>
      <c r="G34" s="29">
        <f t="shared" si="1"/>
        <v>0.98560839369323783</v>
      </c>
      <c r="H34" s="29">
        <f t="shared" si="2"/>
        <v>1.4391606306762172E-2</v>
      </c>
      <c r="I34" s="30">
        <f t="shared" si="3"/>
        <v>1.4760816553100744E-3</v>
      </c>
      <c r="J34" s="31">
        <f t="shared" si="4"/>
        <v>1.4760816553100744E-3</v>
      </c>
      <c r="M34" s="74"/>
      <c r="N34" s="74"/>
    </row>
    <row r="35" spans="1:14" ht="14.5" x14ac:dyDescent="0.35">
      <c r="A35" s="59">
        <v>11</v>
      </c>
      <c r="B35" s="58"/>
      <c r="C35" s="63">
        <v>11</v>
      </c>
      <c r="D35" s="62">
        <v>351001</v>
      </c>
      <c r="E35" s="33">
        <v>1.0098461559961514</v>
      </c>
      <c r="F35" s="28">
        <f t="shared" si="0"/>
        <v>9.7471144735629012E-2</v>
      </c>
      <c r="G35" s="29">
        <f t="shared" si="1"/>
        <v>1.0098461559961516</v>
      </c>
      <c r="H35" s="29">
        <f t="shared" si="2"/>
        <v>9.8461559961515732E-3</v>
      </c>
      <c r="I35" s="30">
        <f t="shared" si="3"/>
        <v>9.5971609619047149E-4</v>
      </c>
      <c r="J35" s="31">
        <f t="shared" si="4"/>
        <v>9.5971609619047149E-4</v>
      </c>
      <c r="M35" s="74"/>
      <c r="N35" s="74"/>
    </row>
    <row r="36" spans="1:14" ht="14.5" x14ac:dyDescent="0.35">
      <c r="A36" s="59">
        <v>12</v>
      </c>
      <c r="B36" s="58"/>
      <c r="C36" s="63">
        <v>12</v>
      </c>
      <c r="D36" s="62">
        <v>315609</v>
      </c>
      <c r="E36" s="33">
        <v>1.0179254100971227</v>
      </c>
      <c r="F36" s="28">
        <f t="shared" si="0"/>
        <v>8.7642971156398811E-2</v>
      </c>
      <c r="G36" s="29">
        <f t="shared" si="1"/>
        <v>1.0179254100971229</v>
      </c>
      <c r="H36" s="29">
        <f t="shared" si="2"/>
        <v>1.7925410097122896E-2</v>
      </c>
      <c r="I36" s="30">
        <f t="shared" si="3"/>
        <v>1.5710362001087619E-3</v>
      </c>
      <c r="J36" s="31">
        <f t="shared" si="4"/>
        <v>1.5710362001087619E-3</v>
      </c>
      <c r="M36" s="74"/>
      <c r="N36" s="74"/>
    </row>
    <row r="37" spans="1:14" ht="14.5" x14ac:dyDescent="0.35">
      <c r="A37" s="59">
        <v>13</v>
      </c>
      <c r="B37" s="58"/>
      <c r="C37" s="63">
        <v>13</v>
      </c>
      <c r="D37" s="61">
        <v>240475</v>
      </c>
      <c r="E37" s="33">
        <v>1.025789710610072</v>
      </c>
      <c r="F37" s="28">
        <f t="shared" si="0"/>
        <v>6.6778651714098788E-2</v>
      </c>
      <c r="G37" s="29">
        <f t="shared" si="1"/>
        <v>1.0257897106100722</v>
      </c>
      <c r="H37" s="29">
        <f t="shared" si="2"/>
        <v>2.5789710610072181E-2</v>
      </c>
      <c r="I37" s="30">
        <f t="shared" si="3"/>
        <v>1.7222021026374083E-3</v>
      </c>
      <c r="J37" s="31">
        <f t="shared" si="4"/>
        <v>1.7222021026374083E-3</v>
      </c>
      <c r="M37" s="74"/>
      <c r="N37" s="74"/>
    </row>
    <row r="38" spans="1:14" ht="14.5" x14ac:dyDescent="0.35">
      <c r="A38" s="59">
        <v>14</v>
      </c>
      <c r="B38" s="58"/>
      <c r="C38" s="63">
        <v>14</v>
      </c>
      <c r="D38" s="61">
        <v>236263</v>
      </c>
      <c r="E38" s="33">
        <v>1.098835170780657</v>
      </c>
      <c r="F38" s="28">
        <f t="shared" si="0"/>
        <v>6.5609001309608575E-2</v>
      </c>
      <c r="G38" s="29">
        <f t="shared" si="1"/>
        <v>1.0988351707806572</v>
      </c>
      <c r="H38" s="29">
        <f t="shared" si="2"/>
        <v>9.8835170780657178E-2</v>
      </c>
      <c r="I38" s="30">
        <f t="shared" si="3"/>
        <v>6.4844768491835241E-3</v>
      </c>
      <c r="J38" s="31">
        <f t="shared" si="4"/>
        <v>6.4844768491835241E-3</v>
      </c>
      <c r="M38" s="74"/>
      <c r="N38" s="74"/>
    </row>
    <row r="39" spans="1:14" ht="14.5" x14ac:dyDescent="0.35">
      <c r="A39" s="59">
        <v>15</v>
      </c>
      <c r="B39" s="58"/>
      <c r="C39" s="63">
        <v>15</v>
      </c>
      <c r="D39" s="62">
        <v>130750</v>
      </c>
      <c r="E39" s="33">
        <v>1.1148764593087774</v>
      </c>
      <c r="F39" s="28">
        <f t="shared" si="0"/>
        <v>3.6308592209661782E-2</v>
      </c>
      <c r="G39" s="29">
        <f t="shared" si="1"/>
        <v>1.1148764593087777</v>
      </c>
      <c r="H39" s="29">
        <f t="shared" si="2"/>
        <v>0.11487645930877766</v>
      </c>
      <c r="I39" s="30">
        <f t="shared" si="3"/>
        <v>4.1710025155322133E-3</v>
      </c>
      <c r="J39" s="31">
        <f t="shared" si="4"/>
        <v>4.1710025155322133E-3</v>
      </c>
      <c r="M39" s="74"/>
      <c r="N39" s="74"/>
    </row>
    <row r="40" spans="1:14" ht="14.5" x14ac:dyDescent="0.35">
      <c r="A40" s="59">
        <v>16</v>
      </c>
      <c r="B40" s="58"/>
      <c r="C40" s="63">
        <v>16</v>
      </c>
      <c r="D40" s="61">
        <v>185598</v>
      </c>
      <c r="E40" s="33">
        <v>1.1633519839146047</v>
      </c>
      <c r="F40" s="28">
        <f t="shared" si="0"/>
        <v>5.153959538760082E-2</v>
      </c>
      <c r="G40" s="29">
        <f t="shared" si="1"/>
        <v>1.1633519839146049</v>
      </c>
      <c r="H40" s="29">
        <f t="shared" si="2"/>
        <v>0.16335198391460493</v>
      </c>
      <c r="I40" s="30">
        <f t="shared" si="3"/>
        <v>8.4190951567206154E-3</v>
      </c>
      <c r="J40" s="31">
        <f t="shared" si="4"/>
        <v>8.4190951567206154E-3</v>
      </c>
      <c r="M40" s="74"/>
      <c r="N40" s="74"/>
    </row>
    <row r="41" spans="1:14" ht="14.5" x14ac:dyDescent="0.35">
      <c r="A41" s="59">
        <v>17</v>
      </c>
      <c r="B41" s="58"/>
      <c r="C41" s="63">
        <v>17</v>
      </c>
      <c r="D41" s="62">
        <v>174639</v>
      </c>
      <c r="E41" s="33">
        <v>1.2199067626214031</v>
      </c>
      <c r="F41" s="28">
        <f t="shared" si="0"/>
        <v>4.8496338316658685E-2</v>
      </c>
      <c r="G41" s="29">
        <f t="shared" si="1"/>
        <v>1.2199067626214033</v>
      </c>
      <c r="H41" s="29">
        <f t="shared" si="2"/>
        <v>0.2199067626214033</v>
      </c>
      <c r="I41" s="30">
        <f t="shared" si="3"/>
        <v>1.0664672758208727E-2</v>
      </c>
      <c r="J41" s="31">
        <f t="shared" si="4"/>
        <v>1.0664672758208727E-2</v>
      </c>
      <c r="M41" s="74"/>
      <c r="N41" s="74"/>
    </row>
    <row r="42" spans="1:14" ht="14.5" x14ac:dyDescent="0.35">
      <c r="A42" s="59">
        <v>18</v>
      </c>
      <c r="B42" s="58"/>
      <c r="C42" s="63">
        <v>18</v>
      </c>
      <c r="D42" s="62">
        <v>105534</v>
      </c>
      <c r="E42" s="33">
        <v>1.2683822872272308</v>
      </c>
      <c r="F42" s="28">
        <f t="shared" si="0"/>
        <v>2.9306240690282571E-2</v>
      </c>
      <c r="G42" s="29">
        <f t="shared" si="1"/>
        <v>1.268382287227231</v>
      </c>
      <c r="H42" s="29">
        <f t="shared" si="2"/>
        <v>0.26838228722723101</v>
      </c>
      <c r="I42" s="30">
        <f t="shared" si="3"/>
        <v>7.8652759064897822E-3</v>
      </c>
      <c r="J42" s="31">
        <f t="shared" si="4"/>
        <v>7.8652759064897822E-3</v>
      </c>
      <c r="M42" s="74"/>
      <c r="N42" s="74"/>
    </row>
    <row r="43" spans="1:14" ht="14.5" x14ac:dyDescent="0.35">
      <c r="A43" s="59">
        <v>19</v>
      </c>
      <c r="B43" s="58"/>
      <c r="C43" s="63">
        <v>19</v>
      </c>
      <c r="D43" s="62">
        <v>82770</v>
      </c>
      <c r="E43" s="33">
        <v>1.3410955741359716</v>
      </c>
      <c r="F43" s="28">
        <f t="shared" si="0"/>
        <v>2.2984796766299852E-2</v>
      </c>
      <c r="G43" s="29">
        <f t="shared" si="1"/>
        <v>1.3410955741359718</v>
      </c>
      <c r="H43" s="29">
        <f t="shared" si="2"/>
        <v>0.3410955741359718</v>
      </c>
      <c r="I43" s="30">
        <f t="shared" si="3"/>
        <v>7.8400124493996758E-3</v>
      </c>
      <c r="J43" s="31">
        <f t="shared" si="4"/>
        <v>7.8400124493996758E-3</v>
      </c>
      <c r="M43" s="74"/>
      <c r="N43" s="74"/>
    </row>
    <row r="44" spans="1:14" ht="14.5" x14ac:dyDescent="0.35">
      <c r="A44" s="59">
        <v>20</v>
      </c>
      <c r="B44" s="58"/>
      <c r="C44" s="63">
        <v>20</v>
      </c>
      <c r="D44" s="62">
        <v>28496</v>
      </c>
      <c r="E44" s="33">
        <v>1.3814918446408277</v>
      </c>
      <c r="F44" s="28">
        <f t="shared" si="0"/>
        <v>7.9131903908720609E-3</v>
      </c>
      <c r="G44" s="29">
        <f t="shared" si="1"/>
        <v>1.381491844640828</v>
      </c>
      <c r="H44" s="29">
        <f t="shared" si="2"/>
        <v>0.38149184464082797</v>
      </c>
      <c r="I44" s="30">
        <f t="shared" si="3"/>
        <v>3.018817599207857E-3</v>
      </c>
      <c r="J44" s="31">
        <f t="shared" si="4"/>
        <v>3.018817599207857E-3</v>
      </c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N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N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N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N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N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N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N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N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N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N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N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N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N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N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N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N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N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N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N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N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N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N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N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N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N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N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N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N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N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N85" s="74"/>
      <c r="O85" s="74"/>
    </row>
    <row r="86" spans="1:15" x14ac:dyDescent="0.2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412"/>
  <sheetViews>
    <sheetView showGridLines="0" view="pageBreakPreview" zoomScale="60" zoomScaleNormal="100" workbookViewId="0">
      <selection activeCell="C33" sqref="C33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90</v>
      </c>
      <c r="E17" s="26"/>
      <c r="I17" s="1" t="s">
        <v>31</v>
      </c>
      <c r="J17" s="56">
        <f>SUMPRODUCT(E25:E412,F25:F412)</f>
        <v>1.0000633749468215</v>
      </c>
    </row>
    <row r="18" spans="1:14" ht="13" thickBot="1" x14ac:dyDescent="0.3">
      <c r="A18" t="s">
        <v>24</v>
      </c>
      <c r="D18" s="71" t="s">
        <v>147</v>
      </c>
      <c r="E18" s="26"/>
      <c r="I18" s="1" t="s">
        <v>26</v>
      </c>
      <c r="J18" s="57">
        <f>SUM(D25:D412)</f>
        <v>3601076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8.8256525875240813E-2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x14ac:dyDescent="0.25">
      <c r="A24" s="4"/>
      <c r="B24" s="4"/>
      <c r="C24" s="5"/>
      <c r="D24" s="15"/>
      <c r="E24" s="15"/>
      <c r="F24" s="15"/>
      <c r="G24" s="15"/>
      <c r="H24" s="15"/>
      <c r="I24" s="15"/>
      <c r="J24" s="5"/>
    </row>
    <row r="25" spans="1:14" ht="14.5" x14ac:dyDescent="0.35">
      <c r="A25" s="59">
        <v>1</v>
      </c>
      <c r="B25" s="58"/>
      <c r="C25" s="63">
        <v>1</v>
      </c>
      <c r="D25" s="60">
        <v>36136</v>
      </c>
      <c r="E25" s="33">
        <v>0.72</v>
      </c>
      <c r="F25" s="28">
        <f>IF(D25&lt;&gt;"",D25/$J$18,"")</f>
        <v>1.0034778493983465E-2</v>
      </c>
      <c r="G25" s="29">
        <f>IF(F25&lt;&gt;"",IF($J$17&gt;0.5,(E25/$J$17),(E25-$J$17)),"")</f>
        <v>0.71995437292990161</v>
      </c>
      <c r="H25" s="29">
        <f>IF(F25&lt;&gt;"",ABS(G25-$J$16),"")</f>
        <v>0.28004562707009839</v>
      </c>
      <c r="I25" s="30">
        <f>IF(F25&lt;&gt;"",H25*F25,"")</f>
        <v>2.8101958358571371E-3</v>
      </c>
      <c r="J25" s="31">
        <f>IF(F25&lt;&gt;"",I25*$J$19,"")</f>
        <v>2.8101958358571371E-3</v>
      </c>
      <c r="M25" s="74"/>
      <c r="N25" s="74"/>
    </row>
    <row r="26" spans="1:14" ht="14.5" x14ac:dyDescent="0.35">
      <c r="A26" s="59">
        <v>2</v>
      </c>
      <c r="B26" s="58"/>
      <c r="C26" s="63">
        <v>2</v>
      </c>
      <c r="D26" s="60">
        <v>42691</v>
      </c>
      <c r="E26" s="33">
        <v>0.75700000000000001</v>
      </c>
      <c r="F26" s="28">
        <f t="shared" ref="F26:F89" si="0">IF(D26&lt;&gt;"",D26/$J$18,"")</f>
        <v>1.1855067763079702E-2</v>
      </c>
      <c r="G26" s="29">
        <f t="shared" ref="G26:G89" si="1">IF(F26&lt;&gt;"",IF($J$17&gt;0.5,(E26/$J$17),(E26-$J$17)),"")</f>
        <v>0.75695202820546603</v>
      </c>
      <c r="H26" s="29">
        <f t="shared" ref="H26:H89" si="2">IF(F26&lt;&gt;"",ABS(G26-$J$16),"")</f>
        <v>0.24304797179453397</v>
      </c>
      <c r="I26" s="30">
        <f t="shared" ref="I26:I89" si="3">IF(F26&lt;&gt;"",H26*F26,"")</f>
        <v>2.8813501753032844E-3</v>
      </c>
      <c r="J26" s="31">
        <f t="shared" ref="J26:J89" si="4">IF(F26&lt;&gt;"",I26*$J$19,"")</f>
        <v>2.8813501753032844E-3</v>
      </c>
      <c r="M26" s="74"/>
      <c r="N26" s="74"/>
    </row>
    <row r="27" spans="1:14" ht="14.5" x14ac:dyDescent="0.35">
      <c r="A27" s="59">
        <v>3</v>
      </c>
      <c r="B27" s="58"/>
      <c r="C27" s="63">
        <v>3</v>
      </c>
      <c r="D27" s="61">
        <v>107596</v>
      </c>
      <c r="E27" s="33">
        <v>0.76500000000000001</v>
      </c>
      <c r="F27" s="28">
        <f t="shared" si="0"/>
        <v>2.9878847322300336E-2</v>
      </c>
      <c r="G27" s="29">
        <f t="shared" si="1"/>
        <v>0.76495152123802057</v>
      </c>
      <c r="H27" s="29">
        <f t="shared" si="2"/>
        <v>0.23504847876197943</v>
      </c>
      <c r="I27" s="30">
        <f t="shared" si="3"/>
        <v>7.0229776102681361E-3</v>
      </c>
      <c r="J27" s="31">
        <f t="shared" si="4"/>
        <v>7.0229776102681361E-3</v>
      </c>
      <c r="M27" s="74"/>
      <c r="N27" s="74"/>
    </row>
    <row r="28" spans="1:14" ht="14.5" x14ac:dyDescent="0.35">
      <c r="A28" s="59">
        <v>4</v>
      </c>
      <c r="B28" s="58"/>
      <c r="C28" s="63">
        <v>4</v>
      </c>
      <c r="D28" s="61">
        <v>167488</v>
      </c>
      <c r="E28" s="33">
        <v>0.83199999999999996</v>
      </c>
      <c r="F28" s="28">
        <f t="shared" si="0"/>
        <v>4.6510542959937527E-2</v>
      </c>
      <c r="G28" s="29">
        <f t="shared" si="1"/>
        <v>0.83194727538566404</v>
      </c>
      <c r="H28" s="29">
        <f t="shared" si="2"/>
        <v>0.16805272461433596</v>
      </c>
      <c r="I28" s="30">
        <f t="shared" si="3"/>
        <v>7.8162234677096234E-3</v>
      </c>
      <c r="J28" s="31">
        <f t="shared" si="4"/>
        <v>7.8162234677096234E-3</v>
      </c>
      <c r="M28" s="74"/>
      <c r="N28" s="74"/>
    </row>
    <row r="29" spans="1:14" ht="14.5" x14ac:dyDescent="0.35">
      <c r="A29" s="59">
        <v>5</v>
      </c>
      <c r="B29" s="58"/>
      <c r="C29" s="63">
        <v>5</v>
      </c>
      <c r="D29" s="61">
        <v>176954</v>
      </c>
      <c r="E29" s="33">
        <v>0.84799999999999998</v>
      </c>
      <c r="F29" s="28">
        <f t="shared" si="0"/>
        <v>4.9139201727483671E-2</v>
      </c>
      <c r="G29" s="29">
        <f t="shared" si="1"/>
        <v>0.84794626145077301</v>
      </c>
      <c r="H29" s="29">
        <f t="shared" si="2"/>
        <v>0.15205373854922699</v>
      </c>
      <c r="I29" s="30">
        <f t="shared" si="3"/>
        <v>7.4717993319885255E-3</v>
      </c>
      <c r="J29" s="31">
        <f t="shared" si="4"/>
        <v>7.4717993319885255E-3</v>
      </c>
      <c r="M29" s="74"/>
      <c r="N29" s="74"/>
    </row>
    <row r="30" spans="1:14" ht="14.5" x14ac:dyDescent="0.35">
      <c r="A30" s="59">
        <v>6</v>
      </c>
      <c r="B30" s="58"/>
      <c r="C30" s="63">
        <v>6</v>
      </c>
      <c r="D30" s="62">
        <v>259934</v>
      </c>
      <c r="E30" s="33">
        <v>0.85899999999999999</v>
      </c>
      <c r="F30" s="28">
        <f t="shared" si="0"/>
        <v>7.2182314397141303E-2</v>
      </c>
      <c r="G30" s="29">
        <f t="shared" si="1"/>
        <v>0.85894556437053537</v>
      </c>
      <c r="H30" s="29">
        <f t="shared" si="2"/>
        <v>0.14105443562946463</v>
      </c>
      <c r="I30" s="30">
        <f t="shared" si="3"/>
        <v>1.0181635619717345E-2</v>
      </c>
      <c r="J30" s="31">
        <f t="shared" si="4"/>
        <v>1.0181635619717345E-2</v>
      </c>
      <c r="M30" s="74"/>
      <c r="N30" s="74"/>
    </row>
    <row r="31" spans="1:14" ht="14.5" x14ac:dyDescent="0.35">
      <c r="A31" s="59">
        <v>7</v>
      </c>
      <c r="B31" s="58"/>
      <c r="C31" s="63">
        <v>7</v>
      </c>
      <c r="D31" s="62">
        <v>258312</v>
      </c>
      <c r="E31" s="33">
        <v>0.96299999999999997</v>
      </c>
      <c r="F31" s="28">
        <f t="shared" si="0"/>
        <v>7.1731893467396973E-2</v>
      </c>
      <c r="G31" s="29">
        <f t="shared" si="1"/>
        <v>0.96293897379374338</v>
      </c>
      <c r="H31" s="29">
        <f t="shared" si="2"/>
        <v>3.706102620625662E-2</v>
      </c>
      <c r="I31" s="30">
        <f t="shared" si="3"/>
        <v>2.6584575836196074E-3</v>
      </c>
      <c r="J31" s="31">
        <f t="shared" si="4"/>
        <v>2.6584575836196074E-3</v>
      </c>
      <c r="M31" s="74"/>
      <c r="N31" s="74"/>
    </row>
    <row r="32" spans="1:14" ht="14.5" x14ac:dyDescent="0.35">
      <c r="A32" s="59">
        <v>8</v>
      </c>
      <c r="B32" s="58"/>
      <c r="C32" s="63">
        <v>8</v>
      </c>
      <c r="D32" s="61">
        <v>319826</v>
      </c>
      <c r="E32" s="33">
        <v>0.96499999999999997</v>
      </c>
      <c r="F32" s="28">
        <f t="shared" si="0"/>
        <v>8.8814010034778498E-2</v>
      </c>
      <c r="G32" s="29">
        <f t="shared" si="1"/>
        <v>0.96493884705188204</v>
      </c>
      <c r="H32" s="29">
        <f t="shared" si="2"/>
        <v>3.5061152948117957E-2</v>
      </c>
      <c r="I32" s="30">
        <f t="shared" si="3"/>
        <v>3.1139215897650519E-3</v>
      </c>
      <c r="J32" s="31">
        <f t="shared" si="4"/>
        <v>3.1139215897650519E-3</v>
      </c>
      <c r="M32" s="74"/>
      <c r="N32" s="74"/>
    </row>
    <row r="33" spans="1:14" ht="14.5" x14ac:dyDescent="0.35">
      <c r="A33" s="59">
        <v>9</v>
      </c>
      <c r="B33" s="58"/>
      <c r="C33" s="63">
        <v>9</v>
      </c>
      <c r="D33" s="62">
        <v>299679</v>
      </c>
      <c r="E33" s="33">
        <v>0.998</v>
      </c>
      <c r="F33" s="28">
        <f t="shared" si="0"/>
        <v>8.3219293344544795E-2</v>
      </c>
      <c r="G33" s="29">
        <f t="shared" si="1"/>
        <v>0.99793675581116925</v>
      </c>
      <c r="H33" s="29">
        <f t="shared" si="2"/>
        <v>2.0632441888307484E-3</v>
      </c>
      <c r="I33" s="30">
        <f t="shared" si="3"/>
        <v>1.7170172339173344E-4</v>
      </c>
      <c r="J33" s="31">
        <f t="shared" si="4"/>
        <v>1.7170172339173344E-4</v>
      </c>
      <c r="M33" s="74"/>
      <c r="N33" s="74"/>
    </row>
    <row r="34" spans="1:14" ht="14.5" x14ac:dyDescent="0.35">
      <c r="A34" s="59">
        <v>10</v>
      </c>
      <c r="B34" s="58"/>
      <c r="C34" s="63">
        <v>10</v>
      </c>
      <c r="D34" s="62">
        <v>270053</v>
      </c>
      <c r="E34" s="33">
        <v>1.0089999999999999</v>
      </c>
      <c r="F34" s="28">
        <f t="shared" si="0"/>
        <v>7.4992307854652329E-2</v>
      </c>
      <c r="G34" s="29">
        <f t="shared" si="1"/>
        <v>1.0089360587309315</v>
      </c>
      <c r="H34" s="29">
        <f t="shared" si="2"/>
        <v>8.9360587309315065E-3</v>
      </c>
      <c r="I34" s="30">
        <f t="shared" si="3"/>
        <v>6.7013566735726936E-4</v>
      </c>
      <c r="J34" s="31">
        <f t="shared" si="4"/>
        <v>6.7013566735726936E-4</v>
      </c>
      <c r="M34" s="74"/>
      <c r="N34" s="74"/>
    </row>
    <row r="35" spans="1:14" ht="14.5" x14ac:dyDescent="0.35">
      <c r="A35" s="59">
        <v>11</v>
      </c>
      <c r="B35" s="58"/>
      <c r="C35" s="63">
        <v>11</v>
      </c>
      <c r="D35" s="62">
        <v>260645</v>
      </c>
      <c r="E35" s="33">
        <v>1.03</v>
      </c>
      <c r="F35" s="28">
        <f t="shared" si="0"/>
        <v>7.2379755384224045E-2</v>
      </c>
      <c r="G35" s="29">
        <f t="shared" si="1"/>
        <v>1.0299347279413871</v>
      </c>
      <c r="H35" s="29">
        <f t="shared" si="2"/>
        <v>2.9934727941387074E-2</v>
      </c>
      <c r="I35" s="30">
        <f t="shared" si="3"/>
        <v>2.1666682858908931E-3</v>
      </c>
      <c r="J35" s="31">
        <f t="shared" si="4"/>
        <v>2.1666682858908931E-3</v>
      </c>
      <c r="M35" s="74"/>
      <c r="N35" s="74"/>
    </row>
    <row r="36" spans="1:14" ht="14.5" x14ac:dyDescent="0.35">
      <c r="A36" s="59">
        <v>12</v>
      </c>
      <c r="B36" s="58"/>
      <c r="C36" s="63">
        <v>12</v>
      </c>
      <c r="D36" s="62">
        <v>259842</v>
      </c>
      <c r="E36" s="33">
        <v>1.056</v>
      </c>
      <c r="F36" s="28">
        <f t="shared" si="0"/>
        <v>7.2156766477575032E-2</v>
      </c>
      <c r="G36" s="29">
        <f t="shared" si="1"/>
        <v>1.0559330802971891</v>
      </c>
      <c r="H36" s="29">
        <f t="shared" si="2"/>
        <v>5.5933080297189131E-2</v>
      </c>
      <c r="I36" s="30">
        <f t="shared" si="3"/>
        <v>4.0359502133757294E-3</v>
      </c>
      <c r="J36" s="31">
        <f t="shared" si="4"/>
        <v>4.0359502133757294E-3</v>
      </c>
      <c r="M36" s="74"/>
      <c r="N36" s="74"/>
    </row>
    <row r="37" spans="1:14" ht="14.5" x14ac:dyDescent="0.35">
      <c r="A37" s="59">
        <v>13</v>
      </c>
      <c r="B37" s="58"/>
      <c r="C37" s="63">
        <v>13</v>
      </c>
      <c r="D37" s="61">
        <v>205853</v>
      </c>
      <c r="E37" s="33">
        <v>1.08</v>
      </c>
      <c r="F37" s="28">
        <f t="shared" si="0"/>
        <v>5.7164303113847084E-2</v>
      </c>
      <c r="G37" s="29">
        <f t="shared" si="1"/>
        <v>1.0799315593948526</v>
      </c>
      <c r="H37" s="29">
        <f t="shared" si="2"/>
        <v>7.9931559394852636E-2</v>
      </c>
      <c r="I37" s="30">
        <f t="shared" si="3"/>
        <v>4.5692318896098276E-3</v>
      </c>
      <c r="J37" s="31">
        <f t="shared" si="4"/>
        <v>4.5692318896098276E-3</v>
      </c>
      <c r="M37" s="74"/>
      <c r="N37" s="74"/>
    </row>
    <row r="38" spans="1:14" ht="14.5" x14ac:dyDescent="0.35">
      <c r="A38" s="59">
        <v>14</v>
      </c>
      <c r="B38" s="58"/>
      <c r="C38" s="63">
        <v>14</v>
      </c>
      <c r="D38" s="61">
        <v>211665</v>
      </c>
      <c r="E38" s="33">
        <v>1.0900000000000001</v>
      </c>
      <c r="F38" s="28">
        <f t="shared" si="0"/>
        <v>5.8778265162967955E-2</v>
      </c>
      <c r="G38" s="29">
        <f t="shared" si="1"/>
        <v>1.0899309256855456</v>
      </c>
      <c r="H38" s="29">
        <f t="shared" si="2"/>
        <v>8.9930925685545615E-2</v>
      </c>
      <c r="I38" s="30">
        <f t="shared" si="3"/>
        <v>5.2859837962961655E-3</v>
      </c>
      <c r="J38" s="31">
        <f t="shared" si="4"/>
        <v>5.2859837962961655E-3</v>
      </c>
      <c r="M38" s="74"/>
      <c r="N38" s="74"/>
    </row>
    <row r="39" spans="1:14" ht="14.5" x14ac:dyDescent="0.35">
      <c r="A39" s="59">
        <v>15</v>
      </c>
      <c r="B39" s="58"/>
      <c r="C39" s="63">
        <v>15</v>
      </c>
      <c r="D39" s="62">
        <v>184950</v>
      </c>
      <c r="E39" s="33">
        <v>1.1000000000000001</v>
      </c>
      <c r="F39" s="28">
        <f t="shared" si="0"/>
        <v>5.1359649171525398E-2</v>
      </c>
      <c r="G39" s="29">
        <f t="shared" si="1"/>
        <v>1.0999302919762388</v>
      </c>
      <c r="H39" s="29">
        <f t="shared" si="2"/>
        <v>9.9930291976238816E-2</v>
      </c>
      <c r="I39" s="30">
        <f t="shared" si="3"/>
        <v>5.1323847375077253E-3</v>
      </c>
      <c r="J39" s="31">
        <f t="shared" si="4"/>
        <v>5.1323847375077253E-3</v>
      </c>
      <c r="M39" s="74"/>
      <c r="N39" s="74"/>
    </row>
    <row r="40" spans="1:14" ht="14.5" x14ac:dyDescent="0.35">
      <c r="A40" s="59">
        <v>16</v>
      </c>
      <c r="B40" s="58"/>
      <c r="C40" s="63">
        <v>16</v>
      </c>
      <c r="D40" s="61">
        <v>109244</v>
      </c>
      <c r="E40" s="33">
        <v>1.1200000000000001</v>
      </c>
      <c r="F40" s="28">
        <f t="shared" si="0"/>
        <v>3.0336488316269915E-2</v>
      </c>
      <c r="G40" s="29">
        <f t="shared" si="1"/>
        <v>1.119929024557625</v>
      </c>
      <c r="H40" s="29">
        <f t="shared" si="2"/>
        <v>0.119929024557625</v>
      </c>
      <c r="I40" s="30">
        <f t="shared" si="3"/>
        <v>3.6382254522740382E-3</v>
      </c>
      <c r="J40" s="31">
        <f t="shared" si="4"/>
        <v>3.6382254522740382E-3</v>
      </c>
      <c r="M40" s="74"/>
      <c r="N40" s="74"/>
    </row>
    <row r="41" spans="1:14" ht="14.5" x14ac:dyDescent="0.35">
      <c r="A41" s="59">
        <v>17</v>
      </c>
      <c r="B41" s="58"/>
      <c r="C41" s="63">
        <v>17</v>
      </c>
      <c r="D41" s="62">
        <v>207859</v>
      </c>
      <c r="E41" s="33">
        <v>1.1399999999999999</v>
      </c>
      <c r="F41" s="28">
        <f t="shared" si="0"/>
        <v>5.7721358838302775E-2</v>
      </c>
      <c r="G41" s="29">
        <f t="shared" si="1"/>
        <v>1.139927757139011</v>
      </c>
      <c r="H41" s="29">
        <f t="shared" si="2"/>
        <v>0.13992775713901096</v>
      </c>
      <c r="I41" s="30">
        <f t="shared" si="3"/>
        <v>8.0768202812597344E-3</v>
      </c>
      <c r="J41" s="31">
        <f t="shared" si="4"/>
        <v>8.0768202812597344E-3</v>
      </c>
      <c r="M41" s="74"/>
      <c r="N41" s="74"/>
    </row>
    <row r="42" spans="1:14" ht="14.5" x14ac:dyDescent="0.35">
      <c r="A42" s="59">
        <v>18</v>
      </c>
      <c r="B42" s="58"/>
      <c r="C42" s="63">
        <v>18</v>
      </c>
      <c r="D42" s="62">
        <v>128578</v>
      </c>
      <c r="E42" s="33">
        <v>1.1599999999999999</v>
      </c>
      <c r="F42" s="28">
        <f t="shared" si="0"/>
        <v>3.5705439152075656E-2</v>
      </c>
      <c r="G42" s="29">
        <f t="shared" si="1"/>
        <v>1.1599264897203969</v>
      </c>
      <c r="H42" s="29">
        <f t="shared" si="2"/>
        <v>0.15992648972039691</v>
      </c>
      <c r="I42" s="30">
        <f t="shared" si="3"/>
        <v>5.7102455475166848E-3</v>
      </c>
      <c r="J42" s="31">
        <f t="shared" si="4"/>
        <v>5.7102455475166848E-3</v>
      </c>
      <c r="M42" s="74"/>
      <c r="N42" s="74"/>
    </row>
    <row r="43" spans="1:14" ht="14.5" x14ac:dyDescent="0.35">
      <c r="A43" s="59">
        <v>19</v>
      </c>
      <c r="B43" s="58"/>
      <c r="C43" s="63">
        <v>19</v>
      </c>
      <c r="D43" s="62">
        <v>65426</v>
      </c>
      <c r="E43" s="33">
        <v>1.18</v>
      </c>
      <c r="F43" s="28">
        <f t="shared" si="0"/>
        <v>1.816845853850349E-2</v>
      </c>
      <c r="G43" s="29">
        <f t="shared" si="1"/>
        <v>1.1799252223017831</v>
      </c>
      <c r="H43" s="29">
        <f t="shared" si="2"/>
        <v>0.17992522230178309</v>
      </c>
      <c r="I43" s="30">
        <f t="shared" si="3"/>
        <v>3.2689639414209696E-3</v>
      </c>
      <c r="J43" s="31">
        <f t="shared" si="4"/>
        <v>3.2689639414209696E-3</v>
      </c>
      <c r="M43" s="74"/>
      <c r="N43" s="74"/>
    </row>
    <row r="44" spans="1:14" ht="14.5" x14ac:dyDescent="0.35">
      <c r="A44" s="59">
        <v>20</v>
      </c>
      <c r="B44" s="58"/>
      <c r="C44" s="63">
        <v>20</v>
      </c>
      <c r="D44" s="62">
        <v>28345</v>
      </c>
      <c r="E44" s="33">
        <v>1.2</v>
      </c>
      <c r="F44" s="28">
        <f t="shared" si="0"/>
        <v>7.8712584794100437E-3</v>
      </c>
      <c r="G44" s="29">
        <f t="shared" si="1"/>
        <v>1.1999239548831693</v>
      </c>
      <c r="H44" s="29">
        <f t="shared" si="2"/>
        <v>0.19992395488316927</v>
      </c>
      <c r="I44" s="30">
        <f t="shared" si="3"/>
        <v>1.5736531251113373E-3</v>
      </c>
      <c r="J44" s="31">
        <f t="shared" si="4"/>
        <v>1.5736531251113373E-3</v>
      </c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N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N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N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N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N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N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N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N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N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N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N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N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N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N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N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N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N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N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N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N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N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N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N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N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N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N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N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N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N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N85" s="74"/>
      <c r="O85" s="74"/>
    </row>
    <row r="86" spans="1:15" x14ac:dyDescent="0.2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38</v>
      </c>
      <c r="E18" s="26"/>
      <c r="I18" s="1" t="s">
        <v>26</v>
      </c>
      <c r="J18" s="57">
        <f>SUM(D25:D412)</f>
        <v>2087940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0.13281040681537534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2"/>
      <c r="N24" s="72"/>
    </row>
    <row r="25" spans="1:14" ht="14.5" x14ac:dyDescent="0.35">
      <c r="A25" s="59">
        <v>1</v>
      </c>
      <c r="B25" s="58"/>
      <c r="C25" s="64" t="s">
        <v>59</v>
      </c>
      <c r="D25" s="60">
        <v>1661769</v>
      </c>
      <c r="E25" s="87">
        <v>0.91656476898832051</v>
      </c>
      <c r="F25" s="28">
        <f>IF(D25&lt;&gt;"",D25/$J$18,"")</f>
        <v>0.7958892496910831</v>
      </c>
      <c r="G25" s="29">
        <f>IF(F25&lt;&gt;"",IF($J$17&gt;0.5,(E25/$J$17),(E25-$J$17)),"")</f>
        <v>0.91656476898832051</v>
      </c>
      <c r="H25" s="29">
        <f>IF(F25&lt;&gt;"",ABS(G25-$J$16),"")</f>
        <v>8.3435231011679489E-2</v>
      </c>
      <c r="I25" s="30">
        <f>IF(F25&lt;&gt;"",H25*F25,"")</f>
        <v>6.6405203407687782E-2</v>
      </c>
      <c r="J25" s="31">
        <f>IF(F25&lt;&gt;"",I25*$J$19,"")</f>
        <v>6.6405203407687782E-2</v>
      </c>
      <c r="L25" s="67"/>
      <c r="M25" s="73"/>
      <c r="N25" s="73"/>
    </row>
    <row r="26" spans="1:14" ht="14.5" x14ac:dyDescent="0.35">
      <c r="A26" s="59">
        <v>2</v>
      </c>
      <c r="B26" s="58"/>
      <c r="C26" s="63" t="s">
        <v>60</v>
      </c>
      <c r="D26" s="60">
        <v>56071</v>
      </c>
      <c r="E26" s="86">
        <v>1.097746435629642</v>
      </c>
      <c r="F26" s="28">
        <f t="shared" ref="F26:F89" si="0">IF(D26&lt;&gt;"",D26/$J$18,"")</f>
        <v>2.6854698889814843E-2</v>
      </c>
      <c r="G26" s="29">
        <f t="shared" ref="G26:G89" si="1">IF(F26&lt;&gt;"",IF($J$17&gt;0.5,(E26/$J$17),(E26-$J$17)),"")</f>
        <v>1.097746435629642</v>
      </c>
      <c r="H26" s="29">
        <f t="shared" ref="H26:H89" si="2">IF(F26&lt;&gt;"",ABS(G26-$J$16),"")</f>
        <v>9.7746435629642026E-2</v>
      </c>
      <c r="I26" s="30">
        <f t="shared" ref="I26:I89" si="3">IF(F26&lt;&gt;"",H26*F26,"")</f>
        <v>2.6249510963867058E-3</v>
      </c>
      <c r="J26" s="31">
        <f t="shared" ref="J26:J89" si="4">IF(F26&lt;&gt;"",I26*$J$19,"")</f>
        <v>2.6249510963867058E-3</v>
      </c>
      <c r="L26" s="67"/>
      <c r="M26" s="73"/>
      <c r="N26" s="73"/>
    </row>
    <row r="27" spans="1:14" ht="14.5" x14ac:dyDescent="0.35">
      <c r="A27" s="59">
        <v>3</v>
      </c>
      <c r="B27" s="58"/>
      <c r="C27" s="63" t="s">
        <v>61</v>
      </c>
      <c r="D27" s="61">
        <v>59088</v>
      </c>
      <c r="E27" s="86">
        <v>1.1424225281810771</v>
      </c>
      <c r="F27" s="28">
        <f t="shared" si="0"/>
        <v>2.8299663783442053E-2</v>
      </c>
      <c r="G27" s="29">
        <f t="shared" si="1"/>
        <v>1.1424225281810771</v>
      </c>
      <c r="H27" s="29">
        <f t="shared" si="2"/>
        <v>0.14242252818107715</v>
      </c>
      <c r="I27" s="30">
        <f t="shared" si="3"/>
        <v>4.0305096627122842E-3</v>
      </c>
      <c r="J27" s="31">
        <f t="shared" si="4"/>
        <v>4.0305096627122842E-3</v>
      </c>
      <c r="L27" s="67"/>
      <c r="M27" s="73"/>
      <c r="N27" s="73"/>
    </row>
    <row r="28" spans="1:14" ht="14.5" x14ac:dyDescent="0.35">
      <c r="A28" s="59">
        <v>4</v>
      </c>
      <c r="B28" s="58"/>
      <c r="C28" s="63" t="s">
        <v>62</v>
      </c>
      <c r="D28" s="61">
        <v>62193</v>
      </c>
      <c r="E28" s="88">
        <v>1.239495011161595</v>
      </c>
      <c r="F28" s="28">
        <f t="shared" si="0"/>
        <v>2.9786775482054082E-2</v>
      </c>
      <c r="G28" s="29">
        <f t="shared" si="1"/>
        <v>1.239495011161595</v>
      </c>
      <c r="H28" s="29">
        <f t="shared" si="2"/>
        <v>0.239495011161595</v>
      </c>
      <c r="I28" s="30">
        <f t="shared" si="3"/>
        <v>7.1337841265424664E-3</v>
      </c>
      <c r="J28" s="31">
        <f t="shared" si="4"/>
        <v>7.1337841265424664E-3</v>
      </c>
      <c r="L28" s="67"/>
      <c r="M28" s="73"/>
      <c r="N28" s="73"/>
    </row>
    <row r="29" spans="1:14" ht="14.5" x14ac:dyDescent="0.35">
      <c r="A29" s="59">
        <v>5</v>
      </c>
      <c r="B29" s="58"/>
      <c r="C29" s="63" t="s">
        <v>63</v>
      </c>
      <c r="D29" s="61">
        <v>57573</v>
      </c>
      <c r="E29" s="88">
        <v>1.2955455937595992</v>
      </c>
      <c r="F29" s="28">
        <f t="shared" si="0"/>
        <v>2.7574068220351161E-2</v>
      </c>
      <c r="G29" s="29">
        <f t="shared" si="1"/>
        <v>1.2955455937595992</v>
      </c>
      <c r="H29" s="29">
        <f t="shared" si="2"/>
        <v>0.29554559375959921</v>
      </c>
      <c r="I29" s="30">
        <f t="shared" si="3"/>
        <v>8.1493943645513794E-3</v>
      </c>
      <c r="J29" s="31">
        <f t="shared" si="4"/>
        <v>8.1493943645513794E-3</v>
      </c>
      <c r="L29" s="67"/>
      <c r="M29" s="73"/>
      <c r="N29" s="73"/>
    </row>
    <row r="30" spans="1:14" ht="14.5" x14ac:dyDescent="0.35">
      <c r="A30" s="59">
        <v>6</v>
      </c>
      <c r="B30" s="58"/>
      <c r="C30" s="63" t="s">
        <v>64</v>
      </c>
      <c r="D30" s="62">
        <v>48243</v>
      </c>
      <c r="E30" s="88">
        <v>1.30899773358312</v>
      </c>
      <c r="F30" s="28">
        <f t="shared" si="0"/>
        <v>2.3105549010029022E-2</v>
      </c>
      <c r="G30" s="29">
        <f t="shared" si="1"/>
        <v>1.30899773358312</v>
      </c>
      <c r="H30" s="29">
        <f t="shared" si="2"/>
        <v>0.30899773358311999</v>
      </c>
      <c r="I30" s="30">
        <f t="shared" si="3"/>
        <v>7.1395622772926701E-3</v>
      </c>
      <c r="J30" s="31">
        <f t="shared" si="4"/>
        <v>7.1395622772926701E-3</v>
      </c>
      <c r="L30" s="67"/>
      <c r="M30" s="73"/>
      <c r="N30" s="73"/>
    </row>
    <row r="31" spans="1:14" ht="14.5" x14ac:dyDescent="0.35">
      <c r="A31" s="59">
        <v>7</v>
      </c>
      <c r="B31" s="58"/>
      <c r="C31" s="63" t="s">
        <v>65</v>
      </c>
      <c r="D31" s="62">
        <v>34942</v>
      </c>
      <c r="E31" s="87">
        <v>1.4026000190466108</v>
      </c>
      <c r="F31" s="28">
        <f t="shared" si="0"/>
        <v>1.6735155224766995E-2</v>
      </c>
      <c r="G31" s="29">
        <f t="shared" si="1"/>
        <v>1.4026000190466108</v>
      </c>
      <c r="H31" s="29">
        <f t="shared" si="2"/>
        <v>0.4026000190466108</v>
      </c>
      <c r="I31" s="30">
        <f t="shared" si="3"/>
        <v>6.7375738122391806E-3</v>
      </c>
      <c r="J31" s="31">
        <f t="shared" si="4"/>
        <v>6.7375738122391806E-3</v>
      </c>
      <c r="L31" s="67"/>
      <c r="M31" s="73"/>
      <c r="N31" s="73"/>
    </row>
    <row r="32" spans="1:14" ht="14.5" x14ac:dyDescent="0.35">
      <c r="A32" s="59">
        <v>8</v>
      </c>
      <c r="B32" s="58"/>
      <c r="C32" s="63" t="s">
        <v>66</v>
      </c>
      <c r="D32" s="60">
        <v>6779</v>
      </c>
      <c r="E32" s="87">
        <v>1.4496670804978151</v>
      </c>
      <c r="F32" s="28">
        <f t="shared" si="0"/>
        <v>3.2467408067281627E-3</v>
      </c>
      <c r="G32" s="29">
        <f t="shared" si="1"/>
        <v>1.4496670804978151</v>
      </c>
      <c r="H32" s="29">
        <f t="shared" si="2"/>
        <v>0.44966708049781512</v>
      </c>
      <c r="I32" s="30">
        <f t="shared" si="3"/>
        <v>1.4599524596945739E-3</v>
      </c>
      <c r="J32" s="31">
        <f t="shared" si="4"/>
        <v>1.4599524596945739E-3</v>
      </c>
      <c r="L32" s="67"/>
      <c r="M32" s="73"/>
      <c r="N32" s="73"/>
    </row>
    <row r="33" spans="1:14" ht="14.5" x14ac:dyDescent="0.35">
      <c r="A33" s="59">
        <v>9</v>
      </c>
      <c r="B33" s="58"/>
      <c r="C33" s="63" t="s">
        <v>67</v>
      </c>
      <c r="D33" s="60">
        <v>4293</v>
      </c>
      <c r="E33" s="86">
        <v>1.6008661240672157</v>
      </c>
      <c r="F33" s="28">
        <f t="shared" si="0"/>
        <v>2.0560935659070662E-3</v>
      </c>
      <c r="G33" s="29">
        <f t="shared" si="1"/>
        <v>1.6008661240672157</v>
      </c>
      <c r="H33" s="29">
        <f t="shared" si="2"/>
        <v>0.60086612406721573</v>
      </c>
      <c r="I33" s="30">
        <f t="shared" si="3"/>
        <v>1.2354369716661192E-3</v>
      </c>
      <c r="J33" s="31">
        <f t="shared" si="4"/>
        <v>1.2354369716661192E-3</v>
      </c>
      <c r="L33" s="67"/>
      <c r="M33" s="73"/>
      <c r="N33" s="73"/>
    </row>
    <row r="34" spans="1:14" ht="14.5" x14ac:dyDescent="0.35">
      <c r="A34" s="59">
        <v>10</v>
      </c>
      <c r="B34" s="58"/>
      <c r="C34" s="63" t="s">
        <v>68</v>
      </c>
      <c r="D34" s="61">
        <v>1932</v>
      </c>
      <c r="E34" s="86">
        <v>1.8719421683807449</v>
      </c>
      <c r="F34" s="28">
        <f t="shared" si="0"/>
        <v>9.2531394580304036E-4</v>
      </c>
      <c r="G34" s="29">
        <f t="shared" si="1"/>
        <v>1.8719421683807449</v>
      </c>
      <c r="H34" s="29">
        <f t="shared" si="2"/>
        <v>0.8719421683807449</v>
      </c>
      <c r="I34" s="30">
        <f t="shared" si="3"/>
        <v>8.0682024833644611E-4</v>
      </c>
      <c r="J34" s="31">
        <f t="shared" si="4"/>
        <v>8.0682024833644611E-4</v>
      </c>
      <c r="L34" s="67"/>
      <c r="M34" s="73"/>
      <c r="N34" s="73"/>
    </row>
    <row r="35" spans="1:14" ht="14.5" x14ac:dyDescent="0.35">
      <c r="A35" s="59">
        <v>11</v>
      </c>
      <c r="B35" s="58"/>
      <c r="C35" s="63" t="s">
        <v>69</v>
      </c>
      <c r="D35" s="61">
        <v>558</v>
      </c>
      <c r="E35" s="88">
        <v>1.9581214447600794</v>
      </c>
      <c r="F35" s="28">
        <f t="shared" si="0"/>
        <v>2.6724905888100234E-4</v>
      </c>
      <c r="G35" s="29">
        <f t="shared" si="1"/>
        <v>1.9581214447600794</v>
      </c>
      <c r="H35" s="29">
        <f t="shared" si="2"/>
        <v>0.95812144476007943</v>
      </c>
      <c r="I35" s="30">
        <f t="shared" si="3"/>
        <v>2.5605705440583749E-4</v>
      </c>
      <c r="J35" s="31">
        <f t="shared" si="4"/>
        <v>2.5605705440583749E-4</v>
      </c>
      <c r="L35" s="67"/>
      <c r="M35" s="73"/>
      <c r="N35" s="73"/>
    </row>
    <row r="36" spans="1:14" ht="14.5" x14ac:dyDescent="0.35">
      <c r="A36" s="59">
        <v>12</v>
      </c>
      <c r="B36" s="58"/>
      <c r="C36" s="63" t="s">
        <v>70</v>
      </c>
      <c r="D36" s="61">
        <v>243</v>
      </c>
      <c r="E36" s="88">
        <v>2.027433817793193</v>
      </c>
      <c r="F36" s="28">
        <f t="shared" si="0"/>
        <v>1.1638265467398489E-4</v>
      </c>
      <c r="G36" s="29">
        <f t="shared" si="1"/>
        <v>2.027433817793193</v>
      </c>
      <c r="H36" s="29">
        <f t="shared" si="2"/>
        <v>1.027433817793193</v>
      </c>
      <c r="I36" s="30">
        <f t="shared" si="3"/>
        <v>1.195754752165991E-4</v>
      </c>
      <c r="J36" s="31">
        <f t="shared" si="4"/>
        <v>1.195754752165991E-4</v>
      </c>
      <c r="L36" s="67"/>
      <c r="M36" s="73"/>
      <c r="N36" s="73"/>
    </row>
    <row r="37" spans="1:14" ht="14.5" x14ac:dyDescent="0.35">
      <c r="A37" s="59">
        <v>13</v>
      </c>
      <c r="B37" s="58"/>
      <c r="C37" s="63" t="s">
        <v>71</v>
      </c>
      <c r="D37" s="62">
        <v>121</v>
      </c>
      <c r="E37" s="88">
        <v>2.209292375294007</v>
      </c>
      <c r="F37" s="28">
        <f t="shared" si="0"/>
        <v>5.7951856854124161E-5</v>
      </c>
      <c r="G37" s="29">
        <f t="shared" si="1"/>
        <v>2.209292375294007</v>
      </c>
      <c r="H37" s="29">
        <f t="shared" si="2"/>
        <v>1.209292375294007</v>
      </c>
      <c r="I37" s="30">
        <f t="shared" si="3"/>
        <v>7.0080738627822093E-5</v>
      </c>
      <c r="J37" s="31">
        <f t="shared" si="4"/>
        <v>7.0080738627822093E-5</v>
      </c>
      <c r="L37" s="67"/>
      <c r="M37" s="73"/>
      <c r="N37" s="73"/>
    </row>
    <row r="38" spans="1:14" ht="14.5" x14ac:dyDescent="0.35">
      <c r="A38" s="59">
        <v>14</v>
      </c>
      <c r="B38" s="58"/>
      <c r="C38" s="63" t="s">
        <v>72</v>
      </c>
      <c r="D38" s="62">
        <v>48</v>
      </c>
      <c r="E38" s="87">
        <v>2.5878362669759887</v>
      </c>
      <c r="F38" s="28">
        <f t="shared" si="0"/>
        <v>2.2989166355355038E-5</v>
      </c>
      <c r="G38" s="29">
        <f t="shared" si="1"/>
        <v>2.5878362669759887</v>
      </c>
      <c r="H38" s="29">
        <f t="shared" si="2"/>
        <v>1.5878362669759887</v>
      </c>
      <c r="I38" s="30">
        <f t="shared" si="3"/>
        <v>3.6503032086576939E-5</v>
      </c>
      <c r="J38" s="31">
        <f t="shared" si="4"/>
        <v>3.6503032086576939E-5</v>
      </c>
      <c r="L38" s="67"/>
      <c r="M38" s="73"/>
      <c r="N38" s="73"/>
    </row>
    <row r="39" spans="1:14" ht="14.5" x14ac:dyDescent="0.35">
      <c r="A39" s="59">
        <v>15</v>
      </c>
      <c r="B39" s="58"/>
      <c r="C39" s="63" t="s">
        <v>73</v>
      </c>
      <c r="D39" s="60">
        <v>33</v>
      </c>
      <c r="E39" s="87">
        <v>2.8080483841986039</v>
      </c>
      <c r="F39" s="28">
        <f t="shared" si="0"/>
        <v>1.5805051869306588E-5</v>
      </c>
      <c r="G39" s="29">
        <f t="shared" si="1"/>
        <v>2.8080483841986039</v>
      </c>
      <c r="H39" s="29">
        <f t="shared" si="2"/>
        <v>1.8080483841986039</v>
      </c>
      <c r="I39" s="30">
        <f t="shared" si="3"/>
        <v>2.8576298494474901E-5</v>
      </c>
      <c r="J39" s="31">
        <f t="shared" si="4"/>
        <v>2.8576298494474901E-5</v>
      </c>
      <c r="L39" s="67"/>
      <c r="M39" s="73"/>
      <c r="N39" s="73"/>
    </row>
    <row r="40" spans="1:14" ht="14.5" x14ac:dyDescent="0.35">
      <c r="A40" s="59">
        <v>16</v>
      </c>
      <c r="B40" s="58"/>
      <c r="C40" s="63" t="s">
        <v>74</v>
      </c>
      <c r="D40" s="60">
        <v>8</v>
      </c>
      <c r="E40" s="86">
        <v>3.0513887788435463</v>
      </c>
      <c r="F40" s="28">
        <f t="shared" si="0"/>
        <v>3.8315277258925061E-6</v>
      </c>
      <c r="G40" s="29">
        <f t="shared" si="1"/>
        <v>3.0513887788435463</v>
      </c>
      <c r="H40" s="29">
        <f t="shared" si="2"/>
        <v>2.0513887788435463</v>
      </c>
      <c r="I40" s="30">
        <f t="shared" si="3"/>
        <v>7.8599529827238185E-6</v>
      </c>
      <c r="J40" s="31">
        <f t="shared" si="4"/>
        <v>7.8599529827238185E-6</v>
      </c>
      <c r="L40" s="67"/>
      <c r="M40" s="73"/>
      <c r="N40" s="73"/>
    </row>
    <row r="41" spans="1:14" ht="14.5" x14ac:dyDescent="0.35">
      <c r="A41" s="59">
        <v>17</v>
      </c>
      <c r="B41" s="58"/>
      <c r="C41" s="63" t="s">
        <v>75</v>
      </c>
      <c r="D41" s="61">
        <v>9</v>
      </c>
      <c r="E41" s="86">
        <v>3.3041482549894385</v>
      </c>
      <c r="F41" s="28">
        <f t="shared" si="0"/>
        <v>4.3104686916290699E-6</v>
      </c>
      <c r="G41" s="29">
        <f t="shared" si="1"/>
        <v>3.3041482549894385</v>
      </c>
      <c r="H41" s="29">
        <f t="shared" si="2"/>
        <v>2.3041482549894385</v>
      </c>
      <c r="I41" s="30">
        <f t="shared" si="3"/>
        <v>9.9319589140037301E-6</v>
      </c>
      <c r="J41" s="31">
        <f t="shared" si="4"/>
        <v>9.9319589140037301E-6</v>
      </c>
      <c r="L41" s="67"/>
      <c r="M41" s="73"/>
      <c r="N41" s="73"/>
    </row>
    <row r="42" spans="1:14" ht="14.5" x14ac:dyDescent="0.35">
      <c r="A42" s="59">
        <v>18</v>
      </c>
      <c r="B42" s="58"/>
      <c r="C42" s="63" t="s">
        <v>76</v>
      </c>
      <c r="D42" s="61">
        <v>7</v>
      </c>
      <c r="E42" s="88">
        <v>3.6390269615292898</v>
      </c>
      <c r="F42" s="28">
        <f t="shared" si="0"/>
        <v>3.3525867601559431E-6</v>
      </c>
      <c r="G42" s="29">
        <f t="shared" si="1"/>
        <v>3.6390269615292898</v>
      </c>
      <c r="H42" s="29">
        <f t="shared" si="2"/>
        <v>2.6390269615292898</v>
      </c>
      <c r="I42" s="30">
        <f t="shared" si="3"/>
        <v>8.8475668509176641E-6</v>
      </c>
      <c r="J42" s="31">
        <f t="shared" si="4"/>
        <v>8.8475668509176641E-6</v>
      </c>
      <c r="L42" s="67"/>
      <c r="M42" s="73"/>
      <c r="N42" s="73"/>
    </row>
    <row r="43" spans="1:14" ht="14.5" x14ac:dyDescent="0.35">
      <c r="A43" s="59">
        <v>19</v>
      </c>
      <c r="B43" s="58"/>
      <c r="C43" s="63" t="s">
        <v>77</v>
      </c>
      <c r="D43" s="61">
        <v>3</v>
      </c>
      <c r="E43" s="88">
        <v>3.7836939174451758</v>
      </c>
      <c r="F43" s="28">
        <f t="shared" si="0"/>
        <v>1.4368228972096899E-6</v>
      </c>
      <c r="G43" s="29">
        <f t="shared" si="1"/>
        <v>3.7836939174451758</v>
      </c>
      <c r="H43" s="29">
        <f t="shared" si="2"/>
        <v>2.7836939174451758</v>
      </c>
      <c r="I43" s="30">
        <f t="shared" si="3"/>
        <v>3.9996751594085691E-6</v>
      </c>
      <c r="J43" s="31">
        <f t="shared" si="4"/>
        <v>3.9996751594085691E-6</v>
      </c>
      <c r="L43" s="67"/>
      <c r="M43" s="73"/>
      <c r="N43" s="73"/>
    </row>
    <row r="44" spans="1:14" ht="14.5" x14ac:dyDescent="0.35">
      <c r="A44" s="59">
        <v>20</v>
      </c>
      <c r="B44" s="58"/>
      <c r="C44" s="63" t="s">
        <v>78</v>
      </c>
      <c r="D44" s="62">
        <v>2</v>
      </c>
      <c r="E44" s="88">
        <v>4.0183474682569864</v>
      </c>
      <c r="F44" s="28">
        <f t="shared" si="0"/>
        <v>9.5788193147312652E-7</v>
      </c>
      <c r="G44" s="29">
        <f t="shared" si="1"/>
        <v>4.0183474682569864</v>
      </c>
      <c r="H44" s="29">
        <f t="shared" si="2"/>
        <v>3.0183474682569864</v>
      </c>
      <c r="I44" s="30">
        <f t="shared" si="3"/>
        <v>2.8912205027510234E-6</v>
      </c>
      <c r="J44" s="31">
        <f t="shared" si="4"/>
        <v>2.8912205027510234E-6</v>
      </c>
      <c r="L44" s="67"/>
      <c r="M44" s="73"/>
      <c r="N44" s="73"/>
    </row>
    <row r="45" spans="1:14" ht="14.5" x14ac:dyDescent="0.35">
      <c r="A45" s="59">
        <v>21</v>
      </c>
      <c r="B45" s="58"/>
      <c r="C45" s="63" t="s">
        <v>79</v>
      </c>
      <c r="D45" s="62">
        <v>2</v>
      </c>
      <c r="E45" s="87">
        <v>4.2234043584122087</v>
      </c>
      <c r="F45" s="28">
        <f t="shared" si="0"/>
        <v>9.5788193147312652E-7</v>
      </c>
      <c r="G45" s="29">
        <f t="shared" si="1"/>
        <v>4.2234043584122087</v>
      </c>
      <c r="H45" s="29">
        <f t="shared" si="2"/>
        <v>3.2234043584122087</v>
      </c>
      <c r="I45" s="30">
        <f t="shared" si="3"/>
        <v>3.0876407927547805E-6</v>
      </c>
      <c r="J45" s="31">
        <f t="shared" si="4"/>
        <v>3.0876407927547805E-6</v>
      </c>
      <c r="L45" s="67"/>
      <c r="M45" s="73"/>
      <c r="N45" s="73"/>
    </row>
    <row r="46" spans="1:14" ht="14.5" x14ac:dyDescent="0.35">
      <c r="A46" s="59">
        <v>22</v>
      </c>
      <c r="B46" s="58"/>
      <c r="C46" s="63" t="s">
        <v>80</v>
      </c>
      <c r="D46" s="60">
        <v>0</v>
      </c>
      <c r="E46" s="87">
        <v>4.5170838154925086</v>
      </c>
      <c r="F46" s="28">
        <f t="shared" si="0"/>
        <v>0</v>
      </c>
      <c r="G46" s="29">
        <f t="shared" si="1"/>
        <v>4.5170838154925086</v>
      </c>
      <c r="H46" s="29">
        <f t="shared" si="2"/>
        <v>3.5170838154925086</v>
      </c>
      <c r="I46" s="30">
        <f t="shared" si="3"/>
        <v>0</v>
      </c>
      <c r="J46" s="31">
        <f t="shared" si="4"/>
        <v>0</v>
      </c>
      <c r="L46" s="67"/>
      <c r="M46" s="73"/>
      <c r="N46" s="73"/>
    </row>
    <row r="47" spans="1:14" ht="14.5" x14ac:dyDescent="0.35">
      <c r="A47" s="59">
        <v>23</v>
      </c>
      <c r="B47" s="58"/>
      <c r="C47" s="63" t="s">
        <v>81</v>
      </c>
      <c r="D47" s="60">
        <v>1</v>
      </c>
      <c r="E47" s="86">
        <v>4.6062196532770887</v>
      </c>
      <c r="F47" s="28">
        <f t="shared" si="0"/>
        <v>4.7894096573656326E-7</v>
      </c>
      <c r="G47" s="29">
        <f t="shared" si="1"/>
        <v>4.6062196532770887</v>
      </c>
      <c r="H47" s="29">
        <f t="shared" si="2"/>
        <v>3.6062196532770887</v>
      </c>
      <c r="I47" s="30">
        <f t="shared" si="3"/>
        <v>1.7271663233987031E-6</v>
      </c>
      <c r="J47" s="31">
        <f t="shared" si="4"/>
        <v>1.7271663233987031E-6</v>
      </c>
      <c r="L47" s="67"/>
      <c r="M47" s="73"/>
      <c r="N47" s="73"/>
    </row>
    <row r="48" spans="1:14" ht="14.5" x14ac:dyDescent="0.35">
      <c r="A48" s="59">
        <v>24</v>
      </c>
      <c r="B48" s="58"/>
      <c r="C48" s="63" t="s">
        <v>82</v>
      </c>
      <c r="D48" s="61">
        <v>0</v>
      </c>
      <c r="E48" s="86">
        <v>5.0458386900455769</v>
      </c>
      <c r="F48" s="28">
        <f t="shared" si="0"/>
        <v>0</v>
      </c>
      <c r="G48" s="29">
        <f t="shared" si="1"/>
        <v>5.0458386900455769</v>
      </c>
      <c r="H48" s="29">
        <f t="shared" si="2"/>
        <v>4.0458386900455769</v>
      </c>
      <c r="I48" s="30">
        <f t="shared" si="3"/>
        <v>0</v>
      </c>
      <c r="J48" s="31">
        <f t="shared" si="4"/>
        <v>0</v>
      </c>
      <c r="L48" s="67"/>
      <c r="M48" s="73"/>
      <c r="N48" s="73"/>
    </row>
    <row r="49" spans="1:15" ht="14.5" x14ac:dyDescent="0.35">
      <c r="A49" s="59">
        <v>25</v>
      </c>
      <c r="B49" s="58"/>
      <c r="C49" s="63" t="s">
        <v>83</v>
      </c>
      <c r="D49" s="61">
        <v>0</v>
      </c>
      <c r="E49" s="88">
        <v>5.5940276103884701</v>
      </c>
      <c r="F49" s="28">
        <f t="shared" si="0"/>
        <v>0</v>
      </c>
      <c r="G49" s="29">
        <f t="shared" si="1"/>
        <v>5.5940276103884701</v>
      </c>
      <c r="H49" s="29">
        <f t="shared" si="2"/>
        <v>4.5940276103884701</v>
      </c>
      <c r="I49" s="30">
        <f t="shared" si="3"/>
        <v>0</v>
      </c>
      <c r="J49" s="31">
        <f t="shared" si="4"/>
        <v>0</v>
      </c>
      <c r="L49" s="67"/>
      <c r="M49" s="73"/>
      <c r="N49" s="73"/>
    </row>
    <row r="50" spans="1:15" ht="14.5" x14ac:dyDescent="0.35">
      <c r="A50" s="59">
        <v>26</v>
      </c>
      <c r="B50" s="58"/>
      <c r="C50" s="63" t="s">
        <v>84</v>
      </c>
      <c r="D50" s="61">
        <v>0</v>
      </c>
      <c r="E50" s="88">
        <v>5.9832225512294475</v>
      </c>
      <c r="F50" s="28">
        <f t="shared" si="0"/>
        <v>0</v>
      </c>
      <c r="G50" s="29">
        <f t="shared" si="1"/>
        <v>5.9832225512294475</v>
      </c>
      <c r="H50" s="29">
        <f t="shared" si="2"/>
        <v>4.9832225512294475</v>
      </c>
      <c r="I50" s="30">
        <f t="shared" si="3"/>
        <v>0</v>
      </c>
      <c r="J50" s="31">
        <f t="shared" si="4"/>
        <v>0</v>
      </c>
      <c r="L50" s="67"/>
      <c r="M50" s="73"/>
      <c r="N50" s="73"/>
    </row>
    <row r="51" spans="1:15" ht="14.5" x14ac:dyDescent="0.35">
      <c r="A51" s="59">
        <v>27</v>
      </c>
      <c r="B51" s="58"/>
      <c r="C51" s="63" t="s">
        <v>85</v>
      </c>
      <c r="D51" s="62">
        <v>0</v>
      </c>
      <c r="E51" s="88">
        <v>6.1660908638496243</v>
      </c>
      <c r="F51" s="28">
        <f t="shared" si="0"/>
        <v>0</v>
      </c>
      <c r="G51" s="29">
        <f t="shared" si="1"/>
        <v>6.1660908638496243</v>
      </c>
      <c r="H51" s="29">
        <f t="shared" si="2"/>
        <v>5.1660908638496243</v>
      </c>
      <c r="I51" s="30">
        <f t="shared" si="3"/>
        <v>0</v>
      </c>
      <c r="J51" s="31">
        <f t="shared" si="4"/>
        <v>0</v>
      </c>
      <c r="L51" s="67"/>
      <c r="M51" s="73"/>
      <c r="N51" s="73"/>
    </row>
    <row r="52" spans="1:15" ht="14.5" x14ac:dyDescent="0.35">
      <c r="A52" s="59">
        <v>28</v>
      </c>
      <c r="B52" s="58"/>
      <c r="C52" s="63" t="s">
        <v>86</v>
      </c>
      <c r="D52" s="62">
        <v>0</v>
      </c>
      <c r="E52" s="87">
        <v>6.0327812854935114</v>
      </c>
      <c r="F52" s="28">
        <f t="shared" si="0"/>
        <v>0</v>
      </c>
      <c r="G52" s="29">
        <f t="shared" si="1"/>
        <v>6.0327812854935114</v>
      </c>
      <c r="H52" s="29">
        <f t="shared" si="2"/>
        <v>5.0327812854935114</v>
      </c>
      <c r="I52" s="30">
        <f t="shared" si="3"/>
        <v>0</v>
      </c>
      <c r="J52" s="31">
        <f t="shared" si="4"/>
        <v>0</v>
      </c>
      <c r="L52" s="67"/>
      <c r="M52" s="73"/>
      <c r="N52" s="73"/>
    </row>
    <row r="53" spans="1:15" ht="14.5" x14ac:dyDescent="0.35">
      <c r="A53" s="59">
        <v>29</v>
      </c>
      <c r="B53" s="58"/>
      <c r="C53" s="63" t="s">
        <v>87</v>
      </c>
      <c r="D53" s="60">
        <v>0</v>
      </c>
      <c r="E53" s="87">
        <v>6.5983947822330178</v>
      </c>
      <c r="F53" s="28">
        <f t="shared" si="0"/>
        <v>0</v>
      </c>
      <c r="G53" s="29">
        <f t="shared" si="1"/>
        <v>6.5983947822330178</v>
      </c>
      <c r="H53" s="29">
        <f t="shared" si="2"/>
        <v>5.5983947822330178</v>
      </c>
      <c r="I53" s="30">
        <f t="shared" si="3"/>
        <v>0</v>
      </c>
      <c r="J53" s="31">
        <f t="shared" si="4"/>
        <v>0</v>
      </c>
      <c r="L53" s="67"/>
      <c r="M53" s="73"/>
      <c r="N53" s="73"/>
    </row>
    <row r="54" spans="1:15" ht="14.5" x14ac:dyDescent="0.35">
      <c r="A54" s="59">
        <v>30</v>
      </c>
      <c r="B54" s="58"/>
      <c r="C54" s="63" t="s">
        <v>88</v>
      </c>
      <c r="D54" s="60">
        <v>0</v>
      </c>
      <c r="E54" s="86">
        <v>7.4115832102053005</v>
      </c>
      <c r="F54" s="28">
        <f t="shared" si="0"/>
        <v>0</v>
      </c>
      <c r="G54" s="29">
        <f t="shared" si="1"/>
        <v>7.4115832102053005</v>
      </c>
      <c r="H54" s="29">
        <f t="shared" si="2"/>
        <v>6.4115832102053005</v>
      </c>
      <c r="I54" s="30">
        <f t="shared" si="3"/>
        <v>0</v>
      </c>
      <c r="J54" s="31">
        <f t="shared" si="4"/>
        <v>0</v>
      </c>
      <c r="L54" s="67"/>
      <c r="M54" s="73"/>
      <c r="N54" s="73"/>
    </row>
    <row r="55" spans="1:15" ht="14.5" x14ac:dyDescent="0.35">
      <c r="A55" s="59">
        <v>31</v>
      </c>
      <c r="B55" s="58"/>
      <c r="C55" s="63" t="s">
        <v>89</v>
      </c>
      <c r="D55" s="61">
        <v>0</v>
      </c>
      <c r="E55" s="86">
        <v>7.4342486108619115</v>
      </c>
      <c r="F55" s="28">
        <f t="shared" si="0"/>
        <v>0</v>
      </c>
      <c r="G55" s="29">
        <f t="shared" si="1"/>
        <v>7.4342486108619115</v>
      </c>
      <c r="H55" s="29">
        <f t="shared" si="2"/>
        <v>6.4342486108619115</v>
      </c>
      <c r="I55" s="30">
        <f t="shared" si="3"/>
        <v>0</v>
      </c>
      <c r="J55" s="31">
        <f t="shared" si="4"/>
        <v>0</v>
      </c>
      <c r="L55" s="67"/>
      <c r="M55" s="72"/>
      <c r="N55" s="73"/>
      <c r="O55" s="72"/>
    </row>
    <row r="56" spans="1:15" ht="14.5" x14ac:dyDescent="0.35">
      <c r="A56" s="59">
        <v>32</v>
      </c>
      <c r="B56" s="58"/>
      <c r="C56" s="65" t="s">
        <v>58</v>
      </c>
      <c r="D56" s="61">
        <v>45262</v>
      </c>
      <c r="E56" s="88">
        <v>1.1457059612354006</v>
      </c>
      <c r="F56" s="28">
        <f t="shared" si="0"/>
        <v>2.1677825991168329E-2</v>
      </c>
      <c r="G56" s="29">
        <f t="shared" si="1"/>
        <v>1.1457059612354006</v>
      </c>
      <c r="H56" s="29">
        <f t="shared" si="2"/>
        <v>0.14570596123540058</v>
      </c>
      <c r="I56" s="30">
        <f t="shared" si="3"/>
        <v>3.1585884735369318E-3</v>
      </c>
      <c r="J56" s="31">
        <f t="shared" si="4"/>
        <v>3.1585884735369318E-3</v>
      </c>
      <c r="L56" s="72"/>
      <c r="O56" s="72"/>
    </row>
    <row r="57" spans="1:15" ht="14.5" x14ac:dyDescent="0.35">
      <c r="A57" s="59">
        <v>33</v>
      </c>
      <c r="B57" s="58"/>
      <c r="C57" s="63">
        <v>1</v>
      </c>
      <c r="D57" s="61">
        <v>532</v>
      </c>
      <c r="E57" s="88">
        <v>1.3721830445370524</v>
      </c>
      <c r="F57" s="28">
        <f t="shared" si="0"/>
        <v>2.5479659377185168E-4</v>
      </c>
      <c r="G57" s="29">
        <f t="shared" si="1"/>
        <v>1.3721830445370524</v>
      </c>
      <c r="H57" s="29">
        <f t="shared" si="2"/>
        <v>0.37218304453705242</v>
      </c>
      <c r="I57" s="30">
        <f t="shared" si="3"/>
        <v>9.4830972007678324E-5</v>
      </c>
      <c r="J57" s="31">
        <f t="shared" si="4"/>
        <v>9.4830972007678324E-5</v>
      </c>
      <c r="L57" s="72"/>
      <c r="O57" s="72"/>
    </row>
    <row r="58" spans="1:15" ht="14.5" x14ac:dyDescent="0.35">
      <c r="A58" s="59">
        <v>34</v>
      </c>
      <c r="B58" s="58"/>
      <c r="C58" s="63">
        <v>2</v>
      </c>
      <c r="D58" s="62">
        <v>897</v>
      </c>
      <c r="E58" s="88">
        <v>1.4280281602263463</v>
      </c>
      <c r="F58" s="28">
        <f t="shared" si="0"/>
        <v>4.296100462656973E-4</v>
      </c>
      <c r="G58" s="29">
        <f t="shared" si="1"/>
        <v>1.4280281602263463</v>
      </c>
      <c r="H58" s="29">
        <f t="shared" si="2"/>
        <v>0.42802816022634627</v>
      </c>
      <c r="I58" s="30">
        <f t="shared" si="3"/>
        <v>1.8388519771786192E-4</v>
      </c>
      <c r="J58" s="31">
        <f t="shared" si="4"/>
        <v>1.8388519771786192E-4</v>
      </c>
      <c r="L58" s="72"/>
      <c r="O58" s="72"/>
    </row>
    <row r="59" spans="1:15" ht="14.5" x14ac:dyDescent="0.35">
      <c r="A59" s="59">
        <v>35</v>
      </c>
      <c r="B59" s="58"/>
      <c r="C59" s="63">
        <v>3</v>
      </c>
      <c r="D59" s="62">
        <v>975</v>
      </c>
      <c r="E59" s="87">
        <v>1.5493687639519937</v>
      </c>
      <c r="F59" s="28">
        <f t="shared" si="0"/>
        <v>4.6696744159314924E-4</v>
      </c>
      <c r="G59" s="29">
        <f t="shared" si="1"/>
        <v>1.5493687639519937</v>
      </c>
      <c r="H59" s="29">
        <f t="shared" si="2"/>
        <v>0.54936876395199374</v>
      </c>
      <c r="I59" s="30">
        <f t="shared" si="3"/>
        <v>2.5653732619385322E-4</v>
      </c>
      <c r="J59" s="31">
        <f t="shared" si="4"/>
        <v>2.5653732619385322E-4</v>
      </c>
      <c r="L59" s="72"/>
      <c r="O59" s="72"/>
    </row>
    <row r="60" spans="1:15" ht="14.5" x14ac:dyDescent="0.35">
      <c r="A60" s="59">
        <v>36</v>
      </c>
      <c r="B60" s="58"/>
      <c r="C60" s="63">
        <v>4</v>
      </c>
      <c r="D60" s="60">
        <v>8305</v>
      </c>
      <c r="E60" s="87">
        <v>1.6194319921994988</v>
      </c>
      <c r="F60" s="28">
        <f t="shared" si="0"/>
        <v>3.9776047204421582E-3</v>
      </c>
      <c r="G60" s="29">
        <f t="shared" si="1"/>
        <v>1.6194319921994988</v>
      </c>
      <c r="H60" s="29">
        <f t="shared" si="2"/>
        <v>0.61943199219949885</v>
      </c>
      <c r="I60" s="30">
        <f t="shared" si="3"/>
        <v>2.4638556161656168E-3</v>
      </c>
      <c r="J60" s="31">
        <f t="shared" si="4"/>
        <v>2.4638556161656168E-3</v>
      </c>
      <c r="L60" s="72"/>
      <c r="O60" s="72"/>
    </row>
    <row r="61" spans="1:15" ht="14.5" x14ac:dyDescent="0.35">
      <c r="A61" s="59">
        <v>37</v>
      </c>
      <c r="B61" s="58"/>
      <c r="C61" s="63">
        <v>5</v>
      </c>
      <c r="D61" s="60">
        <v>9111</v>
      </c>
      <c r="E61" s="86">
        <v>1.6362471669788998</v>
      </c>
      <c r="F61" s="28">
        <f t="shared" si="0"/>
        <v>4.3636311388258282E-3</v>
      </c>
      <c r="G61" s="29">
        <f t="shared" si="1"/>
        <v>1.6362471669788998</v>
      </c>
      <c r="H61" s="29">
        <f t="shared" si="2"/>
        <v>0.63624716697889983</v>
      </c>
      <c r="I61" s="30">
        <f t="shared" si="3"/>
        <v>2.7763479498188436E-3</v>
      </c>
      <c r="J61" s="31">
        <f t="shared" si="4"/>
        <v>2.7763479498188436E-3</v>
      </c>
      <c r="L61" s="72"/>
      <c r="O61" s="72"/>
    </row>
    <row r="62" spans="1:15" ht="14.5" x14ac:dyDescent="0.35">
      <c r="A62" s="59">
        <v>38</v>
      </c>
      <c r="B62" s="58"/>
      <c r="C62" s="63">
        <v>6</v>
      </c>
      <c r="D62" s="61">
        <v>7081</v>
      </c>
      <c r="E62" s="86">
        <v>1.7532500238082631</v>
      </c>
      <c r="F62" s="28">
        <f t="shared" si="0"/>
        <v>3.3913809783806047E-3</v>
      </c>
      <c r="G62" s="29">
        <f t="shared" si="1"/>
        <v>1.7532500238082631</v>
      </c>
      <c r="H62" s="29">
        <f t="shared" si="2"/>
        <v>0.75325002380826311</v>
      </c>
      <c r="I62" s="30">
        <f t="shared" si="3"/>
        <v>2.5545578027080813E-3</v>
      </c>
      <c r="J62" s="31">
        <f t="shared" si="4"/>
        <v>2.5545578027080813E-3</v>
      </c>
      <c r="L62" s="72"/>
      <c r="O62" s="72"/>
    </row>
    <row r="63" spans="1:15" ht="14.5" x14ac:dyDescent="0.35">
      <c r="A63" s="59">
        <v>39</v>
      </c>
      <c r="B63" s="58"/>
      <c r="C63" s="63">
        <v>7</v>
      </c>
      <c r="D63" s="61">
        <v>2989</v>
      </c>
      <c r="E63" s="88">
        <v>1.8120838506222685</v>
      </c>
      <c r="F63" s="28">
        <f t="shared" si="0"/>
        <v>1.4315545465865877E-3</v>
      </c>
      <c r="G63" s="29">
        <f t="shared" si="1"/>
        <v>1.8120838506222685</v>
      </c>
      <c r="H63" s="29">
        <f t="shared" si="2"/>
        <v>0.81208385062226851</v>
      </c>
      <c r="I63" s="30">
        <f t="shared" si="3"/>
        <v>1.1625423285678519E-3</v>
      </c>
      <c r="J63" s="31">
        <f t="shared" si="4"/>
        <v>1.1625423285678519E-3</v>
      </c>
      <c r="L63" s="72"/>
      <c r="O63" s="72"/>
    </row>
    <row r="64" spans="1:15" ht="14.5" x14ac:dyDescent="0.35">
      <c r="A64" s="59">
        <v>40</v>
      </c>
      <c r="B64" s="58"/>
      <c r="C64" s="63">
        <v>8</v>
      </c>
      <c r="D64" s="61">
        <v>4098</v>
      </c>
      <c r="E64" s="88">
        <v>2.0010826550840193</v>
      </c>
      <c r="F64" s="28">
        <f t="shared" si="0"/>
        <v>1.9627000775884365E-3</v>
      </c>
      <c r="G64" s="29">
        <f t="shared" si="1"/>
        <v>2.0010826550840193</v>
      </c>
      <c r="H64" s="29">
        <f t="shared" si="2"/>
        <v>1.0010826550840193</v>
      </c>
      <c r="I64" s="30">
        <f t="shared" si="3"/>
        <v>1.9648250048058427E-3</v>
      </c>
      <c r="J64" s="31">
        <f t="shared" si="4"/>
        <v>1.9648250048058427E-3</v>
      </c>
      <c r="L64" s="72"/>
      <c r="O64" s="72"/>
    </row>
    <row r="65" spans="1:15" ht="14.5" x14ac:dyDescent="0.35">
      <c r="A65" s="59">
        <v>41</v>
      </c>
      <c r="B65" s="58"/>
      <c r="C65" s="63">
        <v>9</v>
      </c>
      <c r="D65" s="62">
        <v>4236</v>
      </c>
      <c r="E65" s="88">
        <v>2.3399277104759308</v>
      </c>
      <c r="F65" s="28">
        <f t="shared" si="0"/>
        <v>2.0287939308600822E-3</v>
      </c>
      <c r="G65" s="29">
        <f t="shared" si="1"/>
        <v>2.3399277104759308</v>
      </c>
      <c r="H65" s="29">
        <f t="shared" si="2"/>
        <v>1.3399277104759308</v>
      </c>
      <c r="I65" s="30">
        <f t="shared" si="3"/>
        <v>2.7184372068048139E-3</v>
      </c>
      <c r="J65" s="31">
        <f t="shared" si="4"/>
        <v>2.7184372068048139E-3</v>
      </c>
      <c r="L65" s="72"/>
      <c r="O65" s="72"/>
    </row>
    <row r="66" spans="1:15" ht="14.5" x14ac:dyDescent="0.35">
      <c r="A66" s="59">
        <v>42</v>
      </c>
      <c r="B66" s="58"/>
      <c r="C66" s="63">
        <v>10</v>
      </c>
      <c r="D66" s="62">
        <v>4083</v>
      </c>
      <c r="E66" s="87">
        <v>2.4476518059500991</v>
      </c>
      <c r="F66" s="28">
        <f t="shared" si="0"/>
        <v>1.9555159631023879E-3</v>
      </c>
      <c r="G66" s="29">
        <f t="shared" si="1"/>
        <v>2.4476518059500991</v>
      </c>
      <c r="H66" s="29">
        <f t="shared" si="2"/>
        <v>1.4476518059500991</v>
      </c>
      <c r="I66" s="30">
        <f t="shared" si="3"/>
        <v>2.8309062155494192E-3</v>
      </c>
      <c r="J66" s="31">
        <f t="shared" si="4"/>
        <v>2.8309062155494192E-3</v>
      </c>
      <c r="L66" s="72"/>
      <c r="O66" s="72"/>
    </row>
    <row r="67" spans="1:15" ht="14.5" x14ac:dyDescent="0.35">
      <c r="A67" s="59">
        <v>43</v>
      </c>
      <c r="B67" s="58"/>
      <c r="C67" s="63">
        <v>11</v>
      </c>
      <c r="D67" s="60">
        <v>2433</v>
      </c>
      <c r="E67" s="87">
        <v>2.5342922722414913</v>
      </c>
      <c r="F67" s="28">
        <f t="shared" si="0"/>
        <v>1.1652633696370585E-3</v>
      </c>
      <c r="G67" s="29">
        <f t="shared" si="1"/>
        <v>2.5342922722414913</v>
      </c>
      <c r="H67" s="29">
        <f t="shared" si="2"/>
        <v>1.5342922722414913</v>
      </c>
      <c r="I67" s="30">
        <f t="shared" si="3"/>
        <v>1.7878545831602193E-3</v>
      </c>
      <c r="J67" s="31">
        <f t="shared" si="4"/>
        <v>1.7878545831602193E-3</v>
      </c>
      <c r="L67" s="72"/>
      <c r="O67" s="72"/>
    </row>
    <row r="68" spans="1:15" ht="14.5" x14ac:dyDescent="0.35">
      <c r="A68" s="59">
        <v>44</v>
      </c>
      <c r="B68" s="58"/>
      <c r="C68" s="63">
        <v>12</v>
      </c>
      <c r="D68" s="60">
        <v>1654</v>
      </c>
      <c r="E68" s="86">
        <v>2.7616154691175088</v>
      </c>
      <c r="F68" s="28">
        <f t="shared" si="0"/>
        <v>7.9216835732827569E-4</v>
      </c>
      <c r="G68" s="29">
        <f t="shared" si="1"/>
        <v>2.7616154691175088</v>
      </c>
      <c r="H68" s="29">
        <f t="shared" si="2"/>
        <v>1.7616154691175088</v>
      </c>
      <c r="I68" s="30">
        <f t="shared" si="3"/>
        <v>1.3954960324148967E-3</v>
      </c>
      <c r="J68" s="31">
        <f t="shared" si="4"/>
        <v>1.3954960324148967E-3</v>
      </c>
      <c r="L68" s="72"/>
      <c r="O68" s="72"/>
    </row>
    <row r="69" spans="1:15" ht="14.5" x14ac:dyDescent="0.35">
      <c r="A69" s="59">
        <v>45</v>
      </c>
      <c r="B69" s="58"/>
      <c r="C69" s="63">
        <v>13</v>
      </c>
      <c r="D69" s="61">
        <v>748</v>
      </c>
      <c r="E69" s="86">
        <v>3.2347953337199864</v>
      </c>
      <c r="F69" s="28">
        <f t="shared" si="0"/>
        <v>3.5824784237094938E-4</v>
      </c>
      <c r="G69" s="29">
        <f t="shared" si="1"/>
        <v>3.2347953337199864</v>
      </c>
      <c r="H69" s="29">
        <f t="shared" si="2"/>
        <v>2.2347953337199864</v>
      </c>
      <c r="I69" s="30">
        <f t="shared" si="3"/>
        <v>8.0061060644585089E-4</v>
      </c>
      <c r="J69" s="31">
        <f t="shared" si="4"/>
        <v>8.0061060644585089E-4</v>
      </c>
      <c r="L69" s="72"/>
      <c r="O69" s="72"/>
    </row>
    <row r="70" spans="1:15" ht="14.5" x14ac:dyDescent="0.35">
      <c r="A70" s="59">
        <v>46</v>
      </c>
      <c r="B70" s="58"/>
      <c r="C70" s="63">
        <v>14</v>
      </c>
      <c r="D70" s="61">
        <v>627</v>
      </c>
      <c r="E70" s="88">
        <v>3.5100604802482547</v>
      </c>
      <c r="F70" s="28">
        <f t="shared" si="0"/>
        <v>3.0029598551682522E-4</v>
      </c>
      <c r="G70" s="29">
        <f t="shared" si="1"/>
        <v>3.5100604802482547</v>
      </c>
      <c r="H70" s="29">
        <f t="shared" si="2"/>
        <v>2.5100604802482547</v>
      </c>
      <c r="I70" s="30">
        <f t="shared" si="3"/>
        <v>7.537610856229853E-4</v>
      </c>
      <c r="J70" s="31">
        <f t="shared" si="4"/>
        <v>7.537610856229853E-4</v>
      </c>
      <c r="L70" s="72"/>
      <c r="O70" s="72"/>
    </row>
    <row r="71" spans="1:15" ht="14.5" x14ac:dyDescent="0.35">
      <c r="A71" s="59">
        <v>47</v>
      </c>
      <c r="B71" s="58"/>
      <c r="C71" s="63">
        <v>15</v>
      </c>
      <c r="D71" s="61">
        <v>344</v>
      </c>
      <c r="E71" s="88">
        <v>3.8142359735544327</v>
      </c>
      <c r="F71" s="28">
        <f t="shared" si="0"/>
        <v>1.6475569221337778E-4</v>
      </c>
      <c r="G71" s="29">
        <f t="shared" si="1"/>
        <v>3.8142359735544327</v>
      </c>
      <c r="H71" s="29">
        <f t="shared" si="2"/>
        <v>2.8142359735544327</v>
      </c>
      <c r="I71" s="30">
        <f t="shared" si="3"/>
        <v>4.6366139587474968E-4</v>
      </c>
      <c r="J71" s="31">
        <f t="shared" si="4"/>
        <v>4.6366139587474968E-4</v>
      </c>
      <c r="L71" s="72"/>
      <c r="O71" s="72"/>
    </row>
    <row r="72" spans="1:15" ht="14.5" x14ac:dyDescent="0.35">
      <c r="A72" s="59">
        <v>48</v>
      </c>
      <c r="B72" s="58"/>
      <c r="C72" s="63">
        <v>16</v>
      </c>
      <c r="D72" s="62">
        <v>237</v>
      </c>
      <c r="E72" s="88">
        <v>4.1301853187367978</v>
      </c>
      <c r="F72" s="28">
        <f t="shared" si="0"/>
        <v>1.135090088795655E-4</v>
      </c>
      <c r="G72" s="29">
        <f t="shared" si="1"/>
        <v>4.1301853187367978</v>
      </c>
      <c r="H72" s="29">
        <f t="shared" si="2"/>
        <v>3.1301853187367978</v>
      </c>
      <c r="I72" s="30">
        <f t="shared" si="3"/>
        <v>3.5530423313918073E-4</v>
      </c>
      <c r="J72" s="31">
        <f t="shared" si="4"/>
        <v>3.5530423313918073E-4</v>
      </c>
      <c r="L72" s="72"/>
      <c r="O72" s="72"/>
    </row>
    <row r="73" spans="1:15" ht="14.5" x14ac:dyDescent="0.35">
      <c r="A73" s="59">
        <v>49</v>
      </c>
      <c r="B73" s="58"/>
      <c r="C73" s="63">
        <v>17</v>
      </c>
      <c r="D73" s="62">
        <v>139</v>
      </c>
      <c r="E73" s="87">
        <v>4.5487837019116117</v>
      </c>
      <c r="F73" s="28">
        <f t="shared" si="0"/>
        <v>6.6572794237382296E-5</v>
      </c>
      <c r="G73" s="29">
        <f t="shared" si="1"/>
        <v>4.5487837019116117</v>
      </c>
      <c r="H73" s="29">
        <f t="shared" si="2"/>
        <v>3.5487837019116117</v>
      </c>
      <c r="I73" s="30">
        <f t="shared" si="3"/>
        <v>2.3625244718033755E-4</v>
      </c>
      <c r="J73" s="31">
        <f t="shared" si="4"/>
        <v>2.3625244718033755E-4</v>
      </c>
      <c r="L73" s="72"/>
      <c r="O73" s="72"/>
    </row>
    <row r="74" spans="1:15" ht="14.5" x14ac:dyDescent="0.35">
      <c r="A74" s="59">
        <v>50</v>
      </c>
      <c r="B74" s="58"/>
      <c r="C74" s="63">
        <v>18</v>
      </c>
      <c r="D74" s="60">
        <v>81</v>
      </c>
      <c r="E74" s="87">
        <v>4.7296173968064696</v>
      </c>
      <c r="F74" s="28">
        <f t="shared" si="0"/>
        <v>3.879421822466163E-5</v>
      </c>
      <c r="G74" s="29">
        <f t="shared" si="1"/>
        <v>4.7296173968064696</v>
      </c>
      <c r="H74" s="29">
        <f t="shared" si="2"/>
        <v>3.7296173968064696</v>
      </c>
      <c r="I74" s="30">
        <f t="shared" si="3"/>
        <v>1.446875911862046E-4</v>
      </c>
      <c r="J74" s="31">
        <f t="shared" si="4"/>
        <v>1.446875911862046E-4</v>
      </c>
      <c r="L74" s="72"/>
      <c r="O74" s="72"/>
    </row>
    <row r="75" spans="1:15" ht="14.5" x14ac:dyDescent="0.35">
      <c r="A75" s="59">
        <v>51</v>
      </c>
      <c r="B75" s="58"/>
      <c r="C75" s="63">
        <v>19</v>
      </c>
      <c r="D75" s="60">
        <v>57</v>
      </c>
      <c r="E75" s="86">
        <v>5.0229343353212323</v>
      </c>
      <c r="F75" s="28">
        <f t="shared" si="0"/>
        <v>2.7299635046984109E-5</v>
      </c>
      <c r="G75" s="29">
        <f t="shared" si="1"/>
        <v>5.0229343353212323</v>
      </c>
      <c r="H75" s="29">
        <f t="shared" si="2"/>
        <v>4.0229343353212323</v>
      </c>
      <c r="I75" s="30">
        <f t="shared" si="3"/>
        <v>1.0982463917225123E-4</v>
      </c>
      <c r="J75" s="31">
        <f t="shared" si="4"/>
        <v>1.0982463917225123E-4</v>
      </c>
      <c r="L75" s="72"/>
      <c r="O75" s="72"/>
    </row>
    <row r="76" spans="1:15" ht="14.5" x14ac:dyDescent="0.35">
      <c r="A76" s="59">
        <v>52</v>
      </c>
      <c r="B76" s="58"/>
      <c r="C76" s="63">
        <v>20</v>
      </c>
      <c r="D76" s="61">
        <v>44</v>
      </c>
      <c r="E76" s="86">
        <v>5.2792554480152596</v>
      </c>
      <c r="F76" s="28">
        <f t="shared" si="0"/>
        <v>2.1073402492408786E-5</v>
      </c>
      <c r="G76" s="29">
        <f t="shared" si="1"/>
        <v>5.2792554480152596</v>
      </c>
      <c r="H76" s="29">
        <f t="shared" si="2"/>
        <v>4.2792554480152596</v>
      </c>
      <c r="I76" s="30">
        <f t="shared" si="3"/>
        <v>9.0178472423858649E-5</v>
      </c>
      <c r="J76" s="31">
        <f t="shared" si="4"/>
        <v>9.0178472423858649E-5</v>
      </c>
      <c r="L76" s="72"/>
      <c r="O76" s="72"/>
    </row>
    <row r="77" spans="1:15" ht="14.5" x14ac:dyDescent="0.35">
      <c r="A77" s="59">
        <v>53</v>
      </c>
      <c r="B77" s="58"/>
      <c r="C77" s="63">
        <v>21</v>
      </c>
      <c r="D77" s="61">
        <v>22</v>
      </c>
      <c r="E77" s="88">
        <v>5.6463547693656357</v>
      </c>
      <c r="F77" s="28">
        <f t="shared" si="0"/>
        <v>1.0536701246204393E-5</v>
      </c>
      <c r="G77" s="29">
        <f t="shared" si="1"/>
        <v>5.6463547693656357</v>
      </c>
      <c r="H77" s="29">
        <f t="shared" si="2"/>
        <v>4.6463547693656357</v>
      </c>
      <c r="I77" s="30">
        <f t="shared" si="3"/>
        <v>4.8957252088682623E-5</v>
      </c>
      <c r="J77" s="31">
        <f t="shared" si="4"/>
        <v>4.8957252088682623E-5</v>
      </c>
      <c r="L77" s="72"/>
      <c r="O77" s="72"/>
    </row>
    <row r="78" spans="1:15" ht="14.5" x14ac:dyDescent="0.35">
      <c r="A78" s="59">
        <v>54</v>
      </c>
      <c r="B78" s="58"/>
      <c r="C78" s="63">
        <v>22</v>
      </c>
      <c r="D78" s="61">
        <v>21</v>
      </c>
      <c r="E78" s="88">
        <v>5.7577745665963613</v>
      </c>
      <c r="F78" s="28">
        <f t="shared" si="0"/>
        <v>1.0057760280467829E-5</v>
      </c>
      <c r="G78" s="29">
        <f t="shared" si="1"/>
        <v>5.7577745665963613</v>
      </c>
      <c r="H78" s="29">
        <f t="shared" si="2"/>
        <v>4.7577745665963613</v>
      </c>
      <c r="I78" s="30">
        <f t="shared" si="3"/>
        <v>4.7852556059332926E-5</v>
      </c>
      <c r="J78" s="31">
        <f t="shared" si="4"/>
        <v>4.7852556059332926E-5</v>
      </c>
      <c r="L78" s="72"/>
      <c r="O78" s="72"/>
    </row>
    <row r="79" spans="1:15" ht="14.5" x14ac:dyDescent="0.35">
      <c r="A79" s="59">
        <v>55</v>
      </c>
      <c r="B79" s="58"/>
      <c r="C79" s="63">
        <v>23</v>
      </c>
      <c r="D79" s="62">
        <v>10</v>
      </c>
      <c r="E79" s="88">
        <v>6.3072983625569714</v>
      </c>
      <c r="F79" s="28">
        <f t="shared" si="0"/>
        <v>4.7894096573656328E-6</v>
      </c>
      <c r="G79" s="29">
        <f t="shared" si="1"/>
        <v>6.3072983625569714</v>
      </c>
      <c r="H79" s="29">
        <f t="shared" si="2"/>
        <v>5.3072983625569714</v>
      </c>
      <c r="I79" s="30">
        <f t="shared" si="3"/>
        <v>2.5418826032151167E-5</v>
      </c>
      <c r="J79" s="31">
        <f t="shared" si="4"/>
        <v>2.5418826032151167E-5</v>
      </c>
      <c r="L79" s="72"/>
      <c r="O79" s="72"/>
    </row>
    <row r="80" spans="1:15" ht="14.5" x14ac:dyDescent="0.35">
      <c r="A80" s="59">
        <v>56</v>
      </c>
      <c r="B80" s="58"/>
      <c r="C80" s="63">
        <v>24</v>
      </c>
      <c r="D80" s="62">
        <v>8</v>
      </c>
      <c r="E80" s="87">
        <v>6.9925345129855874</v>
      </c>
      <c r="F80" s="28">
        <f t="shared" si="0"/>
        <v>3.8315277258925061E-6</v>
      </c>
      <c r="G80" s="29">
        <f t="shared" si="1"/>
        <v>6.9925345129855874</v>
      </c>
      <c r="H80" s="29">
        <f t="shared" si="2"/>
        <v>5.9925345129855874</v>
      </c>
      <c r="I80" s="30">
        <f t="shared" si="3"/>
        <v>2.2960562134872024E-5</v>
      </c>
      <c r="J80" s="31">
        <f t="shared" si="4"/>
        <v>2.2960562134872024E-5</v>
      </c>
      <c r="L80" s="72"/>
      <c r="O80" s="72"/>
    </row>
    <row r="81" spans="1:15" ht="14.5" x14ac:dyDescent="0.35">
      <c r="A81" s="59">
        <v>57</v>
      </c>
      <c r="B81" s="58"/>
      <c r="C81" s="63">
        <v>25</v>
      </c>
      <c r="D81" s="60">
        <v>4</v>
      </c>
      <c r="E81" s="87">
        <v>7.0703511498553846</v>
      </c>
      <c r="F81" s="28">
        <f t="shared" si="0"/>
        <v>1.915763862946253E-6</v>
      </c>
      <c r="G81" s="29">
        <f t="shared" si="1"/>
        <v>7.0703511498553846</v>
      </c>
      <c r="H81" s="29">
        <f t="shared" si="2"/>
        <v>6.0703511498553846</v>
      </c>
      <c r="I81" s="30">
        <f t="shared" si="3"/>
        <v>1.162935936828718E-5</v>
      </c>
      <c r="J81" s="31">
        <f t="shared" si="4"/>
        <v>1.162935936828718E-5</v>
      </c>
      <c r="L81" s="72"/>
      <c r="O81" s="72"/>
    </row>
    <row r="82" spans="1:15" ht="14.5" x14ac:dyDescent="0.35">
      <c r="A82" s="59">
        <v>58</v>
      </c>
      <c r="B82" s="58"/>
      <c r="C82" s="63">
        <v>26</v>
      </c>
      <c r="D82" s="60">
        <v>5</v>
      </c>
      <c r="E82" s="86">
        <v>7.2839823561873658</v>
      </c>
      <c r="F82" s="28">
        <f t="shared" si="0"/>
        <v>2.3947048286828164E-6</v>
      </c>
      <c r="G82" s="29">
        <f t="shared" si="1"/>
        <v>7.2839823561873658</v>
      </c>
      <c r="H82" s="29">
        <f t="shared" si="2"/>
        <v>6.2839823561873658</v>
      </c>
      <c r="I82" s="30">
        <f t="shared" si="3"/>
        <v>1.5048282891719507E-5</v>
      </c>
      <c r="J82" s="31">
        <f t="shared" si="4"/>
        <v>1.5048282891719507E-5</v>
      </c>
      <c r="L82" s="72"/>
      <c r="O82" s="72"/>
    </row>
    <row r="83" spans="1:15" ht="14.5" x14ac:dyDescent="0.35">
      <c r="A83" s="59">
        <v>59</v>
      </c>
      <c r="B83" s="58"/>
      <c r="C83" s="63">
        <v>27</v>
      </c>
      <c r="D83" s="61">
        <v>4</v>
      </c>
      <c r="E83" s="86">
        <v>7.1282468674535897</v>
      </c>
      <c r="F83" s="28">
        <f t="shared" si="0"/>
        <v>1.915763862946253E-6</v>
      </c>
      <c r="G83" s="29">
        <f t="shared" si="1"/>
        <v>7.1282468674535897</v>
      </c>
      <c r="H83" s="29">
        <f t="shared" si="2"/>
        <v>6.1282468674535897</v>
      </c>
      <c r="I83" s="30">
        <f t="shared" si="3"/>
        <v>1.1740273891881163E-5</v>
      </c>
      <c r="J83" s="31">
        <f t="shared" si="4"/>
        <v>1.1740273891881163E-5</v>
      </c>
      <c r="L83" s="72"/>
      <c r="O83" s="72"/>
    </row>
    <row r="84" spans="1:15" ht="14.5" x14ac:dyDescent="0.35">
      <c r="A84" s="59">
        <v>60</v>
      </c>
      <c r="B84" s="58"/>
      <c r="C84" s="63">
        <v>28</v>
      </c>
      <c r="D84" s="61">
        <v>9</v>
      </c>
      <c r="E84" s="88">
        <v>7.7890102982240403</v>
      </c>
      <c r="F84" s="28">
        <f t="shared" si="0"/>
        <v>4.3104686916290699E-6</v>
      </c>
      <c r="G84" s="29">
        <f t="shared" si="1"/>
        <v>7.7890102982240403</v>
      </c>
      <c r="H84" s="29">
        <f t="shared" si="2"/>
        <v>6.7890102982240403</v>
      </c>
      <c r="I84" s="30">
        <f t="shared" si="3"/>
        <v>2.9263816337642061E-5</v>
      </c>
      <c r="J84" s="31">
        <f t="shared" si="4"/>
        <v>2.9263816337642061E-5</v>
      </c>
      <c r="L84" s="72"/>
      <c r="O84" s="72"/>
    </row>
    <row r="85" spans="1:15" ht="14.5" x14ac:dyDescent="0.35">
      <c r="A85" s="59">
        <v>61</v>
      </c>
      <c r="B85" s="58"/>
      <c r="C85" s="63">
        <v>29</v>
      </c>
      <c r="D85" s="61">
        <v>4</v>
      </c>
      <c r="E85" s="88">
        <v>8.7389967795000736</v>
      </c>
      <c r="F85" s="28">
        <f t="shared" si="0"/>
        <v>1.915763862946253E-6</v>
      </c>
      <c r="G85" s="29">
        <f t="shared" si="1"/>
        <v>8.7389967795000736</v>
      </c>
      <c r="H85" s="29">
        <f t="shared" si="2"/>
        <v>7.7389967795000736</v>
      </c>
      <c r="I85" s="30">
        <f t="shared" si="3"/>
        <v>1.4826090365623672E-5</v>
      </c>
      <c r="J85" s="31">
        <f t="shared" si="4"/>
        <v>1.4826090365623672E-5</v>
      </c>
      <c r="L85" s="72"/>
      <c r="O85" s="72"/>
    </row>
    <row r="86" spans="1:15" ht="14.5" x14ac:dyDescent="0.35">
      <c r="A86" s="59">
        <v>62</v>
      </c>
      <c r="B86" s="58"/>
      <c r="C86" s="63">
        <v>30</v>
      </c>
      <c r="D86" s="62">
        <v>2</v>
      </c>
      <c r="E86" s="88">
        <v>8.7654750512951782</v>
      </c>
      <c r="F86" s="28">
        <f t="shared" si="0"/>
        <v>9.5788193147312652E-7</v>
      </c>
      <c r="G86" s="29">
        <f t="shared" si="1"/>
        <v>8.7654750512951782</v>
      </c>
      <c r="H86" s="29">
        <f t="shared" si="2"/>
        <v>7.7654750512951782</v>
      </c>
      <c r="I86" s="30">
        <f t="shared" si="3"/>
        <v>7.438408240941002E-6</v>
      </c>
      <c r="J86" s="31">
        <f t="shared" si="4"/>
        <v>7.438408240941002E-6</v>
      </c>
      <c r="L86" s="72"/>
    </row>
    <row r="87" spans="1:15" x14ac:dyDescent="0.25">
      <c r="A87" s="59">
        <v>63</v>
      </c>
      <c r="B87" s="58"/>
      <c r="C87" s="32"/>
      <c r="D87" s="62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60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60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61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61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61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62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62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60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60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61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61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61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62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62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60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60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61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61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61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62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62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60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60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61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61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61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62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62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60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60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61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61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61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62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62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60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60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61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61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61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62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62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60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60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61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61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61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62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62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60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60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61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61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61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62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62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60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60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61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61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61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62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62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60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60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61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61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61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62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62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60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60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61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61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61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62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62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60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60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61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61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61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62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62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60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60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61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61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61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62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62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60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60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61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61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61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62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62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60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60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61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61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61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62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62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60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60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61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61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61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62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62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60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60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61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61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61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62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62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60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60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61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61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61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62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62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60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60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61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61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61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62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62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60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60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61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61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61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62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62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60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60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61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61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61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62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62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60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60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61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61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61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62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62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60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0.99999999999999967</v>
      </c>
    </row>
    <row r="18" spans="1:14" ht="13" thickBot="1" x14ac:dyDescent="0.3">
      <c r="A18" t="s">
        <v>24</v>
      </c>
      <c r="D18" s="71" t="s">
        <v>148</v>
      </c>
      <c r="E18" s="26"/>
      <c r="I18" s="1" t="s">
        <v>26</v>
      </c>
      <c r="J18" s="57">
        <f>SUM(D25:D412)</f>
        <v>2084893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0.13179692742722388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4"/>
      <c r="N24" s="74"/>
    </row>
    <row r="25" spans="1:14" ht="14.5" x14ac:dyDescent="0.35">
      <c r="A25" s="59">
        <v>1</v>
      </c>
      <c r="B25" s="58"/>
      <c r="C25" s="64" t="s">
        <v>93</v>
      </c>
      <c r="D25" s="60">
        <v>70643</v>
      </c>
      <c r="E25" s="33">
        <v>0.70447125478590056</v>
      </c>
      <c r="F25" s="28">
        <f>IF(D25&lt;&gt;"",D25/$J$18,"")</f>
        <v>3.3883273626032606E-2</v>
      </c>
      <c r="G25" s="29">
        <f>IF(F25&lt;&gt;"",IF($J$17&gt;0.5,(E25/$J$17),(E25-$J$17)),"")</f>
        <v>0.70447125478590078</v>
      </c>
      <c r="H25" s="29">
        <f>IF(F25&lt;&gt;"",ABS(G25-$J$16),"")</f>
        <v>0.29552874521409922</v>
      </c>
      <c r="I25" s="30">
        <f>IF(F25&lt;&gt;"",H25*F25,"")</f>
        <v>1.0013481338447398E-2</v>
      </c>
      <c r="J25" s="31">
        <f>IF(F25&lt;&gt;"",I25*$J$19,"")</f>
        <v>1.0013481338447398E-2</v>
      </c>
      <c r="L25" s="67"/>
      <c r="M25" s="74"/>
      <c r="N25" s="74"/>
    </row>
    <row r="26" spans="1:14" ht="14.5" x14ac:dyDescent="0.35">
      <c r="A26" s="59">
        <v>2</v>
      </c>
      <c r="B26" s="58"/>
      <c r="C26" s="63" t="s">
        <v>94</v>
      </c>
      <c r="D26" s="60">
        <v>73242</v>
      </c>
      <c r="E26" s="33">
        <v>0.73543600510496066</v>
      </c>
      <c r="F26" s="28">
        <f t="shared" ref="F26:F89" si="0">IF(D26&lt;&gt;"",D26/$J$18,"")</f>
        <v>3.5129860381324124E-2</v>
      </c>
      <c r="G26" s="29">
        <f t="shared" ref="G26:G89" si="1">IF(F26&lt;&gt;"",IF($J$17&gt;0.5,(E26/$J$17),(E26-$J$17)),"")</f>
        <v>0.73543600510496088</v>
      </c>
      <c r="H26" s="29">
        <f t="shared" ref="H26:H89" si="2">IF(F26&lt;&gt;"",ABS(G26-$J$16),"")</f>
        <v>0.26456399489503912</v>
      </c>
      <c r="I26" s="30">
        <f t="shared" ref="I26:I89" si="3">IF(F26&lt;&gt;"",H26*F26,"")</f>
        <v>9.294096202588073E-3</v>
      </c>
      <c r="J26" s="31">
        <f t="shared" ref="J26:J89" si="4">IF(F26&lt;&gt;"",I26*$J$19,"")</f>
        <v>9.294096202588073E-3</v>
      </c>
      <c r="L26" s="67"/>
      <c r="M26" s="74"/>
      <c r="N26" s="74"/>
    </row>
    <row r="27" spans="1:14" ht="14.5" x14ac:dyDescent="0.35">
      <c r="A27" s="59">
        <v>3</v>
      </c>
      <c r="B27" s="58"/>
      <c r="C27" s="63" t="s">
        <v>95</v>
      </c>
      <c r="D27" s="61">
        <v>84313</v>
      </c>
      <c r="E27" s="33">
        <v>0.77414194300378558</v>
      </c>
      <c r="F27" s="28">
        <f t="shared" si="0"/>
        <v>4.0439965024583996E-2</v>
      </c>
      <c r="G27" s="29">
        <f t="shared" si="1"/>
        <v>0.7741419430037858</v>
      </c>
      <c r="H27" s="29">
        <f t="shared" si="2"/>
        <v>0.2258580569962142</v>
      </c>
      <c r="I27" s="30">
        <f t="shared" si="3"/>
        <v>9.1336919254474003E-3</v>
      </c>
      <c r="J27" s="31">
        <f t="shared" si="4"/>
        <v>9.1336919254474003E-3</v>
      </c>
      <c r="L27" s="67"/>
      <c r="M27" s="74"/>
      <c r="N27" s="74"/>
    </row>
    <row r="28" spans="1:14" ht="14.5" x14ac:dyDescent="0.35">
      <c r="A28" s="59">
        <v>4</v>
      </c>
      <c r="B28" s="58"/>
      <c r="C28" s="63" t="s">
        <v>96</v>
      </c>
      <c r="D28" s="61">
        <v>94232</v>
      </c>
      <c r="E28" s="33">
        <v>0.78962431816331569</v>
      </c>
      <c r="F28" s="28">
        <f t="shared" si="0"/>
        <v>4.5197523326137121E-2</v>
      </c>
      <c r="G28" s="29">
        <f t="shared" si="1"/>
        <v>0.78962431816331591</v>
      </c>
      <c r="H28" s="29">
        <f t="shared" si="2"/>
        <v>0.21037568183668409</v>
      </c>
      <c r="I28" s="30">
        <f t="shared" si="3"/>
        <v>9.5084597870655312E-3</v>
      </c>
      <c r="J28" s="31">
        <f t="shared" si="4"/>
        <v>9.5084597870655312E-3</v>
      </c>
      <c r="L28" s="67"/>
      <c r="M28" s="74"/>
      <c r="N28" s="74"/>
    </row>
    <row r="29" spans="1:14" ht="14.5" x14ac:dyDescent="0.35">
      <c r="A29" s="59">
        <v>5</v>
      </c>
      <c r="B29" s="58"/>
      <c r="C29" s="63" t="s">
        <v>97</v>
      </c>
      <c r="D29" s="61">
        <v>109262</v>
      </c>
      <c r="E29" s="33">
        <v>0.84984469647398697</v>
      </c>
      <c r="F29" s="28">
        <f t="shared" si="0"/>
        <v>5.2406526378092302E-2</v>
      </c>
      <c r="G29" s="29">
        <f t="shared" si="1"/>
        <v>0.8498446964739873</v>
      </c>
      <c r="H29" s="29">
        <f t="shared" si="2"/>
        <v>0.1501553035260127</v>
      </c>
      <c r="I29" s="30">
        <f t="shared" si="3"/>
        <v>7.8691178750464399E-3</v>
      </c>
      <c r="J29" s="31">
        <f t="shared" si="4"/>
        <v>7.8691178750464399E-3</v>
      </c>
      <c r="L29" s="67"/>
      <c r="M29" s="74"/>
      <c r="N29" s="74"/>
    </row>
    <row r="30" spans="1:14" ht="14.5" x14ac:dyDescent="0.35">
      <c r="A30" s="59">
        <v>6</v>
      </c>
      <c r="B30" s="58"/>
      <c r="C30" s="63" t="s">
        <v>98</v>
      </c>
      <c r="D30" s="62">
        <v>127610</v>
      </c>
      <c r="E30" s="33">
        <v>0.85415875600164592</v>
      </c>
      <c r="F30" s="28">
        <f t="shared" si="0"/>
        <v>6.1206978007984102E-2</v>
      </c>
      <c r="G30" s="29">
        <f t="shared" si="1"/>
        <v>0.85415875600164626</v>
      </c>
      <c r="H30" s="29">
        <f t="shared" si="2"/>
        <v>0.14584124399835374</v>
      </c>
      <c r="I30" s="30">
        <f t="shared" si="3"/>
        <v>8.9265018140642811E-3</v>
      </c>
      <c r="J30" s="31">
        <f t="shared" si="4"/>
        <v>8.9265018140642811E-3</v>
      </c>
      <c r="L30" s="67"/>
      <c r="M30" s="74"/>
      <c r="N30" s="74"/>
    </row>
    <row r="31" spans="1:14" ht="14.5" x14ac:dyDescent="0.35">
      <c r="A31" s="59">
        <v>7</v>
      </c>
      <c r="B31" s="58"/>
      <c r="C31" s="63" t="s">
        <v>99</v>
      </c>
      <c r="D31" s="62">
        <v>144655</v>
      </c>
      <c r="E31" s="33">
        <v>0.90555122156041046</v>
      </c>
      <c r="F31" s="28">
        <f t="shared" si="0"/>
        <v>6.9382457517004476E-2</v>
      </c>
      <c r="G31" s="29">
        <f t="shared" si="1"/>
        <v>0.90555122156041079</v>
      </c>
      <c r="H31" s="29">
        <f t="shared" si="2"/>
        <v>9.4448778439589209E-2</v>
      </c>
      <c r="I31" s="30">
        <f t="shared" si="3"/>
        <v>6.5530883576177664E-3</v>
      </c>
      <c r="J31" s="31">
        <f t="shared" si="4"/>
        <v>6.5530883576177664E-3</v>
      </c>
      <c r="L31" s="67"/>
      <c r="M31" s="74"/>
      <c r="N31" s="74"/>
    </row>
    <row r="32" spans="1:14" ht="14.5" x14ac:dyDescent="0.35">
      <c r="A32" s="59">
        <v>8</v>
      </c>
      <c r="B32" s="58"/>
      <c r="C32" s="63" t="s">
        <v>100</v>
      </c>
      <c r="D32" s="61">
        <v>161656</v>
      </c>
      <c r="E32" s="33">
        <v>0.99636490536044908</v>
      </c>
      <c r="F32" s="28">
        <f t="shared" si="0"/>
        <v>7.7536832825473537E-2</v>
      </c>
      <c r="G32" s="29">
        <f t="shared" si="1"/>
        <v>0.99636490536044942</v>
      </c>
      <c r="H32" s="29">
        <f t="shared" si="2"/>
        <v>3.6350946395505845E-3</v>
      </c>
      <c r="I32" s="30">
        <f t="shared" si="3"/>
        <v>2.8185372537160863E-4</v>
      </c>
      <c r="J32" s="31">
        <f t="shared" si="4"/>
        <v>2.8185372537160863E-4</v>
      </c>
      <c r="L32" s="67"/>
      <c r="M32" s="74"/>
      <c r="N32" s="74"/>
    </row>
    <row r="33" spans="1:14" ht="14.5" x14ac:dyDescent="0.35">
      <c r="A33" s="59">
        <v>9</v>
      </c>
      <c r="B33" s="58"/>
      <c r="C33" s="63" t="s">
        <v>101</v>
      </c>
      <c r="D33" s="62">
        <v>183276</v>
      </c>
      <c r="E33" s="33">
        <v>1.0721776648247385</v>
      </c>
      <c r="F33" s="28">
        <f t="shared" si="0"/>
        <v>8.790666955090741E-2</v>
      </c>
      <c r="G33" s="29">
        <f t="shared" si="1"/>
        <v>1.072177664824739</v>
      </c>
      <c r="H33" s="29">
        <f t="shared" si="2"/>
        <v>7.2177664824738974E-2</v>
      </c>
      <c r="I33" s="30">
        <f t="shared" si="3"/>
        <v>6.3448981307044827E-3</v>
      </c>
      <c r="J33" s="31">
        <f t="shared" si="4"/>
        <v>6.3448981307044827E-3</v>
      </c>
      <c r="L33" s="67"/>
      <c r="M33" s="74"/>
      <c r="N33" s="74"/>
    </row>
    <row r="34" spans="1:14" ht="14.5" x14ac:dyDescent="0.35">
      <c r="A34" s="59">
        <v>10</v>
      </c>
      <c r="B34" s="58"/>
      <c r="C34" s="63" t="s">
        <v>102</v>
      </c>
      <c r="D34" s="62">
        <v>194004</v>
      </c>
      <c r="E34" s="33">
        <v>1.0799188524045036</v>
      </c>
      <c r="F34" s="28">
        <f t="shared" si="0"/>
        <v>9.3052257358051463E-2</v>
      </c>
      <c r="G34" s="29">
        <f t="shared" si="1"/>
        <v>1.079918852404504</v>
      </c>
      <c r="H34" s="29">
        <f t="shared" si="2"/>
        <v>7.9918852404504026E-2</v>
      </c>
      <c r="I34" s="30">
        <f t="shared" si="3"/>
        <v>7.4366296217040382E-3</v>
      </c>
      <c r="J34" s="31">
        <f t="shared" si="4"/>
        <v>7.4366296217040382E-3</v>
      </c>
      <c r="L34" s="67"/>
      <c r="M34" s="74"/>
      <c r="N34" s="74"/>
    </row>
    <row r="35" spans="1:14" ht="14.5" x14ac:dyDescent="0.35">
      <c r="A35" s="59">
        <v>11</v>
      </c>
      <c r="B35" s="58"/>
      <c r="C35" s="63" t="s">
        <v>103</v>
      </c>
      <c r="D35" s="62">
        <v>173878</v>
      </c>
      <c r="E35" s="33">
        <v>1.0915306337741513</v>
      </c>
      <c r="F35" s="28">
        <f t="shared" si="0"/>
        <v>8.3399004169518537E-2</v>
      </c>
      <c r="G35" s="29">
        <f t="shared" si="1"/>
        <v>1.0915306337741517</v>
      </c>
      <c r="H35" s="29">
        <f t="shared" si="2"/>
        <v>9.1530633774151715E-2</v>
      </c>
      <c r="I35" s="30">
        <f t="shared" si="3"/>
        <v>7.6335637077691535E-3</v>
      </c>
      <c r="J35" s="31">
        <f t="shared" si="4"/>
        <v>7.6335637077691535E-3</v>
      </c>
      <c r="L35" s="67"/>
      <c r="M35" s="74"/>
      <c r="N35" s="74"/>
    </row>
    <row r="36" spans="1:14" ht="14.5" x14ac:dyDescent="0.35">
      <c r="A36" s="59">
        <v>12</v>
      </c>
      <c r="B36" s="58"/>
      <c r="C36" s="63" t="s">
        <v>104</v>
      </c>
      <c r="D36" s="62">
        <v>135760</v>
      </c>
      <c r="E36" s="33">
        <v>1.1070130089336812</v>
      </c>
      <c r="F36" s="28">
        <f t="shared" si="0"/>
        <v>6.5116051519190671E-2</v>
      </c>
      <c r="G36" s="29">
        <f t="shared" si="1"/>
        <v>1.1070130089336816</v>
      </c>
      <c r="H36" s="29">
        <f t="shared" si="2"/>
        <v>0.1070130089336816</v>
      </c>
      <c r="I36" s="30">
        <f t="shared" si="3"/>
        <v>6.9682646029492227E-3</v>
      </c>
      <c r="J36" s="31">
        <f t="shared" si="4"/>
        <v>6.9682646029492227E-3</v>
      </c>
      <c r="L36" s="67"/>
      <c r="M36" s="74"/>
      <c r="N36" s="74"/>
    </row>
    <row r="37" spans="1:14" ht="14.5" x14ac:dyDescent="0.35">
      <c r="A37" s="59">
        <v>13</v>
      </c>
      <c r="B37" s="58"/>
      <c r="C37" s="63" t="s">
        <v>105</v>
      </c>
      <c r="D37" s="61">
        <v>99164</v>
      </c>
      <c r="E37" s="33">
        <v>1.1147541965134462</v>
      </c>
      <c r="F37" s="28">
        <f t="shared" si="0"/>
        <v>4.7563112351569119E-2</v>
      </c>
      <c r="G37" s="29">
        <f t="shared" si="1"/>
        <v>1.1147541965134466</v>
      </c>
      <c r="H37" s="29">
        <f t="shared" si="2"/>
        <v>0.11475419651344665</v>
      </c>
      <c r="I37" s="30">
        <f t="shared" si="3"/>
        <v>5.4580667415831041E-3</v>
      </c>
      <c r="J37" s="31">
        <f t="shared" si="4"/>
        <v>5.4580667415831041E-3</v>
      </c>
      <c r="L37" s="67"/>
      <c r="M37" s="74"/>
      <c r="N37" s="74"/>
    </row>
    <row r="38" spans="1:14" ht="14.5" x14ac:dyDescent="0.35">
      <c r="A38" s="59">
        <v>14</v>
      </c>
      <c r="B38" s="58"/>
      <c r="C38" s="63" t="s">
        <v>106</v>
      </c>
      <c r="D38" s="61">
        <v>71351</v>
      </c>
      <c r="E38" s="33">
        <v>1.1224953840932113</v>
      </c>
      <c r="F38" s="28">
        <f t="shared" si="0"/>
        <v>3.4222859398539876E-2</v>
      </c>
      <c r="G38" s="29">
        <f t="shared" si="1"/>
        <v>1.1224953840932117</v>
      </c>
      <c r="H38" s="29">
        <f t="shared" si="2"/>
        <v>0.1224953840932117</v>
      </c>
      <c r="I38" s="30">
        <f t="shared" si="3"/>
        <v>4.1921423067921224E-3</v>
      </c>
      <c r="J38" s="31">
        <f t="shared" si="4"/>
        <v>4.1921423067921224E-3</v>
      </c>
      <c r="L38" s="67"/>
      <c r="M38" s="74"/>
      <c r="N38" s="74"/>
    </row>
    <row r="39" spans="1:14" ht="14.5" x14ac:dyDescent="0.35">
      <c r="A39" s="59">
        <v>15</v>
      </c>
      <c r="B39" s="58"/>
      <c r="C39" s="63" t="s">
        <v>107</v>
      </c>
      <c r="D39" s="62">
        <v>54477</v>
      </c>
      <c r="E39" s="33">
        <v>1.1302365716729761</v>
      </c>
      <c r="F39" s="28">
        <f t="shared" si="0"/>
        <v>2.6129398487116606E-2</v>
      </c>
      <c r="G39" s="29">
        <f t="shared" si="1"/>
        <v>1.1302365716729765</v>
      </c>
      <c r="H39" s="29">
        <f t="shared" si="2"/>
        <v>0.13023657167297653</v>
      </c>
      <c r="I39" s="30">
        <f t="shared" si="3"/>
        <v>3.4030032788391262E-3</v>
      </c>
      <c r="J39" s="31">
        <f t="shared" si="4"/>
        <v>3.4030032788391262E-3</v>
      </c>
      <c r="L39" s="67"/>
      <c r="M39" s="74"/>
      <c r="N39" s="74"/>
    </row>
    <row r="40" spans="1:14" ht="14.5" x14ac:dyDescent="0.35">
      <c r="A40" s="59">
        <v>16</v>
      </c>
      <c r="B40" s="58"/>
      <c r="C40" s="63" t="s">
        <v>108</v>
      </c>
      <c r="D40" s="61">
        <v>43850</v>
      </c>
      <c r="E40" s="33">
        <v>1.1379777592527411</v>
      </c>
      <c r="F40" s="28">
        <f t="shared" si="0"/>
        <v>2.1032254413056211E-2</v>
      </c>
      <c r="G40" s="29">
        <f t="shared" si="1"/>
        <v>1.1379777592527416</v>
      </c>
      <c r="H40" s="29">
        <f t="shared" si="2"/>
        <v>0.13797775925274158</v>
      </c>
      <c r="I40" s="30">
        <f t="shared" si="3"/>
        <v>2.9019833359470817E-3</v>
      </c>
      <c r="J40" s="31">
        <f t="shared" si="4"/>
        <v>2.9019833359470817E-3</v>
      </c>
      <c r="L40" s="67"/>
      <c r="M40" s="74"/>
      <c r="N40" s="74"/>
    </row>
    <row r="41" spans="1:14" ht="14.5" x14ac:dyDescent="0.35">
      <c r="A41" s="59">
        <v>17</v>
      </c>
      <c r="B41" s="58"/>
      <c r="C41" s="63" t="s">
        <v>109</v>
      </c>
      <c r="D41" s="62">
        <v>36095</v>
      </c>
      <c r="E41" s="33">
        <v>1.1457189468325062</v>
      </c>
      <c r="F41" s="28">
        <f t="shared" si="0"/>
        <v>1.7312639065889712E-2</v>
      </c>
      <c r="G41" s="29">
        <f t="shared" si="1"/>
        <v>1.1457189468325066</v>
      </c>
      <c r="H41" s="29">
        <f t="shared" si="2"/>
        <v>0.14571894683250664</v>
      </c>
      <c r="I41" s="30">
        <f t="shared" si="3"/>
        <v>2.5227795315727604E-3</v>
      </c>
      <c r="J41" s="31">
        <f t="shared" si="4"/>
        <v>2.5227795315727604E-3</v>
      </c>
      <c r="L41" s="67"/>
      <c r="M41" s="74"/>
      <c r="N41" s="74"/>
    </row>
    <row r="42" spans="1:14" ht="14.5" x14ac:dyDescent="0.35">
      <c r="A42" s="59">
        <v>18</v>
      </c>
      <c r="B42" s="58"/>
      <c r="C42" s="63" t="s">
        <v>110</v>
      </c>
      <c r="D42" s="62">
        <v>29923</v>
      </c>
      <c r="E42" s="33">
        <v>1.1534601344122712</v>
      </c>
      <c r="F42" s="28">
        <f t="shared" si="0"/>
        <v>1.4352295297648369E-2</v>
      </c>
      <c r="G42" s="29">
        <f t="shared" si="1"/>
        <v>1.1534601344122717</v>
      </c>
      <c r="H42" s="29">
        <f t="shared" si="2"/>
        <v>0.15346013441227169</v>
      </c>
      <c r="I42" s="30">
        <f t="shared" si="3"/>
        <v>2.2025051655017334E-3</v>
      </c>
      <c r="J42" s="31">
        <f t="shared" si="4"/>
        <v>2.2025051655017334E-3</v>
      </c>
      <c r="L42" s="67"/>
      <c r="M42" s="74"/>
      <c r="N42" s="74"/>
    </row>
    <row r="43" spans="1:14" ht="14.5" x14ac:dyDescent="0.35">
      <c r="A43" s="59">
        <v>19</v>
      </c>
      <c r="B43" s="58"/>
      <c r="C43" s="63" t="s">
        <v>111</v>
      </c>
      <c r="D43" s="62">
        <v>25109</v>
      </c>
      <c r="E43" s="33">
        <v>1.1689425095718011</v>
      </c>
      <c r="F43" s="28">
        <f t="shared" si="0"/>
        <v>1.204330390096758E-2</v>
      </c>
      <c r="G43" s="29">
        <f t="shared" si="1"/>
        <v>1.1689425095718016</v>
      </c>
      <c r="H43" s="29">
        <f t="shared" si="2"/>
        <v>0.16894250957180157</v>
      </c>
      <c r="I43" s="30">
        <f t="shared" si="3"/>
        <v>2.0346259845653307E-3</v>
      </c>
      <c r="J43" s="31">
        <f t="shared" si="4"/>
        <v>2.0346259845653307E-3</v>
      </c>
      <c r="L43" s="67"/>
      <c r="M43" s="74"/>
      <c r="N43" s="74"/>
    </row>
    <row r="44" spans="1:14" ht="14.5" x14ac:dyDescent="0.35">
      <c r="A44" s="59">
        <v>20</v>
      </c>
      <c r="B44" s="58"/>
      <c r="C44" s="63" t="s">
        <v>112</v>
      </c>
      <c r="D44" s="62">
        <v>21266</v>
      </c>
      <c r="E44" s="33">
        <v>1.1921660723110963</v>
      </c>
      <c r="F44" s="28">
        <f t="shared" si="0"/>
        <v>1.0200043839180236E-2</v>
      </c>
      <c r="G44" s="29">
        <f t="shared" si="1"/>
        <v>1.1921660723110967</v>
      </c>
      <c r="H44" s="29">
        <f t="shared" si="2"/>
        <v>0.19216607231109673</v>
      </c>
      <c r="I44" s="30">
        <f t="shared" si="3"/>
        <v>1.9601023619762658E-3</v>
      </c>
      <c r="J44" s="31">
        <f t="shared" si="4"/>
        <v>1.9601023619762658E-3</v>
      </c>
      <c r="L44" s="67"/>
      <c r="M44" s="74"/>
      <c r="N44" s="74"/>
    </row>
    <row r="45" spans="1:14" ht="14.5" x14ac:dyDescent="0.35">
      <c r="A45" s="59">
        <v>21</v>
      </c>
      <c r="B45" s="58"/>
      <c r="C45" s="63" t="s">
        <v>113</v>
      </c>
      <c r="D45" s="62">
        <v>17837</v>
      </c>
      <c r="E45" s="33">
        <v>1.2076484474706264</v>
      </c>
      <c r="F45" s="28">
        <f t="shared" si="0"/>
        <v>8.5553551189437547E-3</v>
      </c>
      <c r="G45" s="29">
        <f t="shared" si="1"/>
        <v>1.2076484474706268</v>
      </c>
      <c r="H45" s="29">
        <f t="shared" si="2"/>
        <v>0.20764844747062683</v>
      </c>
      <c r="I45" s="30">
        <f t="shared" si="3"/>
        <v>1.7765062080085507E-3</v>
      </c>
      <c r="J45" s="31">
        <f t="shared" si="4"/>
        <v>1.7765062080085507E-3</v>
      </c>
      <c r="L45" s="67"/>
      <c r="M45" s="74"/>
      <c r="N45" s="74"/>
    </row>
    <row r="46" spans="1:14" ht="14.5" x14ac:dyDescent="0.35">
      <c r="A46" s="59">
        <v>22</v>
      </c>
      <c r="B46" s="58"/>
      <c r="C46" s="63" t="s">
        <v>114</v>
      </c>
      <c r="D46" s="62">
        <v>32408</v>
      </c>
      <c r="E46" s="33">
        <v>1.2231308226301565</v>
      </c>
      <c r="F46" s="28">
        <f t="shared" si="0"/>
        <v>1.5544202987875157E-2</v>
      </c>
      <c r="G46" s="29">
        <f t="shared" si="1"/>
        <v>1.2231308226301569</v>
      </c>
      <c r="H46" s="29">
        <f t="shared" si="2"/>
        <v>0.22313082263015693</v>
      </c>
      <c r="I46" s="30">
        <f t="shared" si="3"/>
        <v>3.468390799814727E-3</v>
      </c>
      <c r="J46" s="31">
        <f t="shared" si="4"/>
        <v>3.468390799814727E-3</v>
      </c>
      <c r="L46" s="67"/>
      <c r="M46" s="74"/>
      <c r="N46" s="74"/>
    </row>
    <row r="47" spans="1:14" ht="14.5" x14ac:dyDescent="0.35">
      <c r="A47" s="59">
        <v>23</v>
      </c>
      <c r="B47" s="58"/>
      <c r="C47" s="63" t="s">
        <v>115</v>
      </c>
      <c r="D47" s="62">
        <v>20589</v>
      </c>
      <c r="E47" s="33">
        <v>1.2386131977896866</v>
      </c>
      <c r="F47" s="28">
        <f t="shared" si="0"/>
        <v>9.8753269352431991E-3</v>
      </c>
      <c r="G47" s="29">
        <f t="shared" si="1"/>
        <v>1.238613197789687</v>
      </c>
      <c r="H47" s="29">
        <f t="shared" si="2"/>
        <v>0.23861319778968704</v>
      </c>
      <c r="I47" s="30">
        <f t="shared" si="3"/>
        <v>2.3563833392370092E-3</v>
      </c>
      <c r="J47" s="31">
        <f t="shared" si="4"/>
        <v>2.3563833392370092E-3</v>
      </c>
      <c r="L47" s="67"/>
      <c r="M47" s="74"/>
      <c r="N47" s="74"/>
    </row>
    <row r="48" spans="1:14" ht="14.5" x14ac:dyDescent="0.35">
      <c r="A48" s="59">
        <v>24</v>
      </c>
      <c r="B48" s="58"/>
      <c r="C48" s="63" t="s">
        <v>116</v>
      </c>
      <c r="D48" s="62">
        <v>13028</v>
      </c>
      <c r="E48" s="33">
        <v>1.2540955729492163</v>
      </c>
      <c r="F48" s="28">
        <f t="shared" si="0"/>
        <v>6.2487619268710671E-3</v>
      </c>
      <c r="G48" s="29">
        <f t="shared" si="1"/>
        <v>1.2540955729492167</v>
      </c>
      <c r="H48" s="29">
        <f t="shared" si="2"/>
        <v>0.2540955729492167</v>
      </c>
      <c r="I48" s="30">
        <f t="shared" si="3"/>
        <v>1.5877827420315552E-3</v>
      </c>
      <c r="J48" s="31">
        <f t="shared" si="4"/>
        <v>1.5877827420315552E-3</v>
      </c>
      <c r="L48" s="67"/>
      <c r="M48" s="74"/>
      <c r="N48" s="74"/>
    </row>
    <row r="49" spans="1:15" ht="14.5" x14ac:dyDescent="0.35">
      <c r="A49" s="59">
        <v>25</v>
      </c>
      <c r="B49" s="58"/>
      <c r="C49" s="63" t="s">
        <v>117</v>
      </c>
      <c r="D49" s="62">
        <v>8487</v>
      </c>
      <c r="E49" s="33">
        <v>1.2618367605289811</v>
      </c>
      <c r="F49" s="28">
        <f t="shared" si="0"/>
        <v>4.0707125017926575E-3</v>
      </c>
      <c r="G49" s="29">
        <f t="shared" si="1"/>
        <v>1.2618367605289815</v>
      </c>
      <c r="H49" s="29">
        <f t="shared" si="2"/>
        <v>0.26183676052898153</v>
      </c>
      <c r="I49" s="30">
        <f t="shared" si="3"/>
        <v>1.0658621745142155E-3</v>
      </c>
      <c r="J49" s="31">
        <f t="shared" si="4"/>
        <v>1.0658621745142155E-3</v>
      </c>
      <c r="L49" s="67"/>
      <c r="M49" s="74"/>
      <c r="N49" s="74"/>
    </row>
    <row r="50" spans="1:15" ht="14.5" x14ac:dyDescent="0.35">
      <c r="A50" s="59">
        <v>26</v>
      </c>
      <c r="B50" s="58"/>
      <c r="C50" s="63" t="s">
        <v>118</v>
      </c>
      <c r="D50" s="62">
        <v>5519</v>
      </c>
      <c r="E50" s="33">
        <v>1.2657073543188637</v>
      </c>
      <c r="F50" s="28">
        <f t="shared" si="0"/>
        <v>2.6471382464231977E-3</v>
      </c>
      <c r="G50" s="29">
        <f t="shared" si="1"/>
        <v>1.2657073543188642</v>
      </c>
      <c r="H50" s="29">
        <f t="shared" si="2"/>
        <v>0.26570735431886416</v>
      </c>
      <c r="I50" s="30">
        <f t="shared" si="3"/>
        <v>7.0336409997338531E-4</v>
      </c>
      <c r="J50" s="31">
        <f t="shared" si="4"/>
        <v>7.0336409997338531E-4</v>
      </c>
      <c r="L50" s="67"/>
      <c r="M50" s="74"/>
      <c r="N50" s="74"/>
    </row>
    <row r="51" spans="1:15" ht="14.5" x14ac:dyDescent="0.35">
      <c r="A51" s="59">
        <v>27</v>
      </c>
      <c r="B51" s="58"/>
      <c r="C51" s="63" t="s">
        <v>119</v>
      </c>
      <c r="D51" s="62">
        <v>13398</v>
      </c>
      <c r="E51" s="66">
        <v>1.2928015108480413</v>
      </c>
      <c r="F51" s="28">
        <f t="shared" si="0"/>
        <v>6.4262290678706296E-3</v>
      </c>
      <c r="G51" s="29">
        <f t="shared" si="1"/>
        <v>1.2928015108480417</v>
      </c>
      <c r="H51" s="29">
        <f t="shared" si="2"/>
        <v>0.29280151084804174</v>
      </c>
      <c r="I51" s="30">
        <f t="shared" si="3"/>
        <v>1.8816095801281233E-3</v>
      </c>
      <c r="J51" s="31">
        <f t="shared" si="4"/>
        <v>1.8816095801281233E-3</v>
      </c>
      <c r="L51" s="67"/>
      <c r="M51" s="74"/>
      <c r="N51" s="74"/>
    </row>
    <row r="52" spans="1:15" ht="14.5" x14ac:dyDescent="0.35">
      <c r="A52" s="59">
        <v>28</v>
      </c>
      <c r="B52" s="58"/>
      <c r="C52" s="63" t="s">
        <v>120</v>
      </c>
      <c r="D52" s="62">
        <v>39861</v>
      </c>
      <c r="E52" s="66">
        <v>0.77414194300378558</v>
      </c>
      <c r="F52" s="28">
        <f t="shared" si="0"/>
        <v>1.9118966776712282E-2</v>
      </c>
      <c r="G52" s="29">
        <f t="shared" si="1"/>
        <v>0.7741419430037858</v>
      </c>
      <c r="H52" s="29">
        <f t="shared" si="2"/>
        <v>0.2258580569962142</v>
      </c>
      <c r="I52" s="30">
        <f t="shared" si="3"/>
        <v>4.3181726879634079E-3</v>
      </c>
      <c r="J52" s="31">
        <f t="shared" si="4"/>
        <v>4.3181726879634079E-3</v>
      </c>
      <c r="L52" s="67"/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7"/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7"/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7"/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4"/>
      <c r="O85" s="74"/>
    </row>
    <row r="86" spans="1:15" ht="14.5" x14ac:dyDescent="0.3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4"/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121</v>
      </c>
      <c r="E18" s="26"/>
      <c r="I18" s="1" t="s">
        <v>26</v>
      </c>
      <c r="J18" s="57">
        <f>SUM(D25:D412)</f>
        <v>2087940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3.2675228294204643E-3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4"/>
      <c r="N24" s="74"/>
    </row>
    <row r="25" spans="1:14" ht="14.5" x14ac:dyDescent="0.35">
      <c r="A25" s="59">
        <v>1</v>
      </c>
      <c r="B25" s="58"/>
      <c r="C25" s="64" t="s">
        <v>122</v>
      </c>
      <c r="D25" s="60">
        <v>2046769</v>
      </c>
      <c r="E25" s="33">
        <v>1.0016666247183879</v>
      </c>
      <c r="F25" s="28">
        <f>IF(D25&lt;&gt;"",D25/$J$18,"")</f>
        <v>0.98028152149965997</v>
      </c>
      <c r="G25" s="29">
        <f>IF(F25&lt;&gt;"",IF($J$17&gt;0.5,(E25/$J$17),(E25-$J$17)),"")</f>
        <v>1.0016666247183879</v>
      </c>
      <c r="H25" s="29">
        <f>IF(F25&lt;&gt;"",ABS(G25-$J$16),"")</f>
        <v>1.6666247183878546E-3</v>
      </c>
      <c r="I25" s="30">
        <f>IF(F25&lt;&gt;"",H25*F25,"")</f>
        <v>1.6337614147101886E-3</v>
      </c>
      <c r="J25" s="31">
        <f>IF(F25&lt;&gt;"",I25*$J$19,"")</f>
        <v>1.6337614147101886E-3</v>
      </c>
      <c r="L25" s="67"/>
      <c r="M25" s="74"/>
      <c r="N25" s="74"/>
    </row>
    <row r="26" spans="1:14" ht="14.5" x14ac:dyDescent="0.35">
      <c r="A26" s="59">
        <v>2</v>
      </c>
      <c r="B26" s="58"/>
      <c r="C26" s="63" t="s">
        <v>123</v>
      </c>
      <c r="D26" s="60">
        <v>35981</v>
      </c>
      <c r="E26" s="33">
        <v>0.91840407473144359</v>
      </c>
      <c r="F26" s="28">
        <f t="shared" ref="F26:F89" si="0">IF(D26&lt;&gt;"",D26/$J$18,"")</f>
        <v>1.7232774888167286E-2</v>
      </c>
      <c r="G26" s="29">
        <f t="shared" ref="G26:G89" si="1">IF(F26&lt;&gt;"",IF($J$17&gt;0.5,(E26/$J$17),(E26-$J$17)),"")</f>
        <v>0.91840407473144359</v>
      </c>
      <c r="H26" s="29">
        <f t="shared" ref="H26:H89" si="2">IF(F26&lt;&gt;"",ABS(G26-$J$16),"")</f>
        <v>8.1595925268556413E-2</v>
      </c>
      <c r="I26" s="30">
        <f t="shared" ref="I26:I89" si="3">IF(F26&lt;&gt;"",H26*F26,"")</f>
        <v>1.4061242119447533E-3</v>
      </c>
      <c r="J26" s="31">
        <f t="shared" ref="J26:J89" si="4">IF(F26&lt;&gt;"",I26*$J$19,"")</f>
        <v>1.4061242119447533E-3</v>
      </c>
      <c r="L26" s="67"/>
      <c r="M26" s="74"/>
      <c r="N26" s="74"/>
    </row>
    <row r="27" spans="1:14" ht="14.5" x14ac:dyDescent="0.35">
      <c r="A27" s="59">
        <v>3</v>
      </c>
      <c r="B27" s="58"/>
      <c r="C27" s="63" t="s">
        <v>124</v>
      </c>
      <c r="D27" s="61">
        <v>5190</v>
      </c>
      <c r="E27" s="33">
        <v>0.90842142174523222</v>
      </c>
      <c r="F27" s="28">
        <f t="shared" si="0"/>
        <v>2.4857036121727636E-3</v>
      </c>
      <c r="G27" s="29">
        <f t="shared" si="1"/>
        <v>0.90842142174523222</v>
      </c>
      <c r="H27" s="29">
        <f t="shared" si="2"/>
        <v>9.1578578254767784E-2</v>
      </c>
      <c r="I27" s="30">
        <f t="shared" si="3"/>
        <v>2.2763720276552238E-4</v>
      </c>
      <c r="J27" s="31">
        <f t="shared" si="4"/>
        <v>2.2763720276552238E-4</v>
      </c>
      <c r="L27" s="67"/>
      <c r="M27" s="74"/>
      <c r="N27" s="74"/>
    </row>
    <row r="28" spans="1:14" ht="14.5" x14ac:dyDescent="0.35">
      <c r="A28" s="59">
        <v>4</v>
      </c>
      <c r="B28" s="58"/>
      <c r="C28" s="63"/>
      <c r="D28" s="61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7"/>
      <c r="M28" s="74"/>
      <c r="N28" s="74"/>
    </row>
    <row r="29" spans="1:14" ht="14.5" x14ac:dyDescent="0.35">
      <c r="A29" s="59">
        <v>5</v>
      </c>
      <c r="B29" s="58"/>
      <c r="C29" s="63"/>
      <c r="D29" s="61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7"/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7"/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7"/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7"/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7"/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7"/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7"/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7"/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7"/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7"/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7"/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7"/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7"/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7"/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7"/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7"/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7"/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7"/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7"/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7"/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7"/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7"/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7"/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7"/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7"/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7"/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7"/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4"/>
      <c r="O85" s="74"/>
    </row>
    <row r="86" spans="1:15" ht="14.5" x14ac:dyDescent="0.3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4"/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1.0000000000000002</v>
      </c>
    </row>
    <row r="18" spans="1:14" ht="13" thickBot="1" x14ac:dyDescent="0.3">
      <c r="A18" t="s">
        <v>24</v>
      </c>
      <c r="D18" s="71" t="s">
        <v>125</v>
      </c>
      <c r="E18" s="26"/>
      <c r="I18" s="1" t="s">
        <v>26</v>
      </c>
      <c r="J18" s="57">
        <f>SUM(D25:D412)</f>
        <v>2087938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1.4088895498441965E-2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4"/>
      <c r="N24" s="74"/>
    </row>
    <row r="25" spans="1:14" ht="14.5" x14ac:dyDescent="0.35">
      <c r="A25" s="59">
        <v>1</v>
      </c>
      <c r="B25" s="58"/>
      <c r="C25" s="64" t="s">
        <v>126</v>
      </c>
      <c r="D25" s="60">
        <v>2022390</v>
      </c>
      <c r="E25" s="33">
        <v>1.0072727664518779</v>
      </c>
      <c r="F25" s="28">
        <f>IF(D25&lt;&gt;"",D25/$J$18,"")</f>
        <v>0.96860634750648722</v>
      </c>
      <c r="G25" s="29">
        <f>IF(F25&lt;&gt;"",IF($J$17&gt;0.5,(E25/$J$17),(E25-$J$17)),"")</f>
        <v>1.0072727664518777</v>
      </c>
      <c r="H25" s="29">
        <f>IF(F25&lt;&gt;"",ABS(G25-$J$16),"")</f>
        <v>7.272766451877688E-3</v>
      </c>
      <c r="I25" s="30">
        <f>IF(F25&lt;&gt;"",H25*F25,"")</f>
        <v>7.0444477492209619E-3</v>
      </c>
      <c r="J25" s="31">
        <f>IF(F25&lt;&gt;"",I25*$J$19,"")</f>
        <v>7.0444477492209619E-3</v>
      </c>
      <c r="L25" s="67"/>
      <c r="M25" s="74"/>
      <c r="N25" s="74"/>
    </row>
    <row r="26" spans="1:14" ht="14.5" x14ac:dyDescent="0.35">
      <c r="A26" s="59">
        <v>2</v>
      </c>
      <c r="B26" s="58"/>
      <c r="C26" s="63" t="s">
        <v>127</v>
      </c>
      <c r="D26" s="60">
        <v>47540</v>
      </c>
      <c r="E26" s="33">
        <v>0.79751941819228156</v>
      </c>
      <c r="F26" s="28">
        <f t="shared" ref="F26:F89" si="0">IF(D26&lt;&gt;"",D26/$J$18,"")</f>
        <v>2.276887532101049E-2</v>
      </c>
      <c r="G26" s="29">
        <f t="shared" ref="G26:G89" si="1">IF(F26&lt;&gt;"",IF($J$17&gt;0.5,(E26/$J$17),(E26-$J$17)),"")</f>
        <v>0.79751941819228134</v>
      </c>
      <c r="H26" s="29">
        <f t="shared" ref="H26:H89" si="2">IF(F26&lt;&gt;"",ABS(G26-$J$16),"")</f>
        <v>0.20248058180771866</v>
      </c>
      <c r="I26" s="30">
        <f t="shared" ref="I26:I89" si="3">IF(F26&lt;&gt;"",H26*F26,"")</f>
        <v>4.6102551221056109E-3</v>
      </c>
      <c r="J26" s="31">
        <f t="shared" ref="J26:J89" si="4">IF(F26&lt;&gt;"",I26*$J$19,"")</f>
        <v>4.6102551221056109E-3</v>
      </c>
      <c r="L26" s="67"/>
      <c r="M26" s="74"/>
      <c r="N26" s="74"/>
    </row>
    <row r="27" spans="1:14" ht="14.5" x14ac:dyDescent="0.35">
      <c r="A27" s="59">
        <v>3</v>
      </c>
      <c r="B27" s="58"/>
      <c r="C27" s="63" t="s">
        <v>128</v>
      </c>
      <c r="D27" s="61">
        <v>18008</v>
      </c>
      <c r="E27" s="33">
        <v>0.71776747637305338</v>
      </c>
      <c r="F27" s="28">
        <f t="shared" si="0"/>
        <v>8.6247771725022487E-3</v>
      </c>
      <c r="G27" s="29">
        <f t="shared" si="1"/>
        <v>0.71776747637305327</v>
      </c>
      <c r="H27" s="29">
        <f t="shared" si="2"/>
        <v>0.28223252362694673</v>
      </c>
      <c r="I27" s="30">
        <f t="shared" si="3"/>
        <v>2.4341926271153917E-3</v>
      </c>
      <c r="J27" s="31">
        <f t="shared" si="4"/>
        <v>2.4341926271153917E-3</v>
      </c>
      <c r="L27" s="67"/>
      <c r="M27" s="74"/>
      <c r="N27" s="74"/>
    </row>
    <row r="28" spans="1:14" ht="14.5" x14ac:dyDescent="0.35">
      <c r="A28" s="59">
        <v>4</v>
      </c>
      <c r="B28" s="58"/>
      <c r="C28" s="63"/>
      <c r="D28" s="61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7"/>
      <c r="M28" s="74"/>
      <c r="N28" s="74"/>
    </row>
    <row r="29" spans="1:14" ht="14.5" x14ac:dyDescent="0.35">
      <c r="A29" s="59">
        <v>5</v>
      </c>
      <c r="B29" s="58"/>
      <c r="C29" s="63"/>
      <c r="D29" s="61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7"/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7"/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7"/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7"/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7"/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7"/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7"/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7"/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7"/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7"/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7"/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7"/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7"/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7"/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7"/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7"/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7"/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7"/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7"/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7"/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7"/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7"/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7"/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7"/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7"/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7"/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7"/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4"/>
      <c r="O85" s="74"/>
    </row>
    <row r="86" spans="1:15" ht="14.5" x14ac:dyDescent="0.3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4"/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129</v>
      </c>
      <c r="E18" s="26"/>
      <c r="I18" s="1" t="s">
        <v>26</v>
      </c>
      <c r="J18" s="57">
        <f>SUM(D25:D412)</f>
        <v>2087940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7.358952947035062E-2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4"/>
      <c r="N24" s="74"/>
    </row>
    <row r="25" spans="1:14" ht="14.5" x14ac:dyDescent="0.35">
      <c r="A25" s="59">
        <v>1</v>
      </c>
      <c r="B25" s="58"/>
      <c r="C25" s="64" t="s">
        <v>130</v>
      </c>
      <c r="D25" s="60">
        <v>1716713</v>
      </c>
      <c r="E25" s="33">
        <v>0.95524862858196924</v>
      </c>
      <c r="F25" s="28">
        <f>IF(D25&lt;&gt;"",D25/$J$18,"")</f>
        <v>0.82220418211251278</v>
      </c>
      <c r="G25" s="29">
        <f>IF(F25&lt;&gt;"",IF($J$17&gt;0.5,(E25/$J$17),(E25-$J$17)),"")</f>
        <v>0.95524862858196924</v>
      </c>
      <c r="H25" s="29">
        <f>IF(F25&lt;&gt;"",ABS(G25-$J$16),"")</f>
        <v>4.4751371418030761E-2</v>
      </c>
      <c r="I25" s="30">
        <f>IF(F25&lt;&gt;"",H25*F25,"")</f>
        <v>3.6794764735175262E-2</v>
      </c>
      <c r="J25" s="31">
        <f>IF(F25&lt;&gt;"",I25*$J$19,"")</f>
        <v>3.6794764735175262E-2</v>
      </c>
      <c r="L25" s="67"/>
      <c r="M25" s="74"/>
      <c r="N25" s="74"/>
    </row>
    <row r="26" spans="1:14" ht="14.5" x14ac:dyDescent="0.35">
      <c r="A26" s="59">
        <v>2</v>
      </c>
      <c r="B26" s="58"/>
      <c r="C26" s="63" t="s">
        <v>131</v>
      </c>
      <c r="D26" s="60">
        <v>371227</v>
      </c>
      <c r="E26" s="33">
        <v>1.2069495513019313</v>
      </c>
      <c r="F26" s="28">
        <f t="shared" ref="F26:F89" si="0">IF(D26&lt;&gt;"",D26/$J$18,"")</f>
        <v>0.17779581788748719</v>
      </c>
      <c r="G26" s="29">
        <f t="shared" ref="G26:G89" si="1">IF(F26&lt;&gt;"",IF($J$17&gt;0.5,(E26/$J$17),(E26-$J$17)),"")</f>
        <v>1.2069495513019313</v>
      </c>
      <c r="H26" s="29">
        <f t="shared" ref="H26:H89" si="2">IF(F26&lt;&gt;"",ABS(G26-$J$16),"")</f>
        <v>0.20694955130193127</v>
      </c>
      <c r="I26" s="30">
        <f t="shared" ref="I26:I89" si="3">IF(F26&lt;&gt;"",H26*F26,"")</f>
        <v>3.6794764735175359E-2</v>
      </c>
      <c r="J26" s="31">
        <f t="shared" ref="J26:J89" si="4">IF(F26&lt;&gt;"",I26*$J$19,"")</f>
        <v>3.6794764735175359E-2</v>
      </c>
      <c r="L26" s="67"/>
      <c r="M26" s="74"/>
      <c r="N26" s="74"/>
    </row>
    <row r="27" spans="1:14" ht="14.5" x14ac:dyDescent="0.35">
      <c r="A27" s="59">
        <v>3</v>
      </c>
      <c r="B27" s="58"/>
      <c r="C27" s="63"/>
      <c r="D27" s="61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L27" s="67"/>
      <c r="M27" s="74"/>
      <c r="N27" s="74"/>
    </row>
    <row r="28" spans="1:14" ht="14.5" x14ac:dyDescent="0.35">
      <c r="A28" s="59">
        <v>4</v>
      </c>
      <c r="B28" s="58"/>
      <c r="C28" s="63"/>
      <c r="D28" s="61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7"/>
      <c r="M28" s="74"/>
      <c r="N28" s="74"/>
    </row>
    <row r="29" spans="1:14" ht="14.5" x14ac:dyDescent="0.35">
      <c r="A29" s="59">
        <v>5</v>
      </c>
      <c r="B29" s="58"/>
      <c r="C29" s="63"/>
      <c r="D29" s="61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7"/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7"/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7"/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7"/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7"/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7"/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7"/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7"/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7"/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7"/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7"/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7"/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7"/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7"/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7"/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7"/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7"/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7"/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7"/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7"/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7"/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7"/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7"/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7"/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7"/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7"/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7"/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4"/>
      <c r="O85" s="74"/>
    </row>
    <row r="86" spans="1:15" ht="14.5" x14ac:dyDescent="0.3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4"/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132</v>
      </c>
      <c r="E18" s="26"/>
      <c r="I18" s="1" t="s">
        <v>26</v>
      </c>
      <c r="J18" s="57">
        <f>SUM(D25:D412)</f>
        <v>2087917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0.1022450949958458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4"/>
      <c r="N24" s="74"/>
    </row>
    <row r="25" spans="1:14" ht="14.5" x14ac:dyDescent="0.35">
      <c r="A25" s="59">
        <v>1</v>
      </c>
      <c r="B25" s="58"/>
      <c r="C25" s="64" t="s">
        <v>133</v>
      </c>
      <c r="D25" s="60">
        <v>564455</v>
      </c>
      <c r="E25" s="33">
        <v>0.86716003160944366</v>
      </c>
      <c r="F25" s="28">
        <f>IF(D25&lt;&gt;"",D25/$J$18,"")</f>
        <v>0.27034360082321279</v>
      </c>
      <c r="G25" s="29">
        <f>IF(F25&lt;&gt;"",IF($J$17&gt;0.5,(E25/$J$17),(E25-$J$17)),"")</f>
        <v>0.86716003160944366</v>
      </c>
      <c r="H25" s="29">
        <f>IF(F25&lt;&gt;"",ABS(G25-$J$16),"")</f>
        <v>0.13283996839055634</v>
      </c>
      <c r="I25" s="30">
        <f>IF(F25&lt;&gt;"",H25*F25,"")</f>
        <v>3.5912435387944766E-2</v>
      </c>
      <c r="J25" s="31">
        <f>IF(F25&lt;&gt;"",I25*$J$19,"")</f>
        <v>3.5912435387944766E-2</v>
      </c>
      <c r="L25" s="67"/>
      <c r="M25" s="74"/>
      <c r="N25" s="74"/>
    </row>
    <row r="26" spans="1:14" ht="14.5" x14ac:dyDescent="0.35">
      <c r="A26" s="59">
        <v>2</v>
      </c>
      <c r="B26" s="58"/>
      <c r="C26" s="63" t="s">
        <v>134</v>
      </c>
      <c r="D26" s="60">
        <v>809600</v>
      </c>
      <c r="E26" s="33">
        <v>0.96077389865819041</v>
      </c>
      <c r="F26" s="28">
        <f t="shared" ref="F26:F89" si="0">IF(D26&lt;&gt;"",D26/$J$18,"")</f>
        <v>0.38775487722931518</v>
      </c>
      <c r="G26" s="29">
        <f t="shared" ref="G26:G89" si="1">IF(F26&lt;&gt;"",IF($J$17&gt;0.5,(E26/$J$17),(E26-$J$17)),"")</f>
        <v>0.96077389865819041</v>
      </c>
      <c r="H26" s="29">
        <f t="shared" ref="H26:H89" si="2">IF(F26&lt;&gt;"",ABS(G26-$J$16),"")</f>
        <v>3.9226101341809594E-2</v>
      </c>
      <c r="I26" s="30">
        <f t="shared" ref="I26:I89" si="3">IF(F26&lt;&gt;"",H26*F26,"")</f>
        <v>1.5210112109978054E-2</v>
      </c>
      <c r="J26" s="31">
        <f t="shared" ref="J26:J89" si="4">IF(F26&lt;&gt;"",I26*$J$19,"")</f>
        <v>1.5210112109978054E-2</v>
      </c>
      <c r="L26" s="67"/>
      <c r="M26" s="74"/>
      <c r="N26" s="74"/>
    </row>
    <row r="27" spans="1:14" ht="14.5" x14ac:dyDescent="0.35">
      <c r="A27" s="59">
        <v>3</v>
      </c>
      <c r="B27" s="58"/>
      <c r="C27" s="63" t="s">
        <v>135</v>
      </c>
      <c r="D27" s="61">
        <v>36797</v>
      </c>
      <c r="E27" s="33">
        <v>1.0189130371410964</v>
      </c>
      <c r="F27" s="28">
        <f t="shared" si="0"/>
        <v>1.7623784853516688E-2</v>
      </c>
      <c r="G27" s="29">
        <f t="shared" si="1"/>
        <v>1.0189130371410964</v>
      </c>
      <c r="H27" s="29">
        <f t="shared" si="2"/>
        <v>1.8913037141096378E-2</v>
      </c>
      <c r="I27" s="30">
        <f t="shared" si="3"/>
        <v>3.3331929750125291E-4</v>
      </c>
      <c r="J27" s="31">
        <f t="shared" si="4"/>
        <v>3.3331929750125291E-4</v>
      </c>
      <c r="L27" s="67"/>
      <c r="M27" s="74"/>
      <c r="N27" s="74"/>
    </row>
    <row r="28" spans="1:14" ht="14.5" x14ac:dyDescent="0.35">
      <c r="A28" s="59">
        <v>4</v>
      </c>
      <c r="B28" s="58"/>
      <c r="C28" s="63" t="s">
        <v>136</v>
      </c>
      <c r="D28" s="61">
        <v>321423</v>
      </c>
      <c r="E28" s="33">
        <v>1.103658222048383</v>
      </c>
      <c r="F28" s="28">
        <f t="shared" si="0"/>
        <v>0.15394433782568942</v>
      </c>
      <c r="G28" s="29">
        <f t="shared" si="1"/>
        <v>1.103658222048383</v>
      </c>
      <c r="H28" s="29">
        <f t="shared" si="2"/>
        <v>0.10365822204838304</v>
      </c>
      <c r="I28" s="30">
        <f t="shared" si="3"/>
        <v>1.5957596353426605E-2</v>
      </c>
      <c r="J28" s="31">
        <f t="shared" si="4"/>
        <v>1.5957596353426605E-2</v>
      </c>
      <c r="L28" s="67"/>
      <c r="M28" s="74"/>
      <c r="N28" s="74"/>
    </row>
    <row r="29" spans="1:14" ht="14.5" x14ac:dyDescent="0.35">
      <c r="A29" s="59">
        <v>5</v>
      </c>
      <c r="B29" s="58"/>
      <c r="C29" s="63" t="s">
        <v>137</v>
      </c>
      <c r="D29" s="61">
        <v>54586</v>
      </c>
      <c r="E29" s="33">
        <v>1.1627827696581177</v>
      </c>
      <c r="F29" s="28">
        <f t="shared" si="0"/>
        <v>2.6143759545997278E-2</v>
      </c>
      <c r="G29" s="29">
        <f t="shared" si="1"/>
        <v>1.1627827696581177</v>
      </c>
      <c r="H29" s="29">
        <f t="shared" si="2"/>
        <v>0.16278276965811767</v>
      </c>
      <c r="I29" s="30">
        <f t="shared" si="3"/>
        <v>4.2557535881732897E-3</v>
      </c>
      <c r="J29" s="31">
        <f t="shared" si="4"/>
        <v>4.2557535881732897E-3</v>
      </c>
      <c r="L29" s="67"/>
      <c r="M29" s="74"/>
      <c r="N29" s="74"/>
    </row>
    <row r="30" spans="1:14" ht="14.5" x14ac:dyDescent="0.35">
      <c r="A30" s="59">
        <v>6</v>
      </c>
      <c r="B30" s="58"/>
      <c r="C30" s="63" t="s">
        <v>131</v>
      </c>
      <c r="D30" s="62">
        <v>301056</v>
      </c>
      <c r="E30" s="33">
        <v>1.2120532259995633</v>
      </c>
      <c r="F30" s="28">
        <f t="shared" si="0"/>
        <v>0.14418963972226864</v>
      </c>
      <c r="G30" s="29">
        <f t="shared" si="1"/>
        <v>1.2120532259995633</v>
      </c>
      <c r="H30" s="29">
        <f t="shared" si="2"/>
        <v>0.21205322599956333</v>
      </c>
      <c r="I30" s="30">
        <f t="shared" si="3"/>
        <v>3.0575878258821847E-2</v>
      </c>
      <c r="J30" s="31">
        <f t="shared" si="4"/>
        <v>3.0575878258821847E-2</v>
      </c>
      <c r="L30" s="67"/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7"/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7"/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7"/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7"/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7"/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7"/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7"/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7"/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7"/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7"/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7"/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7"/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7"/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7"/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7"/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7"/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7"/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7"/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7"/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7"/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7"/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7"/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7"/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7"/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7"/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4"/>
      <c r="O85" s="74"/>
    </row>
    <row r="86" spans="1:15" ht="14.5" x14ac:dyDescent="0.3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4"/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138</v>
      </c>
      <c r="E18" s="26"/>
      <c r="I18" s="1" t="s">
        <v>26</v>
      </c>
      <c r="J18" s="57">
        <f>SUM(D25:D412)</f>
        <v>2087940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0.10544062034666871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4"/>
      <c r="N24" s="74"/>
    </row>
    <row r="25" spans="1:14" ht="14.5" x14ac:dyDescent="0.35">
      <c r="A25" s="59">
        <v>1</v>
      </c>
      <c r="B25" s="58"/>
      <c r="C25" s="64" t="s">
        <v>139</v>
      </c>
      <c r="D25" s="60">
        <v>169935</v>
      </c>
      <c r="E25" s="33">
        <v>1.3938067163699552</v>
      </c>
      <c r="F25" s="28">
        <f>IF(D25&lt;&gt;"",D25/$J$18,"")</f>
        <v>8.1388833012442888E-2</v>
      </c>
      <c r="G25" s="29">
        <f>IF(F25&lt;&gt;"",IF($J$17&gt;0.5,(E25/$J$17),(E25-$J$17)),"")</f>
        <v>1.3938067163699552</v>
      </c>
      <c r="H25" s="29">
        <f>IF(F25&lt;&gt;"",ABS(G25-$J$16),"")</f>
        <v>0.39380671636995523</v>
      </c>
      <c r="I25" s="30">
        <f>IF(F25&lt;&gt;"",H25*F25,"")</f>
        <v>3.2051469077812748E-2</v>
      </c>
      <c r="J25" s="31">
        <f>IF(F25&lt;&gt;"",I25*$J$19,"")</f>
        <v>3.2051469077812748E-2</v>
      </c>
      <c r="L25" s="67"/>
      <c r="M25" s="74"/>
      <c r="N25" s="74"/>
    </row>
    <row r="26" spans="1:14" ht="14.5" x14ac:dyDescent="0.35">
      <c r="A26" s="59">
        <v>2</v>
      </c>
      <c r="B26" s="58"/>
      <c r="C26" s="63" t="s">
        <v>140</v>
      </c>
      <c r="D26" s="60">
        <v>58780</v>
      </c>
      <c r="E26" s="33">
        <v>1.3421842453932902</v>
      </c>
      <c r="F26" s="28">
        <f t="shared" ref="F26:F89" si="0">IF(D26&lt;&gt;"",D26/$J$18,"")</f>
        <v>2.8152149965995191E-2</v>
      </c>
      <c r="G26" s="29">
        <f t="shared" ref="G26:G89" si="1">IF(F26&lt;&gt;"",IF($J$17&gt;0.5,(E26/$J$17),(E26-$J$17)),"")</f>
        <v>1.3421842453932902</v>
      </c>
      <c r="H26" s="29">
        <f t="shared" ref="H26:H89" si="2">IF(F26&lt;&gt;"",ABS(G26-$J$16),"")</f>
        <v>0.34218424539329018</v>
      </c>
      <c r="I26" s="30">
        <f t="shared" ref="I26:I89" si="3">IF(F26&lt;&gt;"",H26*F26,"")</f>
        <v>9.6332221923128049E-3</v>
      </c>
      <c r="J26" s="31">
        <f t="shared" ref="J26:J89" si="4">IF(F26&lt;&gt;"",I26*$J$19,"")</f>
        <v>9.6332221923128049E-3</v>
      </c>
      <c r="L26" s="67"/>
      <c r="M26" s="74"/>
      <c r="N26" s="74"/>
    </row>
    <row r="27" spans="1:14" ht="14.5" x14ac:dyDescent="0.35">
      <c r="A27" s="59">
        <v>3</v>
      </c>
      <c r="B27" s="58"/>
      <c r="C27" s="63" t="s">
        <v>141</v>
      </c>
      <c r="D27" s="61">
        <v>64979</v>
      </c>
      <c r="E27" s="33">
        <v>1.2264821418481311</v>
      </c>
      <c r="F27" s="28">
        <f t="shared" si="0"/>
        <v>3.1121105012596146E-2</v>
      </c>
      <c r="G27" s="29">
        <f t="shared" si="1"/>
        <v>1.2264821418481311</v>
      </c>
      <c r="H27" s="29">
        <f t="shared" si="2"/>
        <v>0.22648214184813109</v>
      </c>
      <c r="I27" s="30">
        <f t="shared" si="3"/>
        <v>7.0483745199333842E-3</v>
      </c>
      <c r="J27" s="31">
        <f t="shared" si="4"/>
        <v>7.0483745199333842E-3</v>
      </c>
      <c r="L27" s="67"/>
      <c r="M27" s="74"/>
      <c r="N27" s="74"/>
    </row>
    <row r="28" spans="1:14" ht="14.5" x14ac:dyDescent="0.35">
      <c r="A28" s="59">
        <v>4</v>
      </c>
      <c r="B28" s="58"/>
      <c r="C28" s="63" t="s">
        <v>142</v>
      </c>
      <c r="D28" s="61">
        <v>53249</v>
      </c>
      <c r="E28" s="33">
        <v>1.1563433498772964</v>
      </c>
      <c r="F28" s="28">
        <f t="shared" si="0"/>
        <v>2.5503127484506258E-2</v>
      </c>
      <c r="G28" s="29">
        <f t="shared" si="1"/>
        <v>1.1563433498772964</v>
      </c>
      <c r="H28" s="29">
        <f t="shared" si="2"/>
        <v>0.15634334987729637</v>
      </c>
      <c r="I28" s="30">
        <f t="shared" si="3"/>
        <v>3.9872443832754548E-3</v>
      </c>
      <c r="J28" s="31">
        <f t="shared" si="4"/>
        <v>3.9872443832754548E-3</v>
      </c>
      <c r="L28" s="67"/>
      <c r="M28" s="74"/>
      <c r="N28" s="74"/>
    </row>
    <row r="29" spans="1:14" ht="14.5" x14ac:dyDescent="0.35">
      <c r="A29" s="59">
        <v>5</v>
      </c>
      <c r="B29" s="58"/>
      <c r="C29" s="63" t="s">
        <v>143</v>
      </c>
      <c r="D29" s="61">
        <v>1740997</v>
      </c>
      <c r="E29" s="33">
        <v>0.93677367369196407</v>
      </c>
      <c r="F29" s="28">
        <f t="shared" si="0"/>
        <v>0.83383478452445947</v>
      </c>
      <c r="G29" s="29">
        <f t="shared" si="1"/>
        <v>0.93677367369196407</v>
      </c>
      <c r="H29" s="29">
        <f t="shared" si="2"/>
        <v>6.3226326308035929E-2</v>
      </c>
      <c r="I29" s="30">
        <f t="shared" si="3"/>
        <v>5.2720310173334305E-2</v>
      </c>
      <c r="J29" s="31">
        <f t="shared" si="4"/>
        <v>5.2720310173334305E-2</v>
      </c>
      <c r="L29" s="67"/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7"/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7"/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7"/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7"/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7"/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7"/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7"/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7"/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7"/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7"/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7"/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7"/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7"/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7"/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7"/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7"/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7"/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7"/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7"/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7"/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7"/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7"/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7"/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7"/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7"/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7"/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4"/>
      <c r="O85" s="74"/>
    </row>
    <row r="86" spans="1:15" ht="14.5" x14ac:dyDescent="0.3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4"/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160</v>
      </c>
      <c r="E18" s="26"/>
      <c r="I18" s="1" t="s">
        <v>26</v>
      </c>
      <c r="J18" s="57">
        <f>SUM(D25:D412)</f>
        <v>2087940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1.9861777813169931E-2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4"/>
      <c r="N24" s="74"/>
    </row>
    <row r="25" spans="1:14" ht="14.5" x14ac:dyDescent="0.35">
      <c r="A25" s="59">
        <v>1</v>
      </c>
      <c r="B25" s="58"/>
      <c r="C25" s="64" t="s">
        <v>130</v>
      </c>
      <c r="D25" s="60">
        <v>120037</v>
      </c>
      <c r="E25" s="33">
        <v>0.82726075973562285</v>
      </c>
      <c r="F25" s="28">
        <f>IF(D25&lt;&gt;"",D25/$J$18,"")</f>
        <v>5.749063670411985E-2</v>
      </c>
      <c r="G25" s="29">
        <f>IF(F25&lt;&gt;"",IF($J$17&gt;0.5,(E25/$J$17),(E25-$J$17)),"")</f>
        <v>0.82726075973562285</v>
      </c>
      <c r="H25" s="29">
        <f>IF(F25&lt;&gt;"",ABS(G25-$J$16),"")</f>
        <v>0.17273924026437715</v>
      </c>
      <c r="I25" s="30">
        <f>IF(F25&lt;&gt;"",H25*F25,"")</f>
        <v>9.9308889065849778E-3</v>
      </c>
      <c r="J25" s="31">
        <f>IF(F25&lt;&gt;"",I25*$J$19,"")</f>
        <v>9.9308889065849778E-3</v>
      </c>
      <c r="L25" s="67"/>
      <c r="M25" s="74"/>
      <c r="N25" s="74"/>
    </row>
    <row r="26" spans="1:14" ht="14.5" x14ac:dyDescent="0.35">
      <c r="A26" s="59">
        <v>2</v>
      </c>
      <c r="B26" s="58"/>
      <c r="C26" s="63" t="s">
        <v>131</v>
      </c>
      <c r="D26" s="60">
        <v>1967903</v>
      </c>
      <c r="E26" s="33">
        <v>1.0105366474788722</v>
      </c>
      <c r="F26" s="28">
        <f t="shared" ref="F26:F89" si="0">IF(D26&lt;&gt;"",D26/$J$18,"")</f>
        <v>0.9425093632958802</v>
      </c>
      <c r="G26" s="29">
        <f t="shared" ref="G26:G89" si="1">IF(F26&lt;&gt;"",IF($J$17&gt;0.5,(E26/$J$17),(E26-$J$17)),"")</f>
        <v>1.0105366474788722</v>
      </c>
      <c r="H26" s="29">
        <f t="shared" ref="H26:H89" si="2">IF(F26&lt;&gt;"",ABS(G26-$J$16),"")</f>
        <v>1.0536647478872174E-2</v>
      </c>
      <c r="I26" s="30">
        <f t="shared" ref="I26:I89" si="3">IF(F26&lt;&gt;"",H26*F26,"")</f>
        <v>9.9308889065849535E-3</v>
      </c>
      <c r="J26" s="31">
        <f t="shared" ref="J26:J89" si="4">IF(F26&lt;&gt;"",I26*$J$19,"")</f>
        <v>9.9308889065849535E-3</v>
      </c>
      <c r="L26" s="67"/>
      <c r="M26" s="74"/>
      <c r="N26" s="74"/>
    </row>
    <row r="27" spans="1:14" ht="14.5" x14ac:dyDescent="0.35">
      <c r="A27" s="59">
        <v>3</v>
      </c>
      <c r="B27" s="58"/>
      <c r="C27" s="63"/>
      <c r="D27" s="61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L27" s="67"/>
      <c r="M27" s="74"/>
      <c r="N27" s="74"/>
    </row>
    <row r="28" spans="1:14" ht="14.5" x14ac:dyDescent="0.35">
      <c r="A28" s="59">
        <v>4</v>
      </c>
      <c r="B28" s="58"/>
      <c r="C28" s="63"/>
      <c r="D28" s="61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7"/>
      <c r="M28" s="74"/>
      <c r="N28" s="74"/>
    </row>
    <row r="29" spans="1:14" ht="14.5" x14ac:dyDescent="0.35">
      <c r="A29" s="59">
        <v>5</v>
      </c>
      <c r="B29" s="58"/>
      <c r="C29" s="63"/>
      <c r="D29" s="61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7"/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7"/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7"/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7"/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7"/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7"/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7"/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7"/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7"/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7"/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7"/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7"/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7"/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7"/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7"/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7"/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7"/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7"/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7"/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7"/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7"/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7"/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7"/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7"/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7"/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7"/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7"/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4"/>
      <c r="O85" s="74"/>
    </row>
    <row r="86" spans="1:15" ht="14.5" x14ac:dyDescent="0.3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4"/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1.0000000000000002</v>
      </c>
    </row>
    <row r="18" spans="1:14" ht="13" thickBot="1" x14ac:dyDescent="0.3">
      <c r="A18" t="s">
        <v>24</v>
      </c>
      <c r="D18" s="71" t="s">
        <v>149</v>
      </c>
      <c r="E18" s="26"/>
      <c r="I18" s="1" t="s">
        <v>26</v>
      </c>
      <c r="J18" s="57">
        <f>SUM(D25:D412)</f>
        <v>2087940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3.5122645307651072E-4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4"/>
      <c r="N24" s="74"/>
    </row>
    <row r="25" spans="1:14" ht="14.5" x14ac:dyDescent="0.35">
      <c r="A25" s="59">
        <v>1</v>
      </c>
      <c r="B25" s="58"/>
      <c r="C25" s="64" t="s">
        <v>130</v>
      </c>
      <c r="D25" s="60">
        <v>18176</v>
      </c>
      <c r="E25" s="33">
        <v>0.97982670113235526</v>
      </c>
      <c r="F25" s="28">
        <f>IF(D25&lt;&gt;"",D25/$J$18,"")</f>
        <v>8.7052309932277739E-3</v>
      </c>
      <c r="G25" s="29">
        <f>IF(F25&lt;&gt;"",IF($J$17&gt;0.5,(E25/$J$17),(E25-$J$17)),"")</f>
        <v>0.97982670113235504</v>
      </c>
      <c r="H25" s="29">
        <f>IF(F25&lt;&gt;"",ABS(G25-$J$16),"")</f>
        <v>2.0173298867644962E-2</v>
      </c>
      <c r="I25" s="30">
        <f>IF(F25&lt;&gt;"",H25*F25,"")</f>
        <v>1.7561322653826967E-4</v>
      </c>
      <c r="J25" s="31">
        <f>IF(F25&lt;&gt;"",I25*$J$19,"")</f>
        <v>1.7561322653826967E-4</v>
      </c>
      <c r="L25" s="67"/>
      <c r="M25" s="74"/>
      <c r="N25" s="74"/>
    </row>
    <row r="26" spans="1:14" ht="14.5" x14ac:dyDescent="0.35">
      <c r="A26" s="59">
        <v>2</v>
      </c>
      <c r="B26" s="58"/>
      <c r="C26" s="63" t="s">
        <v>131</v>
      </c>
      <c r="D26" s="60">
        <v>2069764</v>
      </c>
      <c r="E26" s="33">
        <v>1.000177155405263</v>
      </c>
      <c r="F26" s="28">
        <f t="shared" ref="F26:F89" si="0">IF(D26&lt;&gt;"",D26/$J$18,"")</f>
        <v>0.99129476900677227</v>
      </c>
      <c r="G26" s="29">
        <f t="shared" ref="G26:G89" si="1">IF(F26&lt;&gt;"",IF($J$17&gt;0.5,(E26/$J$17),(E26-$J$17)),"")</f>
        <v>1.0001771554052628</v>
      </c>
      <c r="H26" s="29">
        <f t="shared" ref="H26:H89" si="2">IF(F26&lt;&gt;"",ABS(G26-$J$16),"")</f>
        <v>1.771554052627522E-4</v>
      </c>
      <c r="I26" s="30">
        <f t="shared" ref="I26:I89" si="3">IF(F26&lt;&gt;"",H26*F26,"")</f>
        <v>1.7561322653824107E-4</v>
      </c>
      <c r="J26" s="31">
        <f t="shared" ref="J26:J89" si="4">IF(F26&lt;&gt;"",I26*$J$19,"")</f>
        <v>1.7561322653824107E-4</v>
      </c>
      <c r="L26" s="67"/>
      <c r="M26" s="74"/>
      <c r="N26" s="74"/>
    </row>
    <row r="27" spans="1:14" ht="14.5" x14ac:dyDescent="0.35">
      <c r="A27" s="59">
        <v>3</v>
      </c>
      <c r="B27" s="58"/>
      <c r="C27" s="63"/>
      <c r="D27" s="61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L27" s="67"/>
      <c r="M27" s="74"/>
      <c r="N27" s="74"/>
    </row>
    <row r="28" spans="1:14" ht="14.5" x14ac:dyDescent="0.35">
      <c r="A28" s="59">
        <v>4</v>
      </c>
      <c r="B28" s="58"/>
      <c r="C28" s="63"/>
      <c r="D28" s="61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7"/>
      <c r="M28" s="74"/>
      <c r="N28" s="74"/>
    </row>
    <row r="29" spans="1:14" ht="14.5" x14ac:dyDescent="0.35">
      <c r="A29" s="59">
        <v>5</v>
      </c>
      <c r="B29" s="58"/>
      <c r="C29" s="63"/>
      <c r="D29" s="61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7"/>
      <c r="M29" s="74"/>
      <c r="N29" s="74"/>
    </row>
    <row r="30" spans="1:14" ht="14.5" x14ac:dyDescent="0.35">
      <c r="A30" s="59">
        <v>6</v>
      </c>
      <c r="B30" s="58"/>
      <c r="C30" s="63"/>
      <c r="D30" s="62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7"/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7"/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7"/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7"/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7"/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7"/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7"/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7"/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7"/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7"/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7"/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7"/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7"/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7"/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7"/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7"/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7"/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7"/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7"/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7"/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7"/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7"/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7"/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7"/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7"/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7"/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4"/>
      <c r="O85" s="74"/>
    </row>
    <row r="86" spans="1:15" ht="14.5" x14ac:dyDescent="0.3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4"/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1</v>
      </c>
    </row>
    <row r="18" spans="1:14" ht="13" thickBot="1" x14ac:dyDescent="0.3">
      <c r="A18" t="s">
        <v>24</v>
      </c>
      <c r="D18" s="71" t="s">
        <v>150</v>
      </c>
      <c r="E18" s="26"/>
      <c r="I18" s="1" t="s">
        <v>26</v>
      </c>
      <c r="J18" s="57">
        <f>SUM(D25:D412)</f>
        <v>2087940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0.12898932355581028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4"/>
      <c r="N24" s="74"/>
    </row>
    <row r="25" spans="1:14" ht="14.5" x14ac:dyDescent="0.35">
      <c r="A25" s="59">
        <v>1</v>
      </c>
      <c r="B25" s="58"/>
      <c r="C25" s="64" t="s">
        <v>151</v>
      </c>
      <c r="D25" s="60">
        <v>223763</v>
      </c>
      <c r="E25" s="33">
        <v>0.74388889017552062</v>
      </c>
      <c r="F25" s="28">
        <f>IF(D25&lt;&gt;"",D25/$J$18,"")</f>
        <v>0.10716926731611062</v>
      </c>
      <c r="G25" s="29">
        <f>IF(F25&lt;&gt;"",IF($J$17&gt;0.5,(E25/$J$17),(E25-$J$17)),"")</f>
        <v>0.74388889017552062</v>
      </c>
      <c r="H25" s="29">
        <f>IF(F25&lt;&gt;"",ABS(G25-$J$16),"")</f>
        <v>0.25611110982447938</v>
      </c>
      <c r="I25" s="30">
        <f>IF(F25&lt;&gt;"",H25*F25,"")</f>
        <v>2.7447239991405397E-2</v>
      </c>
      <c r="J25" s="31">
        <f>IF(F25&lt;&gt;"",I25*$J$19,"")</f>
        <v>2.7447239991405397E-2</v>
      </c>
      <c r="L25" s="67"/>
      <c r="M25" s="74"/>
      <c r="N25" s="74"/>
    </row>
    <row r="26" spans="1:14" ht="14.5" x14ac:dyDescent="0.35">
      <c r="A26" s="59">
        <v>2</v>
      </c>
      <c r="B26" s="58"/>
      <c r="C26" s="63" t="s">
        <v>152</v>
      </c>
      <c r="D26" s="60">
        <v>532244</v>
      </c>
      <c r="E26" s="33">
        <v>0.85466666821062476</v>
      </c>
      <c r="F26" s="28">
        <f t="shared" ref="F26:F89" si="0">IF(D26&lt;&gt;"",D26/$J$18,"")</f>
        <v>0.25491345536749138</v>
      </c>
      <c r="G26" s="29">
        <f t="shared" ref="G26:G89" si="1">IF(F26&lt;&gt;"",IF($J$17&gt;0.5,(E26/$J$17),(E26-$J$17)),"")</f>
        <v>0.85466666821062476</v>
      </c>
      <c r="H26" s="29">
        <f t="shared" ref="H26:H89" si="2">IF(F26&lt;&gt;"",ABS(G26-$J$16),"")</f>
        <v>0.14533333178937524</v>
      </c>
      <c r="I26" s="30">
        <f t="shared" ref="I26:I89" si="3">IF(F26&lt;&gt;"",H26*F26,"")</f>
        <v>3.7047421786499724E-2</v>
      </c>
      <c r="J26" s="31">
        <f t="shared" ref="J26:J89" si="4">IF(F26&lt;&gt;"",I26*$J$19,"")</f>
        <v>3.7047421786499724E-2</v>
      </c>
      <c r="L26" s="67"/>
      <c r="M26" s="74"/>
      <c r="N26" s="74"/>
    </row>
    <row r="27" spans="1:14" ht="14.5" x14ac:dyDescent="0.35">
      <c r="A27" s="59">
        <v>3</v>
      </c>
      <c r="B27" s="58"/>
      <c r="C27" s="63" t="s">
        <v>153</v>
      </c>
      <c r="D27" s="61">
        <v>601784</v>
      </c>
      <c r="E27" s="33">
        <v>1.0208333352632812</v>
      </c>
      <c r="F27" s="28">
        <f t="shared" si="0"/>
        <v>0.28821901012481199</v>
      </c>
      <c r="G27" s="29">
        <f t="shared" si="1"/>
        <v>1.0208333352632812</v>
      </c>
      <c r="H27" s="29">
        <f t="shared" si="2"/>
        <v>2.0833335263281239E-2</v>
      </c>
      <c r="I27" s="30">
        <f t="shared" si="3"/>
        <v>6.0045632671812581E-3</v>
      </c>
      <c r="J27" s="31">
        <f t="shared" si="4"/>
        <v>6.0045632671812581E-3</v>
      </c>
      <c r="L27" s="67"/>
      <c r="M27" s="74"/>
      <c r="N27" s="74"/>
    </row>
    <row r="28" spans="1:14" ht="14.5" x14ac:dyDescent="0.35">
      <c r="A28" s="59">
        <v>4</v>
      </c>
      <c r="B28" s="58"/>
      <c r="C28" s="63" t="s">
        <v>154</v>
      </c>
      <c r="D28" s="61">
        <v>364787</v>
      </c>
      <c r="E28" s="33">
        <v>1.1157857164362273</v>
      </c>
      <c r="F28" s="28">
        <f t="shared" si="0"/>
        <v>0.17471143806814371</v>
      </c>
      <c r="G28" s="29">
        <f t="shared" si="1"/>
        <v>1.1157857164362273</v>
      </c>
      <c r="H28" s="29">
        <f t="shared" si="2"/>
        <v>0.11578571643622726</v>
      </c>
      <c r="I28" s="30">
        <f t="shared" si="3"/>
        <v>2.0229089026323567E-2</v>
      </c>
      <c r="J28" s="31">
        <f t="shared" si="4"/>
        <v>2.0229089026323567E-2</v>
      </c>
      <c r="L28" s="67"/>
      <c r="M28" s="74"/>
      <c r="N28" s="74"/>
    </row>
    <row r="29" spans="1:14" ht="14.5" x14ac:dyDescent="0.35">
      <c r="A29" s="59">
        <v>5</v>
      </c>
      <c r="B29" s="58"/>
      <c r="C29" s="63" t="s">
        <v>155</v>
      </c>
      <c r="D29" s="61">
        <v>267830</v>
      </c>
      <c r="E29" s="33">
        <v>1.2186507960402528</v>
      </c>
      <c r="F29" s="28">
        <f t="shared" si="0"/>
        <v>0.12827475885322376</v>
      </c>
      <c r="G29" s="29">
        <f t="shared" si="1"/>
        <v>1.2186507960402528</v>
      </c>
      <c r="H29" s="29">
        <f t="shared" si="2"/>
        <v>0.21865079604025284</v>
      </c>
      <c r="I29" s="30">
        <f t="shared" si="3"/>
        <v>2.8047378135128843E-2</v>
      </c>
      <c r="J29" s="31">
        <f t="shared" si="4"/>
        <v>2.8047378135128843E-2</v>
      </c>
      <c r="L29" s="67"/>
      <c r="M29" s="74"/>
      <c r="N29" s="74"/>
    </row>
    <row r="30" spans="1:14" ht="14.5" x14ac:dyDescent="0.35">
      <c r="A30" s="59">
        <v>6</v>
      </c>
      <c r="B30" s="58"/>
      <c r="C30" s="65" t="s">
        <v>167</v>
      </c>
      <c r="D30" s="62">
        <v>97532</v>
      </c>
      <c r="E30" s="33">
        <v>1.2186507960402528</v>
      </c>
      <c r="F30" s="28">
        <f t="shared" si="0"/>
        <v>4.6712070270218495E-2</v>
      </c>
      <c r="G30" s="29">
        <f t="shared" si="1"/>
        <v>1.2186507960402528</v>
      </c>
      <c r="H30" s="29">
        <f t="shared" si="2"/>
        <v>0.21865079604025284</v>
      </c>
      <c r="I30" s="30">
        <f t="shared" si="3"/>
        <v>1.0213631349271503E-2</v>
      </c>
      <c r="J30" s="31">
        <f t="shared" si="4"/>
        <v>1.0213631349271503E-2</v>
      </c>
      <c r="L30" s="67"/>
      <c r="M30" s="74"/>
      <c r="N30" s="74"/>
    </row>
    <row r="31" spans="1:14" ht="14.5" x14ac:dyDescent="0.35">
      <c r="A31" s="59">
        <v>7</v>
      </c>
      <c r="B31" s="58"/>
      <c r="C31" s="63"/>
      <c r="D31" s="62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7"/>
      <c r="M31" s="74"/>
      <c r="N31" s="74"/>
    </row>
    <row r="32" spans="1:14" ht="14.5" x14ac:dyDescent="0.35">
      <c r="A32" s="59">
        <v>8</v>
      </c>
      <c r="B32" s="58"/>
      <c r="C32" s="63"/>
      <c r="D32" s="61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7"/>
      <c r="M32" s="74"/>
      <c r="N32" s="74"/>
    </row>
    <row r="33" spans="1:14" ht="14.5" x14ac:dyDescent="0.35">
      <c r="A33" s="59">
        <v>9</v>
      </c>
      <c r="B33" s="58"/>
      <c r="C33" s="63"/>
      <c r="D33" s="62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7"/>
      <c r="M33" s="74"/>
      <c r="N33" s="74"/>
    </row>
    <row r="34" spans="1:14" ht="14.5" x14ac:dyDescent="0.35">
      <c r="A34" s="59">
        <v>10</v>
      </c>
      <c r="B34" s="58"/>
      <c r="C34" s="63"/>
      <c r="D34" s="62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7"/>
      <c r="M34" s="74"/>
      <c r="N34" s="74"/>
    </row>
    <row r="35" spans="1:14" ht="14.5" x14ac:dyDescent="0.35">
      <c r="A35" s="59">
        <v>11</v>
      </c>
      <c r="B35" s="58"/>
      <c r="C35" s="63"/>
      <c r="D35" s="62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7"/>
      <c r="M35" s="74"/>
      <c r="N35" s="74"/>
    </row>
    <row r="36" spans="1:14" ht="14.5" x14ac:dyDescent="0.35">
      <c r="A36" s="59">
        <v>12</v>
      </c>
      <c r="B36" s="58"/>
      <c r="C36" s="63"/>
      <c r="D36" s="62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7"/>
      <c r="M36" s="74"/>
      <c r="N36" s="74"/>
    </row>
    <row r="37" spans="1:14" ht="14.5" x14ac:dyDescent="0.35">
      <c r="A37" s="59">
        <v>13</v>
      </c>
      <c r="B37" s="58"/>
      <c r="C37" s="63"/>
      <c r="D37" s="61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7"/>
      <c r="M37" s="74"/>
      <c r="N37" s="74"/>
    </row>
    <row r="38" spans="1:14" ht="14.5" x14ac:dyDescent="0.35">
      <c r="A38" s="59">
        <v>14</v>
      </c>
      <c r="B38" s="58"/>
      <c r="C38" s="63"/>
      <c r="D38" s="61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7"/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7"/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7"/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7"/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7"/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7"/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7"/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7"/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7"/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7"/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7"/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7"/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7"/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7"/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7"/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7"/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7"/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7"/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4"/>
      <c r="O85" s="74"/>
    </row>
    <row r="86" spans="1:15" ht="14.5" x14ac:dyDescent="0.3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4"/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1.0000000000000002</v>
      </c>
    </row>
    <row r="18" spans="1:14" ht="13" thickBot="1" x14ac:dyDescent="0.3">
      <c r="A18" t="s">
        <v>24</v>
      </c>
      <c r="D18" s="71" t="s">
        <v>146</v>
      </c>
      <c r="E18" s="26"/>
      <c r="I18" s="1" t="s">
        <v>26</v>
      </c>
      <c r="J18" s="57">
        <f>SUM(D25:D412)</f>
        <v>2087939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0.13005850355159182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4"/>
      <c r="N24" s="74"/>
    </row>
    <row r="25" spans="1:14" ht="14.5" x14ac:dyDescent="0.35">
      <c r="A25" s="59">
        <v>1</v>
      </c>
      <c r="B25" s="58"/>
      <c r="C25" s="63">
        <v>1</v>
      </c>
      <c r="D25" s="60">
        <v>121271</v>
      </c>
      <c r="E25" s="33">
        <v>0.81473096686537561</v>
      </c>
      <c r="F25" s="28">
        <f>IF(D25&lt;&gt;"",D25/$J$18,"")</f>
        <v>5.8081677673533567E-2</v>
      </c>
      <c r="G25" s="29">
        <f>IF(F25&lt;&gt;"",IF($J$17&gt;0.5,(E25/$J$17),(E25-$J$17)),"")</f>
        <v>0.81473096686537538</v>
      </c>
      <c r="H25" s="29">
        <f>IF(F25&lt;&gt;"",ABS(G25-$J$16),"")</f>
        <v>0.18526903313462462</v>
      </c>
      <c r="I25" s="30">
        <f>IF(F25&lt;&gt;"",H25*F25,"")</f>
        <v>1.0760736265412477E-2</v>
      </c>
      <c r="J25" s="31">
        <f>IF(F25&lt;&gt;"",I25*$J$19,"")</f>
        <v>1.0760736265412477E-2</v>
      </c>
      <c r="L25" s="67"/>
      <c r="M25" s="74"/>
      <c r="N25" s="74"/>
    </row>
    <row r="26" spans="1:14" ht="14.5" x14ac:dyDescent="0.35">
      <c r="A26" s="59">
        <v>2</v>
      </c>
      <c r="B26" s="58"/>
      <c r="C26" s="63">
        <v>2</v>
      </c>
      <c r="D26" s="60">
        <v>220771</v>
      </c>
      <c r="E26" s="33">
        <v>0.83269666867254788</v>
      </c>
      <c r="F26" s="28">
        <f t="shared" ref="F26:F89" si="0">IF(D26&lt;&gt;"",D26/$J$18,"")</f>
        <v>0.10573632658808518</v>
      </c>
      <c r="G26" s="29">
        <f t="shared" ref="G26:G89" si="1">IF(F26&lt;&gt;"",IF($J$17&gt;0.5,(E26/$J$17),(E26-$J$17)),"")</f>
        <v>0.83269666867254766</v>
      </c>
      <c r="H26" s="29">
        <f t="shared" ref="H26:H89" si="2">IF(F26&lt;&gt;"",ABS(G26-$J$16),"")</f>
        <v>0.16730333132745234</v>
      </c>
      <c r="I26" s="30">
        <f t="shared" ref="I26:I89" si="3">IF(F26&lt;&gt;"",H26*F26,"")</f>
        <v>1.7690039680514125E-2</v>
      </c>
      <c r="J26" s="31">
        <f t="shared" ref="J26:J89" si="4">IF(F26&lt;&gt;"",I26*$J$19,"")</f>
        <v>1.7690039680514125E-2</v>
      </c>
      <c r="L26" s="67"/>
      <c r="M26" s="74"/>
      <c r="N26" s="74"/>
    </row>
    <row r="27" spans="1:14" ht="14.5" x14ac:dyDescent="0.35">
      <c r="A27" s="59">
        <v>3</v>
      </c>
      <c r="B27" s="58"/>
      <c r="C27" s="63">
        <v>3</v>
      </c>
      <c r="D27" s="61">
        <v>167701</v>
      </c>
      <c r="E27" s="33">
        <v>0.85066237047972026</v>
      </c>
      <c r="F27" s="28">
        <f t="shared" si="0"/>
        <v>8.0318917363007253E-2</v>
      </c>
      <c r="G27" s="29">
        <f t="shared" si="1"/>
        <v>0.85066237047972004</v>
      </c>
      <c r="H27" s="29">
        <f t="shared" si="2"/>
        <v>0.14933762952027996</v>
      </c>
      <c r="I27" s="30">
        <f t="shared" si="3"/>
        <v>1.1994636724626759E-2</v>
      </c>
      <c r="J27" s="31">
        <f t="shared" si="4"/>
        <v>1.1994636724626759E-2</v>
      </c>
      <c r="L27" s="67"/>
      <c r="M27" s="74"/>
      <c r="N27" s="74"/>
    </row>
    <row r="28" spans="1:14" ht="14.5" x14ac:dyDescent="0.35">
      <c r="A28" s="59">
        <v>4</v>
      </c>
      <c r="B28" s="58"/>
      <c r="C28" s="63">
        <v>4</v>
      </c>
      <c r="D28" s="61">
        <v>177309</v>
      </c>
      <c r="E28" s="33">
        <v>0.86862807228689254</v>
      </c>
      <c r="F28" s="28">
        <f t="shared" si="0"/>
        <v>8.4920584365730994E-2</v>
      </c>
      <c r="G28" s="29">
        <f t="shared" si="1"/>
        <v>0.86862807228689232</v>
      </c>
      <c r="H28" s="29">
        <f t="shared" si="2"/>
        <v>0.13137192771310768</v>
      </c>
      <c r="I28" s="30">
        <f t="shared" si="3"/>
        <v>1.1156180870649676E-2</v>
      </c>
      <c r="J28" s="31">
        <f t="shared" si="4"/>
        <v>1.1156180870649676E-2</v>
      </c>
      <c r="L28" s="67"/>
      <c r="M28" s="74"/>
      <c r="N28" s="74"/>
    </row>
    <row r="29" spans="1:14" ht="14.5" x14ac:dyDescent="0.35">
      <c r="A29" s="59">
        <v>5</v>
      </c>
      <c r="B29" s="58"/>
      <c r="C29" s="63">
        <v>5</v>
      </c>
      <c r="D29" s="61">
        <v>143003</v>
      </c>
      <c r="E29" s="33">
        <v>0.89557662499765101</v>
      </c>
      <c r="F29" s="28">
        <f t="shared" si="0"/>
        <v>6.8490027725905789E-2</v>
      </c>
      <c r="G29" s="29">
        <f t="shared" si="1"/>
        <v>0.89557662499765078</v>
      </c>
      <c r="H29" s="29">
        <f t="shared" si="2"/>
        <v>0.10442337500234922</v>
      </c>
      <c r="I29" s="30">
        <f t="shared" si="3"/>
        <v>7.1519598491435552E-3</v>
      </c>
      <c r="J29" s="31">
        <f t="shared" si="4"/>
        <v>7.1519598491435552E-3</v>
      </c>
      <c r="L29" s="67"/>
      <c r="M29" s="74"/>
      <c r="N29" s="74"/>
    </row>
    <row r="30" spans="1:14" ht="14.5" x14ac:dyDescent="0.35">
      <c r="A30" s="59">
        <v>6</v>
      </c>
      <c r="B30" s="58"/>
      <c r="C30" s="63">
        <v>6</v>
      </c>
      <c r="D30" s="62">
        <v>135650</v>
      </c>
      <c r="E30" s="33">
        <v>0.93150802861199555</v>
      </c>
      <c r="F30" s="28">
        <f t="shared" si="0"/>
        <v>6.496837311818017E-2</v>
      </c>
      <c r="G30" s="29">
        <f t="shared" si="1"/>
        <v>0.93150802861199533</v>
      </c>
      <c r="H30" s="29">
        <f t="shared" si="2"/>
        <v>6.8491971388004669E-2</v>
      </c>
      <c r="I30" s="30">
        <f t="shared" si="3"/>
        <v>4.449811952735608E-3</v>
      </c>
      <c r="J30" s="31">
        <f t="shared" si="4"/>
        <v>4.449811952735608E-3</v>
      </c>
      <c r="L30" s="67"/>
      <c r="M30" s="74"/>
      <c r="N30" s="74"/>
    </row>
    <row r="31" spans="1:14" ht="14.5" x14ac:dyDescent="0.35">
      <c r="A31" s="59">
        <v>7</v>
      </c>
      <c r="B31" s="58"/>
      <c r="C31" s="63">
        <v>7</v>
      </c>
      <c r="D31" s="62">
        <v>126687</v>
      </c>
      <c r="E31" s="33">
        <v>0.97642228312992629</v>
      </c>
      <c r="F31" s="28">
        <f t="shared" si="0"/>
        <v>6.0675623186309563E-2</v>
      </c>
      <c r="G31" s="29">
        <f t="shared" si="1"/>
        <v>0.97642228312992607</v>
      </c>
      <c r="H31" s="29">
        <f t="shared" si="2"/>
        <v>2.3577716870073928E-2</v>
      </c>
      <c r="I31" s="30">
        <f t="shared" si="3"/>
        <v>1.4305926644020998E-3</v>
      </c>
      <c r="J31" s="31">
        <f t="shared" si="4"/>
        <v>1.4305926644020998E-3</v>
      </c>
      <c r="L31" s="67"/>
      <c r="M31" s="74"/>
      <c r="N31" s="74"/>
    </row>
    <row r="32" spans="1:14" ht="14.5" x14ac:dyDescent="0.35">
      <c r="A32" s="59">
        <v>8</v>
      </c>
      <c r="B32" s="58"/>
      <c r="C32" s="63">
        <v>8</v>
      </c>
      <c r="D32" s="61">
        <v>131037</v>
      </c>
      <c r="E32" s="33">
        <v>0.99438798493709857</v>
      </c>
      <c r="F32" s="28">
        <f t="shared" si="0"/>
        <v>6.2759017385086435E-2</v>
      </c>
      <c r="G32" s="29">
        <f t="shared" si="1"/>
        <v>0.99438798493709835</v>
      </c>
      <c r="H32" s="29">
        <f t="shared" si="2"/>
        <v>5.6120150629016541E-3</v>
      </c>
      <c r="I32" s="30">
        <f t="shared" si="3"/>
        <v>3.5220455089801184E-4</v>
      </c>
      <c r="J32" s="31">
        <f t="shared" si="4"/>
        <v>3.5220455089801184E-4</v>
      </c>
      <c r="L32" s="67"/>
      <c r="M32" s="74"/>
      <c r="N32" s="74"/>
    </row>
    <row r="33" spans="1:14" ht="14.5" x14ac:dyDescent="0.35">
      <c r="A33" s="59">
        <v>9</v>
      </c>
      <c r="B33" s="58"/>
      <c r="C33" s="63">
        <v>9</v>
      </c>
      <c r="D33" s="62">
        <v>80286</v>
      </c>
      <c r="E33" s="33">
        <v>0.99887941038889172</v>
      </c>
      <c r="F33" s="28">
        <f t="shared" si="0"/>
        <v>3.8452272791494387E-2</v>
      </c>
      <c r="G33" s="29">
        <f t="shared" si="1"/>
        <v>0.9988794103888915</v>
      </c>
      <c r="H33" s="29">
        <f t="shared" si="2"/>
        <v>1.1205896111085023E-3</v>
      </c>
      <c r="I33" s="30">
        <f t="shared" si="3"/>
        <v>4.3089217413658739E-5</v>
      </c>
      <c r="J33" s="31">
        <f t="shared" si="4"/>
        <v>4.3089217413658739E-5</v>
      </c>
      <c r="L33" s="67"/>
      <c r="M33" s="74"/>
      <c r="N33" s="74"/>
    </row>
    <row r="34" spans="1:14" ht="14.5" x14ac:dyDescent="0.35">
      <c r="A34" s="59">
        <v>10</v>
      </c>
      <c r="B34" s="58"/>
      <c r="C34" s="63">
        <v>10</v>
      </c>
      <c r="D34" s="62">
        <v>125878</v>
      </c>
      <c r="E34" s="33">
        <v>1.0033708358406848</v>
      </c>
      <c r="F34" s="28">
        <f t="shared" si="0"/>
        <v>6.0288159759456575E-2</v>
      </c>
      <c r="G34" s="29">
        <f t="shared" si="1"/>
        <v>1.0033708358406845</v>
      </c>
      <c r="H34" s="29">
        <f t="shared" si="2"/>
        <v>3.3708358406845385E-3</v>
      </c>
      <c r="I34" s="30">
        <f t="shared" si="3"/>
        <v>2.0322148968609157E-4</v>
      </c>
      <c r="J34" s="31">
        <f t="shared" si="4"/>
        <v>2.0322148968609157E-4</v>
      </c>
      <c r="L34" s="67"/>
      <c r="M34" s="74"/>
      <c r="N34" s="74"/>
    </row>
    <row r="35" spans="1:14" ht="14.5" x14ac:dyDescent="0.35">
      <c r="A35" s="59">
        <v>11</v>
      </c>
      <c r="B35" s="58"/>
      <c r="C35" s="63">
        <v>11</v>
      </c>
      <c r="D35" s="62">
        <v>69734</v>
      </c>
      <c r="E35" s="33">
        <v>1.0303193885514432</v>
      </c>
      <c r="F35" s="28">
        <f t="shared" si="0"/>
        <v>3.3398485300576312E-2</v>
      </c>
      <c r="G35" s="29">
        <f t="shared" si="1"/>
        <v>1.030319388551443</v>
      </c>
      <c r="H35" s="29">
        <f t="shared" si="2"/>
        <v>3.0319388551443005E-2</v>
      </c>
      <c r="I35" s="30">
        <f t="shared" si="3"/>
        <v>1.012621652857831E-3</v>
      </c>
      <c r="J35" s="31">
        <f t="shared" si="4"/>
        <v>1.012621652857831E-3</v>
      </c>
      <c r="L35" s="67"/>
      <c r="M35" s="74"/>
      <c r="N35" s="74"/>
    </row>
    <row r="36" spans="1:14" ht="14.5" x14ac:dyDescent="0.35">
      <c r="A36" s="59">
        <v>12</v>
      </c>
      <c r="B36" s="58"/>
      <c r="C36" s="63">
        <v>12</v>
      </c>
      <c r="D36" s="62">
        <v>97129</v>
      </c>
      <c r="E36" s="33">
        <v>1.0572679412622017</v>
      </c>
      <c r="F36" s="28">
        <f t="shared" si="0"/>
        <v>4.6519079340919443E-2</v>
      </c>
      <c r="G36" s="29">
        <f t="shared" si="1"/>
        <v>1.0572679412622015</v>
      </c>
      <c r="H36" s="29">
        <f t="shared" si="2"/>
        <v>5.7267941262201472E-2</v>
      </c>
      <c r="I36" s="30">
        <f t="shared" si="3"/>
        <v>2.6640519032674645E-3</v>
      </c>
      <c r="J36" s="31">
        <f t="shared" si="4"/>
        <v>2.6640519032674645E-3</v>
      </c>
      <c r="L36" s="67"/>
      <c r="M36" s="74"/>
      <c r="N36" s="74"/>
    </row>
    <row r="37" spans="1:14" ht="14.5" x14ac:dyDescent="0.35">
      <c r="A37" s="59">
        <v>13</v>
      </c>
      <c r="B37" s="58"/>
      <c r="C37" s="63">
        <v>13</v>
      </c>
      <c r="D37" s="61">
        <v>94104</v>
      </c>
      <c r="E37" s="33">
        <v>1.1021821957801325</v>
      </c>
      <c r="F37" s="28">
        <f t="shared" si="0"/>
        <v>4.5070282225678049E-2</v>
      </c>
      <c r="G37" s="29">
        <f t="shared" si="1"/>
        <v>1.1021821957801323</v>
      </c>
      <c r="H37" s="29">
        <f t="shared" si="2"/>
        <v>0.10218219578013232</v>
      </c>
      <c r="I37" s="30">
        <f t="shared" si="3"/>
        <v>4.6053804022500528E-3</v>
      </c>
      <c r="J37" s="31">
        <f t="shared" si="4"/>
        <v>4.6053804022500528E-3</v>
      </c>
      <c r="L37" s="67"/>
      <c r="M37" s="74"/>
      <c r="N37" s="74"/>
    </row>
    <row r="38" spans="1:14" ht="14.5" x14ac:dyDescent="0.35">
      <c r="A38" s="59">
        <v>14</v>
      </c>
      <c r="B38" s="58"/>
      <c r="C38" s="63">
        <v>14</v>
      </c>
      <c r="D38" s="61">
        <v>75805</v>
      </c>
      <c r="E38" s="33">
        <v>1.1201478975873047</v>
      </c>
      <c r="F38" s="28">
        <f t="shared" si="0"/>
        <v>3.6306137296156643E-2</v>
      </c>
      <c r="G38" s="29">
        <f t="shared" si="1"/>
        <v>1.1201478975873045</v>
      </c>
      <c r="H38" s="29">
        <f t="shared" si="2"/>
        <v>0.12014789758730449</v>
      </c>
      <c r="I38" s="30">
        <f t="shared" si="3"/>
        <v>4.362106065649244E-3</v>
      </c>
      <c r="J38" s="31">
        <f t="shared" si="4"/>
        <v>4.362106065649244E-3</v>
      </c>
      <c r="L38" s="67"/>
      <c r="M38" s="74"/>
      <c r="N38" s="74"/>
    </row>
    <row r="39" spans="1:14" ht="14.5" x14ac:dyDescent="0.35">
      <c r="A39" s="59">
        <v>15</v>
      </c>
      <c r="B39" s="58"/>
      <c r="C39" s="63">
        <v>15</v>
      </c>
      <c r="D39" s="62">
        <v>72689</v>
      </c>
      <c r="E39" s="33">
        <v>1.1381135993944771</v>
      </c>
      <c r="F39" s="28">
        <f t="shared" si="0"/>
        <v>3.4813756532159228E-2</v>
      </c>
      <c r="G39" s="29">
        <f t="shared" si="1"/>
        <v>1.1381135993944769</v>
      </c>
      <c r="H39" s="29">
        <f t="shared" si="2"/>
        <v>0.13811359939447687</v>
      </c>
      <c r="I39" s="30">
        <f t="shared" si="3"/>
        <v>4.8082532230994922E-3</v>
      </c>
      <c r="J39" s="31">
        <f t="shared" si="4"/>
        <v>4.8082532230994922E-3</v>
      </c>
      <c r="L39" s="67"/>
      <c r="M39" s="74"/>
      <c r="N39" s="74"/>
    </row>
    <row r="40" spans="1:14" ht="14.5" x14ac:dyDescent="0.35">
      <c r="A40" s="59">
        <v>16</v>
      </c>
      <c r="B40" s="58"/>
      <c r="C40" s="63">
        <v>16</v>
      </c>
      <c r="D40" s="61">
        <v>61799</v>
      </c>
      <c r="E40" s="33">
        <v>1.2279421084303386</v>
      </c>
      <c r="F40" s="28">
        <f t="shared" si="0"/>
        <v>2.9598086917290208E-2</v>
      </c>
      <c r="G40" s="29">
        <f t="shared" si="1"/>
        <v>1.2279421084303384</v>
      </c>
      <c r="H40" s="29">
        <f t="shared" si="2"/>
        <v>0.22794210843033835</v>
      </c>
      <c r="I40" s="30">
        <f t="shared" si="3"/>
        <v>6.7466503374315435E-3</v>
      </c>
      <c r="J40" s="31">
        <f t="shared" si="4"/>
        <v>6.7466503374315435E-3</v>
      </c>
      <c r="L40" s="67"/>
      <c r="M40" s="74"/>
      <c r="N40" s="74"/>
    </row>
    <row r="41" spans="1:14" ht="14.5" x14ac:dyDescent="0.35">
      <c r="A41" s="59">
        <v>17</v>
      </c>
      <c r="B41" s="58"/>
      <c r="C41" s="63">
        <v>17</v>
      </c>
      <c r="D41" s="62">
        <v>56961</v>
      </c>
      <c r="E41" s="33">
        <v>1.3177706174662001</v>
      </c>
      <c r="F41" s="28">
        <f t="shared" si="0"/>
        <v>2.7280969415294221E-2</v>
      </c>
      <c r="G41" s="29">
        <f t="shared" si="1"/>
        <v>1.3177706174661998</v>
      </c>
      <c r="H41" s="29">
        <f t="shared" si="2"/>
        <v>0.31777061746619983</v>
      </c>
      <c r="I41" s="30">
        <f t="shared" si="3"/>
        <v>8.6690904961745571E-3</v>
      </c>
      <c r="J41" s="31">
        <f t="shared" si="4"/>
        <v>8.6690904961745571E-3</v>
      </c>
      <c r="L41" s="67"/>
      <c r="M41" s="74"/>
      <c r="N41" s="74"/>
    </row>
    <row r="42" spans="1:14" ht="14.5" x14ac:dyDescent="0.35">
      <c r="A42" s="59">
        <v>18</v>
      </c>
      <c r="B42" s="58"/>
      <c r="C42" s="63">
        <v>18</v>
      </c>
      <c r="D42" s="62">
        <v>75509</v>
      </c>
      <c r="E42" s="33">
        <v>1.4525133810199924</v>
      </c>
      <c r="F42" s="28">
        <f t="shared" si="0"/>
        <v>3.6164370702400792E-2</v>
      </c>
      <c r="G42" s="29">
        <f t="shared" si="1"/>
        <v>1.4525133810199922</v>
      </c>
      <c r="H42" s="29">
        <f t="shared" si="2"/>
        <v>0.45251338101999217</v>
      </c>
      <c r="I42" s="30">
        <f t="shared" si="3"/>
        <v>1.6364861659003731E-2</v>
      </c>
      <c r="J42" s="31">
        <f t="shared" si="4"/>
        <v>1.6364861659003731E-2</v>
      </c>
      <c r="L42" s="67"/>
      <c r="M42" s="74"/>
      <c r="N42" s="74"/>
    </row>
    <row r="43" spans="1:14" ht="14.5" x14ac:dyDescent="0.35">
      <c r="A43" s="59">
        <v>19</v>
      </c>
      <c r="B43" s="58"/>
      <c r="C43" s="63">
        <v>19</v>
      </c>
      <c r="D43" s="62">
        <v>32821</v>
      </c>
      <c r="E43" s="33">
        <v>1.5423418900558543</v>
      </c>
      <c r="F43" s="28">
        <f t="shared" si="0"/>
        <v>1.5719328965070341E-2</v>
      </c>
      <c r="G43" s="29">
        <f t="shared" si="1"/>
        <v>1.5423418900558539</v>
      </c>
      <c r="H43" s="29">
        <f t="shared" si="2"/>
        <v>0.54234189005585387</v>
      </c>
      <c r="I43" s="30">
        <f t="shared" si="3"/>
        <v>8.5252505813259785E-3</v>
      </c>
      <c r="J43" s="31">
        <f t="shared" si="4"/>
        <v>8.5252505813259785E-3</v>
      </c>
      <c r="L43" s="67"/>
      <c r="M43" s="74"/>
      <c r="N43" s="74"/>
    </row>
    <row r="44" spans="1:14" ht="14.5" x14ac:dyDescent="0.35">
      <c r="A44" s="59">
        <v>20</v>
      </c>
      <c r="B44" s="58"/>
      <c r="C44" s="63">
        <v>20</v>
      </c>
      <c r="D44" s="62">
        <v>21795</v>
      </c>
      <c r="E44" s="33">
        <v>1.6770846536096466</v>
      </c>
      <c r="F44" s="28">
        <f t="shared" si="0"/>
        <v>1.043852334766485E-2</v>
      </c>
      <c r="G44" s="29">
        <f t="shared" si="1"/>
        <v>1.6770846536096462</v>
      </c>
      <c r="H44" s="29">
        <f t="shared" si="2"/>
        <v>0.6770846536096462</v>
      </c>
      <c r="I44" s="30">
        <f t="shared" si="3"/>
        <v>7.0677639650498598E-3</v>
      </c>
      <c r="J44" s="31">
        <f t="shared" si="4"/>
        <v>7.0677639650498598E-3</v>
      </c>
      <c r="L44" s="67"/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7"/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7"/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7"/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7"/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7"/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7"/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7"/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7"/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7"/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7"/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7"/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4"/>
      <c r="O85" s="74"/>
    </row>
    <row r="86" spans="1:15" ht="14.5" x14ac:dyDescent="0.3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4"/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O412"/>
  <sheetViews>
    <sheetView showGridLines="0" view="pageBreakPreview" zoomScale="60" zoomScaleNormal="100" workbookViewId="0">
      <selection activeCell="N27" sqref="N27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83" t="s">
        <v>164</v>
      </c>
    </row>
    <row r="2" spans="1:10" ht="13" x14ac:dyDescent="0.3">
      <c r="A2" s="83" t="s">
        <v>165</v>
      </c>
    </row>
    <row r="3" spans="1:10" ht="13" x14ac:dyDescent="0.3">
      <c r="A3" s="83"/>
    </row>
    <row r="4" spans="1:10" ht="13" x14ac:dyDescent="0.3">
      <c r="A4" s="83" t="s">
        <v>166</v>
      </c>
    </row>
    <row r="5" spans="1:10" ht="13" x14ac:dyDescent="0.3">
      <c r="A5" s="83" t="s">
        <v>168</v>
      </c>
    </row>
    <row r="6" spans="1:10" s="84" customFormat="1" x14ac:dyDescent="0.25"/>
    <row r="8" spans="1:10" ht="18" x14ac:dyDescent="0.4">
      <c r="A8" s="94" t="s">
        <v>0</v>
      </c>
      <c r="B8" s="94"/>
      <c r="C8" s="94"/>
      <c r="D8" s="94"/>
      <c r="E8" s="94"/>
      <c r="F8" s="94"/>
      <c r="G8" s="94"/>
      <c r="H8" s="94"/>
      <c r="I8" s="94"/>
      <c r="J8" s="94"/>
    </row>
    <row r="10" spans="1:10" ht="13" x14ac:dyDescent="0.25">
      <c r="A10" s="93" t="s">
        <v>23</v>
      </c>
      <c r="B10" s="93"/>
      <c r="C10" s="93"/>
      <c r="D10" s="93"/>
      <c r="E10" s="93"/>
      <c r="F10" s="93"/>
      <c r="G10" s="93"/>
      <c r="H10" s="93"/>
      <c r="I10" s="93"/>
      <c r="J10" s="93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158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159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1" t="s">
        <v>91</v>
      </c>
      <c r="E17" s="26"/>
      <c r="I17" s="1" t="s">
        <v>31</v>
      </c>
      <c r="J17" s="56">
        <f>SUMPRODUCT(E25:E412,F25:F412)</f>
        <v>1.0000000000000002</v>
      </c>
    </row>
    <row r="18" spans="1:14" ht="13" thickBot="1" x14ac:dyDescent="0.3">
      <c r="A18" t="s">
        <v>24</v>
      </c>
      <c r="D18" s="71" t="s">
        <v>147</v>
      </c>
      <c r="E18" s="26"/>
      <c r="I18" s="1" t="s">
        <v>26</v>
      </c>
      <c r="J18" s="57">
        <f>SUM(D25:D412)</f>
        <v>2087939</v>
      </c>
      <c r="L18" s="57"/>
    </row>
    <row r="19" spans="1:14" ht="13.5" thickBot="1" x14ac:dyDescent="0.35">
      <c r="A19" s="55" t="s">
        <v>16</v>
      </c>
      <c r="B19" s="54"/>
      <c r="C19" s="54"/>
      <c r="D19" s="75">
        <f>SUM(J25:J407)</f>
        <v>9.5931951399433862E-2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4"/>
      <c r="N24" s="74"/>
    </row>
    <row r="25" spans="1:14" ht="14.5" x14ac:dyDescent="0.35">
      <c r="A25" s="59">
        <v>1</v>
      </c>
      <c r="B25" s="58"/>
      <c r="C25" s="63">
        <v>1</v>
      </c>
      <c r="D25" s="60">
        <v>39834</v>
      </c>
      <c r="E25" s="33">
        <v>0.79183606865316658</v>
      </c>
      <c r="F25" s="28">
        <f>IF(D25&lt;&gt;"",D25/$J$18,"")</f>
        <v>1.9078143566454767E-2</v>
      </c>
      <c r="G25" s="29">
        <f>IF(F25&lt;&gt;"",IF($J$17&gt;0.5,(E25/$J$17),(E25-$J$17)),"")</f>
        <v>0.79183606865316636</v>
      </c>
      <c r="H25" s="29">
        <f>IF(F25&lt;&gt;"",ABS(G25-$J$16),"")</f>
        <v>0.20816393134683364</v>
      </c>
      <c r="I25" s="30">
        <f>IF(F25&lt;&gt;"",H25*F25,"")</f>
        <v>3.9713813675925263E-3</v>
      </c>
      <c r="J25" s="31">
        <f>IF(F25&lt;&gt;"",I25*$J$19,"")</f>
        <v>3.9713813675925263E-3</v>
      </c>
      <c r="L25" s="67"/>
      <c r="M25" s="74"/>
      <c r="N25" s="74"/>
    </row>
    <row r="26" spans="1:14" ht="14.5" x14ac:dyDescent="0.35">
      <c r="A26" s="59">
        <v>2</v>
      </c>
      <c r="B26" s="58"/>
      <c r="C26" s="63">
        <v>2</v>
      </c>
      <c r="D26" s="60">
        <v>75541</v>
      </c>
      <c r="E26" s="33">
        <v>0.82581709524597469</v>
      </c>
      <c r="F26" s="28">
        <f t="shared" ref="F26:F89" si="0">IF(D26&lt;&gt;"",D26/$J$18,"")</f>
        <v>3.6179696820644668E-2</v>
      </c>
      <c r="G26" s="29">
        <f t="shared" ref="G26:G89" si="1">IF(F26&lt;&gt;"",IF($J$17&gt;0.5,(E26/$J$17),(E26-$J$17)),"")</f>
        <v>0.82581709524597446</v>
      </c>
      <c r="H26" s="29">
        <f t="shared" ref="H26:H89" si="2">IF(F26&lt;&gt;"",ABS(G26-$J$16),"")</f>
        <v>0.17418290475402554</v>
      </c>
      <c r="I26" s="30">
        <f t="shared" ref="I26:I89" si="3">IF(F26&lt;&gt;"",H26*F26,"")</f>
        <v>6.3018846853398706E-3</v>
      </c>
      <c r="J26" s="31">
        <f t="shared" ref="J26:J89" si="4">IF(F26&lt;&gt;"",I26*$J$19,"")</f>
        <v>6.3018846853398706E-3</v>
      </c>
      <c r="L26" s="67"/>
      <c r="M26" s="74"/>
      <c r="N26" s="74"/>
    </row>
    <row r="27" spans="1:14" ht="14.5" x14ac:dyDescent="0.35">
      <c r="A27" s="59">
        <v>3</v>
      </c>
      <c r="B27" s="58"/>
      <c r="C27" s="63">
        <v>3</v>
      </c>
      <c r="D27" s="61">
        <v>174963</v>
      </c>
      <c r="E27" s="33">
        <v>0.86709862522801839</v>
      </c>
      <c r="F27" s="28">
        <f t="shared" si="0"/>
        <v>8.3796988321976837E-2</v>
      </c>
      <c r="G27" s="29">
        <f t="shared" si="1"/>
        <v>0.86709862522801817</v>
      </c>
      <c r="H27" s="29">
        <f t="shared" si="2"/>
        <v>0.13290137477198183</v>
      </c>
      <c r="I27" s="30">
        <f t="shared" si="3"/>
        <v>1.1136734949742428E-2</v>
      </c>
      <c r="J27" s="31">
        <f t="shared" si="4"/>
        <v>1.1136734949742428E-2</v>
      </c>
      <c r="L27" s="67"/>
      <c r="M27" s="74"/>
      <c r="N27" s="74"/>
    </row>
    <row r="28" spans="1:14" ht="14.5" x14ac:dyDescent="0.35">
      <c r="A28" s="59">
        <v>4</v>
      </c>
      <c r="B28" s="58"/>
      <c r="C28" s="63">
        <v>4</v>
      </c>
      <c r="D28" s="61">
        <v>257555</v>
      </c>
      <c r="E28" s="33">
        <v>0.89886488172836676</v>
      </c>
      <c r="F28" s="28">
        <f t="shared" si="0"/>
        <v>0.12335369950942053</v>
      </c>
      <c r="G28" s="29">
        <f t="shared" si="1"/>
        <v>0.89886488172836654</v>
      </c>
      <c r="H28" s="29">
        <f t="shared" si="2"/>
        <v>0.10113511827163346</v>
      </c>
      <c r="I28" s="30">
        <f t="shared" si="3"/>
        <v>1.247539098912878E-2</v>
      </c>
      <c r="J28" s="31">
        <f t="shared" si="4"/>
        <v>1.247539098912878E-2</v>
      </c>
      <c r="L28" s="67"/>
      <c r="M28" s="74"/>
      <c r="N28" s="74"/>
    </row>
    <row r="29" spans="1:14" ht="14.5" x14ac:dyDescent="0.35">
      <c r="A29" s="59">
        <v>5</v>
      </c>
      <c r="B29" s="58"/>
      <c r="C29" s="63">
        <v>5</v>
      </c>
      <c r="D29" s="61">
        <v>308693</v>
      </c>
      <c r="E29" s="33">
        <v>0.93606645553201062</v>
      </c>
      <c r="F29" s="28">
        <f t="shared" si="0"/>
        <v>0.14784579434552447</v>
      </c>
      <c r="G29" s="29">
        <f t="shared" si="1"/>
        <v>0.9360664555320104</v>
      </c>
      <c r="H29" s="29">
        <f t="shared" si="2"/>
        <v>6.39335444679896E-2</v>
      </c>
      <c r="I29" s="30">
        <f t="shared" si="3"/>
        <v>9.4523056671948335E-3</v>
      </c>
      <c r="J29" s="31">
        <f t="shared" si="4"/>
        <v>9.4523056671948335E-3</v>
      </c>
      <c r="L29" s="67"/>
      <c r="M29" s="74"/>
      <c r="N29" s="74"/>
    </row>
    <row r="30" spans="1:14" ht="14.5" x14ac:dyDescent="0.35">
      <c r="A30" s="59">
        <v>6</v>
      </c>
      <c r="B30" s="58"/>
      <c r="C30" s="63">
        <v>6</v>
      </c>
      <c r="D30" s="62">
        <v>274802</v>
      </c>
      <c r="E30" s="33">
        <v>0.96483445453795913</v>
      </c>
      <c r="F30" s="28">
        <f t="shared" si="0"/>
        <v>0.13161399830167453</v>
      </c>
      <c r="G30" s="29">
        <f t="shared" si="1"/>
        <v>0.96483445453795891</v>
      </c>
      <c r="H30" s="29">
        <f t="shared" si="2"/>
        <v>3.5165545462041092E-2</v>
      </c>
      <c r="I30" s="30">
        <f t="shared" si="3"/>
        <v>4.6282780407185349E-3</v>
      </c>
      <c r="J30" s="31">
        <f t="shared" si="4"/>
        <v>4.6282780407185349E-3</v>
      </c>
      <c r="L30" s="67"/>
      <c r="M30" s="74"/>
      <c r="N30" s="74"/>
    </row>
    <row r="31" spans="1:14" ht="14.5" x14ac:dyDescent="0.35">
      <c r="A31" s="59">
        <v>7</v>
      </c>
      <c r="B31" s="58"/>
      <c r="C31" s="63">
        <v>7</v>
      </c>
      <c r="D31" s="62">
        <v>281812</v>
      </c>
      <c r="E31" s="33">
        <v>1.0198147857966049</v>
      </c>
      <c r="F31" s="28">
        <f t="shared" si="0"/>
        <v>0.1349713760794736</v>
      </c>
      <c r="G31" s="29">
        <f t="shared" si="1"/>
        <v>1.0198147857966047</v>
      </c>
      <c r="H31" s="29">
        <f t="shared" si="2"/>
        <v>1.9814785796604673E-2</v>
      </c>
      <c r="I31" s="30">
        <f t="shared" si="3"/>
        <v>2.6744289056877409E-3</v>
      </c>
      <c r="J31" s="31">
        <f t="shared" si="4"/>
        <v>2.6744289056877409E-3</v>
      </c>
      <c r="L31" s="67"/>
      <c r="M31" s="74"/>
      <c r="N31" s="74"/>
    </row>
    <row r="32" spans="1:14" ht="14.5" x14ac:dyDescent="0.35">
      <c r="A32" s="59">
        <v>8</v>
      </c>
      <c r="B32" s="58"/>
      <c r="C32" s="63">
        <v>8</v>
      </c>
      <c r="D32" s="61">
        <v>227469</v>
      </c>
      <c r="E32" s="33">
        <v>1.0886423325951953</v>
      </c>
      <c r="F32" s="28">
        <f t="shared" si="0"/>
        <v>0.10894427471300647</v>
      </c>
      <c r="G32" s="29">
        <f t="shared" si="1"/>
        <v>1.0886423325951951</v>
      </c>
      <c r="H32" s="29">
        <f t="shared" si="2"/>
        <v>8.864233259519505E-2</v>
      </c>
      <c r="I32" s="30">
        <f t="shared" si="3"/>
        <v>9.6570746334526166E-3</v>
      </c>
      <c r="J32" s="31">
        <f t="shared" si="4"/>
        <v>9.6570746334526166E-3</v>
      </c>
      <c r="L32" s="67"/>
      <c r="M32" s="74"/>
      <c r="N32" s="74"/>
    </row>
    <row r="33" spans="1:14" ht="14.5" x14ac:dyDescent="0.35">
      <c r="A33" s="59">
        <v>9</v>
      </c>
      <c r="B33" s="58"/>
      <c r="C33" s="63">
        <v>9</v>
      </c>
      <c r="D33" s="62">
        <v>169575</v>
      </c>
      <c r="E33" s="33">
        <v>1.128574795947838</v>
      </c>
      <c r="F33" s="28">
        <f t="shared" si="0"/>
        <v>8.1216453162664237E-2</v>
      </c>
      <c r="G33" s="29">
        <f t="shared" si="1"/>
        <v>1.1285747959478378</v>
      </c>
      <c r="H33" s="29">
        <f t="shared" si="2"/>
        <v>0.12857479594783783</v>
      </c>
      <c r="I33" s="30">
        <f t="shared" si="3"/>
        <v>1.0442388892996682E-2</v>
      </c>
      <c r="J33" s="31">
        <f t="shared" si="4"/>
        <v>1.0442388892996682E-2</v>
      </c>
      <c r="L33" s="67"/>
      <c r="M33" s="74"/>
      <c r="N33" s="74"/>
    </row>
    <row r="34" spans="1:14" ht="14.5" x14ac:dyDescent="0.35">
      <c r="A34" s="59">
        <v>10</v>
      </c>
      <c r="B34" s="58"/>
      <c r="C34" s="63">
        <v>10</v>
      </c>
      <c r="D34" s="62">
        <v>102266</v>
      </c>
      <c r="E34" s="33">
        <v>1.1482050704141882</v>
      </c>
      <c r="F34" s="28">
        <f t="shared" si="0"/>
        <v>4.8979400260256649E-2</v>
      </c>
      <c r="G34" s="29">
        <f t="shared" si="1"/>
        <v>1.148205070414188</v>
      </c>
      <c r="H34" s="29">
        <f t="shared" si="2"/>
        <v>0.14820507041418796</v>
      </c>
      <c r="I34" s="30">
        <f t="shared" si="3"/>
        <v>7.2589954644160324E-3</v>
      </c>
      <c r="J34" s="31">
        <f t="shared" si="4"/>
        <v>7.2589954644160324E-3</v>
      </c>
      <c r="L34" s="67"/>
      <c r="M34" s="74"/>
      <c r="N34" s="74"/>
    </row>
    <row r="35" spans="1:14" ht="14.5" x14ac:dyDescent="0.35">
      <c r="A35" s="59">
        <v>11</v>
      </c>
      <c r="B35" s="58"/>
      <c r="C35" s="63">
        <v>11</v>
      </c>
      <c r="D35" s="62">
        <v>91097</v>
      </c>
      <c r="E35" s="33">
        <v>1.1860269753458352</v>
      </c>
      <c r="F35" s="28">
        <f t="shared" si="0"/>
        <v>4.3630106051948836E-2</v>
      </c>
      <c r="G35" s="29">
        <f t="shared" si="1"/>
        <v>1.186026975345835</v>
      </c>
      <c r="H35" s="29">
        <f t="shared" si="2"/>
        <v>0.18602697534583501</v>
      </c>
      <c r="I35" s="30">
        <f t="shared" si="3"/>
        <v>8.1163766628620532E-3</v>
      </c>
      <c r="J35" s="31">
        <f t="shared" si="4"/>
        <v>8.1163766628620532E-3</v>
      </c>
      <c r="L35" s="67"/>
      <c r="M35" s="74"/>
      <c r="N35" s="74"/>
    </row>
    <row r="36" spans="1:14" ht="14.5" x14ac:dyDescent="0.35">
      <c r="A36" s="59">
        <v>12</v>
      </c>
      <c r="B36" s="58"/>
      <c r="C36" s="63">
        <v>12</v>
      </c>
      <c r="D36" s="62">
        <v>35469</v>
      </c>
      <c r="E36" s="33">
        <v>1.2184612841206748</v>
      </c>
      <c r="F36" s="28">
        <f t="shared" si="0"/>
        <v>1.698756524975107E-2</v>
      </c>
      <c r="G36" s="29">
        <f t="shared" si="1"/>
        <v>1.2184612841206746</v>
      </c>
      <c r="H36" s="29">
        <f t="shared" si="2"/>
        <v>0.21846128412067456</v>
      </c>
      <c r="I36" s="30">
        <f t="shared" si="3"/>
        <v>3.7111253185443662E-3</v>
      </c>
      <c r="J36" s="31">
        <f t="shared" si="4"/>
        <v>3.7111253185443662E-3</v>
      </c>
      <c r="L36" s="67"/>
      <c r="M36" s="74"/>
      <c r="N36" s="74"/>
    </row>
    <row r="37" spans="1:14" ht="14.5" x14ac:dyDescent="0.35">
      <c r="A37" s="59">
        <v>13</v>
      </c>
      <c r="B37" s="58"/>
      <c r="C37" s="63">
        <v>13</v>
      </c>
      <c r="D37" s="61">
        <v>25488</v>
      </c>
      <c r="E37" s="33">
        <v>1.2429772161643076</v>
      </c>
      <c r="F37" s="28">
        <f t="shared" si="0"/>
        <v>1.2207253181247154E-2</v>
      </c>
      <c r="G37" s="29">
        <f t="shared" si="1"/>
        <v>1.2429772161643073</v>
      </c>
      <c r="H37" s="29">
        <f t="shared" si="2"/>
        <v>0.24297721616430734</v>
      </c>
      <c r="I37" s="30">
        <f t="shared" si="3"/>
        <v>2.9660843949923183E-3</v>
      </c>
      <c r="J37" s="31">
        <f t="shared" si="4"/>
        <v>2.9660843949923183E-3</v>
      </c>
      <c r="L37" s="67"/>
      <c r="M37" s="74"/>
      <c r="N37" s="74"/>
    </row>
    <row r="38" spans="1:14" ht="14.5" x14ac:dyDescent="0.35">
      <c r="A38" s="59">
        <v>14</v>
      </c>
      <c r="B38" s="58"/>
      <c r="C38" s="63">
        <v>14</v>
      </c>
      <c r="D38" s="61">
        <v>23375</v>
      </c>
      <c r="E38" s="33">
        <v>1.2804315494972593</v>
      </c>
      <c r="F38" s="28">
        <f t="shared" si="0"/>
        <v>1.1195250435956223E-2</v>
      </c>
      <c r="G38" s="29">
        <f t="shared" si="1"/>
        <v>1.2804315494972591</v>
      </c>
      <c r="H38" s="29">
        <f t="shared" si="2"/>
        <v>0.28043154949725912</v>
      </c>
      <c r="I38" s="30">
        <f t="shared" si="3"/>
        <v>3.1395014267650693E-3</v>
      </c>
      <c r="J38" s="31">
        <f t="shared" si="4"/>
        <v>3.1395014267650693E-3</v>
      </c>
      <c r="L38" s="67"/>
      <c r="M38" s="74"/>
      <c r="N38" s="74"/>
    </row>
    <row r="39" spans="1:14" ht="14.5" x14ac:dyDescent="0.35">
      <c r="A39" s="59">
        <v>15</v>
      </c>
      <c r="B39" s="58"/>
      <c r="C39" s="63"/>
      <c r="D39" s="62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7"/>
      <c r="M39" s="74"/>
      <c r="N39" s="74"/>
    </row>
    <row r="40" spans="1:14" ht="14.5" x14ac:dyDescent="0.35">
      <c r="A40" s="59">
        <v>16</v>
      </c>
      <c r="B40" s="58"/>
      <c r="C40" s="63"/>
      <c r="D40" s="61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7"/>
      <c r="M40" s="74"/>
      <c r="N40" s="74"/>
    </row>
    <row r="41" spans="1:14" ht="14.5" x14ac:dyDescent="0.35">
      <c r="A41" s="59">
        <v>17</v>
      </c>
      <c r="B41" s="58"/>
      <c r="C41" s="63"/>
      <c r="D41" s="62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7"/>
      <c r="M41" s="74"/>
      <c r="N41" s="74"/>
    </row>
    <row r="42" spans="1:14" ht="14.5" x14ac:dyDescent="0.35">
      <c r="A42" s="59">
        <v>18</v>
      </c>
      <c r="B42" s="58"/>
      <c r="C42" s="63"/>
      <c r="D42" s="62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7"/>
      <c r="M42" s="74"/>
      <c r="N42" s="74"/>
    </row>
    <row r="43" spans="1:14" ht="14.5" x14ac:dyDescent="0.35">
      <c r="A43" s="59">
        <v>19</v>
      </c>
      <c r="B43" s="58"/>
      <c r="C43" s="63"/>
      <c r="D43" s="62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7"/>
      <c r="M43" s="74"/>
      <c r="N43" s="74"/>
    </row>
    <row r="44" spans="1:14" ht="14.5" x14ac:dyDescent="0.35">
      <c r="A44" s="59">
        <v>20</v>
      </c>
      <c r="B44" s="58"/>
      <c r="C44" s="63"/>
      <c r="D44" s="62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7"/>
      <c r="M44" s="74"/>
      <c r="N44" s="74"/>
    </row>
    <row r="45" spans="1:14" ht="14.5" x14ac:dyDescent="0.35">
      <c r="A45" s="59">
        <v>21</v>
      </c>
      <c r="B45" s="58"/>
      <c r="C45" s="63"/>
      <c r="D45" s="62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7"/>
      <c r="M45" s="74"/>
      <c r="N45" s="74"/>
    </row>
    <row r="46" spans="1:14" ht="14.5" x14ac:dyDescent="0.35">
      <c r="A46" s="59">
        <v>22</v>
      </c>
      <c r="B46" s="58"/>
      <c r="C46" s="63"/>
      <c r="D46" s="62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7"/>
      <c r="M46" s="74"/>
      <c r="N46" s="74"/>
    </row>
    <row r="47" spans="1:14" ht="14.5" x14ac:dyDescent="0.35">
      <c r="A47" s="59">
        <v>23</v>
      </c>
      <c r="B47" s="58"/>
      <c r="C47" s="63"/>
      <c r="D47" s="62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7"/>
      <c r="M47" s="74"/>
      <c r="N47" s="74"/>
    </row>
    <row r="48" spans="1:14" ht="14.5" x14ac:dyDescent="0.35">
      <c r="A48" s="59">
        <v>24</v>
      </c>
      <c r="B48" s="58"/>
      <c r="C48" s="63"/>
      <c r="D48" s="62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7"/>
      <c r="M48" s="74"/>
      <c r="N48" s="74"/>
    </row>
    <row r="49" spans="1:15" ht="14.5" x14ac:dyDescent="0.35">
      <c r="A49" s="59">
        <v>25</v>
      </c>
      <c r="B49" s="58"/>
      <c r="C49" s="63"/>
      <c r="D49" s="62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7"/>
      <c r="M49" s="74"/>
      <c r="N49" s="74"/>
    </row>
    <row r="50" spans="1:15" ht="14.5" x14ac:dyDescent="0.35">
      <c r="A50" s="59">
        <v>26</v>
      </c>
      <c r="B50" s="58"/>
      <c r="C50" s="63"/>
      <c r="D50" s="62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7"/>
      <c r="M50" s="74"/>
      <c r="N50" s="74"/>
    </row>
    <row r="51" spans="1:15" ht="14.5" x14ac:dyDescent="0.35">
      <c r="A51" s="59">
        <v>27</v>
      </c>
      <c r="B51" s="58"/>
      <c r="C51" s="63"/>
      <c r="D51" s="62"/>
      <c r="E51" s="66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7"/>
      <c r="M51" s="74"/>
      <c r="N51" s="74"/>
    </row>
    <row r="52" spans="1:15" ht="14.5" x14ac:dyDescent="0.35">
      <c r="A52" s="59">
        <v>28</v>
      </c>
      <c r="B52" s="58"/>
      <c r="C52" s="63"/>
      <c r="D52" s="62"/>
      <c r="E52" s="66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7"/>
      <c r="M52" s="74"/>
      <c r="N52" s="74"/>
    </row>
    <row r="53" spans="1:15" ht="14.5" x14ac:dyDescent="0.35">
      <c r="A53" s="59">
        <v>29</v>
      </c>
      <c r="B53" s="58"/>
      <c r="C53" s="63"/>
      <c r="D53" s="62"/>
      <c r="E53" s="66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7"/>
      <c r="M53" s="74"/>
      <c r="N53" s="74"/>
    </row>
    <row r="54" spans="1:15" ht="14.5" x14ac:dyDescent="0.35">
      <c r="A54" s="59">
        <v>30</v>
      </c>
      <c r="B54" s="58"/>
      <c r="C54" s="63"/>
      <c r="D54" s="62"/>
      <c r="E54" s="66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7"/>
      <c r="M54" s="74"/>
      <c r="N54" s="74"/>
    </row>
    <row r="55" spans="1:15" ht="14.5" x14ac:dyDescent="0.35">
      <c r="A55" s="59">
        <v>31</v>
      </c>
      <c r="B55" s="58"/>
      <c r="C55" s="63"/>
      <c r="D55" s="62"/>
      <c r="E55" s="66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7"/>
      <c r="M55" s="74"/>
      <c r="N55" s="74"/>
      <c r="O55" s="74"/>
    </row>
    <row r="56" spans="1:15" ht="14.5" x14ac:dyDescent="0.35">
      <c r="A56" s="59">
        <v>32</v>
      </c>
      <c r="B56" s="58"/>
      <c r="C56" s="65"/>
      <c r="D56" s="68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4"/>
      <c r="O56" s="74"/>
    </row>
    <row r="57" spans="1:15" ht="14.5" x14ac:dyDescent="0.35">
      <c r="A57" s="59">
        <v>33</v>
      </c>
      <c r="B57" s="58"/>
      <c r="C57" s="63"/>
      <c r="D57" s="68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4"/>
      <c r="O57" s="74"/>
    </row>
    <row r="58" spans="1:15" ht="14.5" x14ac:dyDescent="0.35">
      <c r="A58" s="59">
        <v>34</v>
      </c>
      <c r="B58" s="58"/>
      <c r="C58" s="63"/>
      <c r="D58" s="68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4"/>
      <c r="O58" s="74"/>
    </row>
    <row r="59" spans="1:15" ht="14.5" x14ac:dyDescent="0.35">
      <c r="A59" s="59">
        <v>35</v>
      </c>
      <c r="B59" s="58"/>
      <c r="C59" s="63"/>
      <c r="D59" s="68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4"/>
      <c r="O59" s="74"/>
    </row>
    <row r="60" spans="1:15" ht="14.5" x14ac:dyDescent="0.35">
      <c r="A60" s="59">
        <v>36</v>
      </c>
      <c r="B60" s="58"/>
      <c r="C60" s="63"/>
      <c r="D60" s="68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4"/>
      <c r="O60" s="74"/>
    </row>
    <row r="61" spans="1:15" ht="14.5" x14ac:dyDescent="0.35">
      <c r="A61" s="59">
        <v>37</v>
      </c>
      <c r="B61" s="58"/>
      <c r="C61" s="63"/>
      <c r="D61" s="68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4"/>
      <c r="O61" s="74"/>
    </row>
    <row r="62" spans="1:15" ht="14.5" x14ac:dyDescent="0.35">
      <c r="A62" s="59">
        <v>38</v>
      </c>
      <c r="B62" s="58"/>
      <c r="C62" s="63"/>
      <c r="D62" s="68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4"/>
      <c r="O62" s="74"/>
    </row>
    <row r="63" spans="1:15" ht="14.5" x14ac:dyDescent="0.35">
      <c r="A63" s="59">
        <v>39</v>
      </c>
      <c r="B63" s="58"/>
      <c r="C63" s="63"/>
      <c r="D63" s="68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4"/>
      <c r="O63" s="74"/>
    </row>
    <row r="64" spans="1:15" ht="14.5" x14ac:dyDescent="0.35">
      <c r="A64" s="59">
        <v>40</v>
      </c>
      <c r="B64" s="58"/>
      <c r="C64" s="63"/>
      <c r="D64" s="68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4"/>
      <c r="O64" s="74"/>
    </row>
    <row r="65" spans="1:15" ht="14.5" x14ac:dyDescent="0.35">
      <c r="A65" s="59">
        <v>41</v>
      </c>
      <c r="B65" s="58"/>
      <c r="C65" s="63"/>
      <c r="D65" s="68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4"/>
      <c r="O65" s="74"/>
    </row>
    <row r="66" spans="1:15" ht="14.5" x14ac:dyDescent="0.35">
      <c r="A66" s="59">
        <v>42</v>
      </c>
      <c r="B66" s="58"/>
      <c r="C66" s="63"/>
      <c r="D66" s="68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4"/>
      <c r="O66" s="74"/>
    </row>
    <row r="67" spans="1:15" ht="14.5" x14ac:dyDescent="0.35">
      <c r="A67" s="59">
        <v>43</v>
      </c>
      <c r="B67" s="58"/>
      <c r="C67" s="63"/>
      <c r="D67" s="68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4"/>
      <c r="O67" s="74"/>
    </row>
    <row r="68" spans="1:15" ht="14.5" x14ac:dyDescent="0.35">
      <c r="A68" s="59">
        <v>44</v>
      </c>
      <c r="B68" s="58"/>
      <c r="C68" s="63"/>
      <c r="D68" s="68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4"/>
      <c r="O68" s="74"/>
    </row>
    <row r="69" spans="1:15" ht="14.5" x14ac:dyDescent="0.35">
      <c r="A69" s="59">
        <v>45</v>
      </c>
      <c r="B69" s="58"/>
      <c r="C69" s="63"/>
      <c r="D69" s="68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4"/>
      <c r="O69" s="74"/>
    </row>
    <row r="70" spans="1:15" ht="14.5" x14ac:dyDescent="0.35">
      <c r="A70" s="59">
        <v>46</v>
      </c>
      <c r="B70" s="58"/>
      <c r="C70" s="63"/>
      <c r="D70" s="68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4"/>
      <c r="O70" s="74"/>
    </row>
    <row r="71" spans="1:15" ht="14.5" x14ac:dyDescent="0.35">
      <c r="A71" s="59">
        <v>47</v>
      </c>
      <c r="B71" s="58"/>
      <c r="C71" s="63"/>
      <c r="D71" s="68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4"/>
      <c r="O71" s="74"/>
    </row>
    <row r="72" spans="1:15" ht="14.5" x14ac:dyDescent="0.35">
      <c r="A72" s="59">
        <v>48</v>
      </c>
      <c r="B72" s="58"/>
      <c r="C72" s="63"/>
      <c r="D72" s="68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4"/>
      <c r="O72" s="74"/>
    </row>
    <row r="73" spans="1:15" ht="14.5" x14ac:dyDescent="0.35">
      <c r="A73" s="59">
        <v>49</v>
      </c>
      <c r="B73" s="58"/>
      <c r="C73" s="63"/>
      <c r="D73" s="68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4"/>
      <c r="O73" s="74"/>
    </row>
    <row r="74" spans="1:15" ht="14.5" x14ac:dyDescent="0.35">
      <c r="A74" s="59">
        <v>50</v>
      </c>
      <c r="B74" s="58"/>
      <c r="C74" s="63"/>
      <c r="D74" s="68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4"/>
      <c r="O74" s="74"/>
    </row>
    <row r="75" spans="1:15" ht="14.5" x14ac:dyDescent="0.35">
      <c r="A75" s="59">
        <v>51</v>
      </c>
      <c r="B75" s="58"/>
      <c r="C75" s="63"/>
      <c r="D75" s="68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4"/>
      <c r="O75" s="74"/>
    </row>
    <row r="76" spans="1:15" ht="14.5" x14ac:dyDescent="0.35">
      <c r="A76" s="59">
        <v>52</v>
      </c>
      <c r="B76" s="58"/>
      <c r="C76" s="63"/>
      <c r="D76" s="68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4"/>
      <c r="O76" s="74"/>
    </row>
    <row r="77" spans="1:15" ht="14.5" x14ac:dyDescent="0.35">
      <c r="A77" s="59">
        <v>53</v>
      </c>
      <c r="B77" s="58"/>
      <c r="C77" s="63"/>
      <c r="D77" s="68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4"/>
      <c r="O77" s="74"/>
    </row>
    <row r="78" spans="1:15" ht="14.5" x14ac:dyDescent="0.35">
      <c r="A78" s="59">
        <v>54</v>
      </c>
      <c r="B78" s="58"/>
      <c r="C78" s="63"/>
      <c r="D78" s="68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4"/>
      <c r="O78" s="74"/>
    </row>
    <row r="79" spans="1:15" ht="14.5" x14ac:dyDescent="0.35">
      <c r="A79" s="59">
        <v>55</v>
      </c>
      <c r="B79" s="58"/>
      <c r="C79" s="63"/>
      <c r="D79" s="68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4"/>
      <c r="O79" s="74"/>
    </row>
    <row r="80" spans="1:15" ht="14.5" x14ac:dyDescent="0.35">
      <c r="A80" s="59">
        <v>56</v>
      </c>
      <c r="B80" s="58"/>
      <c r="C80" s="63"/>
      <c r="D80" s="68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4"/>
      <c r="O80" s="74"/>
    </row>
    <row r="81" spans="1:15" ht="14.5" x14ac:dyDescent="0.35">
      <c r="A81" s="59">
        <v>57</v>
      </c>
      <c r="B81" s="58"/>
      <c r="C81" s="63"/>
      <c r="D81" s="68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4"/>
      <c r="O81" s="74"/>
    </row>
    <row r="82" spans="1:15" ht="14.5" x14ac:dyDescent="0.35">
      <c r="A82" s="59">
        <v>58</v>
      </c>
      <c r="B82" s="58"/>
      <c r="C82" s="63"/>
      <c r="D82" s="68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4"/>
      <c r="O82" s="74"/>
    </row>
    <row r="83" spans="1:15" ht="14.5" x14ac:dyDescent="0.35">
      <c r="A83" s="59">
        <v>59</v>
      </c>
      <c r="B83" s="58"/>
      <c r="C83" s="63"/>
      <c r="D83" s="68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4"/>
      <c r="O83" s="74"/>
    </row>
    <row r="84" spans="1:15" ht="14.5" x14ac:dyDescent="0.35">
      <c r="A84" s="59">
        <v>60</v>
      </c>
      <c r="B84" s="58"/>
      <c r="C84" s="63"/>
      <c r="D84" s="68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4"/>
      <c r="O84" s="74"/>
    </row>
    <row r="85" spans="1:15" ht="14.5" x14ac:dyDescent="0.35">
      <c r="A85" s="59">
        <v>61</v>
      </c>
      <c r="B85" s="58"/>
      <c r="C85" s="63"/>
      <c r="D85" s="68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4"/>
      <c r="O85" s="74"/>
    </row>
    <row r="86" spans="1:15" ht="14.5" x14ac:dyDescent="0.35">
      <c r="A86" s="59">
        <v>62</v>
      </c>
      <c r="B86" s="58"/>
      <c r="C86" s="63"/>
      <c r="D86" s="68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4"/>
    </row>
    <row r="87" spans="1:15" x14ac:dyDescent="0.25">
      <c r="A87" s="59">
        <v>63</v>
      </c>
      <c r="B87" s="58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59">
        <v>64</v>
      </c>
      <c r="B88" s="58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59">
        <v>65</v>
      </c>
      <c r="B89" s="58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59">
        <v>66</v>
      </c>
      <c r="B90" s="58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59">
        <v>67</v>
      </c>
      <c r="B91" s="58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59">
        <v>68</v>
      </c>
      <c r="B92" s="58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59">
        <v>69</v>
      </c>
      <c r="B93" s="58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59">
        <v>70</v>
      </c>
      <c r="B94" s="58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59">
        <v>71</v>
      </c>
      <c r="B95" s="58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59">
        <v>72</v>
      </c>
      <c r="B96" s="58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59">
        <v>73</v>
      </c>
      <c r="B97" s="58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59">
        <v>74</v>
      </c>
      <c r="B98" s="58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59">
        <v>75</v>
      </c>
      <c r="B99" s="58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59">
        <v>76</v>
      </c>
      <c r="B100" s="58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59">
        <v>77</v>
      </c>
      <c r="B101" s="58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59">
        <v>78</v>
      </c>
      <c r="B102" s="58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59">
        <v>79</v>
      </c>
      <c r="B103" s="58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59">
        <v>80</v>
      </c>
      <c r="B104" s="58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59">
        <v>81</v>
      </c>
      <c r="B105" s="58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59">
        <v>82</v>
      </c>
      <c r="B106" s="58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59">
        <v>83</v>
      </c>
      <c r="B107" s="58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59">
        <v>84</v>
      </c>
      <c r="B108" s="58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59">
        <v>85</v>
      </c>
      <c r="B109" s="58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59">
        <v>86</v>
      </c>
      <c r="B110" s="58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59">
        <v>87</v>
      </c>
      <c r="B111" s="58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59">
        <v>88</v>
      </c>
      <c r="B112" s="58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59">
        <v>89</v>
      </c>
      <c r="B113" s="58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59">
        <v>90</v>
      </c>
      <c r="B114" s="58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59">
        <v>91</v>
      </c>
      <c r="B115" s="58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59">
        <v>92</v>
      </c>
      <c r="B116" s="58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59">
        <v>93</v>
      </c>
      <c r="B117" s="58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59">
        <v>94</v>
      </c>
      <c r="B118" s="58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59">
        <v>95</v>
      </c>
      <c r="B119" s="58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59">
        <v>96</v>
      </c>
      <c r="B120" s="58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59">
        <v>97</v>
      </c>
      <c r="B121" s="58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59">
        <v>98</v>
      </c>
      <c r="B122" s="58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59">
        <v>99</v>
      </c>
      <c r="B123" s="58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59">
        <v>100</v>
      </c>
      <c r="B124" s="58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59">
        <v>101</v>
      </c>
      <c r="B125" s="58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59">
        <v>102</v>
      </c>
      <c r="B126" s="58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59">
        <v>103</v>
      </c>
      <c r="B127" s="58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59">
        <v>104</v>
      </c>
      <c r="B128" s="58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59">
        <v>105</v>
      </c>
      <c r="B129" s="58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59">
        <v>106</v>
      </c>
      <c r="B130" s="58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59">
        <v>107</v>
      </c>
      <c r="B131" s="58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59">
        <v>108</v>
      </c>
      <c r="B132" s="58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59">
        <v>109</v>
      </c>
      <c r="B133" s="58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59">
        <v>110</v>
      </c>
      <c r="B134" s="58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59">
        <v>111</v>
      </c>
      <c r="B135" s="58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59">
        <v>112</v>
      </c>
      <c r="B136" s="58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59">
        <v>113</v>
      </c>
      <c r="B137" s="58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59">
        <v>114</v>
      </c>
      <c r="B138" s="58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59">
        <v>115</v>
      </c>
      <c r="B139" s="58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59">
        <v>116</v>
      </c>
      <c r="B140" s="58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59">
        <v>117</v>
      </c>
      <c r="B141" s="58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59">
        <v>118</v>
      </c>
      <c r="B142" s="58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59">
        <v>119</v>
      </c>
      <c r="B143" s="58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59">
        <v>120</v>
      </c>
      <c r="B144" s="58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59">
        <v>121</v>
      </c>
      <c r="B145" s="58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59">
        <v>122</v>
      </c>
      <c r="B146" s="58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59">
        <v>123</v>
      </c>
      <c r="B147" s="58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59">
        <v>124</v>
      </c>
      <c r="B148" s="58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59">
        <v>125</v>
      </c>
      <c r="B149" s="58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59">
        <v>126</v>
      </c>
      <c r="B150" s="58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59">
        <v>127</v>
      </c>
      <c r="B151" s="58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59">
        <v>128</v>
      </c>
      <c r="B152" s="58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59">
        <v>129</v>
      </c>
      <c r="B153" s="58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59">
        <v>130</v>
      </c>
      <c r="B154" s="58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59">
        <v>131</v>
      </c>
      <c r="B155" s="58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59">
        <v>132</v>
      </c>
      <c r="B156" s="58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59">
        <v>133</v>
      </c>
      <c r="B157" s="58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59">
        <v>134</v>
      </c>
      <c r="B158" s="58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59">
        <v>135</v>
      </c>
      <c r="B159" s="58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59">
        <v>136</v>
      </c>
      <c r="B160" s="58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59">
        <v>137</v>
      </c>
      <c r="B161" s="58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59">
        <v>138</v>
      </c>
      <c r="B162" s="58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59">
        <v>139</v>
      </c>
      <c r="B163" s="58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59">
        <v>140</v>
      </c>
      <c r="B164" s="58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59">
        <v>141</v>
      </c>
      <c r="B165" s="58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59">
        <v>142</v>
      </c>
      <c r="B166" s="58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59">
        <v>143</v>
      </c>
      <c r="B167" s="58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59">
        <v>144</v>
      </c>
      <c r="B168" s="58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59">
        <v>145</v>
      </c>
      <c r="B169" s="58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59">
        <v>146</v>
      </c>
      <c r="B170" s="58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59">
        <v>147</v>
      </c>
      <c r="B171" s="58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59">
        <v>148</v>
      </c>
      <c r="B172" s="58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59">
        <v>149</v>
      </c>
      <c r="B173" s="58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59">
        <v>150</v>
      </c>
      <c r="B174" s="58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59">
        <v>151</v>
      </c>
      <c r="B175" s="58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59">
        <v>152</v>
      </c>
      <c r="B176" s="58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59">
        <v>153</v>
      </c>
      <c r="B177" s="58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59">
        <v>154</v>
      </c>
      <c r="B178" s="58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59">
        <v>155</v>
      </c>
      <c r="B179" s="58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59">
        <v>156</v>
      </c>
      <c r="B180" s="58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59">
        <v>157</v>
      </c>
      <c r="B181" s="58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59">
        <v>158</v>
      </c>
      <c r="B182" s="58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59">
        <v>159</v>
      </c>
      <c r="B183" s="58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59">
        <v>160</v>
      </c>
      <c r="B184" s="58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59">
        <v>161</v>
      </c>
      <c r="B185" s="58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59">
        <v>162</v>
      </c>
      <c r="B186" s="58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59">
        <v>163</v>
      </c>
      <c r="B187" s="58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59">
        <v>164</v>
      </c>
      <c r="B188" s="58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59">
        <v>165</v>
      </c>
      <c r="B189" s="58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59">
        <v>166</v>
      </c>
      <c r="B190" s="58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59">
        <v>167</v>
      </c>
      <c r="B191" s="58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59">
        <v>168</v>
      </c>
      <c r="B192" s="58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59">
        <v>169</v>
      </c>
      <c r="B193" s="58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59">
        <v>170</v>
      </c>
      <c r="B194" s="58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59">
        <v>171</v>
      </c>
      <c r="B195" s="58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59">
        <v>172</v>
      </c>
      <c r="B196" s="58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59">
        <v>173</v>
      </c>
      <c r="B197" s="58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59">
        <v>174</v>
      </c>
      <c r="B198" s="58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59">
        <v>175</v>
      </c>
      <c r="B199" s="58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59">
        <v>176</v>
      </c>
      <c r="B200" s="58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59">
        <v>177</v>
      </c>
      <c r="B201" s="58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59">
        <v>178</v>
      </c>
      <c r="B202" s="58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59">
        <v>179</v>
      </c>
      <c r="B203" s="58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59">
        <v>180</v>
      </c>
      <c r="B204" s="58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59">
        <v>181</v>
      </c>
      <c r="B205" s="58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59">
        <v>182</v>
      </c>
      <c r="B206" s="58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59">
        <v>183</v>
      </c>
      <c r="B207" s="58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59">
        <v>184</v>
      </c>
      <c r="B208" s="58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59">
        <v>185</v>
      </c>
      <c r="B209" s="58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59">
        <v>186</v>
      </c>
      <c r="B210" s="58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59">
        <v>187</v>
      </c>
      <c r="B211" s="58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59">
        <v>188</v>
      </c>
      <c r="B212" s="58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59">
        <v>189</v>
      </c>
      <c r="B213" s="58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59">
        <v>190</v>
      </c>
      <c r="B214" s="58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59">
        <v>191</v>
      </c>
      <c r="B215" s="58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59">
        <v>192</v>
      </c>
      <c r="B216" s="58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59">
        <v>193</v>
      </c>
      <c r="B217" s="58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59">
        <v>194</v>
      </c>
      <c r="B218" s="58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59">
        <v>195</v>
      </c>
      <c r="B219" s="58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59">
        <v>196</v>
      </c>
      <c r="B220" s="58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59">
        <v>197</v>
      </c>
      <c r="B221" s="58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59">
        <v>198</v>
      </c>
      <c r="B222" s="58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59">
        <v>199</v>
      </c>
      <c r="B223" s="58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59">
        <v>200</v>
      </c>
      <c r="B224" s="58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59">
        <v>201</v>
      </c>
      <c r="B225" s="58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59">
        <v>202</v>
      </c>
      <c r="B226" s="58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59">
        <v>203</v>
      </c>
      <c r="B227" s="58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59">
        <v>204</v>
      </c>
      <c r="B228" s="58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59">
        <v>205</v>
      </c>
      <c r="B229" s="58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59">
        <v>206</v>
      </c>
      <c r="B230" s="58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59">
        <v>207</v>
      </c>
      <c r="B231" s="58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59">
        <v>208</v>
      </c>
      <c r="B232" s="58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59">
        <v>209</v>
      </c>
      <c r="B233" s="58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59">
        <v>210</v>
      </c>
      <c r="B234" s="58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59">
        <v>211</v>
      </c>
      <c r="B235" s="58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59">
        <v>212</v>
      </c>
      <c r="B236" s="58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59">
        <v>213</v>
      </c>
      <c r="B237" s="58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59">
        <v>214</v>
      </c>
      <c r="B238" s="58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59">
        <v>215</v>
      </c>
      <c r="B239" s="58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59">
        <v>216</v>
      </c>
      <c r="B240" s="58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59">
        <v>217</v>
      </c>
      <c r="B241" s="58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59">
        <v>218</v>
      </c>
      <c r="B242" s="58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59">
        <v>219</v>
      </c>
      <c r="B243" s="58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59">
        <v>220</v>
      </c>
      <c r="B244" s="58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59">
        <v>221</v>
      </c>
      <c r="B245" s="58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59">
        <v>222</v>
      </c>
      <c r="B246" s="58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59">
        <v>223</v>
      </c>
      <c r="B247" s="58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59">
        <v>224</v>
      </c>
      <c r="B248" s="58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59">
        <v>225</v>
      </c>
      <c r="B249" s="58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59">
        <v>226</v>
      </c>
      <c r="B250" s="58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59">
        <v>227</v>
      </c>
      <c r="B251" s="58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59">
        <v>228</v>
      </c>
      <c r="B252" s="58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59">
        <v>229</v>
      </c>
      <c r="B253" s="58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59">
        <v>230</v>
      </c>
      <c r="B254" s="58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59">
        <v>231</v>
      </c>
      <c r="B255" s="58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59">
        <v>232</v>
      </c>
      <c r="B256" s="58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59">
        <v>233</v>
      </c>
      <c r="B257" s="58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59">
        <v>234</v>
      </c>
      <c r="B258" s="58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59">
        <v>235</v>
      </c>
      <c r="B259" s="58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59">
        <v>236</v>
      </c>
      <c r="B260" s="58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59">
        <v>237</v>
      </c>
      <c r="B261" s="58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59">
        <v>238</v>
      </c>
      <c r="B262" s="58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59">
        <v>239</v>
      </c>
      <c r="B263" s="58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59">
        <v>240</v>
      </c>
      <c r="B264" s="58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59">
        <v>241</v>
      </c>
      <c r="B265" s="58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59">
        <v>242</v>
      </c>
      <c r="B266" s="58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59">
        <v>243</v>
      </c>
      <c r="B267" s="58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59">
        <v>244</v>
      </c>
      <c r="B268" s="58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59">
        <v>245</v>
      </c>
      <c r="B269" s="58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59">
        <v>246</v>
      </c>
      <c r="B270" s="58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59">
        <v>247</v>
      </c>
      <c r="B271" s="58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59">
        <v>248</v>
      </c>
      <c r="B272" s="58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59">
        <v>249</v>
      </c>
      <c r="B273" s="58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59">
        <v>250</v>
      </c>
      <c r="B274" s="58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59">
        <v>251</v>
      </c>
      <c r="B275" s="58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59">
        <v>252</v>
      </c>
      <c r="B276" s="58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59">
        <v>253</v>
      </c>
      <c r="B277" s="58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59">
        <v>254</v>
      </c>
      <c r="B278" s="58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59">
        <v>255</v>
      </c>
      <c r="B279" s="58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59">
        <v>256</v>
      </c>
      <c r="B280" s="58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59">
        <v>257</v>
      </c>
      <c r="B281" s="58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59">
        <v>258</v>
      </c>
      <c r="B282" s="58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59">
        <v>259</v>
      </c>
      <c r="B283" s="58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59">
        <v>260</v>
      </c>
      <c r="B284" s="58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59">
        <v>261</v>
      </c>
      <c r="B285" s="58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59">
        <v>262</v>
      </c>
      <c r="B286" s="58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59">
        <v>263</v>
      </c>
      <c r="B287" s="58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59">
        <v>264</v>
      </c>
      <c r="B288" s="58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59">
        <v>265</v>
      </c>
      <c r="B289" s="58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59">
        <v>266</v>
      </c>
      <c r="B290" s="58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59">
        <v>267</v>
      </c>
      <c r="B291" s="58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59">
        <v>268</v>
      </c>
      <c r="B292" s="58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59">
        <v>269</v>
      </c>
      <c r="B293" s="58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59">
        <v>270</v>
      </c>
      <c r="B294" s="58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59">
        <v>271</v>
      </c>
      <c r="B295" s="58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59">
        <v>272</v>
      </c>
      <c r="B296" s="58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59">
        <v>273</v>
      </c>
      <c r="B297" s="58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59">
        <v>274</v>
      </c>
      <c r="B298" s="58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59">
        <v>275</v>
      </c>
      <c r="B299" s="58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59">
        <v>276</v>
      </c>
      <c r="B300" s="58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59">
        <v>277</v>
      </c>
      <c r="B301" s="58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59">
        <v>278</v>
      </c>
      <c r="B302" s="58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59">
        <v>279</v>
      </c>
      <c r="B303" s="58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59">
        <v>280</v>
      </c>
      <c r="B304" s="58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59">
        <v>281</v>
      </c>
      <c r="B305" s="58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59">
        <v>282</v>
      </c>
      <c r="B306" s="58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59">
        <v>283</v>
      </c>
      <c r="B307" s="58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59">
        <v>284</v>
      </c>
      <c r="B308" s="58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59">
        <v>285</v>
      </c>
      <c r="B309" s="58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59">
        <v>286</v>
      </c>
      <c r="B310" s="58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59">
        <v>287</v>
      </c>
      <c r="B311" s="58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59">
        <v>288</v>
      </c>
      <c r="B312" s="58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59">
        <v>289</v>
      </c>
      <c r="B313" s="58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59">
        <v>290</v>
      </c>
      <c r="B314" s="58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59">
        <v>291</v>
      </c>
      <c r="B315" s="58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59">
        <v>292</v>
      </c>
      <c r="B316" s="58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59">
        <v>293</v>
      </c>
      <c r="B317" s="58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59">
        <v>294</v>
      </c>
      <c r="B318" s="58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59">
        <v>295</v>
      </c>
      <c r="B319" s="58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59">
        <v>296</v>
      </c>
      <c r="B320" s="58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59">
        <v>297</v>
      </c>
      <c r="B321" s="58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59">
        <v>298</v>
      </c>
      <c r="B322" s="58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59">
        <v>299</v>
      </c>
      <c r="B323" s="58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59">
        <v>300</v>
      </c>
      <c r="B324" s="58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59">
        <v>301</v>
      </c>
      <c r="B325" s="58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59">
        <v>302</v>
      </c>
      <c r="B326" s="58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59">
        <v>303</v>
      </c>
      <c r="B327" s="58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59">
        <v>304</v>
      </c>
      <c r="B328" s="58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59">
        <v>305</v>
      </c>
      <c r="B329" s="58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59">
        <v>306</v>
      </c>
      <c r="B330" s="58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59">
        <v>307</v>
      </c>
      <c r="B331" s="58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59">
        <v>308</v>
      </c>
      <c r="B332" s="58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59">
        <v>309</v>
      </c>
      <c r="B333" s="58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59">
        <v>310</v>
      </c>
      <c r="B334" s="58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59">
        <v>311</v>
      </c>
      <c r="B335" s="58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59">
        <v>312</v>
      </c>
      <c r="B336" s="58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59">
        <v>313</v>
      </c>
      <c r="B337" s="58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59">
        <v>314</v>
      </c>
      <c r="B338" s="58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59">
        <v>315</v>
      </c>
      <c r="B339" s="58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59">
        <v>316</v>
      </c>
      <c r="B340" s="58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59">
        <v>317</v>
      </c>
      <c r="B341" s="58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59">
        <v>318</v>
      </c>
      <c r="B342" s="58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59">
        <v>319</v>
      </c>
      <c r="B343" s="58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59">
        <v>320</v>
      </c>
      <c r="B344" s="58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59">
        <v>321</v>
      </c>
      <c r="B345" s="58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59">
        <v>322</v>
      </c>
      <c r="B346" s="58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59">
        <v>323</v>
      </c>
      <c r="B347" s="58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59">
        <v>324</v>
      </c>
      <c r="B348" s="58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59">
        <v>325</v>
      </c>
      <c r="B349" s="58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59">
        <v>326</v>
      </c>
      <c r="B350" s="58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59">
        <v>327</v>
      </c>
      <c r="B351" s="58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59">
        <v>328</v>
      </c>
      <c r="B352" s="58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59">
        <v>329</v>
      </c>
      <c r="B353" s="58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59">
        <v>330</v>
      </c>
      <c r="B354" s="58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59">
        <v>331</v>
      </c>
      <c r="B355" s="58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59">
        <v>332</v>
      </c>
      <c r="B356" s="58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59">
        <v>333</v>
      </c>
      <c r="B357" s="58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59">
        <v>334</v>
      </c>
      <c r="B358" s="58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59">
        <v>335</v>
      </c>
      <c r="B359" s="58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59">
        <v>336</v>
      </c>
      <c r="B360" s="58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59">
        <v>337</v>
      </c>
      <c r="B361" s="58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59">
        <v>338</v>
      </c>
      <c r="B362" s="58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59">
        <v>339</v>
      </c>
      <c r="B363" s="58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59">
        <v>340</v>
      </c>
      <c r="B364" s="58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59">
        <v>341</v>
      </c>
      <c r="B365" s="58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59">
        <v>342</v>
      </c>
      <c r="B366" s="58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59">
        <v>343</v>
      </c>
      <c r="B367" s="58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59">
        <v>344</v>
      </c>
      <c r="B368" s="58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59">
        <v>345</v>
      </c>
      <c r="B369" s="58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59">
        <v>346</v>
      </c>
      <c r="B370" s="58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59">
        <v>347</v>
      </c>
      <c r="B371" s="58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59">
        <v>348</v>
      </c>
      <c r="B372" s="58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59">
        <v>349</v>
      </c>
      <c r="B373" s="58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59">
        <v>350</v>
      </c>
      <c r="B374" s="58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59">
        <v>351</v>
      </c>
      <c r="B375" s="58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59">
        <v>352</v>
      </c>
      <c r="B376" s="58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59">
        <v>353</v>
      </c>
      <c r="B377" s="58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59">
        <v>354</v>
      </c>
      <c r="B378" s="58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59">
        <v>355</v>
      </c>
      <c r="B379" s="58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59">
        <v>356</v>
      </c>
      <c r="B380" s="58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59">
        <v>357</v>
      </c>
      <c r="B381" s="58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59">
        <v>358</v>
      </c>
      <c r="B382" s="58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59">
        <v>359</v>
      </c>
      <c r="B383" s="58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59">
        <v>360</v>
      </c>
      <c r="B384" s="58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59">
        <v>361</v>
      </c>
      <c r="B385" s="58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59">
        <v>362</v>
      </c>
      <c r="B386" s="58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59">
        <v>363</v>
      </c>
      <c r="B387" s="58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59">
        <v>364</v>
      </c>
      <c r="B388" s="58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59">
        <v>365</v>
      </c>
      <c r="B389" s="58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59">
        <v>366</v>
      </c>
      <c r="B390" s="58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59">
        <v>367</v>
      </c>
      <c r="B391" s="58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59">
        <v>368</v>
      </c>
      <c r="B392" s="58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59">
        <v>369</v>
      </c>
      <c r="B393" s="58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59">
        <v>370</v>
      </c>
      <c r="B394" s="58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59">
        <v>371</v>
      </c>
      <c r="B395" s="58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59">
        <v>372</v>
      </c>
      <c r="B396" s="58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59">
        <v>373</v>
      </c>
      <c r="B397" s="58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59">
        <v>374</v>
      </c>
      <c r="B398" s="58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59">
        <v>375</v>
      </c>
      <c r="B399" s="58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59">
        <v>376</v>
      </c>
      <c r="B400" s="58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59">
        <v>377</v>
      </c>
      <c r="B401" s="58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59">
        <v>378</v>
      </c>
      <c r="B402" s="58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59">
        <v>379</v>
      </c>
      <c r="B403" s="58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59">
        <v>380</v>
      </c>
      <c r="B404" s="58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59">
        <v>381</v>
      </c>
      <c r="B405" s="58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59">
        <v>382</v>
      </c>
      <c r="B406" s="58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59">
        <v>383</v>
      </c>
      <c r="B407" s="58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59">
        <v>384</v>
      </c>
      <c r="B408" s="58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59">
        <v>385</v>
      </c>
      <c r="B409" s="58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59">
        <v>386</v>
      </c>
      <c r="B410" s="58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59">
        <v>387</v>
      </c>
      <c r="B411" s="58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59">
        <v>388</v>
      </c>
      <c r="B412" s="58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32</vt:i4>
      </vt:variant>
    </vt:vector>
  </HeadingPairs>
  <TitlesOfParts>
    <vt:vector size="59" baseType="lpstr">
      <vt:lpstr>cover page</vt:lpstr>
      <vt:lpstr>RatingFactors- BIPD</vt:lpstr>
      <vt:lpstr>RatingFactors- MPC</vt:lpstr>
      <vt:lpstr>BIPD Driving Safety Record</vt:lpstr>
      <vt:lpstr>BIPD Annual Mileage</vt:lpstr>
      <vt:lpstr>BIPD Usage</vt:lpstr>
      <vt:lpstr>BIPD Percent Use</vt:lpstr>
      <vt:lpstr>BIPD Multi-Car</vt:lpstr>
      <vt:lpstr>BIPD Multi-Line</vt:lpstr>
      <vt:lpstr>BIPD Loyalty</vt:lpstr>
      <vt:lpstr>BIPD IDSED</vt:lpstr>
      <vt:lpstr>BIPD Mature Driving</vt:lpstr>
      <vt:lpstr>BIPD LRG</vt:lpstr>
      <vt:lpstr>BIPD Frequency</vt:lpstr>
      <vt:lpstr>BIPD Severity</vt:lpstr>
      <vt:lpstr>MPC Driving Safety Record</vt:lpstr>
      <vt:lpstr>MPC Mileage</vt:lpstr>
      <vt:lpstr>MPC Usage</vt:lpstr>
      <vt:lpstr>MPC Percent Use</vt:lpstr>
      <vt:lpstr>MPC Multi-Car</vt:lpstr>
      <vt:lpstr>MPC Multi-Line</vt:lpstr>
      <vt:lpstr>MPC Loyalty</vt:lpstr>
      <vt:lpstr>MPC IDSED</vt:lpstr>
      <vt:lpstr>MPC Mature Driving</vt:lpstr>
      <vt:lpstr>MPC VSD</vt:lpstr>
      <vt:lpstr>MPC Frequency</vt:lpstr>
      <vt:lpstr>MPC Severity</vt:lpstr>
      <vt:lpstr>'RatingFactors- BIPD'!ExternalData1</vt:lpstr>
      <vt:lpstr>'RatingFactors- MPC'!ExternalData1</vt:lpstr>
      <vt:lpstr>'RatingFactors- BIPD'!ExternalData3</vt:lpstr>
      <vt:lpstr>'RatingFactors- MPC'!ExternalData3</vt:lpstr>
      <vt:lpstr>'BIPD Annual Mileage'!Print_Area</vt:lpstr>
      <vt:lpstr>'BIPD Driving Safety Record'!Print_Area</vt:lpstr>
      <vt:lpstr>'BIPD Frequency'!Print_Area</vt:lpstr>
      <vt:lpstr>'BIPD IDSED'!Print_Area</vt:lpstr>
      <vt:lpstr>'BIPD Loyalty'!Print_Area</vt:lpstr>
      <vt:lpstr>'BIPD LRG'!Print_Area</vt:lpstr>
      <vt:lpstr>'BIPD Mature Driving'!Print_Area</vt:lpstr>
      <vt:lpstr>'BIPD Multi-Car'!Print_Area</vt:lpstr>
      <vt:lpstr>'BIPD Multi-Line'!Print_Area</vt:lpstr>
      <vt:lpstr>'BIPD Percent Use'!Print_Area</vt:lpstr>
      <vt:lpstr>'BIPD Severity'!Print_Area</vt:lpstr>
      <vt:lpstr>'BIPD Usage'!Print_Area</vt:lpstr>
      <vt:lpstr>'MPC Driving Safety Record'!Print_Area</vt:lpstr>
      <vt:lpstr>'MPC Frequency'!Print_Area</vt:lpstr>
      <vt:lpstr>'MPC IDSED'!Print_Area</vt:lpstr>
      <vt:lpstr>'MPC Loyalty'!Print_Area</vt:lpstr>
      <vt:lpstr>'MPC Mature Driving'!Print_Area</vt:lpstr>
      <vt:lpstr>'MPC Mileage'!Print_Area</vt:lpstr>
      <vt:lpstr>'MPC Multi-Car'!Print_Area</vt:lpstr>
      <vt:lpstr>'MPC Multi-Line'!Print_Area</vt:lpstr>
      <vt:lpstr>'MPC Percent Use'!Print_Area</vt:lpstr>
      <vt:lpstr>'MPC Severity'!Print_Area</vt:lpstr>
      <vt:lpstr>'MPC Usage'!Print_Area</vt:lpstr>
      <vt:lpstr>'MPC VSD'!Print_Area</vt:lpstr>
      <vt:lpstr>'RatingFactors- BIPD'!Print_Area</vt:lpstr>
      <vt:lpstr>'RatingFactors- MPC'!Print_Area</vt:lpstr>
      <vt:lpstr>'RatingFactors- BIPD'!Print_Titles</vt:lpstr>
      <vt:lpstr>'RatingFactors- MPC'!Print_Titles</vt:lpstr>
    </vt:vector>
  </TitlesOfParts>
  <Company>State of California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Department of Insurance</dc:creator>
  <cp:lastModifiedBy>JWalk</cp:lastModifiedBy>
  <cp:lastPrinted>2019-09-24T17:09:39Z</cp:lastPrinted>
  <dcterms:created xsi:type="dcterms:W3CDTF">2003-02-07T21:03:29Z</dcterms:created>
  <dcterms:modified xsi:type="dcterms:W3CDTF">2019-09-24T17:12:53Z</dcterms:modified>
</cp:coreProperties>
</file>