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W:\P-C ACTUARIAL\AUTO\STATE FILES\California\REVISIONS\2024\10-01-2024 GRC\04 - Filing\01 - Objections\06-27-2024 (2)\"/>
    </mc:Choice>
  </mc:AlternateContent>
  <xr:revisionPtr revIDLastSave="0" documentId="13_ncr:1_{89AF8B4C-1088-4E62-9190-367536411586}" xr6:coauthVersionLast="47" xr6:coauthVersionMax="47" xr10:uidLastSave="{00000000-0000-0000-0000-000000000000}"/>
  <bookViews>
    <workbookView xWindow="12" yWindow="0" windowWidth="23016" windowHeight="12360" xr2:uid="{C7F1F87D-7DC3-4E49-885A-03DEFBE48DD8}"/>
  </bookViews>
  <sheets>
    <sheet name="COMP" sheetId="10" r:id="rId1"/>
    <sheet name="COLL" sheetId="11" r:id="rId2"/>
  </sheets>
  <definedNames>
    <definedName name="_AMO_UniqueIdentifier" hidden="1">"'ba916a36-6253-43fd-8843-9957354e88e9'"</definedName>
    <definedName name="AK">#REF!</definedName>
    <definedName name="AL">#REF!</definedName>
    <definedName name="AR">#REF!</definedName>
    <definedName name="AZ">#REF!</definedName>
    <definedName name="BASE_MODEL_YEAR_RAM">#REF!</definedName>
    <definedName name="CA">#REF!</definedName>
    <definedName name="CO">#REF!</definedName>
    <definedName name="COV_OFFSET">#REF!</definedName>
    <definedName name="Coverage_Names">#REF!</definedName>
    <definedName name="CT">#REF!</definedName>
    <definedName name="DC">#REF!</definedName>
    <definedName name="DE">#REF!</definedName>
    <definedName name="FL">#REF!</definedName>
    <definedName name="Footer_ctrl">#REF!</definedName>
    <definedName name="GA">#REF!</definedName>
    <definedName name="Header_ctrl">" "</definedName>
    <definedName name="HI">#REF!</definedName>
    <definedName name="IA">#REF!</definedName>
    <definedName name="ID">#REF!</definedName>
    <definedName name="IL">#REF!</definedName>
    <definedName name="IN">#REF!</definedName>
    <definedName name="KS">#REF!</definedName>
    <definedName name="KY">#REF!</definedName>
    <definedName name="LA">#REF!</definedName>
    <definedName name="MA">#REF!</definedName>
    <definedName name="MCHeaders">#REF!</definedName>
    <definedName name="MCY_Cov1">#REF!</definedName>
    <definedName name="MCY_Cov2">#REF!</definedName>
    <definedName name="MCY_Cov3">#REF!</definedName>
    <definedName name="MCY_Cov4">#REF!</definedName>
    <definedName name="MCY_Cov5">#REF!</definedName>
    <definedName name="MCY_Factors">#REF!</definedName>
    <definedName name="MCY_MY_BASE_Present">#REF!</definedName>
    <definedName name="MCY_MY_Base_Proposed">#REF!</definedName>
    <definedName name="MD">#REF!</definedName>
    <definedName name="ME">#REF!</definedName>
    <definedName name="MH_Cov1">#REF!</definedName>
    <definedName name="MH_Cov2">#REF!</definedName>
    <definedName name="MH_Cov3">#REF!</definedName>
    <definedName name="MH_Cov4">#REF!</definedName>
    <definedName name="MH_Cov5">#REF!</definedName>
    <definedName name="MH_Factors">#REF!</definedName>
    <definedName name="MH_MY_BASE_Present">#REF!</definedName>
    <definedName name="MH_MY_Base_Proposed">#REF!</definedName>
    <definedName name="MHHeaders">#REF!</definedName>
    <definedName name="MI">#REF!</definedName>
    <definedName name="MN">#REF!</definedName>
    <definedName name="MO">#REF!</definedName>
    <definedName name="Motorcycle_Factors">#REF!</definedName>
    <definedName name="Motorhome_Factors">#REF!</definedName>
    <definedName name="MS">#REF!</definedName>
    <definedName name="MT">#REF!</definedName>
    <definedName name="NC">#REF!</definedName>
    <definedName name="ND">#REF!</definedName>
    <definedName name="NE">#REF!</definedName>
    <definedName name="NH">#REF!</definedName>
    <definedName name="NJ">#REF!</definedName>
    <definedName name="NM">#REF!</definedName>
    <definedName name="NV">#REF!</definedName>
    <definedName name="NY">#REF!</definedName>
    <definedName name="OH">#REF!</definedName>
    <definedName name="OK">#REF!</definedName>
    <definedName name="OR">#REF!</definedName>
    <definedName name="PA">#REF!</definedName>
    <definedName name="PP_Cov1">#REF!</definedName>
    <definedName name="PP_Cov2">#REF!</definedName>
    <definedName name="PP_Cov3">#REF!</definedName>
    <definedName name="PP_Cov4">#REF!</definedName>
    <definedName name="PP_Cov5">#REF!</definedName>
    <definedName name="PP_MY_BASE_Present">#REF!</definedName>
    <definedName name="PP_MY_Base_Proposed">#REF!</definedName>
    <definedName name="PPHeaders">#REF!</definedName>
    <definedName name="_xlnm.Print_Titles" localSheetId="1">COLL!$6:$6</definedName>
    <definedName name="_xlnm.Print_Titles" localSheetId="0">COMP!$6:$6</definedName>
    <definedName name="Private_Passenger_Factors">#REF!</definedName>
    <definedName name="Rate_Set_Grp">#REF!</definedName>
    <definedName name="Rate_Set_Version">#REF!</definedName>
    <definedName name="RI">#REF!</definedName>
    <definedName name="SC">#REF!</definedName>
    <definedName name="SD">#REF!</definedName>
    <definedName name="State">#REF!</definedName>
    <definedName name="State_Names">#REF!</definedName>
    <definedName name="TN">#REF!</definedName>
    <definedName name="TX">#REF!</definedName>
    <definedName name="UT">#REF!</definedName>
    <definedName name="VA">#REF!</definedName>
    <definedName name="VT">#REF!</definedName>
    <definedName name="WA">#REF!</definedName>
    <definedName name="WI">#REF!</definedName>
    <definedName name="WV">#REF!</definedName>
    <definedName name="W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11" l="1"/>
  <c r="F36" i="11" s="1"/>
  <c r="E35" i="11"/>
  <c r="F35" i="11" s="1"/>
  <c r="E34" i="11"/>
  <c r="F34" i="11" s="1"/>
  <c r="E33" i="11"/>
  <c r="F33" i="11" s="1"/>
  <c r="E32" i="11"/>
  <c r="F32" i="11" s="1"/>
  <c r="E31" i="11"/>
  <c r="F31" i="11" s="1"/>
  <c r="G30" i="11"/>
  <c r="E30" i="11"/>
  <c r="F30" i="11" s="1"/>
  <c r="G29" i="11"/>
  <c r="E29" i="11"/>
  <c r="F29" i="11" s="1"/>
  <c r="E28" i="11"/>
  <c r="F28" i="11" s="1"/>
  <c r="G27" i="11"/>
  <c r="E27" i="11"/>
  <c r="F27" i="11" s="1"/>
  <c r="E26" i="11"/>
  <c r="F26" i="11" s="1"/>
  <c r="E25" i="11"/>
  <c r="F25" i="11" s="1"/>
  <c r="G24" i="11"/>
  <c r="E24" i="11"/>
  <c r="F24" i="11" s="1"/>
  <c r="G23" i="11"/>
  <c r="E23" i="11"/>
  <c r="F23" i="11" s="1"/>
  <c r="E22" i="11"/>
  <c r="F22" i="11" s="1"/>
  <c r="E21" i="11"/>
  <c r="F21" i="11" s="1"/>
  <c r="E20" i="11"/>
  <c r="F20" i="11" s="1"/>
  <c r="E19" i="11"/>
  <c r="F19" i="11" s="1"/>
  <c r="E18" i="11"/>
  <c r="F18" i="11" s="1"/>
  <c r="E17" i="11"/>
  <c r="F17" i="11" s="1"/>
  <c r="E16" i="11"/>
  <c r="F16" i="11" s="1"/>
  <c r="G15" i="11"/>
  <c r="E15" i="11"/>
  <c r="F15" i="11" s="1"/>
  <c r="G14" i="11"/>
  <c r="E14" i="11"/>
  <c r="G7" i="11" s="1"/>
  <c r="E13" i="11"/>
  <c r="F13" i="11" s="1"/>
  <c r="E12" i="11"/>
  <c r="F12" i="11" s="1"/>
  <c r="C12" i="1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B12" i="1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E11" i="11"/>
  <c r="F11" i="11" s="1"/>
  <c r="E10" i="11"/>
  <c r="F10" i="11" s="1"/>
  <c r="C10" i="11"/>
  <c r="C9" i="11" s="1"/>
  <c r="C8" i="11" s="1"/>
  <c r="C7" i="11" s="1"/>
  <c r="B10" i="11"/>
  <c r="B9" i="11" s="1"/>
  <c r="B8" i="11" s="1"/>
  <c r="B7" i="11" s="1"/>
  <c r="E9" i="11"/>
  <c r="F9" i="11" s="1"/>
  <c r="G8" i="11"/>
  <c r="E8" i="11"/>
  <c r="F8" i="11" s="1"/>
  <c r="E7" i="11"/>
  <c r="F7" i="11" s="1"/>
  <c r="G28" i="11" l="1"/>
  <c r="G31" i="11"/>
  <c r="G32" i="11"/>
  <c r="G33" i="11"/>
  <c r="G10" i="11"/>
  <c r="G25" i="11"/>
  <c r="G9" i="11"/>
  <c r="G21" i="11"/>
  <c r="G22" i="11"/>
  <c r="G26" i="11"/>
  <c r="G34" i="11"/>
  <c r="G35" i="11"/>
  <c r="G20" i="11"/>
  <c r="G19" i="11"/>
  <c r="G18" i="11"/>
  <c r="G17" i="11"/>
  <c r="G16" i="11"/>
  <c r="G13" i="11"/>
  <c r="G12" i="11"/>
  <c r="G11" i="11"/>
  <c r="G36" i="11"/>
  <c r="F14" i="11"/>
  <c r="G35" i="10"/>
  <c r="E8" i="10"/>
  <c r="F8" i="10" s="1"/>
  <c r="E9" i="10"/>
  <c r="F9" i="10" s="1"/>
  <c r="E10" i="10"/>
  <c r="F10" i="10" s="1"/>
  <c r="E11" i="10"/>
  <c r="F11" i="10" s="1"/>
  <c r="E12" i="10"/>
  <c r="F12" i="10" s="1"/>
  <c r="E13" i="10"/>
  <c r="F13" i="10" s="1"/>
  <c r="E14" i="10"/>
  <c r="F14" i="10" s="1"/>
  <c r="E15" i="10"/>
  <c r="F15" i="10" s="1"/>
  <c r="E16" i="10"/>
  <c r="G9" i="10" s="1"/>
  <c r="E17" i="10"/>
  <c r="G10" i="10" s="1"/>
  <c r="E18" i="10"/>
  <c r="G11" i="10" s="1"/>
  <c r="E19" i="10"/>
  <c r="G12" i="10" s="1"/>
  <c r="E20" i="10"/>
  <c r="F20" i="10" s="1"/>
  <c r="E21" i="10"/>
  <c r="F21" i="10" s="1"/>
  <c r="E22" i="10"/>
  <c r="F22" i="10" s="1"/>
  <c r="E23" i="10"/>
  <c r="F23" i="10" s="1"/>
  <c r="E24" i="10"/>
  <c r="G17" i="10" s="1"/>
  <c r="E25" i="10"/>
  <c r="F25" i="10" s="1"/>
  <c r="E26" i="10"/>
  <c r="G19" i="10" s="1"/>
  <c r="E27" i="10"/>
  <c r="F27" i="10" s="1"/>
  <c r="E28" i="10"/>
  <c r="G21" i="10" s="1"/>
  <c r="E29" i="10"/>
  <c r="F29" i="10" s="1"/>
  <c r="E30" i="10"/>
  <c r="F30" i="10" s="1"/>
  <c r="E31" i="10"/>
  <c r="F31" i="10" s="1"/>
  <c r="E32" i="10"/>
  <c r="G25" i="10" s="1"/>
  <c r="E33" i="10"/>
  <c r="G26" i="10" s="1"/>
  <c r="E34" i="10"/>
  <c r="G27" i="10" s="1"/>
  <c r="E35" i="10"/>
  <c r="G28" i="10" s="1"/>
  <c r="E36" i="10"/>
  <c r="G31" i="10" s="1"/>
  <c r="E7" i="10"/>
  <c r="F7" i="10" s="1"/>
  <c r="B12" i="10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10" i="10"/>
  <c r="B9" i="10" s="1"/>
  <c r="B8" i="10" s="1"/>
  <c r="B7" i="10" s="1"/>
  <c r="C12" i="10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10" i="10"/>
  <c r="C9" i="10" s="1"/>
  <c r="C8" i="10" s="1"/>
  <c r="C7" i="10" s="1"/>
  <c r="F28" i="10" l="1"/>
  <c r="F32" i="10"/>
  <c r="G7" i="10"/>
  <c r="F33" i="10"/>
  <c r="F24" i="10"/>
  <c r="G15" i="10"/>
  <c r="G36" i="10"/>
  <c r="F26" i="10"/>
  <c r="F18" i="10"/>
  <c r="G33" i="10"/>
  <c r="F35" i="10"/>
  <c r="F34" i="10"/>
  <c r="G24" i="10"/>
  <c r="G18" i="10"/>
  <c r="G23" i="10"/>
  <c r="G22" i="10"/>
  <c r="G34" i="10"/>
  <c r="G29" i="10"/>
  <c r="G32" i="10"/>
  <c r="G30" i="10"/>
  <c r="F36" i="10"/>
  <c r="G20" i="10"/>
  <c r="F19" i="10"/>
  <c r="G16" i="10"/>
  <c r="G8" i="10"/>
  <c r="F17" i="10"/>
  <c r="G14" i="10"/>
  <c r="F16" i="10"/>
  <c r="G13" i="10"/>
  <c r="H12" i="10" l="1"/>
  <c r="H9" i="10" l="1"/>
  <c r="H23" i="10"/>
  <c r="H34" i="10"/>
  <c r="H32" i="10"/>
  <c r="H15" i="10"/>
  <c r="H27" i="10"/>
  <c r="H17" i="10"/>
  <c r="H16" i="10"/>
  <c r="H13" i="10"/>
  <c r="H28" i="10"/>
  <c r="H25" i="10"/>
  <c r="H33" i="10"/>
  <c r="H10" i="10"/>
  <c r="H24" i="10"/>
  <c r="H31" i="10"/>
  <c r="H33" i="11"/>
  <c r="H29" i="11"/>
  <c r="H23" i="11"/>
  <c r="H15" i="11"/>
  <c r="H28" i="11"/>
  <c r="H24" i="11"/>
  <c r="H9" i="11"/>
  <c r="H25" i="11"/>
  <c r="H10" i="11"/>
  <c r="H7" i="11"/>
  <c r="H30" i="11"/>
  <c r="H14" i="11"/>
  <c r="H32" i="11"/>
  <c r="H21" i="11"/>
  <c r="H8" i="11"/>
  <c r="H27" i="11"/>
  <c r="H31" i="11"/>
  <c r="H26" i="11"/>
  <c r="H18" i="11"/>
  <c r="H20" i="11"/>
  <c r="H36" i="11"/>
  <c r="H12" i="11"/>
  <c r="H11" i="11"/>
  <c r="H16" i="11"/>
  <c r="H17" i="11"/>
  <c r="H22" i="11"/>
  <c r="H35" i="11"/>
  <c r="H34" i="11"/>
  <c r="H13" i="11"/>
  <c r="H19" i="11"/>
  <c r="H11" i="10"/>
  <c r="H8" i="10"/>
  <c r="H14" i="10"/>
  <c r="H30" i="10"/>
  <c r="H26" i="10"/>
  <c r="H18" i="10"/>
  <c r="H19" i="10"/>
  <c r="H20" i="10"/>
  <c r="H35" i="10"/>
  <c r="H29" i="10"/>
  <c r="H36" i="10"/>
  <c r="H21" i="10"/>
  <c r="H22" i="10"/>
  <c r="H7" i="10"/>
</calcChain>
</file>

<file path=xl/sharedStrings.xml><?xml version="1.0" encoding="utf-8"?>
<sst xmlns="http://schemas.openxmlformats.org/spreadsheetml/2006/main" count="96" uniqueCount="49">
  <si>
    <t>-4</t>
  </si>
  <si>
    <t>-3</t>
  </si>
  <si>
    <t>-2</t>
  </si>
  <si>
    <t>-1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</si>
  <si>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</si>
  <si>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</si>
  <si>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</si>
  <si>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</si>
  <si>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</si>
  <si>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</si>
  <si>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</si>
  <si>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</si>
  <si>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</si>
  <si>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</si>
  <si>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</si>
  <si>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</si>
  <si>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</si>
  <si>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</si>
  <si>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</si>
  <si>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</si>
  <si>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</si>
  <si>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</si>
  <si>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</si>
  <si>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Present Factor</t>
  </si>
  <si>
    <r>
      <rPr>
        <sz val="10"/>
        <rFont val="Arial"/>
        <family val="2"/>
      </rPr>
      <t>Model Year Base:</t>
    </r>
  </si>
  <si>
    <t>* Base Model Year Offset = Model Year Base - Vehicle Model Year</t>
  </si>
  <si>
    <t>19</t>
  </si>
  <si>
    <t>Revised Factor</t>
  </si>
  <si>
    <t>Revised</t>
  </si>
  <si>
    <t>20</t>
  </si>
  <si>
    <t>21</t>
  </si>
  <si>
    <t>22</t>
  </si>
  <si>
    <t>23</t>
  </si>
  <si>
    <t>24</t>
  </si>
  <si>
    <t>25+</t>
  </si>
  <si>
    <t>With Current 2018 Base</t>
  </si>
  <si>
    <t>With Proposed 2025 Base</t>
  </si>
  <si>
    <t>2018</t>
  </si>
  <si>
    <t>2025</t>
  </si>
  <si>
    <t>% Change in Practice</t>
  </si>
  <si>
    <t>% Change After Base Rate Adjusted</t>
  </si>
  <si>
    <t>Current</t>
  </si>
  <si>
    <t>Average</t>
  </si>
  <si>
    <t>Factor % Change</t>
  </si>
  <si>
    <t>Base Model Year Offset*</t>
  </si>
  <si>
    <t>Comprehensive Model Year Factors</t>
  </si>
  <si>
    <t>Collision Model Year Factors</t>
  </si>
  <si>
    <t>State Farm Mutual Automobile Insurance Company</t>
  </si>
  <si>
    <t>California Private Passenger 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</si>
</sst>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#,##0.00"/>
    <numFmt numFmtId="165" formatCode="#,##0.0%"/>
  </numFmts>
  <fonts count="1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Arial"/>
      <family val="2"/>
    </font>
    <font>
      <sz val="10"/>
      <color rgb="FF000000"/>
      <name val="Times New Roman"/>
      <family val="1"/>
    </font>
    <font>
      <b/>
      <u/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8"/>
      <color theme="1"/>
      <name val="Arial"/>
      <family val="2"/>
    </font>
    <font>
      <sz val="10"/>
      <color theme="1"/>
      <name val="Tahoma"/>
      <family val="2"/>
    </font>
    <font>
      <b/>
      <sz val="10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2">
    <xf numFmtId="0" fontId="0" fillId="0" borderId="0"/>
    <xf numFmtId="0" fontId="6" fillId="0" borderId="0"/>
    <xf numFmtId="0" fontId="10" fillId="0" borderId="0"/>
    <xf numFmtId="0" fontId="8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9" fillId="0" borderId="0"/>
    <xf numFmtId="0" fontId="10" fillId="0" borderId="0"/>
    <xf numFmtId="0" fontId="12" fillId="0" borderId="0"/>
    <xf numFmtId="0" fontId="10" fillId="0" borderId="0"/>
    <xf numFmtId="0" fontId="8" fillId="0" borderId="0"/>
    <xf numFmtId="0" fontId="10" fillId="0" borderId="0"/>
    <xf numFmtId="9" fontId="12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9" fillId="0" borderId="0"/>
    <xf numFmtId="0" fontId="8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1" fillId="0" borderId="0"/>
    <xf numFmtId="43" fontId="11" fillId="0" borderId="0" applyFont="0" applyFill="0" applyBorder="0" applyAlignment="0" applyProtection="0"/>
    <xf numFmtId="0" fontId="9" fillId="0" borderId="0"/>
    <xf numFmtId="0" fontId="8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9" fillId="0" borderId="0"/>
    <xf numFmtId="0" fontId="13" fillId="0" borderId="0"/>
    <xf numFmtId="0" fontId="4" fillId="0" borderId="0"/>
    <xf numFmtId="9" fontId="9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7" fillId="0" borderId="0" xfId="1" applyFont="1" applyAlignment="1">
      <alignment horizontal="center" vertical="top" wrapText="1"/>
    </xf>
    <xf numFmtId="49" fontId="8" fillId="0" borderId="0" xfId="0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/>
    </xf>
    <xf numFmtId="49" fontId="0" fillId="0" borderId="0" xfId="0" applyNumberFormat="1"/>
    <xf numFmtId="0" fontId="8" fillId="0" borderId="0" xfId="1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9" fontId="0" fillId="0" borderId="0" xfId="46" applyFont="1" applyAlignment="1">
      <alignment horizontal="center"/>
    </xf>
    <xf numFmtId="0" fontId="0" fillId="0" borderId="1" xfId="0" applyBorder="1" applyAlignment="1">
      <alignment horizontal="center"/>
    </xf>
    <xf numFmtId="49" fontId="14" fillId="0" borderId="1" xfId="0" applyNumberFormat="1" applyFont="1" applyBorder="1" applyAlignment="1">
      <alignment horizontal="center" wrapText="1"/>
    </xf>
    <xf numFmtId="164" fontId="15" fillId="0" borderId="0" xfId="0" applyNumberFormat="1" applyFont="1" applyAlignment="1">
      <alignment horizontal="centerContinuous"/>
    </xf>
    <xf numFmtId="49" fontId="15" fillId="0" borderId="0" xfId="0" applyNumberFormat="1" applyFont="1" applyAlignment="1">
      <alignment horizontal="centerContinuous"/>
    </xf>
    <xf numFmtId="165" fontId="15" fillId="0" borderId="0" xfId="0" applyNumberFormat="1" applyFont="1" applyAlignment="1">
      <alignment horizontal="centerContinuous"/>
    </xf>
    <xf numFmtId="0" fontId="15" fillId="0" borderId="0" xfId="0" applyFont="1" applyAlignment="1">
      <alignment horizontal="centerContinuous"/>
    </xf>
    <xf numFmtId="9" fontId="0" fillId="0" borderId="0" xfId="0" applyNumberFormat="1" applyAlignment="1">
      <alignment horizontal="center"/>
    </xf>
    <xf numFmtId="0" fontId="8" fillId="0" borderId="0" xfId="1" applyFont="1" applyAlignment="1">
      <alignment horizontal="center" vertical="center" wrapText="1"/>
    </xf>
  </cellXfs>
  <cellStyles count="52">
    <cellStyle name="Comma 2" xfId="7" xr:uid="{00000000-0005-0000-0000-000000000000}"/>
    <cellStyle name="Comma 2 2" xfId="36" xr:uid="{00000000-0005-0000-0000-000001000000}"/>
    <cellStyle name="Comma 2 3" xfId="33" xr:uid="{00000000-0005-0000-0000-000002000000}"/>
    <cellStyle name="Comma 3" xfId="4" xr:uid="{00000000-0005-0000-0000-000003000000}"/>
    <cellStyle name="Comma 3 2" xfId="27" xr:uid="{00000000-0005-0000-0000-000004000000}"/>
    <cellStyle name="Comma 3 3" xfId="22" xr:uid="{00000000-0005-0000-0000-000005000000}"/>
    <cellStyle name="Comma 4" xfId="41" xr:uid="{00000000-0005-0000-0000-000006000000}"/>
    <cellStyle name="Comma 5" xfId="48" xr:uid="{BF600554-B625-4869-8C60-FB3E782F175F}"/>
    <cellStyle name="Currency 2" xfId="5" xr:uid="{00000000-0005-0000-0000-000007000000}"/>
    <cellStyle name="Currency 3" xfId="38" xr:uid="{00000000-0005-0000-0000-000008000000}"/>
    <cellStyle name="Currency 4" xfId="37" xr:uid="{00000000-0005-0000-0000-000009000000}"/>
    <cellStyle name="Normal" xfId="0" builtinId="0"/>
    <cellStyle name="Normal 10" xfId="2" xr:uid="{00000000-0005-0000-0000-00000B000000}"/>
    <cellStyle name="Normal 11" xfId="45" xr:uid="{81AADC1B-9FD7-4EF7-9C6B-B8FE3C118064}"/>
    <cellStyle name="Normal 12" xfId="47" xr:uid="{4712E210-F122-469B-B5A6-99501A3BC9C6}"/>
    <cellStyle name="Normal 13" xfId="50" xr:uid="{7713FDF2-4185-46FE-9B9B-F613A40B1ACB}"/>
    <cellStyle name="Normal 14" xfId="51" xr:uid="{8BB9A715-4136-4122-80BC-2EC6CF737837}"/>
    <cellStyle name="Normal 2" xfId="1" xr:uid="{00000000-0005-0000-0000-00000C000000}"/>
    <cellStyle name="Normal 2 2" xfId="14" xr:uid="{00000000-0005-0000-0000-00000D000000}"/>
    <cellStyle name="Normal 2 3" xfId="11" xr:uid="{00000000-0005-0000-0000-00000E000000}"/>
    <cellStyle name="Normal 2 3 2" xfId="29" xr:uid="{00000000-0005-0000-0000-00000F000000}"/>
    <cellStyle name="Normal 2 3 3" xfId="24" xr:uid="{00000000-0005-0000-0000-000010000000}"/>
    <cellStyle name="Normal 2 4" xfId="44" xr:uid="{00000000-0005-0000-0000-000011000000}"/>
    <cellStyle name="Normal 2 5" xfId="3" xr:uid="{00000000-0005-0000-0000-000012000000}"/>
    <cellStyle name="Normal 3" xfId="9" xr:uid="{00000000-0005-0000-0000-000013000000}"/>
    <cellStyle name="Normal 3 2" xfId="20" xr:uid="{00000000-0005-0000-0000-000014000000}"/>
    <cellStyle name="Normal 3 3" xfId="13" xr:uid="{00000000-0005-0000-0000-000015000000}"/>
    <cellStyle name="Normal 3 3 2" xfId="30" xr:uid="{00000000-0005-0000-0000-000016000000}"/>
    <cellStyle name="Normal 3 3 3" xfId="25" xr:uid="{00000000-0005-0000-0000-000017000000}"/>
    <cellStyle name="Normal 3 4" xfId="35" xr:uid="{00000000-0005-0000-0000-000018000000}"/>
    <cellStyle name="Normal 4" xfId="15" xr:uid="{00000000-0005-0000-0000-000019000000}"/>
    <cellStyle name="Normal 4 2" xfId="19" xr:uid="{00000000-0005-0000-0000-00001A000000}"/>
    <cellStyle name="Normal 4 3" xfId="31" xr:uid="{00000000-0005-0000-0000-00001B000000}"/>
    <cellStyle name="Normal 4 4" xfId="26" xr:uid="{00000000-0005-0000-0000-00001C000000}"/>
    <cellStyle name="Normal 4 4 2" xfId="34" xr:uid="{00000000-0005-0000-0000-00001D000000}"/>
    <cellStyle name="Normal 4 5" xfId="32" xr:uid="{00000000-0005-0000-0000-00001E000000}"/>
    <cellStyle name="Normal 5" xfId="12" xr:uid="{00000000-0005-0000-0000-00001F000000}"/>
    <cellStyle name="Normal 6" xfId="17" xr:uid="{00000000-0005-0000-0000-000020000000}"/>
    <cellStyle name="Normal 7" xfId="10" xr:uid="{00000000-0005-0000-0000-000021000000}"/>
    <cellStyle name="Normal 8" xfId="39" xr:uid="{00000000-0005-0000-0000-000022000000}"/>
    <cellStyle name="Normal 8 2" xfId="40" xr:uid="{00000000-0005-0000-0000-000023000000}"/>
    <cellStyle name="Normal 9" xfId="43" xr:uid="{00000000-0005-0000-0000-000024000000}"/>
    <cellStyle name="Percent" xfId="46" builtinId="5"/>
    <cellStyle name="Percent 2" xfId="6" xr:uid="{00000000-0005-0000-0000-000025000000}"/>
    <cellStyle name="Percent 2 2" xfId="21" xr:uid="{00000000-0005-0000-0000-000026000000}"/>
    <cellStyle name="Percent 2 3" xfId="16" xr:uid="{00000000-0005-0000-0000-000027000000}"/>
    <cellStyle name="Percent 3" xfId="18" xr:uid="{00000000-0005-0000-0000-000028000000}"/>
    <cellStyle name="Percent 4" xfId="8" xr:uid="{00000000-0005-0000-0000-000029000000}"/>
    <cellStyle name="Percent 4 2" xfId="28" xr:uid="{00000000-0005-0000-0000-00002A000000}"/>
    <cellStyle name="Percent 4 3" xfId="23" xr:uid="{00000000-0005-0000-0000-00002B000000}"/>
    <cellStyle name="Percent 5" xfId="42" xr:uid="{00000000-0005-0000-0000-00002C000000}"/>
    <cellStyle name="Percent 6" xfId="49" xr:uid="{7CB71F3B-570E-4B22-AE04-7C35D8DA5915}"/>
  </cellStyles>
  <dxfs count="0"/>
  <tableStyles count="0" defaultTableStyle="TableStyleMedium2" defaultPivotStyle="PivotStyleLight16"/>
  <colors>
    <mruColors>
      <color rgb="FF0000FF"/>
      <color rgb="FFDCE7C3"/>
      <color rgb="FF89B8B9"/>
      <color rgb="FF7CB1B2"/>
      <color rgb="FF5F9EA0"/>
      <color rgb="FF778899"/>
      <color rgb="FFB0C4DE"/>
      <color rgb="FFEBF1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78"/>
  <sheetViews>
    <sheetView tabSelected="1" workbookViewId="0"/>
  </sheetViews>
  <sheetFormatPr defaultColWidth="10.6640625" defaultRowHeight="13.2" x14ac:dyDescent="0.25"/>
  <cols>
    <col min="1" max="3" width="15.88671875" style="3" customWidth="1"/>
    <col min="4" max="5" width="15.88671875" style="4" customWidth="1"/>
    <col min="6" max="6" width="18.88671875" style="5" customWidth="1"/>
    <col min="7" max="7" width="15.109375" style="1" customWidth="1"/>
    <col min="8" max="8" width="12.6640625" style="1" customWidth="1"/>
    <col min="9" max="16384" width="10.6640625" style="1"/>
  </cols>
  <sheetData>
    <row r="1" spans="1:8" x14ac:dyDescent="0.25">
      <c r="A1" s="17" t="s">
        <v>47</v>
      </c>
      <c r="B1" s="17"/>
      <c r="C1" s="17"/>
      <c r="D1" s="16"/>
      <c r="E1" s="16"/>
      <c r="F1" s="18"/>
      <c r="G1" s="19"/>
      <c r="H1" s="19"/>
    </row>
    <row r="2" spans="1:8" x14ac:dyDescent="0.25">
      <c r="A2" s="17" t="s">
        <v>48</v>
      </c>
      <c r="B2" s="17"/>
      <c r="C2" s="17"/>
      <c r="D2" s="16"/>
      <c r="E2" s="16"/>
      <c r="F2" s="18"/>
      <c r="G2" s="19"/>
      <c r="H2" s="19"/>
    </row>
    <row r="3" spans="1:8" x14ac:dyDescent="0.25">
      <c r="A3" s="17"/>
      <c r="B3" s="17"/>
      <c r="C3" s="17"/>
      <c r="D3" s="16"/>
      <c r="E3" s="16"/>
      <c r="F3" s="18"/>
      <c r="G3" s="19"/>
      <c r="H3" s="19"/>
    </row>
    <row r="4" spans="1:8" x14ac:dyDescent="0.25">
      <c r="A4" s="17" t="s">
        <v>45</v>
      </c>
      <c r="B4" s="17"/>
      <c r="C4" s="17"/>
      <c r="D4" s="16"/>
      <c r="E4" s="16"/>
      <c r="F4" s="18"/>
      <c r="G4" s="19"/>
      <c r="H4" s="19"/>
    </row>
    <row r="5" spans="1:8" x14ac:dyDescent="0.25">
      <c r="A5" s="17"/>
      <c r="B5" s="17"/>
      <c r="C5" s="17"/>
      <c r="D5" s="16"/>
      <c r="E5" s="16"/>
      <c r="F5" s="18"/>
      <c r="G5" s="19"/>
      <c r="H5" s="19"/>
    </row>
    <row r="6" spans="1:8" s="2" customFormat="1" ht="52.8" x14ac:dyDescent="0.25">
      <c r="A6" s="15" t="s">
        <v>44</v>
      </c>
      <c r="B6" s="15" t="s">
        <v>35</v>
      </c>
      <c r="C6" s="15" t="s">
        <v>36</v>
      </c>
      <c r="D6" s="15" t="s">
        <v>23</v>
      </c>
      <c r="E6" s="15" t="s">
        <v>27</v>
      </c>
      <c r="F6" s="15" t="s">
        <v>43</v>
      </c>
      <c r="G6" s="15" t="s">
        <v>39</v>
      </c>
      <c r="H6" s="15" t="s">
        <v>40</v>
      </c>
    </row>
    <row r="7" spans="1:8" ht="16.2" customHeight="1" x14ac:dyDescent="0.25">
      <c r="A7" s="7" t="s">
        <v>0</v>
      </c>
      <c r="B7" s="12">
        <f t="shared" ref="B7:B9" si="0">B8+1</f>
        <v>2022</v>
      </c>
      <c r="C7" s="12">
        <f t="shared" ref="C7:C9" si="1">C8+1</f>
        <v>2029</v>
      </c>
      <c r="D7" s="8">
        <v>1.1200000000000001</v>
      </c>
      <c r="E7" s="8">
        <f>D7</f>
        <v>1.1200000000000001</v>
      </c>
      <c r="F7" s="9">
        <f>E7/D7-1</f>
        <v>0</v>
      </c>
      <c r="G7" s="13">
        <f>E14/D7-1</f>
        <v>-0.16964285714285721</v>
      </c>
      <c r="H7" s="13">
        <f>(1+G7)*(1-$G$38)-1</f>
        <v>-2.179800890160899E-2</v>
      </c>
    </row>
    <row r="8" spans="1:8" ht="16.2" customHeight="1" x14ac:dyDescent="0.25">
      <c r="A8" s="7" t="s">
        <v>1</v>
      </c>
      <c r="B8" s="12">
        <f t="shared" si="0"/>
        <v>2021</v>
      </c>
      <c r="C8" s="12">
        <f t="shared" si="1"/>
        <v>2028</v>
      </c>
      <c r="D8" s="8">
        <v>1.0900000000000001</v>
      </c>
      <c r="E8" s="8">
        <f t="shared" ref="E8:E36" si="2">D8</f>
        <v>1.0900000000000001</v>
      </c>
      <c r="F8" s="9">
        <f t="shared" ref="F8:F36" si="3">E8/D8-1</f>
        <v>0</v>
      </c>
      <c r="G8" s="13">
        <f t="shared" ref="G8:G29" si="4">E15/D8-1</f>
        <v>-0.16513761467889909</v>
      </c>
      <c r="H8" s="13">
        <f t="shared" ref="H8:H36" si="5">(1+G8)*(1-$G$38)-1</f>
        <v>-1.6490609324770533E-2</v>
      </c>
    </row>
    <row r="9" spans="1:8" ht="16.2" customHeight="1" x14ac:dyDescent="0.25">
      <c r="A9" s="7" t="s">
        <v>2</v>
      </c>
      <c r="B9" s="12">
        <f t="shared" si="0"/>
        <v>2020</v>
      </c>
      <c r="C9" s="12">
        <f t="shared" si="1"/>
        <v>2027</v>
      </c>
      <c r="D9" s="8">
        <v>1.06</v>
      </c>
      <c r="E9" s="8">
        <f t="shared" si="2"/>
        <v>1.06</v>
      </c>
      <c r="F9" s="9">
        <f t="shared" si="3"/>
        <v>0</v>
      </c>
      <c r="G9" s="13">
        <f t="shared" si="4"/>
        <v>-0.19811320754716988</v>
      </c>
      <c r="H9" s="13">
        <f t="shared" si="5"/>
        <v>-5.5337496930748409E-2</v>
      </c>
    </row>
    <row r="10" spans="1:8" ht="16.2" customHeight="1" x14ac:dyDescent="0.25">
      <c r="A10" s="7" t="s">
        <v>3</v>
      </c>
      <c r="B10" s="12">
        <f>B11+1</f>
        <v>2019</v>
      </c>
      <c r="C10" s="12">
        <f>C11+1</f>
        <v>2026</v>
      </c>
      <c r="D10" s="8">
        <v>1.03</v>
      </c>
      <c r="E10" s="8">
        <f t="shared" si="2"/>
        <v>1.03</v>
      </c>
      <c r="F10" s="9">
        <f t="shared" si="3"/>
        <v>0</v>
      </c>
      <c r="G10" s="13">
        <f t="shared" si="4"/>
        <v>-0.18446601941747576</v>
      </c>
      <c r="H10" s="13">
        <f t="shared" si="5"/>
        <v>-3.9260430916206013E-2</v>
      </c>
    </row>
    <row r="11" spans="1:8" ht="16.2" customHeight="1" x14ac:dyDescent="0.25">
      <c r="A11" s="7" t="s">
        <v>4</v>
      </c>
      <c r="B11" s="12" t="s">
        <v>37</v>
      </c>
      <c r="C11" s="12" t="s">
        <v>38</v>
      </c>
      <c r="D11" s="8">
        <v>1</v>
      </c>
      <c r="E11" s="8">
        <f t="shared" si="2"/>
        <v>1</v>
      </c>
      <c r="F11" s="9">
        <f t="shared" si="3"/>
        <v>0</v>
      </c>
      <c r="G11" s="13">
        <f t="shared" si="4"/>
        <v>-0.18000000000000005</v>
      </c>
      <c r="H11" s="13">
        <f t="shared" si="5"/>
        <v>-3.3999238037889956E-2</v>
      </c>
    </row>
    <row r="12" spans="1:8" ht="16.2" customHeight="1" x14ac:dyDescent="0.25">
      <c r="A12" s="7" t="s">
        <v>5</v>
      </c>
      <c r="B12" s="12">
        <f>B11-1</f>
        <v>2017</v>
      </c>
      <c r="C12" s="12">
        <f>C11-1</f>
        <v>2024</v>
      </c>
      <c r="D12" s="8">
        <v>0.97</v>
      </c>
      <c r="E12" s="8">
        <f t="shared" si="2"/>
        <v>0.97</v>
      </c>
      <c r="F12" s="9">
        <f t="shared" si="3"/>
        <v>0</v>
      </c>
      <c r="G12" s="13">
        <f t="shared" si="4"/>
        <v>-0.18556701030927825</v>
      </c>
      <c r="H12" s="13">
        <f t="shared" si="5"/>
        <v>-4.0557452916687109E-2</v>
      </c>
    </row>
    <row r="13" spans="1:8" ht="16.2" customHeight="1" x14ac:dyDescent="0.25">
      <c r="A13" s="7" t="s">
        <v>6</v>
      </c>
      <c r="B13" s="12">
        <f t="shared" ref="B13:B36" si="6">B12-1</f>
        <v>2016</v>
      </c>
      <c r="C13" s="12">
        <f t="shared" ref="C13:C36" si="7">C12-1</f>
        <v>2023</v>
      </c>
      <c r="D13" s="8">
        <v>0.95</v>
      </c>
      <c r="E13" s="8">
        <f t="shared" si="2"/>
        <v>0.95</v>
      </c>
      <c r="F13" s="9">
        <f t="shared" si="3"/>
        <v>0</v>
      </c>
      <c r="G13" s="13">
        <f t="shared" si="4"/>
        <v>-0.18947368421052624</v>
      </c>
      <c r="H13" s="13">
        <f t="shared" si="5"/>
        <v>-4.5159708971983514E-2</v>
      </c>
    </row>
    <row r="14" spans="1:8" ht="16.2" customHeight="1" x14ac:dyDescent="0.25">
      <c r="A14" s="7" t="s">
        <v>7</v>
      </c>
      <c r="B14" s="12">
        <f t="shared" si="6"/>
        <v>2015</v>
      </c>
      <c r="C14" s="12">
        <f t="shared" si="7"/>
        <v>2022</v>
      </c>
      <c r="D14" s="8">
        <v>0.93</v>
      </c>
      <c r="E14" s="8">
        <f t="shared" si="2"/>
        <v>0.93</v>
      </c>
      <c r="F14" s="9">
        <f t="shared" si="3"/>
        <v>0</v>
      </c>
      <c r="G14" s="13">
        <f t="shared" si="4"/>
        <v>-0.22580645161290325</v>
      </c>
      <c r="H14" s="13">
        <f t="shared" si="5"/>
        <v>-8.7961515063310736E-2</v>
      </c>
    </row>
    <row r="15" spans="1:8" ht="16.2" customHeight="1" x14ac:dyDescent="0.25">
      <c r="A15" s="7" t="s">
        <v>8</v>
      </c>
      <c r="B15" s="12">
        <f t="shared" si="6"/>
        <v>2014</v>
      </c>
      <c r="C15" s="12">
        <f t="shared" si="7"/>
        <v>2021</v>
      </c>
      <c r="D15" s="8">
        <v>0.91</v>
      </c>
      <c r="E15" s="8">
        <f t="shared" si="2"/>
        <v>0.91</v>
      </c>
      <c r="F15" s="9">
        <f t="shared" si="3"/>
        <v>0</v>
      </c>
      <c r="G15" s="13">
        <f t="shared" si="4"/>
        <v>-0.23076923076923084</v>
      </c>
      <c r="H15" s="13">
        <f t="shared" si="5"/>
        <v>-9.3807915607776793E-2</v>
      </c>
    </row>
    <row r="16" spans="1:8" ht="16.2" customHeight="1" x14ac:dyDescent="0.25">
      <c r="A16" s="7" t="s">
        <v>9</v>
      </c>
      <c r="B16" s="12">
        <f t="shared" si="6"/>
        <v>2013</v>
      </c>
      <c r="C16" s="12">
        <f t="shared" si="7"/>
        <v>2020</v>
      </c>
      <c r="D16" s="8">
        <v>0.85</v>
      </c>
      <c r="E16" s="8">
        <f t="shared" si="2"/>
        <v>0.85</v>
      </c>
      <c r="F16" s="9">
        <f t="shared" si="3"/>
        <v>0</v>
      </c>
      <c r="G16" s="13">
        <f t="shared" si="4"/>
        <v>-0.21176470588235285</v>
      </c>
      <c r="H16" s="13">
        <f t="shared" si="5"/>
        <v>-7.1419640581615762E-2</v>
      </c>
    </row>
    <row r="17" spans="1:8" ht="16.2" customHeight="1" x14ac:dyDescent="0.25">
      <c r="A17" s="7" t="s">
        <v>10</v>
      </c>
      <c r="B17" s="12">
        <f t="shared" si="6"/>
        <v>2012</v>
      </c>
      <c r="C17" s="12">
        <f t="shared" si="7"/>
        <v>2019</v>
      </c>
      <c r="D17" s="8">
        <v>0.84</v>
      </c>
      <c r="E17" s="8">
        <f t="shared" si="2"/>
        <v>0.84</v>
      </c>
      <c r="F17" s="9">
        <f t="shared" si="3"/>
        <v>0</v>
      </c>
      <c r="G17" s="13">
        <f t="shared" si="4"/>
        <v>-0.23809523809523803</v>
      </c>
      <c r="H17" s="13">
        <f t="shared" si="5"/>
        <v>-0.10243831641151202</v>
      </c>
    </row>
    <row r="18" spans="1:8" ht="16.2" customHeight="1" x14ac:dyDescent="0.25">
      <c r="A18" s="7" t="s">
        <v>11</v>
      </c>
      <c r="B18" s="12">
        <f t="shared" si="6"/>
        <v>2011</v>
      </c>
      <c r="C18" s="12">
        <f t="shared" si="7"/>
        <v>2018</v>
      </c>
      <c r="D18" s="8">
        <v>0.82</v>
      </c>
      <c r="E18" s="8">
        <f t="shared" si="2"/>
        <v>0.82</v>
      </c>
      <c r="F18" s="9">
        <f t="shared" si="3"/>
        <v>0</v>
      </c>
      <c r="G18" s="13">
        <f t="shared" si="4"/>
        <v>-0.24390243902439024</v>
      </c>
      <c r="H18" s="13">
        <f t="shared" si="5"/>
        <v>-0.10927948778032681</v>
      </c>
    </row>
    <row r="19" spans="1:8" ht="16.2" customHeight="1" x14ac:dyDescent="0.25">
      <c r="A19" s="7" t="s">
        <v>12</v>
      </c>
      <c r="B19" s="12">
        <f t="shared" si="6"/>
        <v>2010</v>
      </c>
      <c r="C19" s="12">
        <f t="shared" si="7"/>
        <v>2017</v>
      </c>
      <c r="D19" s="8">
        <v>0.79</v>
      </c>
      <c r="E19" s="8">
        <f t="shared" si="2"/>
        <v>0.79</v>
      </c>
      <c r="F19" s="9">
        <f t="shared" si="3"/>
        <v>0</v>
      </c>
      <c r="G19" s="13">
        <f t="shared" si="4"/>
        <v>-0.24050632911392411</v>
      </c>
      <c r="H19" s="13">
        <f t="shared" si="5"/>
        <v>-0.10527870148615937</v>
      </c>
    </row>
    <row r="20" spans="1:8" ht="16.2" customHeight="1" x14ac:dyDescent="0.25">
      <c r="A20" s="7" t="s">
        <v>13</v>
      </c>
      <c r="B20" s="12">
        <f t="shared" si="6"/>
        <v>2009</v>
      </c>
      <c r="C20" s="12">
        <f t="shared" si="7"/>
        <v>2016</v>
      </c>
      <c r="D20" s="8">
        <v>0.77</v>
      </c>
      <c r="E20" s="8">
        <f t="shared" si="2"/>
        <v>0.77</v>
      </c>
      <c r="F20" s="9">
        <f t="shared" si="3"/>
        <v>0</v>
      </c>
      <c r="G20" s="13">
        <f t="shared" si="4"/>
        <v>-0.24675324675324684</v>
      </c>
      <c r="H20" s="13">
        <f t="shared" si="5"/>
        <v>-0.11263788099774508</v>
      </c>
    </row>
    <row r="21" spans="1:8" ht="16.2" customHeight="1" x14ac:dyDescent="0.25">
      <c r="A21" s="7" t="s">
        <v>14</v>
      </c>
      <c r="B21" s="12">
        <f t="shared" si="6"/>
        <v>2008</v>
      </c>
      <c r="C21" s="12">
        <f t="shared" si="7"/>
        <v>2015</v>
      </c>
      <c r="D21" s="8">
        <v>0.72</v>
      </c>
      <c r="E21" s="8">
        <f t="shared" si="2"/>
        <v>0.72</v>
      </c>
      <c r="F21" s="9">
        <f t="shared" si="3"/>
        <v>0</v>
      </c>
      <c r="G21" s="13">
        <f t="shared" si="4"/>
        <v>-0.19444444444444442</v>
      </c>
      <c r="H21" s="13">
        <f t="shared" si="5"/>
        <v>-5.1015511622588328E-2</v>
      </c>
    </row>
    <row r="22" spans="1:8" ht="16.2" customHeight="1" x14ac:dyDescent="0.25">
      <c r="A22" s="7" t="s">
        <v>15</v>
      </c>
      <c r="B22" s="12">
        <f t="shared" si="6"/>
        <v>2007</v>
      </c>
      <c r="C22" s="12">
        <f t="shared" si="7"/>
        <v>2014</v>
      </c>
      <c r="D22" s="8">
        <v>0.7</v>
      </c>
      <c r="E22" s="8">
        <f t="shared" si="2"/>
        <v>0.7</v>
      </c>
      <c r="F22" s="9">
        <f t="shared" si="3"/>
        <v>0</v>
      </c>
      <c r="G22" s="13">
        <f t="shared" si="4"/>
        <v>-0.17142857142857149</v>
      </c>
      <c r="H22" s="13">
        <f t="shared" si="5"/>
        <v>-2.3901669097519562E-2</v>
      </c>
    </row>
    <row r="23" spans="1:8" ht="16.2" customHeight="1" x14ac:dyDescent="0.25">
      <c r="A23" s="7" t="s">
        <v>16</v>
      </c>
      <c r="B23" s="12">
        <f t="shared" si="6"/>
        <v>2006</v>
      </c>
      <c r="C23" s="12">
        <f t="shared" si="7"/>
        <v>2013</v>
      </c>
      <c r="D23" s="8">
        <v>0.67</v>
      </c>
      <c r="E23" s="8">
        <f t="shared" si="2"/>
        <v>0.67</v>
      </c>
      <c r="F23" s="9">
        <f t="shared" si="3"/>
        <v>0</v>
      </c>
      <c r="G23" s="13">
        <f t="shared" si="4"/>
        <v>-0.13432835820895539</v>
      </c>
      <c r="H23" s="13">
        <f t="shared" si="5"/>
        <v>1.9804226316024298E-2</v>
      </c>
    </row>
    <row r="24" spans="1:8" ht="16.2" customHeight="1" x14ac:dyDescent="0.25">
      <c r="A24" s="7" t="s">
        <v>17</v>
      </c>
      <c r="B24" s="12">
        <f t="shared" si="6"/>
        <v>2005</v>
      </c>
      <c r="C24" s="12">
        <f t="shared" si="7"/>
        <v>2012</v>
      </c>
      <c r="D24" s="8">
        <v>0.64</v>
      </c>
      <c r="E24" s="8">
        <f t="shared" si="2"/>
        <v>0.64</v>
      </c>
      <c r="F24" s="9">
        <f t="shared" si="3"/>
        <v>0</v>
      </c>
      <c r="G24" s="13">
        <f t="shared" si="4"/>
        <v>-9.3750000000000111E-2</v>
      </c>
      <c r="H24" s="13">
        <f t="shared" si="5"/>
        <v>6.760754942458802E-2</v>
      </c>
    </row>
    <row r="25" spans="1:8" ht="16.2" customHeight="1" x14ac:dyDescent="0.25">
      <c r="A25" s="7" t="s">
        <v>18</v>
      </c>
      <c r="B25" s="12">
        <f t="shared" si="6"/>
        <v>2004</v>
      </c>
      <c r="C25" s="12">
        <f t="shared" si="7"/>
        <v>2011</v>
      </c>
      <c r="D25" s="8">
        <v>0.62</v>
      </c>
      <c r="E25" s="8">
        <f t="shared" si="2"/>
        <v>0.62</v>
      </c>
      <c r="F25" s="9">
        <f t="shared" si="3"/>
        <v>0</v>
      </c>
      <c r="G25" s="13">
        <f t="shared" si="4"/>
        <v>-6.4516129032258118E-2</v>
      </c>
      <c r="H25" s="13">
        <f t="shared" si="5"/>
        <v>0.1020465026318329</v>
      </c>
    </row>
    <row r="26" spans="1:8" ht="16.2" customHeight="1" x14ac:dyDescent="0.25">
      <c r="A26" s="7" t="s">
        <v>19</v>
      </c>
      <c r="B26" s="12">
        <f t="shared" si="6"/>
        <v>2003</v>
      </c>
      <c r="C26" s="12">
        <f t="shared" si="7"/>
        <v>2010</v>
      </c>
      <c r="D26" s="8">
        <v>0.6</v>
      </c>
      <c r="E26" s="8">
        <f t="shared" si="2"/>
        <v>0.6</v>
      </c>
      <c r="F26" s="9">
        <f t="shared" si="3"/>
        <v>0</v>
      </c>
      <c r="G26" s="13">
        <f t="shared" si="4"/>
        <v>-3.3333333333333326E-2</v>
      </c>
      <c r="H26" s="13">
        <f t="shared" si="5"/>
        <v>0.13878138605289392</v>
      </c>
    </row>
    <row r="27" spans="1:8" ht="16.2" customHeight="1" x14ac:dyDescent="0.25">
      <c r="A27" s="7" t="s">
        <v>20</v>
      </c>
      <c r="B27" s="12">
        <f t="shared" si="6"/>
        <v>2002</v>
      </c>
      <c r="C27" s="12">
        <f t="shared" si="7"/>
        <v>2009</v>
      </c>
      <c r="D27" s="8">
        <v>0.57999999999999996</v>
      </c>
      <c r="E27" s="8">
        <f t="shared" si="2"/>
        <v>0.57999999999999996</v>
      </c>
      <c r="F27" s="9">
        <f t="shared" si="3"/>
        <v>0</v>
      </c>
      <c r="G27" s="13">
        <f>E34/D27-1</f>
        <v>0</v>
      </c>
      <c r="H27" s="13">
        <f t="shared" si="5"/>
        <v>0.17804970970989031</v>
      </c>
    </row>
    <row r="28" spans="1:8" ht="16.2" customHeight="1" x14ac:dyDescent="0.25">
      <c r="A28" s="7" t="s">
        <v>21</v>
      </c>
      <c r="B28" s="12">
        <f t="shared" si="6"/>
        <v>2001</v>
      </c>
      <c r="C28" s="12">
        <f t="shared" si="7"/>
        <v>2008</v>
      </c>
      <c r="D28" s="8">
        <v>0.57999999999999996</v>
      </c>
      <c r="E28" s="8">
        <f t="shared" si="2"/>
        <v>0.57999999999999996</v>
      </c>
      <c r="F28" s="9">
        <f t="shared" si="3"/>
        <v>0</v>
      </c>
      <c r="G28" s="13">
        <f t="shared" si="4"/>
        <v>0</v>
      </c>
      <c r="H28" s="13">
        <f t="shared" si="5"/>
        <v>0.17804970970989031</v>
      </c>
    </row>
    <row r="29" spans="1:8" ht="16.2" customHeight="1" x14ac:dyDescent="0.25">
      <c r="A29" s="7" t="s">
        <v>22</v>
      </c>
      <c r="B29" s="12">
        <f t="shared" si="6"/>
        <v>2000</v>
      </c>
      <c r="C29" s="12">
        <f t="shared" si="7"/>
        <v>2007</v>
      </c>
      <c r="D29" s="8">
        <v>0.57999999999999996</v>
      </c>
      <c r="E29" s="8">
        <f t="shared" si="2"/>
        <v>0.57999999999999996</v>
      </c>
      <c r="F29" s="9">
        <f t="shared" si="3"/>
        <v>0</v>
      </c>
      <c r="G29" s="13">
        <f t="shared" si="4"/>
        <v>0</v>
      </c>
      <c r="H29" s="13">
        <f t="shared" si="5"/>
        <v>0.17804970970989031</v>
      </c>
    </row>
    <row r="30" spans="1:8" ht="16.2" customHeight="1" x14ac:dyDescent="0.25">
      <c r="A30" s="7" t="s">
        <v>26</v>
      </c>
      <c r="B30" s="12">
        <f t="shared" si="6"/>
        <v>1999</v>
      </c>
      <c r="C30" s="12">
        <f t="shared" si="7"/>
        <v>2006</v>
      </c>
      <c r="D30" s="8">
        <v>0.57999999999999996</v>
      </c>
      <c r="E30" s="8">
        <f t="shared" si="2"/>
        <v>0.57999999999999996</v>
      </c>
      <c r="F30" s="9">
        <f t="shared" si="3"/>
        <v>0</v>
      </c>
      <c r="G30" s="13">
        <f>E36/D29-1</f>
        <v>0</v>
      </c>
      <c r="H30" s="13">
        <f t="shared" si="5"/>
        <v>0.17804970970989031</v>
      </c>
    </row>
    <row r="31" spans="1:8" ht="16.2" customHeight="1" x14ac:dyDescent="0.25">
      <c r="A31" s="7" t="s">
        <v>29</v>
      </c>
      <c r="B31" s="12">
        <f t="shared" si="6"/>
        <v>1998</v>
      </c>
      <c r="C31" s="12">
        <f t="shared" si="7"/>
        <v>2005</v>
      </c>
      <c r="D31" s="8">
        <v>0.57999999999999996</v>
      </c>
      <c r="E31" s="8">
        <f t="shared" si="2"/>
        <v>0.57999999999999996</v>
      </c>
      <c r="F31" s="9">
        <f t="shared" si="3"/>
        <v>0</v>
      </c>
      <c r="G31" s="13">
        <f>$E$36/D31-1</f>
        <v>0</v>
      </c>
      <c r="H31" s="13">
        <f t="shared" si="5"/>
        <v>0.17804970970989031</v>
      </c>
    </row>
    <row r="32" spans="1:8" ht="16.2" customHeight="1" x14ac:dyDescent="0.25">
      <c r="A32" s="7" t="s">
        <v>30</v>
      </c>
      <c r="B32" s="12">
        <f t="shared" si="6"/>
        <v>1997</v>
      </c>
      <c r="C32" s="12">
        <f t="shared" si="7"/>
        <v>2004</v>
      </c>
      <c r="D32" s="8">
        <v>0.57999999999999996</v>
      </c>
      <c r="E32" s="8">
        <f t="shared" si="2"/>
        <v>0.57999999999999996</v>
      </c>
      <c r="F32" s="9">
        <f t="shared" si="3"/>
        <v>0</v>
      </c>
      <c r="G32" s="13">
        <f t="shared" ref="G32:G36" si="8">$E$36/D32-1</f>
        <v>0</v>
      </c>
      <c r="H32" s="13">
        <f t="shared" si="5"/>
        <v>0.17804970970989031</v>
      </c>
    </row>
    <row r="33" spans="1:8" ht="16.2" customHeight="1" x14ac:dyDescent="0.25">
      <c r="A33" s="7" t="s">
        <v>31</v>
      </c>
      <c r="B33" s="12">
        <f t="shared" si="6"/>
        <v>1996</v>
      </c>
      <c r="C33" s="12">
        <f t="shared" si="7"/>
        <v>2003</v>
      </c>
      <c r="D33" s="8">
        <v>0.57999999999999996</v>
      </c>
      <c r="E33" s="8">
        <f t="shared" si="2"/>
        <v>0.57999999999999996</v>
      </c>
      <c r="F33" s="9">
        <f t="shared" si="3"/>
        <v>0</v>
      </c>
      <c r="G33" s="13">
        <f t="shared" si="8"/>
        <v>0</v>
      </c>
      <c r="H33" s="13">
        <f t="shared" si="5"/>
        <v>0.17804970970989031</v>
      </c>
    </row>
    <row r="34" spans="1:8" ht="16.2" customHeight="1" x14ac:dyDescent="0.25">
      <c r="A34" s="7" t="s">
        <v>32</v>
      </c>
      <c r="B34" s="12">
        <f t="shared" si="6"/>
        <v>1995</v>
      </c>
      <c r="C34" s="12">
        <f t="shared" si="7"/>
        <v>2002</v>
      </c>
      <c r="D34" s="8">
        <v>0.57999999999999996</v>
      </c>
      <c r="E34" s="8">
        <f t="shared" si="2"/>
        <v>0.57999999999999996</v>
      </c>
      <c r="F34" s="9">
        <f t="shared" si="3"/>
        <v>0</v>
      </c>
      <c r="G34" s="13">
        <f t="shared" si="8"/>
        <v>0</v>
      </c>
      <c r="H34" s="13">
        <f t="shared" si="5"/>
        <v>0.17804970970989031</v>
      </c>
    </row>
    <row r="35" spans="1:8" ht="16.2" customHeight="1" x14ac:dyDescent="0.25">
      <c r="A35" s="7" t="s">
        <v>33</v>
      </c>
      <c r="B35" s="12">
        <f t="shared" si="6"/>
        <v>1994</v>
      </c>
      <c r="C35" s="12">
        <f t="shared" si="7"/>
        <v>2001</v>
      </c>
      <c r="D35" s="8">
        <v>0.57999999999999996</v>
      </c>
      <c r="E35" s="8">
        <f t="shared" si="2"/>
        <v>0.57999999999999996</v>
      </c>
      <c r="F35" s="9">
        <f t="shared" si="3"/>
        <v>0</v>
      </c>
      <c r="G35" s="13">
        <f t="shared" si="8"/>
        <v>0</v>
      </c>
      <c r="H35" s="13">
        <f t="shared" si="5"/>
        <v>0.17804970970989031</v>
      </c>
    </row>
    <row r="36" spans="1:8" ht="16.2" customHeight="1" x14ac:dyDescent="0.25">
      <c r="A36" s="7" t="s">
        <v>34</v>
      </c>
      <c r="B36" s="12">
        <f t="shared" si="6"/>
        <v>1993</v>
      </c>
      <c r="C36" s="12">
        <f t="shared" si="7"/>
        <v>2000</v>
      </c>
      <c r="D36" s="8">
        <v>0.57999999999999996</v>
      </c>
      <c r="E36" s="8">
        <f t="shared" si="2"/>
        <v>0.57999999999999996</v>
      </c>
      <c r="F36" s="9">
        <f t="shared" si="3"/>
        <v>0</v>
      </c>
      <c r="G36" s="13">
        <f t="shared" si="8"/>
        <v>0</v>
      </c>
      <c r="H36" s="13">
        <f t="shared" si="5"/>
        <v>0.17804970970989031</v>
      </c>
    </row>
    <row r="37" spans="1:8" ht="15" customHeight="1" x14ac:dyDescent="0.25">
      <c r="G37" s="14"/>
    </row>
    <row r="38" spans="1:8" ht="16.2" customHeight="1" x14ac:dyDescent="0.25">
      <c r="A38" s="21" t="s">
        <v>24</v>
      </c>
      <c r="B38" s="11"/>
      <c r="C38" s="6" t="s">
        <v>41</v>
      </c>
      <c r="D38" s="6" t="s">
        <v>28</v>
      </c>
      <c r="F38" s="5" t="s">
        <v>42</v>
      </c>
      <c r="G38" s="20">
        <v>-0.17804970970989026</v>
      </c>
      <c r="H38" s="20"/>
    </row>
    <row r="39" spans="1:8" ht="16.2" customHeight="1" x14ac:dyDescent="0.25">
      <c r="A39" s="21"/>
      <c r="B39" s="11"/>
      <c r="C39" s="1">
        <v>2018</v>
      </c>
      <c r="D39" s="1">
        <v>2025</v>
      </c>
    </row>
    <row r="40" spans="1:8" ht="16.2" customHeight="1" x14ac:dyDescent="0.25"/>
    <row r="41" spans="1:8" ht="16.2" customHeight="1" x14ac:dyDescent="0.25">
      <c r="A41" s="10" t="s">
        <v>25</v>
      </c>
      <c r="B41" s="10"/>
      <c r="C41" s="10"/>
      <c r="D41" s="10"/>
      <c r="E41" s="10"/>
      <c r="F41" s="10"/>
    </row>
    <row r="42" spans="1:8" ht="15" customHeight="1" x14ac:dyDescent="0.25"/>
    <row r="43" spans="1:8" ht="15" customHeight="1" x14ac:dyDescent="0.25"/>
    <row r="44" spans="1:8" ht="15" customHeight="1" x14ac:dyDescent="0.25"/>
    <row r="45" spans="1:8" ht="15" customHeight="1" x14ac:dyDescent="0.25"/>
    <row r="46" spans="1:8" ht="15" customHeight="1" x14ac:dyDescent="0.25"/>
    <row r="47" spans="1:8" ht="15" customHeight="1" x14ac:dyDescent="0.25"/>
    <row r="48" spans="1: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</sheetData>
  <mergeCells count="1">
    <mergeCell ref="A38:A39"/>
  </mergeCells>
  <printOptions horizontalCentered="1"/>
  <pageMargins left="0.7" right="0.7" top="0.75" bottom="0.5" header="0.5" footer="0.30555555555555602"/>
  <pageSetup scale="72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6AF4F-3180-4121-A27C-0282BA2044CC}">
  <sheetPr codeName="Sheet3"/>
  <dimension ref="A1:H78"/>
  <sheetViews>
    <sheetView workbookViewId="0">
      <selection activeCell="A2" sqref="A2"/>
    </sheetView>
  </sheetViews>
  <sheetFormatPr defaultColWidth="10.6640625" defaultRowHeight="13.2" x14ac:dyDescent="0.25"/>
  <cols>
    <col min="1" max="3" width="15.88671875" style="3" customWidth="1"/>
    <col min="4" max="5" width="15.88671875" style="4" customWidth="1"/>
    <col min="6" max="6" width="18.88671875" style="5" customWidth="1"/>
    <col min="7" max="7" width="15.109375" style="1" customWidth="1"/>
    <col min="8" max="8" width="12.6640625" style="1" customWidth="1"/>
    <col min="9" max="16384" width="10.6640625" style="1"/>
  </cols>
  <sheetData>
    <row r="1" spans="1:8" x14ac:dyDescent="0.25">
      <c r="A1" s="17" t="s">
        <v>47</v>
      </c>
      <c r="B1" s="17"/>
      <c r="C1" s="17"/>
      <c r="D1" s="16"/>
      <c r="E1" s="16"/>
      <c r="F1" s="18"/>
      <c r="G1" s="19"/>
      <c r="H1" s="19"/>
    </row>
    <row r="2" spans="1:8" x14ac:dyDescent="0.25">
      <c r="A2" s="17" t="s">
        <v>48</v>
      </c>
      <c r="B2" s="17"/>
      <c r="C2" s="17"/>
      <c r="D2" s="16"/>
      <c r="E2" s="16"/>
      <c r="F2" s="18"/>
      <c r="G2" s="19"/>
      <c r="H2" s="19"/>
    </row>
    <row r="3" spans="1:8" x14ac:dyDescent="0.25">
      <c r="A3" s="17"/>
      <c r="B3" s="17"/>
      <c r="C3" s="17"/>
      <c r="D3" s="16"/>
      <c r="E3" s="16"/>
      <c r="F3" s="18"/>
      <c r="G3" s="19"/>
      <c r="H3" s="19"/>
    </row>
    <row r="4" spans="1:8" x14ac:dyDescent="0.25">
      <c r="A4" s="17" t="s">
        <v>46</v>
      </c>
      <c r="B4" s="17"/>
      <c r="C4" s="17"/>
      <c r="D4" s="16"/>
      <c r="E4" s="16"/>
      <c r="F4" s="18"/>
      <c r="G4" s="19"/>
      <c r="H4" s="19"/>
    </row>
    <row r="5" spans="1:8" x14ac:dyDescent="0.25">
      <c r="A5" s="17"/>
      <c r="B5" s="17"/>
      <c r="C5" s="17"/>
      <c r="D5" s="16"/>
      <c r="E5" s="16"/>
      <c r="F5" s="18"/>
      <c r="G5" s="19"/>
      <c r="H5" s="19"/>
    </row>
    <row r="6" spans="1:8" s="2" customFormat="1" ht="52.8" x14ac:dyDescent="0.25">
      <c r="A6" s="15" t="s">
        <v>44</v>
      </c>
      <c r="B6" s="15" t="s">
        <v>35</v>
      </c>
      <c r="C6" s="15" t="s">
        <v>36</v>
      </c>
      <c r="D6" s="15" t="s">
        <v>23</v>
      </c>
      <c r="E6" s="15" t="s">
        <v>27</v>
      </c>
      <c r="F6" s="15" t="s">
        <v>43</v>
      </c>
      <c r="G6" s="15" t="s">
        <v>39</v>
      </c>
      <c r="H6" s="15" t="s">
        <v>40</v>
      </c>
    </row>
    <row r="7" spans="1:8" ht="16.2" customHeight="1" x14ac:dyDescent="0.25">
      <c r="A7" s="7" t="s">
        <v>0</v>
      </c>
      <c r="B7" s="12">
        <f>B8+1</f>
        <v>2022</v>
      </c>
      <c r="C7" s="12">
        <f t="shared" ref="B7:C9" si="0">C8+1</f>
        <v>2029</v>
      </c>
      <c r="D7" s="8">
        <v>1.22</v>
      </c>
      <c r="E7" s="8">
        <f>D7</f>
        <v>1.22</v>
      </c>
      <c r="F7" s="9">
        <f>E7/D7-1</f>
        <v>0</v>
      </c>
      <c r="G7" s="13">
        <f>E14/D7-1</f>
        <v>-0.27868852459016391</v>
      </c>
      <c r="H7" s="13">
        <f>(1+G7)*(1-$G$38)-1</f>
        <v>-8.2333061429589849E-2</v>
      </c>
    </row>
    <row r="8" spans="1:8" ht="16.2" customHeight="1" x14ac:dyDescent="0.25">
      <c r="A8" s="7" t="s">
        <v>1</v>
      </c>
      <c r="B8" s="12">
        <f t="shared" si="0"/>
        <v>2021</v>
      </c>
      <c r="C8" s="12">
        <f t="shared" si="0"/>
        <v>2028</v>
      </c>
      <c r="D8" s="8">
        <v>1.1599999999999999</v>
      </c>
      <c r="E8" s="8">
        <f t="shared" ref="E8:E36" si="1">D8</f>
        <v>1.1599999999999999</v>
      </c>
      <c r="F8" s="9">
        <f t="shared" ref="F8:F36" si="2">E8/D8-1</f>
        <v>0</v>
      </c>
      <c r="G8" s="13">
        <f t="shared" ref="G8:G29" si="3">E15/D8-1</f>
        <v>-0.27586206896551724</v>
      </c>
      <c r="H8" s="13">
        <f t="shared" ref="H8:H36" si="4">(1+G8)*(1-$G$38)-1</f>
        <v>-7.8737187845850043E-2</v>
      </c>
    </row>
    <row r="9" spans="1:8" ht="16.2" customHeight="1" x14ac:dyDescent="0.25">
      <c r="A9" s="7" t="s">
        <v>2</v>
      </c>
      <c r="B9" s="12">
        <f t="shared" si="0"/>
        <v>2020</v>
      </c>
      <c r="C9" s="12">
        <f t="shared" si="0"/>
        <v>2027</v>
      </c>
      <c r="D9" s="8">
        <v>1.1000000000000001</v>
      </c>
      <c r="E9" s="8">
        <f t="shared" si="1"/>
        <v>1.1000000000000001</v>
      </c>
      <c r="F9" s="9">
        <f t="shared" si="2"/>
        <v>0</v>
      </c>
      <c r="G9" s="13">
        <f t="shared" si="3"/>
        <v>-0.27272727272727271</v>
      </c>
      <c r="H9" s="13">
        <f t="shared" si="4"/>
        <v>-7.4749037143884034E-2</v>
      </c>
    </row>
    <row r="10" spans="1:8" ht="16.2" customHeight="1" x14ac:dyDescent="0.25">
      <c r="A10" s="7" t="s">
        <v>3</v>
      </c>
      <c r="B10" s="12">
        <f>B11+1</f>
        <v>2019</v>
      </c>
      <c r="C10" s="12">
        <f>C11+1</f>
        <v>2026</v>
      </c>
      <c r="D10" s="8">
        <v>1.05</v>
      </c>
      <c r="E10" s="8">
        <f t="shared" si="1"/>
        <v>1.05</v>
      </c>
      <c r="F10" s="9">
        <f t="shared" si="2"/>
        <v>0</v>
      </c>
      <c r="G10" s="13">
        <f t="shared" si="3"/>
        <v>-0.27619047619047621</v>
      </c>
      <c r="H10" s="13">
        <f t="shared" si="4"/>
        <v>-7.9154994109865595E-2</v>
      </c>
    </row>
    <row r="11" spans="1:8" ht="16.2" customHeight="1" x14ac:dyDescent="0.25">
      <c r="A11" s="7" t="s">
        <v>4</v>
      </c>
      <c r="B11" s="12" t="s">
        <v>37</v>
      </c>
      <c r="C11" s="12" t="s">
        <v>38</v>
      </c>
      <c r="D11" s="8">
        <v>1</v>
      </c>
      <c r="E11" s="8">
        <f t="shared" si="1"/>
        <v>1</v>
      </c>
      <c r="F11" s="9">
        <f t="shared" si="2"/>
        <v>0</v>
      </c>
      <c r="G11" s="13">
        <f t="shared" si="3"/>
        <v>-0.28000000000000003</v>
      </c>
      <c r="H11" s="13">
        <f t="shared" si="4"/>
        <v>-8.4001546772445312E-2</v>
      </c>
    </row>
    <row r="12" spans="1:8" ht="16.2" customHeight="1" x14ac:dyDescent="0.25">
      <c r="A12" s="7" t="s">
        <v>5</v>
      </c>
      <c r="B12" s="12">
        <f>B11-1</f>
        <v>2017</v>
      </c>
      <c r="C12" s="12">
        <f>C11-1</f>
        <v>2024</v>
      </c>
      <c r="D12" s="8">
        <v>0.96</v>
      </c>
      <c r="E12" s="8">
        <f t="shared" si="1"/>
        <v>0.96</v>
      </c>
      <c r="F12" s="9">
        <f t="shared" si="2"/>
        <v>0</v>
      </c>
      <c r="G12" s="13">
        <f t="shared" si="3"/>
        <v>-0.29166666666666663</v>
      </c>
      <c r="H12" s="13">
        <f t="shared" si="4"/>
        <v>-9.8844114301595343E-2</v>
      </c>
    </row>
    <row r="13" spans="1:8" ht="16.2" customHeight="1" x14ac:dyDescent="0.25">
      <c r="A13" s="7" t="s">
        <v>6</v>
      </c>
      <c r="B13" s="12">
        <f t="shared" ref="B13:C28" si="5">B12-1</f>
        <v>2016</v>
      </c>
      <c r="C13" s="12">
        <f t="shared" si="5"/>
        <v>2023</v>
      </c>
      <c r="D13" s="8">
        <v>0.92</v>
      </c>
      <c r="E13" s="8">
        <f t="shared" si="1"/>
        <v>0.92</v>
      </c>
      <c r="F13" s="9">
        <f t="shared" si="2"/>
        <v>0</v>
      </c>
      <c r="G13" s="13">
        <f t="shared" si="3"/>
        <v>-0.30434782608695654</v>
      </c>
      <c r="H13" s="13">
        <f t="shared" si="4"/>
        <v>-0.11497733987675873</v>
      </c>
    </row>
    <row r="14" spans="1:8" ht="16.2" customHeight="1" x14ac:dyDescent="0.25">
      <c r="A14" s="7" t="s">
        <v>7</v>
      </c>
      <c r="B14" s="12">
        <f t="shared" si="5"/>
        <v>2015</v>
      </c>
      <c r="C14" s="12">
        <f t="shared" si="5"/>
        <v>2022</v>
      </c>
      <c r="D14" s="8">
        <v>0.88</v>
      </c>
      <c r="E14" s="8">
        <f t="shared" si="1"/>
        <v>0.88</v>
      </c>
      <c r="F14" s="9">
        <f t="shared" si="2"/>
        <v>0</v>
      </c>
      <c r="G14" s="13">
        <f t="shared" si="3"/>
        <v>-0.31818181818181823</v>
      </c>
      <c r="H14" s="13">
        <f t="shared" si="4"/>
        <v>-0.13257722232239133</v>
      </c>
    </row>
    <row r="15" spans="1:8" ht="16.2" customHeight="1" x14ac:dyDescent="0.25">
      <c r="A15" s="7" t="s">
        <v>8</v>
      </c>
      <c r="B15" s="12">
        <f t="shared" si="5"/>
        <v>2014</v>
      </c>
      <c r="C15" s="12">
        <f t="shared" si="5"/>
        <v>2021</v>
      </c>
      <c r="D15" s="8">
        <v>0.84</v>
      </c>
      <c r="E15" s="8">
        <f t="shared" si="1"/>
        <v>0.84</v>
      </c>
      <c r="F15" s="9">
        <f t="shared" si="2"/>
        <v>0</v>
      </c>
      <c r="G15" s="13">
        <f t="shared" si="3"/>
        <v>-0.33333333333333326</v>
      </c>
      <c r="H15" s="13">
        <f t="shared" si="4"/>
        <v>-0.15185328404856024</v>
      </c>
    </row>
    <row r="16" spans="1:8" ht="16.2" customHeight="1" x14ac:dyDescent="0.25">
      <c r="A16" s="7" t="s">
        <v>9</v>
      </c>
      <c r="B16" s="12">
        <f t="shared" si="5"/>
        <v>2013</v>
      </c>
      <c r="C16" s="12">
        <f t="shared" si="5"/>
        <v>2020</v>
      </c>
      <c r="D16" s="8">
        <v>0.8</v>
      </c>
      <c r="E16" s="8">
        <f t="shared" si="1"/>
        <v>0.8</v>
      </c>
      <c r="F16" s="9">
        <f t="shared" si="2"/>
        <v>0</v>
      </c>
      <c r="G16" s="13">
        <f t="shared" si="3"/>
        <v>-0.33750000000000002</v>
      </c>
      <c r="H16" s="13">
        <f t="shared" si="4"/>
        <v>-0.15715420102325695</v>
      </c>
    </row>
    <row r="17" spans="1:8" ht="16.2" customHeight="1" x14ac:dyDescent="0.25">
      <c r="A17" s="7" t="s">
        <v>10</v>
      </c>
      <c r="B17" s="12">
        <f t="shared" si="5"/>
        <v>2012</v>
      </c>
      <c r="C17" s="12">
        <f t="shared" si="5"/>
        <v>2019</v>
      </c>
      <c r="D17" s="8">
        <v>0.76</v>
      </c>
      <c r="E17" s="8">
        <f t="shared" si="1"/>
        <v>0.76</v>
      </c>
      <c r="F17" s="9">
        <f t="shared" si="2"/>
        <v>0</v>
      </c>
      <c r="G17" s="13">
        <f t="shared" si="3"/>
        <v>-0.34210526315789469</v>
      </c>
      <c r="H17" s="13">
        <f t="shared" si="4"/>
        <v>-0.1630131092584477</v>
      </c>
    </row>
    <row r="18" spans="1:8" ht="16.2" customHeight="1" x14ac:dyDescent="0.25">
      <c r="A18" s="7" t="s">
        <v>11</v>
      </c>
      <c r="B18" s="12">
        <f t="shared" si="5"/>
        <v>2011</v>
      </c>
      <c r="C18" s="12">
        <f t="shared" si="5"/>
        <v>2018</v>
      </c>
      <c r="D18" s="8">
        <v>0.72</v>
      </c>
      <c r="E18" s="8">
        <f t="shared" si="1"/>
        <v>0.72</v>
      </c>
      <c r="F18" s="9">
        <f t="shared" si="2"/>
        <v>0</v>
      </c>
      <c r="G18" s="13">
        <f t="shared" si="3"/>
        <v>-0.33333333333333337</v>
      </c>
      <c r="H18" s="13">
        <f t="shared" si="4"/>
        <v>-0.15185328404856047</v>
      </c>
    </row>
    <row r="19" spans="1:8" ht="16.2" customHeight="1" x14ac:dyDescent="0.25">
      <c r="A19" s="7" t="s">
        <v>12</v>
      </c>
      <c r="B19" s="12">
        <f t="shared" si="5"/>
        <v>2010</v>
      </c>
      <c r="C19" s="12">
        <f t="shared" si="5"/>
        <v>2017</v>
      </c>
      <c r="D19" s="8">
        <v>0.68</v>
      </c>
      <c r="E19" s="8">
        <f t="shared" si="1"/>
        <v>0.68</v>
      </c>
      <c r="F19" s="9">
        <f t="shared" si="2"/>
        <v>0</v>
      </c>
      <c r="G19" s="13">
        <f t="shared" si="3"/>
        <v>-0.30882352941176483</v>
      </c>
      <c r="H19" s="13">
        <f t="shared" si="4"/>
        <v>-0.12067141949152238</v>
      </c>
    </row>
    <row r="20" spans="1:8" ht="16.2" customHeight="1" x14ac:dyDescent="0.25">
      <c r="A20" s="7" t="s">
        <v>13</v>
      </c>
      <c r="B20" s="12">
        <f t="shared" si="5"/>
        <v>2009</v>
      </c>
      <c r="C20" s="12">
        <f t="shared" si="5"/>
        <v>2016</v>
      </c>
      <c r="D20" s="8">
        <v>0.64</v>
      </c>
      <c r="E20" s="8">
        <f t="shared" si="1"/>
        <v>0.64</v>
      </c>
      <c r="F20" s="9">
        <f t="shared" si="2"/>
        <v>0</v>
      </c>
      <c r="G20" s="13">
        <f t="shared" si="3"/>
        <v>-0.28125</v>
      </c>
      <c r="H20" s="13">
        <f t="shared" si="4"/>
        <v>-8.5591821864854145E-2</v>
      </c>
    </row>
    <row r="21" spans="1:8" ht="16.2" customHeight="1" x14ac:dyDescent="0.25">
      <c r="A21" s="7" t="s">
        <v>14</v>
      </c>
      <c r="B21" s="12">
        <f t="shared" si="5"/>
        <v>2008</v>
      </c>
      <c r="C21" s="12">
        <f t="shared" si="5"/>
        <v>2015</v>
      </c>
      <c r="D21" s="8">
        <v>0.6</v>
      </c>
      <c r="E21" s="8">
        <f t="shared" si="1"/>
        <v>0.6</v>
      </c>
      <c r="F21" s="9">
        <f t="shared" si="2"/>
        <v>0</v>
      </c>
      <c r="G21" s="13">
        <f t="shared" si="3"/>
        <v>-0.23333333333333328</v>
      </c>
      <c r="H21" s="13">
        <f t="shared" si="4"/>
        <v>-2.4631276655844414E-2</v>
      </c>
    </row>
    <row r="22" spans="1:8" ht="16.2" customHeight="1" x14ac:dyDescent="0.25">
      <c r="A22" s="7" t="s">
        <v>15</v>
      </c>
      <c r="B22" s="12">
        <f t="shared" si="5"/>
        <v>2007</v>
      </c>
      <c r="C22" s="12">
        <f t="shared" si="5"/>
        <v>2014</v>
      </c>
      <c r="D22" s="8">
        <v>0.56000000000000005</v>
      </c>
      <c r="E22" s="8">
        <f t="shared" si="1"/>
        <v>0.56000000000000005</v>
      </c>
      <c r="F22" s="9">
        <f t="shared" si="2"/>
        <v>0</v>
      </c>
      <c r="G22" s="13">
        <f t="shared" si="3"/>
        <v>-0.1785714285714286</v>
      </c>
      <c r="H22" s="13">
        <f t="shared" si="4"/>
        <v>4.503791786873812E-2</v>
      </c>
    </row>
    <row r="23" spans="1:8" ht="16.2" customHeight="1" x14ac:dyDescent="0.25">
      <c r="A23" s="7" t="s">
        <v>16</v>
      </c>
      <c r="B23" s="12">
        <f t="shared" si="5"/>
        <v>2006</v>
      </c>
      <c r="C23" s="12">
        <f t="shared" si="5"/>
        <v>2013</v>
      </c>
      <c r="D23" s="8">
        <v>0.53</v>
      </c>
      <c r="E23" s="8">
        <f t="shared" si="1"/>
        <v>0.53</v>
      </c>
      <c r="F23" s="9">
        <f t="shared" si="2"/>
        <v>0</v>
      </c>
      <c r="G23" s="13">
        <f t="shared" si="3"/>
        <v>-0.13207547169811318</v>
      </c>
      <c r="H23" s="13">
        <f t="shared" si="4"/>
        <v>0.10419100755942146</v>
      </c>
    </row>
    <row r="24" spans="1:8" ht="16.2" customHeight="1" x14ac:dyDescent="0.25">
      <c r="A24" s="7" t="s">
        <v>17</v>
      </c>
      <c r="B24" s="12">
        <f t="shared" si="5"/>
        <v>2005</v>
      </c>
      <c r="C24" s="12">
        <f t="shared" si="5"/>
        <v>2012</v>
      </c>
      <c r="D24" s="8">
        <v>0.5</v>
      </c>
      <c r="E24" s="8">
        <f t="shared" si="1"/>
        <v>0.5</v>
      </c>
      <c r="F24" s="9">
        <f t="shared" si="2"/>
        <v>0</v>
      </c>
      <c r="G24" s="13">
        <f t="shared" si="3"/>
        <v>-7.999999999999996E-2</v>
      </c>
      <c r="H24" s="13">
        <f t="shared" si="4"/>
        <v>0.17044246801298679</v>
      </c>
    </row>
    <row r="25" spans="1:8" ht="16.2" customHeight="1" x14ac:dyDescent="0.25">
      <c r="A25" s="7" t="s">
        <v>18</v>
      </c>
      <c r="B25" s="12">
        <f t="shared" si="5"/>
        <v>2004</v>
      </c>
      <c r="C25" s="12">
        <f t="shared" si="5"/>
        <v>2011</v>
      </c>
      <c r="D25" s="8">
        <v>0.48</v>
      </c>
      <c r="E25" s="8">
        <f t="shared" si="1"/>
        <v>0.48</v>
      </c>
      <c r="F25" s="9">
        <f t="shared" si="2"/>
        <v>0</v>
      </c>
      <c r="G25" s="13">
        <f t="shared" si="3"/>
        <v>-4.166666666666663E-2</v>
      </c>
      <c r="H25" s="13">
        <f t="shared" si="4"/>
        <v>0.2192109041801944</v>
      </c>
    </row>
    <row r="26" spans="1:8" ht="16.2" customHeight="1" x14ac:dyDescent="0.25">
      <c r="A26" s="7" t="s">
        <v>19</v>
      </c>
      <c r="B26" s="12">
        <f t="shared" si="5"/>
        <v>2003</v>
      </c>
      <c r="C26" s="12">
        <f t="shared" si="5"/>
        <v>2010</v>
      </c>
      <c r="D26" s="8">
        <v>0.47</v>
      </c>
      <c r="E26" s="8">
        <f t="shared" si="1"/>
        <v>0.47</v>
      </c>
      <c r="F26" s="9">
        <f t="shared" si="2"/>
        <v>0</v>
      </c>
      <c r="G26" s="13">
        <f t="shared" si="3"/>
        <v>-2.1276595744680771E-2</v>
      </c>
      <c r="H26" s="13">
        <f t="shared" si="4"/>
        <v>0.24515156171594343</v>
      </c>
    </row>
    <row r="27" spans="1:8" ht="16.2" customHeight="1" x14ac:dyDescent="0.25">
      <c r="A27" s="7" t="s">
        <v>20</v>
      </c>
      <c r="B27" s="12">
        <f t="shared" si="5"/>
        <v>2002</v>
      </c>
      <c r="C27" s="12">
        <f t="shared" si="5"/>
        <v>2009</v>
      </c>
      <c r="D27" s="8">
        <v>0.46</v>
      </c>
      <c r="E27" s="8">
        <f t="shared" si="1"/>
        <v>0.46</v>
      </c>
      <c r="F27" s="9">
        <f t="shared" si="2"/>
        <v>0</v>
      </c>
      <c r="G27" s="13">
        <f>E34/D27-1</f>
        <v>0</v>
      </c>
      <c r="H27" s="13">
        <f t="shared" si="4"/>
        <v>0.27222007392715941</v>
      </c>
    </row>
    <row r="28" spans="1:8" ht="16.2" customHeight="1" x14ac:dyDescent="0.25">
      <c r="A28" s="7" t="s">
        <v>21</v>
      </c>
      <c r="B28" s="12">
        <f t="shared" si="5"/>
        <v>2001</v>
      </c>
      <c r="C28" s="12">
        <f t="shared" si="5"/>
        <v>2008</v>
      </c>
      <c r="D28" s="8">
        <v>0.46</v>
      </c>
      <c r="E28" s="8">
        <f t="shared" si="1"/>
        <v>0.46</v>
      </c>
      <c r="F28" s="9">
        <f t="shared" si="2"/>
        <v>0</v>
      </c>
      <c r="G28" s="13">
        <f t="shared" si="3"/>
        <v>0</v>
      </c>
      <c r="H28" s="13">
        <f t="shared" si="4"/>
        <v>0.27222007392715941</v>
      </c>
    </row>
    <row r="29" spans="1:8" ht="16.2" customHeight="1" x14ac:dyDescent="0.25">
      <c r="A29" s="7" t="s">
        <v>22</v>
      </c>
      <c r="B29" s="12">
        <f t="shared" ref="B29:C36" si="6">B28-1</f>
        <v>2000</v>
      </c>
      <c r="C29" s="12">
        <f t="shared" si="6"/>
        <v>2007</v>
      </c>
      <c r="D29" s="8">
        <v>0.46</v>
      </c>
      <c r="E29" s="8">
        <f t="shared" si="1"/>
        <v>0.46</v>
      </c>
      <c r="F29" s="9">
        <f t="shared" si="2"/>
        <v>0</v>
      </c>
      <c r="G29" s="13">
        <f t="shared" si="3"/>
        <v>0</v>
      </c>
      <c r="H29" s="13">
        <f t="shared" si="4"/>
        <v>0.27222007392715941</v>
      </c>
    </row>
    <row r="30" spans="1:8" ht="16.2" customHeight="1" x14ac:dyDescent="0.25">
      <c r="A30" s="7" t="s">
        <v>26</v>
      </c>
      <c r="B30" s="12">
        <f t="shared" si="6"/>
        <v>1999</v>
      </c>
      <c r="C30" s="12">
        <f t="shared" si="6"/>
        <v>2006</v>
      </c>
      <c r="D30" s="8">
        <v>0.46</v>
      </c>
      <c r="E30" s="8">
        <f t="shared" si="1"/>
        <v>0.46</v>
      </c>
      <c r="F30" s="9">
        <f t="shared" si="2"/>
        <v>0</v>
      </c>
      <c r="G30" s="13">
        <f>E36/D29-1</f>
        <v>0</v>
      </c>
      <c r="H30" s="13">
        <f t="shared" si="4"/>
        <v>0.27222007392715941</v>
      </c>
    </row>
    <row r="31" spans="1:8" ht="16.2" customHeight="1" x14ac:dyDescent="0.25">
      <c r="A31" s="7" t="s">
        <v>29</v>
      </c>
      <c r="B31" s="12">
        <f t="shared" si="6"/>
        <v>1998</v>
      </c>
      <c r="C31" s="12">
        <f t="shared" si="6"/>
        <v>2005</v>
      </c>
      <c r="D31" s="8">
        <v>0.46</v>
      </c>
      <c r="E31" s="8">
        <f t="shared" si="1"/>
        <v>0.46</v>
      </c>
      <c r="F31" s="9">
        <f t="shared" si="2"/>
        <v>0</v>
      </c>
      <c r="G31" s="13">
        <f>$E$36/D31-1</f>
        <v>0</v>
      </c>
      <c r="H31" s="13">
        <f t="shared" si="4"/>
        <v>0.27222007392715941</v>
      </c>
    </row>
    <row r="32" spans="1:8" ht="16.2" customHeight="1" x14ac:dyDescent="0.25">
      <c r="A32" s="7" t="s">
        <v>30</v>
      </c>
      <c r="B32" s="12">
        <f t="shared" si="6"/>
        <v>1997</v>
      </c>
      <c r="C32" s="12">
        <f t="shared" si="6"/>
        <v>2004</v>
      </c>
      <c r="D32" s="8">
        <v>0.46</v>
      </c>
      <c r="E32" s="8">
        <f t="shared" si="1"/>
        <v>0.46</v>
      </c>
      <c r="F32" s="9">
        <f t="shared" si="2"/>
        <v>0</v>
      </c>
      <c r="G32" s="13">
        <f t="shared" ref="G32:G36" si="7">$E$36/D32-1</f>
        <v>0</v>
      </c>
      <c r="H32" s="13">
        <f t="shared" si="4"/>
        <v>0.27222007392715941</v>
      </c>
    </row>
    <row r="33" spans="1:8" ht="16.2" customHeight="1" x14ac:dyDescent="0.25">
      <c r="A33" s="7" t="s">
        <v>31</v>
      </c>
      <c r="B33" s="12">
        <f t="shared" si="6"/>
        <v>1996</v>
      </c>
      <c r="C33" s="12">
        <f t="shared" si="6"/>
        <v>2003</v>
      </c>
      <c r="D33" s="8">
        <v>0.46</v>
      </c>
      <c r="E33" s="8">
        <f t="shared" si="1"/>
        <v>0.46</v>
      </c>
      <c r="F33" s="9">
        <f t="shared" si="2"/>
        <v>0</v>
      </c>
      <c r="G33" s="13">
        <f t="shared" si="7"/>
        <v>0</v>
      </c>
      <c r="H33" s="13">
        <f t="shared" si="4"/>
        <v>0.27222007392715941</v>
      </c>
    </row>
    <row r="34" spans="1:8" ht="16.2" customHeight="1" x14ac:dyDescent="0.25">
      <c r="A34" s="7" t="s">
        <v>32</v>
      </c>
      <c r="B34" s="12">
        <f t="shared" si="6"/>
        <v>1995</v>
      </c>
      <c r="C34" s="12">
        <f t="shared" si="6"/>
        <v>2002</v>
      </c>
      <c r="D34" s="8">
        <v>0.46</v>
      </c>
      <c r="E34" s="8">
        <f t="shared" si="1"/>
        <v>0.46</v>
      </c>
      <c r="F34" s="9">
        <f t="shared" si="2"/>
        <v>0</v>
      </c>
      <c r="G34" s="13">
        <f t="shared" si="7"/>
        <v>0</v>
      </c>
      <c r="H34" s="13">
        <f t="shared" si="4"/>
        <v>0.27222007392715941</v>
      </c>
    </row>
    <row r="35" spans="1:8" ht="16.2" customHeight="1" x14ac:dyDescent="0.25">
      <c r="A35" s="7" t="s">
        <v>33</v>
      </c>
      <c r="B35" s="12">
        <f t="shared" si="6"/>
        <v>1994</v>
      </c>
      <c r="C35" s="12">
        <f t="shared" si="6"/>
        <v>2001</v>
      </c>
      <c r="D35" s="8">
        <v>0.46</v>
      </c>
      <c r="E35" s="8">
        <f t="shared" si="1"/>
        <v>0.46</v>
      </c>
      <c r="F35" s="9">
        <f t="shared" si="2"/>
        <v>0</v>
      </c>
      <c r="G35" s="13">
        <f t="shared" si="7"/>
        <v>0</v>
      </c>
      <c r="H35" s="13">
        <f t="shared" si="4"/>
        <v>0.27222007392715941</v>
      </c>
    </row>
    <row r="36" spans="1:8" ht="16.2" customHeight="1" x14ac:dyDescent="0.25">
      <c r="A36" s="7" t="s">
        <v>34</v>
      </c>
      <c r="B36" s="12">
        <f t="shared" si="6"/>
        <v>1993</v>
      </c>
      <c r="C36" s="12">
        <f t="shared" si="6"/>
        <v>2000</v>
      </c>
      <c r="D36" s="8">
        <v>0.46</v>
      </c>
      <c r="E36" s="8">
        <f t="shared" si="1"/>
        <v>0.46</v>
      </c>
      <c r="F36" s="9">
        <f t="shared" si="2"/>
        <v>0</v>
      </c>
      <c r="G36" s="13">
        <f t="shared" si="7"/>
        <v>0</v>
      </c>
      <c r="H36" s="13">
        <f t="shared" si="4"/>
        <v>0.27222007392715941</v>
      </c>
    </row>
    <row r="37" spans="1:8" ht="15" customHeight="1" x14ac:dyDescent="0.25">
      <c r="G37" s="14"/>
    </row>
    <row r="38" spans="1:8" ht="16.2" customHeight="1" x14ac:dyDescent="0.25">
      <c r="A38" s="21" t="s">
        <v>24</v>
      </c>
      <c r="B38" s="11"/>
      <c r="C38" s="6" t="s">
        <v>41</v>
      </c>
      <c r="D38" s="6" t="s">
        <v>28</v>
      </c>
      <c r="F38" s="5" t="s">
        <v>42</v>
      </c>
      <c r="G38" s="20">
        <v>-0.2722200739271593</v>
      </c>
      <c r="H38" s="20"/>
    </row>
    <row r="39" spans="1:8" ht="16.2" customHeight="1" x14ac:dyDescent="0.25">
      <c r="A39" s="21"/>
      <c r="B39" s="11"/>
      <c r="C39" s="1">
        <v>2018</v>
      </c>
      <c r="D39" s="1">
        <v>2025</v>
      </c>
    </row>
    <row r="40" spans="1:8" ht="16.2" customHeight="1" x14ac:dyDescent="0.25"/>
    <row r="41" spans="1:8" ht="16.2" customHeight="1" x14ac:dyDescent="0.25">
      <c r="A41" s="10" t="s">
        <v>25</v>
      </c>
      <c r="B41" s="10"/>
      <c r="C41" s="10"/>
      <c r="D41" s="10"/>
      <c r="E41" s="10"/>
      <c r="F41" s="10"/>
    </row>
    <row r="42" spans="1:8" ht="15" customHeight="1" x14ac:dyDescent="0.25"/>
    <row r="43" spans="1:8" ht="15" customHeight="1" x14ac:dyDescent="0.25"/>
    <row r="44" spans="1:8" ht="15" customHeight="1" x14ac:dyDescent="0.25"/>
    <row r="45" spans="1:8" ht="15" customHeight="1" x14ac:dyDescent="0.25"/>
    <row r="46" spans="1:8" ht="15" customHeight="1" x14ac:dyDescent="0.25"/>
    <row r="47" spans="1:8" ht="15" customHeight="1" x14ac:dyDescent="0.25"/>
    <row r="48" spans="1: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</sheetData>
  <mergeCells count="1">
    <mergeCell ref="A38:A39"/>
  </mergeCells>
  <printOptions horizontalCentered="1"/>
  <pageMargins left="0.7" right="0.7" top="0.75" bottom="0.5" header="0.5" footer="0.30555555555555602"/>
  <pageSetup scale="72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COMP</vt:lpstr>
      <vt:lpstr>COLL</vt:lpstr>
      <vt:lpstr>COLL!Print_Titles</vt:lpstr>
      <vt:lpstr>COMP!Print_Titles</vt:lpstr>
    </vt:vector>
  </TitlesOfParts>
  <Company>State Farm Insurance Companies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Erica Sherwood</dc:creator>
  <cp:lastModifiedBy>Jennifer Walker</cp:lastModifiedBy>
  <cp:lastPrinted>2024-07-11T21:26:53Z</cp:lastPrinted>
  <dcterms:created xsi:type="dcterms:W3CDTF">2015-10-21T16:25:21Z</dcterms:created>
  <dcterms:modified xsi:type="dcterms:W3CDTF">2024-07-11T21:27:54Z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61ecbe3-7ba9-4124-b9d7-ffd820687beb_Enabled">
    <vt:lpwstr>true</vt:lpwstr>
  </property>
  <property fmtid="{D5CDD505-2E9C-101B-9397-08002B2CF9AE}" pid="3" name="MSIP_Label_261ecbe3-7ba9-4124-b9d7-ffd820687beb_SetDate">
    <vt:lpwstr>2021-09-15T14:02:51Z</vt:lpwstr>
  </property>
  <property fmtid="{D5CDD505-2E9C-101B-9397-08002B2CF9AE}" pid="4" name="MSIP_Label_261ecbe3-7ba9-4124-b9d7-ffd820687beb_Method">
    <vt:lpwstr>Standard</vt:lpwstr>
  </property>
  <property fmtid="{D5CDD505-2E9C-101B-9397-08002B2CF9AE}" pid="5" name="MSIP_Label_261ecbe3-7ba9-4124-b9d7-ffd820687beb_Name">
    <vt:lpwstr>261ecbe3-7ba9-4124-b9d7-ffd820687beb</vt:lpwstr>
  </property>
  <property fmtid="{D5CDD505-2E9C-101B-9397-08002B2CF9AE}" pid="6" name="MSIP_Label_261ecbe3-7ba9-4124-b9d7-ffd820687beb_SiteId">
    <vt:lpwstr>fa23982e-6646-4a33-a5c4-1a848d02fcc4</vt:lpwstr>
  </property>
  <property fmtid="{D5CDD505-2E9C-101B-9397-08002B2CF9AE}" pid="7" name="MSIP_Label_261ecbe3-7ba9-4124-b9d7-ffd820687beb_ActionId">
    <vt:lpwstr>3c8a7f35-4ac5-48dc-ba73-ff56cc493f33</vt:lpwstr>
  </property>
  <property fmtid="{D5CDD505-2E9C-101B-9397-08002B2CF9AE}" pid="8" name="MSIP_Label_261ecbe3-7ba9-4124-b9d7-ffd820687beb_ContentBits">
    <vt:lpwstr>0</vt:lpwstr>
  </property>
</Properties>
</file>