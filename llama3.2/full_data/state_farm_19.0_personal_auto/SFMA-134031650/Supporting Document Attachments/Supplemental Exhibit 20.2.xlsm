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P-C ACTUARIAL\AUTO\STATE FILES\California\REVISIONS\2024\10-01-2024 GRC\04 - Filing\01 - Objections\06-27-2024 (2)\"/>
    </mc:Choice>
  </mc:AlternateContent>
  <xr:revisionPtr revIDLastSave="0" documentId="13_ncr:1_{E21504DA-DF76-4BC9-8946-61F76CEF1625}" xr6:coauthVersionLast="47" xr6:coauthVersionMax="47" xr10:uidLastSave="{00000000-0000-0000-0000-000000000000}"/>
  <bookViews>
    <workbookView xWindow="12" yWindow="0" windowWidth="23016" windowHeight="12360" xr2:uid="{00000000-000D-0000-FFFF-FFFF00000000}"/>
  </bookViews>
  <sheets>
    <sheet name="Supplemental Exhibit 20.2" sheetId="6" r:id="rId1"/>
  </sheets>
  <externalReferences>
    <externalReference r:id="rId2"/>
  </externalReferences>
  <definedNames>
    <definedName name="CMPNY_1">[1]Setup!$E$28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_xlnm.Print_Area" localSheetId="0">'Supplemental Exhibit 20.2'!$A$1:$O$25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6" l="1" a="1"/>
  <c r="H24" i="6" s="1"/>
  <c r="I24" i="6" s="1"/>
  <c r="B24" i="6" a="1"/>
  <c r="B24" i="6" s="1"/>
  <c r="D24" i="6" a="1"/>
  <c r="D24" i="6" s="1"/>
  <c r="E24" i="6" s="1"/>
  <c r="F24" i="6" a="1"/>
  <c r="F24" i="6" s="1"/>
  <c r="G24" i="6" s="1"/>
  <c r="J24" i="6" a="1"/>
  <c r="J24" i="6" s="1"/>
  <c r="K24" i="6" s="1"/>
  <c r="L24" i="6" a="1"/>
  <c r="L24" i="6" s="1"/>
  <c r="M24" i="6" s="1"/>
  <c r="N24" i="6" a="1"/>
  <c r="N24" i="6" s="1"/>
  <c r="O24" i="6" s="1"/>
  <c r="G19" i="6" l="1"/>
  <c r="M17" i="6"/>
  <c r="O15" i="6"/>
  <c r="O9" i="6"/>
  <c r="O18" i="6"/>
  <c r="O17" i="6"/>
  <c r="O23" i="6"/>
  <c r="O16" i="6"/>
  <c r="O21" i="6"/>
  <c r="O14" i="6"/>
  <c r="O20" i="6"/>
  <c r="O13" i="6"/>
  <c r="O12" i="6"/>
  <c r="O11" i="6"/>
  <c r="O10" i="6"/>
  <c r="O22" i="6"/>
  <c r="O19" i="6"/>
  <c r="M20" i="6"/>
  <c r="M12" i="6"/>
  <c r="M15" i="6"/>
  <c r="M18" i="6"/>
  <c r="M23" i="6"/>
  <c r="M11" i="6"/>
  <c r="M10" i="6"/>
  <c r="M9" i="6"/>
  <c r="M22" i="6"/>
  <c r="M14" i="6"/>
  <c r="M19" i="6"/>
  <c r="M21" i="6"/>
  <c r="M13" i="6"/>
  <c r="M16" i="6"/>
  <c r="E20" i="6"/>
  <c r="E12" i="6"/>
  <c r="E17" i="6"/>
  <c r="E23" i="6"/>
  <c r="E18" i="6"/>
  <c r="E10" i="6"/>
  <c r="E9" i="6"/>
  <c r="E19" i="6"/>
  <c r="E15" i="6"/>
  <c r="E11" i="6"/>
  <c r="E14" i="6"/>
  <c r="E16" i="6"/>
  <c r="E21" i="6"/>
  <c r="E22" i="6"/>
  <c r="E13" i="6"/>
  <c r="K10" i="6"/>
  <c r="K19" i="6"/>
  <c r="K16" i="6"/>
  <c r="K9" i="6"/>
  <c r="K23" i="6"/>
  <c r="K18" i="6"/>
  <c r="K17" i="6"/>
  <c r="K20" i="6"/>
  <c r="K21" i="6"/>
  <c r="K15" i="6"/>
  <c r="K11" i="6"/>
  <c r="K22" i="6"/>
  <c r="K14" i="6"/>
  <c r="K13" i="6"/>
  <c r="K12" i="6"/>
  <c r="I19" i="6"/>
  <c r="I20" i="6"/>
  <c r="I18" i="6"/>
  <c r="I12" i="6"/>
  <c r="I13" i="6"/>
  <c r="I9" i="6"/>
  <c r="I23" i="6"/>
  <c r="I15" i="6"/>
  <c r="I22" i="6"/>
  <c r="I10" i="6"/>
  <c r="I14" i="6"/>
  <c r="I17" i="6"/>
  <c r="I11" i="6"/>
  <c r="I21" i="6"/>
  <c r="I16" i="6"/>
  <c r="G12" i="6"/>
  <c r="G18" i="6"/>
  <c r="G17" i="6"/>
  <c r="G9" i="6"/>
  <c r="G14" i="6"/>
  <c r="G13" i="6"/>
  <c r="G21" i="6"/>
  <c r="G20" i="6"/>
  <c r="G22" i="6"/>
  <c r="G23" i="6"/>
  <c r="G16" i="6"/>
  <c r="G11" i="6"/>
  <c r="G15" i="6"/>
  <c r="G10" i="6"/>
  <c r="C13" i="6" l="1"/>
  <c r="C23" i="6"/>
  <c r="C11" i="6"/>
  <c r="C10" i="6"/>
  <c r="C21" i="6"/>
  <c r="C24" i="6"/>
  <c r="C9" i="6"/>
  <c r="C16" i="6"/>
  <c r="C17" i="6"/>
  <c r="C19" i="6"/>
  <c r="C22" i="6"/>
  <c r="C18" i="6"/>
  <c r="C14" i="6"/>
  <c r="C20" i="6"/>
  <c r="C12" i="6"/>
  <c r="C1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<sst xmlns="http://schemas.openxmlformats.org/spreadsheetml/2006/main" count="36" uniqueCount="36">
  <si>
    <t>Total</t>
  </si>
  <si>
    <t>By Coverage/Program</t>
  </si>
  <si>
    <t>Percent Range</t>
  </si>
  <si>
    <t>California Private Passenger Auto</t>
  </si>
  <si>
    <t>State Farm Mutual Automobile Insurance Company</t>
  </si>
  <si>
    <t>+0.01% to +5%</t>
  </si>
  <si>
    <t>+10% to +15%</t>
  </si>
  <si>
    <t>+15% to +20%</t>
  </si>
  <si>
    <t>+20% to +25%</t>
  </si>
  <si>
    <t>+25% to +30%</t>
  </si>
  <si>
    <t>+30% to +35%</t>
  </si>
  <si>
    <t>+5% to +10%</t>
  </si>
  <si>
    <t>-0.01% to -5%</t>
  </si>
  <si>
    <t>0%</t>
  </si>
  <si>
    <t>-5% to -10%</t>
  </si>
  <si>
    <t>+35% to +40%</t>
  </si>
  <si>
    <t>+40% to +45%</t>
  </si>
  <si>
    <t>+45% to +50%</t>
  </si>
  <si>
    <t>+50% to +55%</t>
  </si>
  <si>
    <t>-10% to -15%</t>
  </si>
  <si>
    <t>BIPD Coverage Count</t>
  </si>
  <si>
    <t>MPC Coverage Count</t>
  </si>
  <si>
    <t>COMP Coverage Count</t>
  </si>
  <si>
    <t>COLL Coverage Count</t>
  </si>
  <si>
    <t>UM Coverage Count</t>
  </si>
  <si>
    <t>Misc. Liability Coverage Count</t>
  </si>
  <si>
    <t>Misc Damage Coverage Count</t>
  </si>
  <si>
    <t>BIPD Coverage Distribution</t>
  </si>
  <si>
    <t>MPC Coverage Distribution</t>
  </si>
  <si>
    <t>COMP Coverage Distribution</t>
  </si>
  <si>
    <t>COLL Coverage Distribution</t>
  </si>
  <si>
    <t>UM Coverage Distribution</t>
  </si>
  <si>
    <t>Misc. Liability Coverage Distribution</t>
  </si>
  <si>
    <t>Misc Damage Coverage Distribution</t>
  </si>
  <si>
    <t>Customer Dislocation*</t>
  </si>
  <si>
    <t>*Customer dislocation is shown by coverage count, which is higher than policy count in some cases. 
For example, a policy with both ERS &amp; R coverage is represented by two coverage counts under Misc Damage. A policy with only ERS coverage would be one Misc Damage count.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</si>
</sst>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Times New Roman"/>
      <family val="1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5" fillId="0" borderId="0"/>
  </cellStyleXfs>
  <cellXfs count="2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164" fontId="0" fillId="0" borderId="0" xfId="0" applyNumberFormat="1"/>
    <xf numFmtId="0" fontId="5" fillId="0" borderId="0" xfId="2" applyFont="1" applyAlignment="1">
      <alignment horizontal="center"/>
    </xf>
    <xf numFmtId="3" fontId="0" fillId="0" borderId="0" xfId="0" applyNumberFormat="1"/>
    <xf numFmtId="9" fontId="0" fillId="0" borderId="0" xfId="1" applyFont="1" applyBorder="1"/>
    <xf numFmtId="44" fontId="0" fillId="0" borderId="0" xfId="0" applyNumberFormat="1"/>
    <xf numFmtId="49" fontId="7" fillId="0" borderId="2" xfId="3" applyNumberFormat="1" applyFont="1" applyBorder="1" applyAlignment="1">
      <alignment horizontal="center" wrapText="1"/>
    </xf>
    <xf numFmtId="0" fontId="0" fillId="2" borderId="6" xfId="0" applyFill="1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0" fillId="0" borderId="7" xfId="0" applyBorder="1"/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7" fillId="0" borderId="5" xfId="2" applyFont="1" applyBorder="1" applyAlignment="1">
      <alignment horizontal="center" vertical="center" wrapText="1"/>
    </xf>
    <xf numFmtId="0" fontId="7" fillId="2" borderId="4" xfId="2" applyFont="1" applyFill="1" applyBorder="1" applyAlignment="1">
      <alignment horizontal="center" vertical="center" wrapText="1"/>
    </xf>
    <xf numFmtId="0" fontId="7" fillId="2" borderId="3" xfId="2" applyFont="1" applyFill="1" applyBorder="1" applyAlignment="1">
      <alignment horizontal="center" vertical="center" wrapText="1"/>
    </xf>
    <xf numFmtId="0" fontId="6" fillId="0" borderId="5" xfId="2" applyFont="1" applyBorder="1" applyAlignment="1">
      <alignment horizontal="center" wrapText="1"/>
    </xf>
    <xf numFmtId="0" fontId="0" fillId="2" borderId="8" xfId="0" applyFill="1" applyBorder="1" applyAlignment="1">
      <alignment horizontal="centerContinuous"/>
    </xf>
    <xf numFmtId="3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3" fontId="2" fillId="2" borderId="5" xfId="0" applyNumberFormat="1" applyFont="1" applyFill="1" applyBorder="1" applyAlignment="1">
      <alignment horizontal="center"/>
    </xf>
    <xf numFmtId="165" fontId="0" fillId="0" borderId="10" xfId="1" applyNumberFormat="1" applyFont="1" applyBorder="1" applyAlignment="1">
      <alignment horizontal="center"/>
    </xf>
    <xf numFmtId="165" fontId="0" fillId="0" borderId="9" xfId="1" applyNumberFormat="1" applyFont="1" applyBorder="1" applyAlignment="1">
      <alignment horizontal="center"/>
    </xf>
    <xf numFmtId="0" fontId="5" fillId="0" borderId="0" xfId="2" applyFont="1" applyAlignment="1">
      <alignment horizontal="left" wrapText="1"/>
    </xf>
    <xf numFmtId="0" fontId="0" fillId="0" borderId="0" xfId="0" applyAlignment="1">
      <alignment wrapText="1"/>
    </xf>
  </cellXfs>
  <cellStyles count="4">
    <cellStyle name="Normal" xfId="0" builtinId="0"/>
    <cellStyle name="Normal 2" xfId="3" xr:uid="{00000000-0005-0000-0000-000002000000}"/>
    <cellStyle name="Normal 2 3" xfId="2" xr:uid="{00000000-0005-0000-0000-000003000000}"/>
    <cellStyle name="Percent" xfId="1" builtinId="5"/>
  </cellStyles>
  <dxfs count="0"/>
  <tableStyles count="0" defaultTableStyle="TableStyleMedium2" defaultPivotStyle="PivotStyleLight16"/>
  <colors>
    <mruColors>
      <color rgb="FF0081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r.statefarm.org\DFS\PCACT\00\WORKGROUP\P-C%20ACTUARIAL\AUTO\STATE%20FILES\California\REVISIONS\2023\4-1-2023%20Rate%20Filing\SOC\CA%20SO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up"/>
      <sheetName val="QR1"/>
      <sheetName val="QR2"/>
      <sheetName val="ROC"/>
      <sheetName val="ROC Exh"/>
      <sheetName val="Terr"/>
      <sheetName val="Base_STAR"/>
      <sheetName val="MCY ROC"/>
      <sheetName val="Drvr_Detl-YL"/>
      <sheetName val="REC ROC"/>
      <sheetName val="MCY_Class"/>
      <sheetName val="Drvr_Detl-YL (Proposal)"/>
      <sheetName val="FINAL SOC"/>
      <sheetName val="SOC"/>
      <sheetName val="Max-Min Change"/>
      <sheetName val="CDI SOC"/>
      <sheetName val="BROs"/>
      <sheetName val="BRE"/>
      <sheetName val="SQL"/>
      <sheetName val="Rate Effects for Int Comm"/>
      <sheetName val="Data"/>
      <sheetName val="BRO"/>
    </sheetNames>
    <sheetDataSet>
      <sheetData sheetId="0">
        <row r="28">
          <cell r="E28" t="str">
            <v>0001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C9207-BF72-4F6C-A4C7-23A313D8C172}">
  <sheetPr codeName="Sheet5">
    <pageSetUpPr fitToPage="1"/>
  </sheetPr>
  <dimension ref="A1:S28"/>
  <sheetViews>
    <sheetView tabSelected="1" view="pageBreakPreview" zoomScale="80" zoomScaleNormal="100" zoomScaleSheetLayoutView="80" workbookViewId="0"/>
  </sheetViews>
  <sheetFormatPr defaultRowHeight="14.4" x14ac:dyDescent="0.3"/>
  <cols>
    <col min="1" max="1" width="19.5546875" customWidth="1"/>
    <col min="2" max="15" width="14.6640625" customWidth="1"/>
    <col min="16" max="16" width="10.33203125" bestFit="1" customWidth="1"/>
    <col min="17" max="17" width="11.33203125" bestFit="1" customWidth="1"/>
  </cols>
  <sheetData>
    <row r="1" spans="1:19" x14ac:dyDescent="0.3">
      <c r="A1" s="14" t="s">
        <v>4</v>
      </c>
      <c r="B1" s="13"/>
      <c r="C1" s="13"/>
      <c r="D1" s="13"/>
      <c r="E1" s="13"/>
      <c r="F1" s="13"/>
      <c r="G1" s="13"/>
      <c r="H1" s="13"/>
      <c r="I1" s="13"/>
      <c r="J1" s="14"/>
      <c r="K1" s="14"/>
      <c r="L1" s="14"/>
      <c r="M1" s="14"/>
      <c r="N1" s="14"/>
      <c r="O1" s="13"/>
    </row>
    <row r="2" spans="1:19" x14ac:dyDescent="0.3">
      <c r="A2" s="14" t="s">
        <v>3</v>
      </c>
      <c r="B2" s="13"/>
      <c r="C2" s="13"/>
      <c r="D2" s="13"/>
      <c r="E2" s="13"/>
      <c r="F2" s="13"/>
      <c r="G2" s="13"/>
      <c r="H2" s="13"/>
      <c r="I2" s="13"/>
      <c r="J2" s="14"/>
      <c r="K2" s="14"/>
      <c r="L2" s="14"/>
      <c r="M2" s="14"/>
      <c r="N2" s="14"/>
      <c r="O2" s="13"/>
    </row>
    <row r="3" spans="1:19" x14ac:dyDescent="0.3">
      <c r="A3" s="14"/>
      <c r="B3" s="13"/>
      <c r="C3" s="13"/>
      <c r="G3" s="13"/>
      <c r="J3" s="14"/>
      <c r="K3" s="14"/>
      <c r="L3" s="14"/>
      <c r="M3" s="14"/>
      <c r="N3" s="14"/>
    </row>
    <row r="4" spans="1:19" x14ac:dyDescent="0.3">
      <c r="A4" s="14" t="s">
        <v>34</v>
      </c>
      <c r="B4" s="13"/>
      <c r="C4" s="13"/>
      <c r="D4" s="13"/>
      <c r="E4" s="13"/>
      <c r="F4" s="13"/>
      <c r="G4" s="13"/>
      <c r="H4" s="13"/>
      <c r="I4" s="13"/>
      <c r="J4" s="14"/>
      <c r="K4" s="14"/>
      <c r="L4" s="14"/>
      <c r="M4" s="14"/>
      <c r="N4" s="14"/>
      <c r="O4" s="13"/>
    </row>
    <row r="5" spans="1:19" x14ac:dyDescent="0.3">
      <c r="A5" s="14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9" ht="15" thickBot="1" x14ac:dyDescent="0.35"/>
    <row r="7" spans="1:19" ht="15" thickBot="1" x14ac:dyDescent="0.35">
      <c r="A7" s="12"/>
      <c r="B7" s="11" t="s">
        <v>1</v>
      </c>
      <c r="C7" s="9"/>
      <c r="D7" s="9"/>
      <c r="E7" s="9"/>
      <c r="F7" s="9"/>
      <c r="G7" s="9"/>
      <c r="H7" s="10"/>
      <c r="I7" s="9"/>
      <c r="J7" s="9"/>
      <c r="K7" s="9"/>
      <c r="L7" s="9"/>
      <c r="M7" s="9"/>
      <c r="N7" s="9"/>
      <c r="O7" s="19"/>
    </row>
    <row r="8" spans="1:19" ht="70.5" customHeight="1" thickBot="1" x14ac:dyDescent="0.35">
      <c r="A8" s="15" t="s">
        <v>2</v>
      </c>
      <c r="B8" s="16" t="s">
        <v>20</v>
      </c>
      <c r="C8" s="17" t="s">
        <v>27</v>
      </c>
      <c r="D8" s="16" t="s">
        <v>21</v>
      </c>
      <c r="E8" s="17" t="s">
        <v>28</v>
      </c>
      <c r="F8" s="16" t="s">
        <v>22</v>
      </c>
      <c r="G8" s="17" t="s">
        <v>29</v>
      </c>
      <c r="H8" s="16" t="s">
        <v>23</v>
      </c>
      <c r="I8" s="17" t="s">
        <v>30</v>
      </c>
      <c r="J8" s="16" t="s">
        <v>24</v>
      </c>
      <c r="K8" s="17" t="s">
        <v>31</v>
      </c>
      <c r="L8" s="16" t="s">
        <v>25</v>
      </c>
      <c r="M8" s="17" t="s">
        <v>32</v>
      </c>
      <c r="N8" s="16" t="s">
        <v>26</v>
      </c>
      <c r="O8" s="17" t="s">
        <v>33</v>
      </c>
      <c r="R8" s="4"/>
      <c r="S8" s="4"/>
    </row>
    <row r="9" spans="1:19" x14ac:dyDescent="0.3">
      <c r="A9" s="8" t="s">
        <v>18</v>
      </c>
      <c r="B9" s="20">
        <v>0</v>
      </c>
      <c r="C9" s="21">
        <f>B9/B$24</f>
        <v>0</v>
      </c>
      <c r="D9" s="20">
        <v>0</v>
      </c>
      <c r="E9" s="21">
        <f>D9/D$24</f>
        <v>0</v>
      </c>
      <c r="F9" s="20">
        <v>0</v>
      </c>
      <c r="G9" s="21">
        <f>F9/F$24</f>
        <v>0</v>
      </c>
      <c r="H9" s="20">
        <v>248504</v>
      </c>
      <c r="I9" s="21">
        <f>H9/H$24</f>
        <v>7.479194029742936E-2</v>
      </c>
      <c r="J9" s="20">
        <v>0</v>
      </c>
      <c r="K9" s="21">
        <f>J9/J$24</f>
        <v>0</v>
      </c>
      <c r="L9" s="20">
        <v>0</v>
      </c>
      <c r="M9" s="21">
        <f>L9/L$24</f>
        <v>0</v>
      </c>
      <c r="N9" s="20">
        <v>0</v>
      </c>
      <c r="O9" s="21">
        <f>N9/N$24</f>
        <v>0</v>
      </c>
      <c r="P9" s="5"/>
      <c r="Q9" s="7"/>
      <c r="R9" s="6"/>
      <c r="S9" s="6"/>
    </row>
    <row r="10" spans="1:19" x14ac:dyDescent="0.3">
      <c r="A10" s="8" t="s">
        <v>17</v>
      </c>
      <c r="B10" s="20">
        <v>0</v>
      </c>
      <c r="C10" s="21">
        <f t="shared" ref="C10:E22" si="0">B10/B$24</f>
        <v>0</v>
      </c>
      <c r="D10" s="20">
        <v>0</v>
      </c>
      <c r="E10" s="21">
        <f t="shared" si="0"/>
        <v>0</v>
      </c>
      <c r="F10" s="20">
        <v>0</v>
      </c>
      <c r="G10" s="21">
        <f t="shared" ref="G10:G23" si="1">F10/F$24</f>
        <v>0</v>
      </c>
      <c r="H10" s="20">
        <v>122260</v>
      </c>
      <c r="I10" s="21">
        <f t="shared" ref="I10:I23" si="2">H10/H$24</f>
        <v>3.6796440382302557E-2</v>
      </c>
      <c r="J10" s="20">
        <v>0</v>
      </c>
      <c r="K10" s="21">
        <f t="shared" ref="K10:K23" si="3">J10/J$24</f>
        <v>0</v>
      </c>
      <c r="L10" s="20">
        <v>0</v>
      </c>
      <c r="M10" s="21">
        <f t="shared" ref="M10:M23" si="4">L10/L$24</f>
        <v>0</v>
      </c>
      <c r="N10" s="20">
        <v>0</v>
      </c>
      <c r="O10" s="21">
        <f t="shared" ref="O10:O23" si="5">N10/N$24</f>
        <v>0</v>
      </c>
      <c r="P10" s="5"/>
      <c r="Q10" s="7"/>
      <c r="R10" s="6"/>
      <c r="S10" s="6"/>
    </row>
    <row r="11" spans="1:19" x14ac:dyDescent="0.3">
      <c r="A11" s="8" t="s">
        <v>16</v>
      </c>
      <c r="B11" s="20">
        <v>0</v>
      </c>
      <c r="C11" s="21">
        <f t="shared" si="0"/>
        <v>0</v>
      </c>
      <c r="D11" s="20">
        <v>0</v>
      </c>
      <c r="E11" s="21">
        <f t="shared" si="0"/>
        <v>0</v>
      </c>
      <c r="F11" s="20">
        <v>0</v>
      </c>
      <c r="G11" s="21">
        <f t="shared" si="1"/>
        <v>0</v>
      </c>
      <c r="H11" s="20">
        <v>74080</v>
      </c>
      <c r="I11" s="21">
        <f t="shared" si="2"/>
        <v>2.2295765610346584E-2</v>
      </c>
      <c r="J11" s="20">
        <v>7519895</v>
      </c>
      <c r="K11" s="21">
        <f t="shared" si="3"/>
        <v>0.99999348399402976</v>
      </c>
      <c r="L11" s="20">
        <v>0</v>
      </c>
      <c r="M11" s="21">
        <f t="shared" si="4"/>
        <v>0</v>
      </c>
      <c r="N11" s="20">
        <v>0</v>
      </c>
      <c r="O11" s="21">
        <f t="shared" si="5"/>
        <v>0</v>
      </c>
      <c r="P11" s="5"/>
      <c r="Q11" s="7"/>
      <c r="R11" s="6"/>
      <c r="S11" s="6"/>
    </row>
    <row r="12" spans="1:19" x14ac:dyDescent="0.3">
      <c r="A12" s="8" t="s">
        <v>15</v>
      </c>
      <c r="B12" s="20">
        <v>3814981</v>
      </c>
      <c r="C12" s="21">
        <f t="shared" si="0"/>
        <v>0.99949645039446899</v>
      </c>
      <c r="D12" s="20">
        <v>0</v>
      </c>
      <c r="E12" s="21">
        <f t="shared" si="0"/>
        <v>0</v>
      </c>
      <c r="F12" s="20">
        <v>300834</v>
      </c>
      <c r="G12" s="21">
        <f t="shared" si="1"/>
        <v>8.7678459271867223E-2</v>
      </c>
      <c r="H12" s="20">
        <v>0</v>
      </c>
      <c r="I12" s="21">
        <f t="shared" si="2"/>
        <v>0</v>
      </c>
      <c r="J12" s="20">
        <v>0</v>
      </c>
      <c r="K12" s="21">
        <f t="shared" si="3"/>
        <v>0</v>
      </c>
      <c r="L12" s="20">
        <v>0</v>
      </c>
      <c r="M12" s="21">
        <f t="shared" si="4"/>
        <v>0</v>
      </c>
      <c r="N12" s="20">
        <v>0</v>
      </c>
      <c r="O12" s="21">
        <f t="shared" si="5"/>
        <v>0</v>
      </c>
      <c r="P12" s="5"/>
      <c r="Q12" s="7"/>
      <c r="R12" s="6"/>
      <c r="S12" s="6"/>
    </row>
    <row r="13" spans="1:19" x14ac:dyDescent="0.3">
      <c r="A13" s="8" t="s">
        <v>10</v>
      </c>
      <c r="B13" s="20">
        <v>1844</v>
      </c>
      <c r="C13" s="21">
        <f t="shared" si="0"/>
        <v>4.8311418969777331E-4</v>
      </c>
      <c r="D13" s="20">
        <v>0</v>
      </c>
      <c r="E13" s="21">
        <f t="shared" si="0"/>
        <v>0</v>
      </c>
      <c r="F13" s="20">
        <v>63701</v>
      </c>
      <c r="G13" s="21">
        <f t="shared" si="1"/>
        <v>1.8565739025765752E-2</v>
      </c>
      <c r="H13" s="20">
        <v>85214</v>
      </c>
      <c r="I13" s="21">
        <f t="shared" si="2"/>
        <v>2.5646751764579829E-2</v>
      </c>
      <c r="J13" s="20">
        <v>0</v>
      </c>
      <c r="K13" s="21">
        <f t="shared" si="3"/>
        <v>0</v>
      </c>
      <c r="L13" s="20">
        <v>0</v>
      </c>
      <c r="M13" s="21">
        <f t="shared" si="4"/>
        <v>0</v>
      </c>
      <c r="N13" s="20">
        <v>0</v>
      </c>
      <c r="O13" s="21">
        <f t="shared" si="5"/>
        <v>0</v>
      </c>
      <c r="P13" s="5"/>
      <c r="Q13" s="7"/>
      <c r="R13" s="6"/>
      <c r="S13" s="6"/>
    </row>
    <row r="14" spans="1:19" x14ac:dyDescent="0.3">
      <c r="A14" s="8" t="s">
        <v>9</v>
      </c>
      <c r="B14" s="20">
        <v>65</v>
      </c>
      <c r="C14" s="21">
        <f t="shared" si="0"/>
        <v>1.7029513194335825E-5</v>
      </c>
      <c r="D14" s="20">
        <v>0</v>
      </c>
      <c r="E14" s="21">
        <f t="shared" si="0"/>
        <v>0</v>
      </c>
      <c r="F14" s="20">
        <v>72239</v>
      </c>
      <c r="G14" s="21">
        <f t="shared" si="1"/>
        <v>2.1054150193596525E-2</v>
      </c>
      <c r="H14" s="20">
        <v>93303</v>
      </c>
      <c r="I14" s="21">
        <f t="shared" si="2"/>
        <v>2.8081288049975259E-2</v>
      </c>
      <c r="J14" s="20">
        <v>0</v>
      </c>
      <c r="K14" s="21">
        <f t="shared" si="3"/>
        <v>0</v>
      </c>
      <c r="L14" s="20">
        <v>0</v>
      </c>
      <c r="M14" s="21">
        <f t="shared" si="4"/>
        <v>0</v>
      </c>
      <c r="N14" s="20">
        <v>0</v>
      </c>
      <c r="O14" s="21">
        <f t="shared" si="5"/>
        <v>0</v>
      </c>
      <c r="P14" s="5"/>
      <c r="Q14" s="7"/>
      <c r="R14" s="6"/>
      <c r="S14" s="6"/>
    </row>
    <row r="15" spans="1:19" x14ac:dyDescent="0.3">
      <c r="A15" s="8" t="s">
        <v>8</v>
      </c>
      <c r="B15" s="20">
        <v>1</v>
      </c>
      <c r="C15" s="21">
        <f t="shared" si="0"/>
        <v>2.6199251068208962E-7</v>
      </c>
      <c r="D15" s="20">
        <v>2165879</v>
      </c>
      <c r="E15" s="21">
        <f t="shared" si="0"/>
        <v>0.99999353615344799</v>
      </c>
      <c r="F15" s="20">
        <v>79543</v>
      </c>
      <c r="G15" s="21">
        <f t="shared" si="1"/>
        <v>2.3182910461790007E-2</v>
      </c>
      <c r="H15" s="20">
        <v>0</v>
      </c>
      <c r="I15" s="21">
        <f t="shared" si="2"/>
        <v>0</v>
      </c>
      <c r="J15" s="20">
        <v>0</v>
      </c>
      <c r="K15" s="21">
        <f t="shared" si="3"/>
        <v>0</v>
      </c>
      <c r="L15" s="20">
        <v>0</v>
      </c>
      <c r="M15" s="21">
        <f t="shared" si="4"/>
        <v>0</v>
      </c>
      <c r="N15" s="20">
        <v>0</v>
      </c>
      <c r="O15" s="21">
        <f t="shared" si="5"/>
        <v>0</v>
      </c>
      <c r="P15" s="5"/>
      <c r="Q15" s="7"/>
      <c r="R15" s="6"/>
      <c r="S15" s="6"/>
    </row>
    <row r="16" spans="1:19" x14ac:dyDescent="0.3">
      <c r="A16" s="8" t="s">
        <v>7</v>
      </c>
      <c r="B16" s="20">
        <v>0</v>
      </c>
      <c r="C16" s="21">
        <f t="shared" si="0"/>
        <v>0</v>
      </c>
      <c r="D16" s="20">
        <v>0</v>
      </c>
      <c r="E16" s="21">
        <f t="shared" si="0"/>
        <v>0</v>
      </c>
      <c r="F16" s="20">
        <v>90550</v>
      </c>
      <c r="G16" s="21">
        <f t="shared" si="1"/>
        <v>2.6390914880191657E-2</v>
      </c>
      <c r="H16" s="20">
        <v>84346</v>
      </c>
      <c r="I16" s="21">
        <f t="shared" si="2"/>
        <v>2.538551088242836E-2</v>
      </c>
      <c r="J16" s="20">
        <v>0</v>
      </c>
      <c r="K16" s="21">
        <f t="shared" si="3"/>
        <v>0</v>
      </c>
      <c r="L16" s="20">
        <v>0</v>
      </c>
      <c r="M16" s="21">
        <f t="shared" si="4"/>
        <v>0</v>
      </c>
      <c r="N16" s="20">
        <v>0</v>
      </c>
      <c r="O16" s="21">
        <f t="shared" si="5"/>
        <v>0</v>
      </c>
      <c r="P16" s="5"/>
      <c r="Q16" s="7"/>
      <c r="R16" s="6"/>
      <c r="S16" s="6"/>
    </row>
    <row r="17" spans="1:19" x14ac:dyDescent="0.3">
      <c r="A17" s="8" t="s">
        <v>6</v>
      </c>
      <c r="B17" s="20">
        <v>0</v>
      </c>
      <c r="C17" s="21">
        <f t="shared" si="0"/>
        <v>0</v>
      </c>
      <c r="D17" s="20">
        <v>0</v>
      </c>
      <c r="E17" s="21">
        <f t="shared" si="0"/>
        <v>0</v>
      </c>
      <c r="F17" s="20">
        <v>1441444</v>
      </c>
      <c r="G17" s="21">
        <f t="shared" si="1"/>
        <v>0.42011072234746533</v>
      </c>
      <c r="H17" s="20">
        <v>824877</v>
      </c>
      <c r="I17" s="21">
        <f t="shared" si="2"/>
        <v>0.24826220638992791</v>
      </c>
      <c r="J17" s="20">
        <v>0</v>
      </c>
      <c r="K17" s="21">
        <f t="shared" si="3"/>
        <v>0</v>
      </c>
      <c r="L17" s="20">
        <v>0</v>
      </c>
      <c r="M17" s="21">
        <f t="shared" si="4"/>
        <v>0</v>
      </c>
      <c r="N17" s="20">
        <v>4581737</v>
      </c>
      <c r="O17" s="21">
        <f t="shared" si="5"/>
        <v>0.99999236103411515</v>
      </c>
      <c r="P17" s="5"/>
      <c r="Q17" s="7"/>
      <c r="R17" s="6"/>
      <c r="S17" s="6"/>
    </row>
    <row r="18" spans="1:19" x14ac:dyDescent="0.3">
      <c r="A18" s="8" t="s">
        <v>11</v>
      </c>
      <c r="B18" s="20">
        <v>0</v>
      </c>
      <c r="C18" s="21">
        <f t="shared" si="0"/>
        <v>0</v>
      </c>
      <c r="D18" s="20">
        <v>0</v>
      </c>
      <c r="E18" s="21">
        <f t="shared" si="0"/>
        <v>0</v>
      </c>
      <c r="F18" s="20">
        <v>645770</v>
      </c>
      <c r="G18" s="21">
        <f t="shared" si="1"/>
        <v>0.18821050361326744</v>
      </c>
      <c r="H18" s="20">
        <v>1055103</v>
      </c>
      <c r="I18" s="21">
        <f t="shared" si="2"/>
        <v>0.31755303972426446</v>
      </c>
      <c r="J18" s="20">
        <v>0</v>
      </c>
      <c r="K18" s="21">
        <f t="shared" si="3"/>
        <v>0</v>
      </c>
      <c r="L18" s="20">
        <v>0</v>
      </c>
      <c r="M18" s="21">
        <f t="shared" si="4"/>
        <v>0</v>
      </c>
      <c r="N18" s="20">
        <v>0</v>
      </c>
      <c r="O18" s="21">
        <f t="shared" si="5"/>
        <v>0</v>
      </c>
      <c r="P18" s="5"/>
      <c r="Q18" s="7"/>
      <c r="R18" s="6"/>
      <c r="S18" s="6"/>
    </row>
    <row r="19" spans="1:19" x14ac:dyDescent="0.3">
      <c r="A19" s="8" t="s">
        <v>5</v>
      </c>
      <c r="B19" s="20">
        <v>0</v>
      </c>
      <c r="C19" s="21">
        <f t="shared" si="0"/>
        <v>0</v>
      </c>
      <c r="D19" s="20">
        <v>0</v>
      </c>
      <c r="E19" s="21">
        <f t="shared" si="0"/>
        <v>0</v>
      </c>
      <c r="F19" s="20">
        <v>736989</v>
      </c>
      <c r="G19" s="21">
        <f t="shared" si="1"/>
        <v>0.21479639941068548</v>
      </c>
      <c r="H19" s="20">
        <v>734865</v>
      </c>
      <c r="I19" s="21">
        <f t="shared" si="2"/>
        <v>0.22117140652331727</v>
      </c>
      <c r="J19" s="20">
        <v>0</v>
      </c>
      <c r="K19" s="21">
        <f t="shared" si="3"/>
        <v>0</v>
      </c>
      <c r="L19" s="20">
        <v>0</v>
      </c>
      <c r="M19" s="21">
        <f t="shared" si="4"/>
        <v>0</v>
      </c>
      <c r="N19" s="20">
        <v>0</v>
      </c>
      <c r="O19" s="21">
        <f t="shared" si="5"/>
        <v>0</v>
      </c>
      <c r="P19" s="5"/>
      <c r="Q19" s="7"/>
      <c r="R19" s="6"/>
      <c r="S19" s="6"/>
    </row>
    <row r="20" spans="1:19" x14ac:dyDescent="0.3">
      <c r="A20" s="8" t="s">
        <v>13</v>
      </c>
      <c r="B20" s="20">
        <v>12</v>
      </c>
      <c r="C20" s="21">
        <f t="shared" si="0"/>
        <v>3.1439101281850758E-6</v>
      </c>
      <c r="D20" s="20">
        <v>14</v>
      </c>
      <c r="E20" s="21">
        <f t="shared" si="0"/>
        <v>6.4638465519764823E-6</v>
      </c>
      <c r="F20" s="20">
        <v>35</v>
      </c>
      <c r="G20" s="21">
        <f t="shared" si="1"/>
        <v>1.0200795370587609E-5</v>
      </c>
      <c r="H20" s="20">
        <v>52</v>
      </c>
      <c r="I20" s="21">
        <f t="shared" si="2"/>
        <v>1.5650375428429028E-5</v>
      </c>
      <c r="J20" s="20">
        <v>49</v>
      </c>
      <c r="K20" s="21">
        <f t="shared" si="3"/>
        <v>6.5160059702572255E-6</v>
      </c>
      <c r="L20" s="20">
        <v>8</v>
      </c>
      <c r="M20" s="21">
        <f t="shared" si="4"/>
        <v>3.2041140824819064E-5</v>
      </c>
      <c r="N20" s="20">
        <v>35</v>
      </c>
      <c r="O20" s="21">
        <f t="shared" si="5"/>
        <v>7.6389658848148706E-6</v>
      </c>
      <c r="P20" s="5"/>
      <c r="Q20" s="7"/>
      <c r="R20" s="6"/>
      <c r="S20" s="6"/>
    </row>
    <row r="21" spans="1:19" x14ac:dyDescent="0.3">
      <c r="A21" s="8" t="s">
        <v>12</v>
      </c>
      <c r="B21" s="20">
        <v>0</v>
      </c>
      <c r="C21" s="21">
        <f t="shared" si="0"/>
        <v>0</v>
      </c>
      <c r="D21" s="20">
        <v>0</v>
      </c>
      <c r="E21" s="21">
        <f t="shared" si="0"/>
        <v>0</v>
      </c>
      <c r="F21" s="20">
        <v>0</v>
      </c>
      <c r="G21" s="21">
        <f t="shared" si="1"/>
        <v>0</v>
      </c>
      <c r="H21" s="20">
        <v>0</v>
      </c>
      <c r="I21" s="21">
        <f t="shared" si="2"/>
        <v>0</v>
      </c>
      <c r="J21" s="20">
        <v>0</v>
      </c>
      <c r="K21" s="21">
        <f t="shared" si="3"/>
        <v>0</v>
      </c>
      <c r="L21" s="20">
        <v>7018</v>
      </c>
      <c r="M21" s="21">
        <f t="shared" si="4"/>
        <v>2.8108090788572525E-2</v>
      </c>
      <c r="N21" s="20">
        <v>0</v>
      </c>
      <c r="O21" s="21">
        <f t="shared" si="5"/>
        <v>0</v>
      </c>
      <c r="P21" s="5"/>
      <c r="Q21" s="7"/>
      <c r="R21" s="6"/>
      <c r="S21" s="6"/>
    </row>
    <row r="22" spans="1:19" x14ac:dyDescent="0.3">
      <c r="A22" s="8" t="s">
        <v>14</v>
      </c>
      <c r="B22" s="20">
        <v>0</v>
      </c>
      <c r="C22" s="23">
        <f t="shared" si="0"/>
        <v>0</v>
      </c>
      <c r="D22" s="20">
        <v>0</v>
      </c>
      <c r="E22" s="23">
        <f t="shared" si="0"/>
        <v>0</v>
      </c>
      <c r="F22" s="20">
        <v>0</v>
      </c>
      <c r="G22" s="23">
        <f t="shared" si="1"/>
        <v>0</v>
      </c>
      <c r="H22" s="20">
        <v>0</v>
      </c>
      <c r="I22" s="23">
        <f t="shared" si="2"/>
        <v>0</v>
      </c>
      <c r="J22" s="20">
        <v>0</v>
      </c>
      <c r="K22" s="23">
        <f t="shared" si="3"/>
        <v>0</v>
      </c>
      <c r="L22" s="20">
        <v>242653</v>
      </c>
      <c r="M22" s="23">
        <f t="shared" si="4"/>
        <v>0.97185986807060265</v>
      </c>
      <c r="N22" s="20">
        <v>0</v>
      </c>
      <c r="O22" s="23">
        <f t="shared" si="5"/>
        <v>0</v>
      </c>
      <c r="P22" s="5"/>
      <c r="Q22" s="7"/>
      <c r="R22" s="6"/>
      <c r="S22" s="6"/>
    </row>
    <row r="23" spans="1:19" ht="15" thickBot="1" x14ac:dyDescent="0.35">
      <c r="A23" s="8" t="s">
        <v>19</v>
      </c>
      <c r="B23" s="20">
        <v>0</v>
      </c>
      <c r="C23" s="23">
        <f t="shared" ref="C23:E23" si="6">B23/B$24</f>
        <v>0</v>
      </c>
      <c r="D23" s="20">
        <v>0</v>
      </c>
      <c r="E23" s="23">
        <f t="shared" si="6"/>
        <v>0</v>
      </c>
      <c r="F23" s="20">
        <v>0</v>
      </c>
      <c r="G23" s="23">
        <f t="shared" si="1"/>
        <v>0</v>
      </c>
      <c r="H23" s="20">
        <v>0</v>
      </c>
      <c r="I23" s="23">
        <f t="shared" si="2"/>
        <v>0</v>
      </c>
      <c r="J23" s="20">
        <v>0</v>
      </c>
      <c r="K23" s="23">
        <f t="shared" si="3"/>
        <v>0</v>
      </c>
      <c r="L23" s="20">
        <v>0</v>
      </c>
      <c r="M23" s="23">
        <f t="shared" si="4"/>
        <v>0</v>
      </c>
      <c r="N23" s="20">
        <v>0</v>
      </c>
      <c r="O23" s="23">
        <f t="shared" si="5"/>
        <v>0</v>
      </c>
      <c r="P23" s="5"/>
      <c r="Q23" s="7"/>
      <c r="R23" s="6"/>
      <c r="S23" s="6"/>
    </row>
    <row r="24" spans="1:19" ht="41.25" customHeight="1" thickBot="1" x14ac:dyDescent="0.35">
      <c r="A24" s="18" t="s">
        <v>0</v>
      </c>
      <c r="B24" s="22" cm="1">
        <f t="array" ref="B24">SUM(_xlfn.IFNA(B9:B23,0))</f>
        <v>3816903</v>
      </c>
      <c r="C24" s="24">
        <f>B24/B$24</f>
        <v>1</v>
      </c>
      <c r="D24" s="22" cm="1">
        <f t="array" ref="D24">SUM(_xlfn.IFNA(D9:D23,0))</f>
        <v>2165893</v>
      </c>
      <c r="E24" s="24">
        <f>D24/D$24</f>
        <v>1</v>
      </c>
      <c r="F24" s="22" cm="1">
        <f t="array" ref="F24">SUM(_xlfn.IFNA(F9:F23,0))</f>
        <v>3431105</v>
      </c>
      <c r="G24" s="24">
        <f>F24/F$24</f>
        <v>1</v>
      </c>
      <c r="H24" s="22" cm="1">
        <f t="array" ref="H24">SUM(_xlfn.IFNA(H9:H23,0))</f>
        <v>3322604</v>
      </c>
      <c r="I24" s="24">
        <f>H24/H$24</f>
        <v>1</v>
      </c>
      <c r="J24" s="22" cm="1">
        <f t="array" ref="J24">SUM(_xlfn.IFNA(J9:J23,0))</f>
        <v>7519944</v>
      </c>
      <c r="K24" s="24">
        <f>J24/J$24</f>
        <v>1</v>
      </c>
      <c r="L24" s="22" cm="1">
        <f t="array" ref="L24">SUM(_xlfn.IFNA(L9:L23,0))</f>
        <v>249679</v>
      </c>
      <c r="M24" s="24">
        <f>L24/L$24</f>
        <v>1</v>
      </c>
      <c r="N24" s="22" cm="1">
        <f t="array" ref="N24">SUM(_xlfn.IFNA(N9:N23,0))</f>
        <v>4581772</v>
      </c>
      <c r="O24" s="24">
        <f>N24/N$24</f>
        <v>1</v>
      </c>
      <c r="P24" s="5"/>
      <c r="Q24" s="3"/>
    </row>
    <row r="25" spans="1:19" ht="54.75" customHeight="1" x14ac:dyDescent="0.3">
      <c r="A25" s="25" t="s">
        <v>35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8" spans="1:19" s="1" customFormat="1" x14ac:dyDescent="0.3">
      <c r="A28" s="2"/>
      <c r="H28"/>
    </row>
  </sheetData>
  <mergeCells count="1">
    <mergeCell ref="A25:O25"/>
  </mergeCells>
  <printOptions horizontalCentered="1"/>
  <pageMargins left="0.7" right="0.7" top="0.75" bottom="0.75" header="0.3" footer="0.3"/>
  <pageSetup scale="54" orientation="landscape" r:id="rId1"/>
  <headerFooter>
    <oddHeader>&amp;RSupplemental Exhibit 20.2</oddHeader>
  </headerFooter>
  <ignoredErrors>
    <ignoredError sqref="E9:E17 D24:O24 E18 I18 C24 E19:E23 G9:G17 G18 G19:G23 I9:I17 I19:I23 K18 K9:K17 K19:K23 M18 M9:M17 M19:M23 O18 O9:O17 O19:O23" formula="1"/>
    <ignoredError sqref="A20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Supplemental Exhibit 20.2</vt:lpstr>
      <vt:lpstr>'Supplemental Exhibit 20.2'!Print_Area</vt:lpstr>
    </vt:vector>
  </TitlesOfParts>
  <Company>Nationwide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Hermanson, Jason B</dc:creator>
  <cp:lastModifiedBy>Jennifer Walker</cp:lastModifiedBy>
  <cp:lastPrinted>2020-12-23T18:06:12Z</cp:lastPrinted>
  <dcterms:created xsi:type="dcterms:W3CDTF">2020-12-18T16:05:40Z</dcterms:created>
  <dcterms:modified xsi:type="dcterms:W3CDTF">2024-07-11T21:45:20Z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{355E20C4-5914-487C-8CA8-47C89040684C}</vt:lpwstr>
  </property>
  <property fmtid="{D5CDD505-2E9C-101B-9397-08002B2CF9AE}" pid="3" name="MSIP_Label_261ecbe3-7ba9-4124-b9d7-ffd820687beb_Enabled">
    <vt:lpwstr>true</vt:lpwstr>
  </property>
  <property fmtid="{D5CDD505-2E9C-101B-9397-08002B2CF9AE}" pid="4" name="MSIP_Label_261ecbe3-7ba9-4124-b9d7-ffd820687beb_SetDate">
    <vt:lpwstr>2023-01-09T16:36:28Z</vt:lpwstr>
  </property>
  <property fmtid="{D5CDD505-2E9C-101B-9397-08002B2CF9AE}" pid="5" name="MSIP_Label_261ecbe3-7ba9-4124-b9d7-ffd820687beb_Method">
    <vt:lpwstr>Standard</vt:lpwstr>
  </property>
  <property fmtid="{D5CDD505-2E9C-101B-9397-08002B2CF9AE}" pid="6" name="MSIP_Label_261ecbe3-7ba9-4124-b9d7-ffd820687beb_Name">
    <vt:lpwstr>261ecbe3-7ba9-4124-b9d7-ffd820687beb</vt:lpwstr>
  </property>
  <property fmtid="{D5CDD505-2E9C-101B-9397-08002B2CF9AE}" pid="7" name="MSIP_Label_261ecbe3-7ba9-4124-b9d7-ffd820687beb_SiteId">
    <vt:lpwstr>fa23982e-6646-4a33-a5c4-1a848d02fcc4</vt:lpwstr>
  </property>
  <property fmtid="{D5CDD505-2E9C-101B-9397-08002B2CF9AE}" pid="8" name="MSIP_Label_261ecbe3-7ba9-4124-b9d7-ffd820687beb_ActionId">
    <vt:lpwstr>a46c30e6-90eb-4903-b65f-7cc1c09cf4ab</vt:lpwstr>
  </property>
  <property fmtid="{D5CDD505-2E9C-101B-9397-08002B2CF9AE}" pid="9" name="MSIP_Label_261ecbe3-7ba9-4124-b9d7-ffd820687beb_ContentBits">
    <vt:lpwstr>0</vt:lpwstr>
  </property>
</Properties>
</file>