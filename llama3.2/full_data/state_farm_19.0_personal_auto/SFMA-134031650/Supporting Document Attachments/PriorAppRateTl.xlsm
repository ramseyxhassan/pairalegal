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4\10-01-2024 GRC\04 - Filing\01 - Objections\07-22-2024 CW\ZTH Scratch Work\"/>
    </mc:Choice>
  </mc:AlternateContent>
  <xr:revisionPtr revIDLastSave="0" documentId="13_ncr:1_{72B126AF-F7A2-4E83-8AB9-DF8EB224A03D}" xr6:coauthVersionLast="47" xr6:coauthVersionMax="47" xr10:uidLastSave="{00000000-0000-0000-0000-000000000000}"/>
  <bookViews>
    <workbookView xWindow="-120" yWindow="-120" windowWidth="29040" windowHeight="15840" tabRatio="866" firstSheet="2" activeTab="6"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r:id="rId13"/>
    <sheet name="6.4Ratemaking Data" sheetId="42" r:id="rId14"/>
    <sheet name="6.5Ratemaking Data" sheetId="43" r:id="rId15"/>
    <sheet name="6.6Ratemaking Data" sheetId="44" r:id="rId16"/>
    <sheet name="6.7Ratemaking Data" sheetId="45"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r:id="rId23"/>
    <sheet name="7.4Rate Change Calculation" sheetId="51" r:id="rId24"/>
    <sheet name="7.5Rate Change Calculation" sheetId="52" r:id="rId25"/>
    <sheet name="7.6Rate Change Calculation" sheetId="53" r:id="rId26"/>
    <sheet name="7.7Rate Change Calculation" sheetId="54"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functionGroups builtInGroupCount="19"/>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Settings!$B$42</definedName>
    <definedName name="Covg02">Settings!$B$43</definedName>
    <definedName name="Covg03">Settings!$B$44</definedName>
    <definedName name="Covg04">Settings!$B$45</definedName>
    <definedName name="Covg05">Settings!$B$46</definedName>
    <definedName name="Covg06">Settings!$B$47</definedName>
    <definedName name="Covg07">Settings!$B$48</definedName>
    <definedName name="Covg08">Settings!$B$49</definedName>
    <definedName name="Covg09">Settings!$B$50</definedName>
    <definedName name="Covg10">Settings!$B$51</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Settings!$B$30</definedName>
    <definedName name="Detailed_LineDesc02">Settings!$B$31</definedName>
    <definedName name="Detailed_LineDesc03">Settings!$B$32</definedName>
    <definedName name="Detailed_LineDesc04">Settings!$B$33</definedName>
    <definedName name="Detailed_LineDesc05">Settings!$B$34</definedName>
    <definedName name="Detailed_LineDesc06">Settings!$B$35</definedName>
    <definedName name="Detailed_LineDesc07">Settings!$B$36</definedName>
    <definedName name="Detailed_LineDesc08">Settings!$B$37</definedName>
    <definedName name="Detailed_LineDesc09">Settings!$B$38</definedName>
    <definedName name="Detailed_LineDesc10">Settings!$B$39</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Settings!$B$67</definedName>
    <definedName name="EffStd_Var02">Settings!$B$68</definedName>
    <definedName name="EffStd_Var03">Settings!$B$69</definedName>
    <definedName name="EffStd_Var04">Settings!$B$70</definedName>
    <definedName name="EffStd_Var05">Settings!$B$71</definedName>
    <definedName name="EffStd_Var06">Settings!$B$72</definedName>
    <definedName name="EffStd_Var07">Settings!$B$73</definedName>
    <definedName name="EffStd_Var08">Settings!$B$74</definedName>
    <definedName name="EffStd_Var09">Settings!$B$75</definedName>
    <definedName name="EffStd_Var10">Settings!$B$76</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Settings!$B$54</definedName>
    <definedName name="EffStd_Wtd02">Settings!$B$55</definedName>
    <definedName name="EffStd_Wtd03">Settings!$B$56</definedName>
    <definedName name="EffStd_Wtd04">Settings!$B$57</definedName>
    <definedName name="EffStd_Wtd05">Settings!$B$58</definedName>
    <definedName name="EffStd_Wtd06">Settings!$B$59</definedName>
    <definedName name="EffStd_Wtd07">Settings!$B$60</definedName>
    <definedName name="EffStd_Wtd08">Settings!$B$61</definedName>
    <definedName name="EffStd_Wtd09">Settings!$B$62</definedName>
    <definedName name="EffStd_Wtd10">Settings!$B$63</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Settings!$B$102</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Settings!$B$91</definedName>
    <definedName name="LevFact_Final02">Settings!$B$92</definedName>
    <definedName name="LevFact_Final03">Settings!$B$93</definedName>
    <definedName name="LevFact_Final04">Settings!$B$94</definedName>
    <definedName name="LevFact_Final05">Settings!$B$95</definedName>
    <definedName name="LevFact_Final06">Settings!$B$96</definedName>
    <definedName name="LevFact_Final07">Settings!$B$97</definedName>
    <definedName name="LevFact_Final08">Settings!$B$98</definedName>
    <definedName name="LevFact_Final09">Settings!$B$99</definedName>
    <definedName name="LevFact_Final10">Settings!$B$100</definedName>
    <definedName name="List_AggMeth">References!$K$6:$K$8</definedName>
    <definedName name="List_AOELoad">References!$P$6:$P$9</definedName>
    <definedName name="List_DetailLine">References!$H$39:$I$41</definedName>
    <definedName name="List_GeneralLine">References!$F$6:$F$28</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Settings!$B$103</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Standard'!$A$1:$E$41</definedName>
    <definedName name="_xlnm.Print_Area" localSheetId="44">'Federal Income Tax Rate'!$A$1:$C$33</definedName>
    <definedName name="_xlnm.Print_Area" localSheetId="43">'Incurred Loss &amp; DCCE'!$A$1:$D$46</definedName>
    <definedName name="_xlnm.Print_Area" localSheetId="2">Instructions!$A$1:$D$16</definedName>
    <definedName name="_xlnm.Print_Area" localSheetId="41">'Leverage Factor'!$A$1:$C$43</definedName>
    <definedName name="_xlnm.Print_Area" localSheetId="42">'Reserves Ratio'!$A$1:$D$43</definedName>
    <definedName name="_xlnm.Print_Area" localSheetId="0">Settings!$A$1:$E$107</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Settings!$B$79</definedName>
    <definedName name="ResRatio_UPR02">Settings!$B$80</definedName>
    <definedName name="ResRatio_UPR03">Settings!$B$81</definedName>
    <definedName name="ResRatio_UPR04">Settings!$B$82</definedName>
    <definedName name="ResRatio_UPR05">Settings!$B$83</definedName>
    <definedName name="ResRatio_UPR06">Settings!$B$84</definedName>
    <definedName name="ResRatio_UPR07">Settings!$B$85</definedName>
    <definedName name="ResRatio_UPR08">Settings!$B$86</definedName>
    <definedName name="ResRatio_UPR09">Settings!$B$87</definedName>
    <definedName name="ResRatio_UPR10">Settings!$B$88</definedName>
    <definedName name="ROR_Max">Settings!$B$106</definedName>
    <definedName name="ROR_Min">Settings!$B$105</definedName>
    <definedName name="ROR_RiskFree">Settings!$B$104</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Standard'!$A$10:$E$41</definedName>
    <definedName name="Table_IncdLossDCCE">'Incurred Loss &amp; DCCE'!$A$11:$D$43</definedName>
    <definedName name="Table_LevFact">'Leverage Factor'!$A$11:$C$43</definedName>
    <definedName name="Table_ResRatio">'Reserves Ratio'!$A$11:$D$43</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 i="32" l="1"/>
  <c r="D30" i="38"/>
  <c r="D29" i="38"/>
  <c r="D27" i="38"/>
  <c r="D26" i="38"/>
  <c r="D25" i="38"/>
  <c r="D24" i="38"/>
  <c r="D23" i="38"/>
  <c r="D22" i="38"/>
  <c r="D20" i="38"/>
  <c r="D19" i="38"/>
  <c r="D16" i="38"/>
  <c r="D15" i="38"/>
  <c r="D14" i="38"/>
  <c r="D12" i="38"/>
  <c r="D11" i="38"/>
  <c r="D10" i="38"/>
  <c r="D32" i="11" l="1"/>
  <c r="D31" i="11"/>
  <c r="D26" i="11"/>
  <c r="D24" i="11"/>
  <c r="D23" i="11"/>
  <c r="D22" i="11"/>
  <c r="D21" i="11"/>
  <c r="D20" i="11"/>
  <c r="C32" i="11"/>
  <c r="C31" i="11"/>
  <c r="C26" i="11"/>
  <c r="C24" i="11"/>
  <c r="C23" i="11"/>
  <c r="C22" i="11"/>
  <c r="C21" i="11"/>
  <c r="C20" i="11"/>
  <c r="B32" i="11"/>
  <c r="B31" i="11"/>
  <c r="B26" i="11"/>
  <c r="B24" i="11"/>
  <c r="B23" i="11"/>
  <c r="B22" i="11"/>
  <c r="B21" i="11"/>
  <c r="B20" i="11"/>
  <c r="C13" i="13" l="1"/>
  <c r="C12" i="13"/>
  <c r="B13" i="13"/>
  <c r="B12" i="13"/>
  <c r="B13" i="12"/>
  <c r="B12" i="12"/>
  <c r="I42" i="3" l="1"/>
  <c r="I41" i="3"/>
  <c r="I40" i="3"/>
  <c r="I48" i="3" l="1"/>
  <c r="I47" i="3"/>
  <c r="I46" i="3"/>
  <c r="I45" i="3"/>
  <c r="I44" i="3"/>
  <c r="I43"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3"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2"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4" i="1"/>
  <c r="H43" i="57" s="1"/>
  <c r="V26" i="3" l="1"/>
  <c r="U27" i="3"/>
  <c r="H43" i="28"/>
  <c r="H43" i="50"/>
  <c r="H43" i="52"/>
  <c r="H43" i="55"/>
  <c r="H43" i="51"/>
  <c r="H43" i="53"/>
  <c r="H43" i="49"/>
  <c r="H43" i="54"/>
  <c r="H43" i="56"/>
  <c r="B106"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G49" i="49" l="1"/>
  <c r="F49" i="49"/>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D18" i="38"/>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1" i="1"/>
  <c r="I18" i="34" s="1"/>
  <c r="B50" i="1"/>
  <c r="I17" i="34" s="1"/>
  <c r="B49" i="1"/>
  <c r="I16" i="34" s="1"/>
  <c r="B48" i="1"/>
  <c r="B47" i="1"/>
  <c r="B46" i="1"/>
  <c r="B45" i="1"/>
  <c r="B44" i="1"/>
  <c r="B43" i="1"/>
  <c r="B42" i="1"/>
  <c r="D34" i="34" l="1"/>
  <c r="C34" i="34"/>
  <c r="C32" i="34"/>
  <c r="D32" i="34"/>
  <c r="D33" i="34"/>
  <c r="C33" i="34"/>
  <c r="B33" i="1"/>
  <c r="E33" i="1" s="1"/>
  <c r="B14" i="32" s="1"/>
  <c r="B29" i="32" s="1"/>
  <c r="B12" i="34"/>
  <c r="H12" i="34" s="1"/>
  <c r="C41" i="34"/>
  <c r="F28" i="34"/>
  <c r="B16" i="34"/>
  <c r="B45" i="34" s="1"/>
  <c r="C45" i="34"/>
  <c r="F32" i="34"/>
  <c r="H16" i="34"/>
  <c r="B34" i="1"/>
  <c r="E34" i="1" s="1"/>
  <c r="B15" i="32" s="1"/>
  <c r="B30" i="32" s="1"/>
  <c r="F29" i="34"/>
  <c r="H13" i="34"/>
  <c r="B13" i="34"/>
  <c r="C42" i="34"/>
  <c r="C46" i="34"/>
  <c r="B17" i="34"/>
  <c r="H17" i="34" s="1"/>
  <c r="E33" i="34" s="1"/>
  <c r="F33" i="34"/>
  <c r="B31" i="1"/>
  <c r="E31" i="1" s="1"/>
  <c r="B12" i="32" s="1"/>
  <c r="B27" i="32" s="1"/>
  <c r="C39" i="34"/>
  <c r="F26" i="34"/>
  <c r="B10" i="34"/>
  <c r="H10" i="34" s="1"/>
  <c r="B35" i="1"/>
  <c r="E35" i="1" s="1"/>
  <c r="B16" i="32" s="1"/>
  <c r="B31" i="32" s="1"/>
  <c r="C43" i="34"/>
  <c r="F30" i="34"/>
  <c r="B14" i="34"/>
  <c r="H14" i="34" s="1"/>
  <c r="C47" i="34"/>
  <c r="F34" i="34"/>
  <c r="B18" i="34"/>
  <c r="H18" i="34"/>
  <c r="B32" i="1"/>
  <c r="E32" i="1" s="1"/>
  <c r="B13" i="32" s="1"/>
  <c r="B28" i="32" s="1"/>
  <c r="C40" i="34"/>
  <c r="F27" i="34"/>
  <c r="B11" i="34"/>
  <c r="H11" i="34" s="1"/>
  <c r="B15" i="34"/>
  <c r="B44" i="34" s="1"/>
  <c r="C44" i="34"/>
  <c r="F31" i="34"/>
  <c r="I65" i="54"/>
  <c r="I65" i="50"/>
  <c r="I65" i="53"/>
  <c r="I65" i="56"/>
  <c r="I65" i="28"/>
  <c r="I65" i="55"/>
  <c r="I65" i="51"/>
  <c r="I65" i="57"/>
  <c r="I65" i="49"/>
  <c r="I65" i="52"/>
  <c r="J34" i="41"/>
  <c r="J34" i="44"/>
  <c r="J34" i="48"/>
  <c r="J34" i="42"/>
  <c r="J34" i="47"/>
  <c r="J34" i="43"/>
  <c r="K34" i="48"/>
  <c r="H32" i="56"/>
  <c r="K34" i="46"/>
  <c r="B30" i="1"/>
  <c r="E30" i="1" s="1"/>
  <c r="B11" i="32" s="1"/>
  <c r="B26" i="32" s="1"/>
  <c r="G26" i="32"/>
  <c r="H32" i="57"/>
  <c r="K34" i="42"/>
  <c r="K34" i="44"/>
  <c r="K34" i="45"/>
  <c r="K34" i="41"/>
  <c r="K34" i="47"/>
  <c r="H32" i="50"/>
  <c r="B39" i="1"/>
  <c r="E39" i="1" s="1"/>
  <c r="B20" i="32" s="1"/>
  <c r="B35" i="32" s="1"/>
  <c r="A18" i="34"/>
  <c r="A34" i="34"/>
  <c r="E34" i="34"/>
  <c r="A47" i="34"/>
  <c r="B38" i="1"/>
  <c r="E38" i="1" s="1"/>
  <c r="B19" i="32" s="1"/>
  <c r="B34" i="32" s="1"/>
  <c r="A33" i="34"/>
  <c r="A46" i="34"/>
  <c r="A17" i="34"/>
  <c r="B37" i="1"/>
  <c r="E37" i="1" s="1"/>
  <c r="B18" i="32" s="1"/>
  <c r="B33" i="32" s="1"/>
  <c r="A16" i="34"/>
  <c r="A32" i="34"/>
  <c r="A45" i="34"/>
  <c r="B36" i="1"/>
  <c r="E36" i="1" s="1"/>
  <c r="B17" i="32" s="1"/>
  <c r="B32" i="32"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H15" i="34" l="1"/>
  <c r="B26" i="34"/>
  <c r="F31" i="32"/>
  <c r="H31" i="32" s="1"/>
  <c r="M22" i="63"/>
  <c r="M20" i="63"/>
  <c r="F34" i="32"/>
  <c r="M20" i="66"/>
  <c r="M20" i="64"/>
  <c r="M20" i="62"/>
  <c r="E35" i="32"/>
  <c r="M20" i="67"/>
  <c r="M20" i="59"/>
  <c r="M20" i="65"/>
  <c r="M20" i="29"/>
  <c r="B46" i="34"/>
  <c r="D46" i="34" s="1"/>
  <c r="B34" i="34"/>
  <c r="D45" i="34"/>
  <c r="B47" i="34"/>
  <c r="B43" i="34"/>
  <c r="D43" i="34" s="1"/>
  <c r="D47" i="34"/>
  <c r="B31" i="34"/>
  <c r="E31" i="34"/>
  <c r="B33" i="34"/>
  <c r="E28" i="34"/>
  <c r="E30" i="34"/>
  <c r="D44" i="34"/>
  <c r="B32" i="34"/>
  <c r="E32" i="34"/>
  <c r="B41" i="34"/>
  <c r="D41" i="34" s="1"/>
  <c r="B28" i="34"/>
  <c r="B27" i="34"/>
  <c r="B42" i="34"/>
  <c r="D42" i="34" s="1"/>
  <c r="E27"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M20" i="60"/>
  <c r="M20" i="6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16" i="32" l="1"/>
  <c r="J16" i="32" s="1"/>
  <c r="G20" i="32"/>
  <c r="J20" i="32" s="1"/>
  <c r="G19" i="32"/>
  <c r="J19" i="32" s="1"/>
  <c r="G18" i="32"/>
  <c r="J18" i="32" s="1"/>
  <c r="G17" i="32"/>
  <c r="J17" i="32" s="1"/>
  <c r="G15" i="32"/>
  <c r="J15" i="32" s="1"/>
  <c r="F29" i="32"/>
  <c r="H29" i="32" s="1"/>
  <c r="E29" i="32"/>
  <c r="D29" i="32"/>
  <c r="E14" i="32"/>
  <c r="D14" i="32"/>
  <c r="F14" i="32"/>
  <c r="H73" i="51"/>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4" i="1"/>
  <c r="B82" i="1"/>
  <c r="E82" i="1"/>
  <c r="E85" i="1"/>
  <c r="B97" i="1"/>
  <c r="B85" i="1"/>
  <c r="E80" i="1"/>
  <c r="B92" i="1"/>
  <c r="B80" i="1"/>
  <c r="E81" i="1"/>
  <c r="B93" i="1"/>
  <c r="B81" i="1"/>
  <c r="H41" i="50" s="1"/>
  <c r="B83" i="1"/>
  <c r="E83" i="1"/>
  <c r="B95" i="1"/>
  <c r="B87" i="1"/>
  <c r="E87" i="1"/>
  <c r="B99" i="1"/>
  <c r="E84" i="1"/>
  <c r="B96" i="1"/>
  <c r="B84" i="1"/>
  <c r="B91" i="1"/>
  <c r="B79" i="1"/>
  <c r="E79" i="1"/>
  <c r="H57" i="28" s="1"/>
  <c r="E88" i="1"/>
  <c r="B100" i="1"/>
  <c r="B88" i="1"/>
  <c r="B98" i="1"/>
  <c r="B86" i="1"/>
  <c r="E86" i="1"/>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8" i="1"/>
  <c r="M40" i="43" s="1"/>
  <c r="I69" i="52" s="1"/>
  <c r="B55" i="1"/>
  <c r="M40" i="39" s="1"/>
  <c r="I69" i="49" s="1"/>
  <c r="B63" i="1"/>
  <c r="M40" i="48" s="1"/>
  <c r="I69" i="57" s="1"/>
  <c r="B57" i="1"/>
  <c r="M40" i="42" s="1"/>
  <c r="I69" i="51" s="1"/>
  <c r="B61" i="1"/>
  <c r="M40" i="46" s="1"/>
  <c r="I69" i="55" s="1"/>
  <c r="B54" i="1"/>
  <c r="M40" i="9" s="1"/>
  <c r="B59" i="1"/>
  <c r="M40" i="44" s="1"/>
  <c r="I69" i="53" s="1"/>
  <c r="B56" i="1"/>
  <c r="M40" i="41" s="1"/>
  <c r="I69" i="50" s="1"/>
  <c r="B60" i="1"/>
  <c r="M40" i="45" s="1"/>
  <c r="I69" i="54" s="1"/>
  <c r="B62" i="1"/>
  <c r="M40" i="47" s="1"/>
  <c r="I69" i="56" s="1"/>
  <c r="B67" i="1" l="1"/>
  <c r="H11" i="32" s="1"/>
  <c r="J11" i="32" s="1"/>
  <c r="E42" i="1" s="1"/>
  <c r="B72" i="1"/>
  <c r="B76" i="1"/>
  <c r="B75" i="1"/>
  <c r="B68" i="1"/>
  <c r="B73" i="1"/>
  <c r="B74" i="1"/>
  <c r="B71" i="1"/>
  <c r="B69" i="1"/>
  <c r="B70"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6"/>
  <c r="E17" i="34" s="1"/>
  <c r="H69" i="56"/>
  <c r="H68" i="55"/>
  <c r="E16" i="34" s="1"/>
  <c r="H69" i="55"/>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8" i="34"/>
  <c r="C17"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H53" i="28"/>
  <c r="B48" i="34"/>
  <c r="D48" i="34" s="1"/>
  <c r="D38" i="34"/>
  <c r="H30" i="28"/>
  <c r="G19" i="34" l="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7" i="34" l="1"/>
  <c r="D16" i="34"/>
  <c r="D18" i="34"/>
  <c r="F16" i="34" l="1"/>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30" i="34" l="1"/>
  <c r="H68" i="53"/>
  <c r="E14" i="34" s="1"/>
  <c r="C25" i="34"/>
  <c r="H68" i="28"/>
  <c r="E9" i="34" s="1"/>
  <c r="H77" i="50"/>
  <c r="H78" i="50" s="1"/>
  <c r="H79" i="50" s="1"/>
  <c r="H67" i="28"/>
  <c r="H69" i="28" s="1"/>
  <c r="E77" i="50"/>
  <c r="D54" i="50"/>
  <c r="D55" i="50" s="1"/>
  <c r="H67" i="53"/>
  <c r="H69" i="53" s="1"/>
  <c r="F14" i="34" s="1"/>
  <c r="D14" i="34"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9" i="51" s="1"/>
  <c r="F12" i="34" s="1"/>
  <c r="D12" i="34" s="1"/>
  <c r="C28" i="34" l="1"/>
  <c r="H68" i="51"/>
  <c r="E12" i="34" s="1"/>
  <c r="C29" i="34"/>
  <c r="H68" i="52"/>
  <c r="E13" i="34" s="1"/>
  <c r="C14" i="34"/>
  <c r="I14" i="34"/>
  <c r="H63" i="53"/>
  <c r="D30" i="34"/>
  <c r="H63" i="51"/>
  <c r="D28" i="34"/>
  <c r="H63" i="50"/>
  <c r="D27" i="34"/>
  <c r="F10" i="34"/>
  <c r="D10" i="34" s="1"/>
  <c r="G40" i="59"/>
  <c r="F9" i="34"/>
  <c r="I9" i="34" s="1"/>
  <c r="G40" i="29"/>
  <c r="C9" i="34"/>
  <c r="H63" i="49"/>
  <c r="D26" i="34"/>
  <c r="H63" i="28"/>
  <c r="D25" i="34"/>
  <c r="H67" i="55"/>
  <c r="H63" i="55" s="1"/>
  <c r="H67" i="52"/>
  <c r="H69" i="52" s="1"/>
  <c r="F13" i="34" s="1"/>
  <c r="D13" i="34" s="1"/>
  <c r="H66" i="49"/>
  <c r="H66" i="50"/>
  <c r="H67" i="56"/>
  <c r="H63" i="56" s="1"/>
  <c r="H67" i="54"/>
  <c r="H69" i="54" s="1"/>
  <c r="F15" i="34" s="1"/>
  <c r="D15" i="34" s="1"/>
  <c r="H66" i="54"/>
  <c r="C13" i="34" l="1"/>
  <c r="I13" i="34"/>
  <c r="C31" i="34"/>
  <c r="H68" i="54"/>
  <c r="E15" i="34" s="1"/>
  <c r="C12" i="34"/>
  <c r="I12" i="34"/>
  <c r="C27" i="34"/>
  <c r="H68" i="50"/>
  <c r="E11" i="34" s="1"/>
  <c r="H63" i="52"/>
  <c r="D29" i="34"/>
  <c r="H63" i="54"/>
  <c r="D31" i="34"/>
  <c r="D9" i="34"/>
  <c r="D19" i="34" s="1"/>
  <c r="D35" i="34" s="1"/>
  <c r="F19" i="34"/>
  <c r="I22" i="59"/>
  <c r="I40" i="59"/>
  <c r="I22" i="29"/>
  <c r="I40" i="29"/>
  <c r="C26" i="34"/>
  <c r="H68" i="49"/>
  <c r="E10" i="34" s="1"/>
  <c r="I10" i="34" s="1"/>
  <c r="C11" i="34" l="1"/>
  <c r="I11" i="34"/>
  <c r="C15" i="34"/>
  <c r="I15" i="34"/>
  <c r="C10" i="34"/>
  <c r="E19" i="34"/>
  <c r="I19" i="34" s="1"/>
  <c r="C19" i="34" l="1"/>
  <c r="C3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<sst xmlns="http://schemas.openxmlformats.org/spreadsheetml/2006/main" count="3103" uniqueCount="765">
  <si>
    <t>Company Name:</t>
  </si>
  <si>
    <t>Completed by:</t>
  </si>
  <si>
    <t>Y</t>
  </si>
  <si>
    <t>N</t>
  </si>
  <si>
    <t>Line Type:</t>
  </si>
  <si>
    <t>Commercial</t>
  </si>
  <si>
    <t>Personal</t>
  </si>
  <si>
    <t>General Line :</t>
  </si>
  <si>
    <t>Aircraft</t>
  </si>
  <si>
    <t>Allied Lines</t>
  </si>
  <si>
    <t>Auto Liability and Physical Damage</t>
  </si>
  <si>
    <t>Boiler &amp; Machinery</t>
  </si>
  <si>
    <t>Burglary &amp; Theft</t>
  </si>
  <si>
    <t>Earthquake</t>
  </si>
  <si>
    <t>Farmowners</t>
  </si>
  <si>
    <t>Fidelity</t>
  </si>
  <si>
    <t>Fire</t>
  </si>
  <si>
    <t>Flood</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</si>
  <si>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</si>
  <si>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</si>
  <si>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</si>
  <si>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</si>
  <si>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</si>
  <si>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</si>
  <si>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</si>
  <si>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</si>
  <si>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</si>
  <si>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</si>
  <si>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</si>
  <si>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</si>
  <si>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</si>
  <si>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</si>
  <si>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</si>
  <si>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</si>
  <si>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</si>
  <si>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</si>
  <si>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</si>
  <si>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</si>
  <si>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</si>
  <si>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</si>
  <si>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</si>
  <si>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</si>
  <si>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</si>
  <si>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</si>
  <si>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</si>
  <si>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</si>
  <si>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</si>
  <si>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</si>
  <si>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</si>
  <si>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</si>
  <si>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</si>
  <si>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</si>
  <si>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</si>
  <si>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</si>
  <si>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</si>
  <si>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</si>
  <si>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</si>
  <si>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</si>
  <si>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</si>
  <si>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</si>
  <si>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</si>
  <si>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</si>
  <si>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</si>
  <si>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</si>
  <si>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</si>
  <si>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</si>
  <si>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</si>
  <si>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</si>
  <si>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</si>
  <si>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</si>
  <si>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</si>
  <si>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</si>
  <si>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</si>
  <si>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</si>
  <si>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</si>
  <si>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</si>
  <si>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</si>
  <si>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</si>
  <si>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</si>
  <si>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</si>
  <si>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</si>
  <si>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</si>
  <si>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</si>
  <si>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</si>
  <si>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</si>
  <si>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</si>
  <si>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</si>
  <si>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</si>
  <si>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</si>
  <si>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</si>
  <si>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</si>
  <si>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</si>
  <si>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</si>
  <si>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</si>
  <si>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</si>
  <si>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</si>
  <si>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</si>
  <si>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</si>
  <si>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</si>
  <si>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</si>
  <si>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</si>
  <si>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</si>
  <si>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</si>
  <si>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</si>
  <si>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</si>
  <si>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</si>
  <si>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</si>
  <si>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</si>
  <si>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</si>
  <si>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</si>
  <si>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</si>
  <si>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</si>
  <si>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</si>
  <si>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</si>
  <si>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</si>
  <si>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</si>
  <si>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</si>
  <si>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</si>
  <si>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</si>
  <si>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</si>
  <si>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</si>
  <si>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</si>
  <si>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</si>
  <si>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</si>
  <si>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</si>
  <si>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</si>
  <si>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</si>
  <si>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</si>
  <si>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</si>
  <si>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</si>
  <si>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</si>
  <si>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</si>
  <si>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</si>
  <si>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</si>
  <si>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</si>
  <si>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</si>
  <si>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</si>
  <si>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</si>
  <si>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</si>
  <si>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</si>
  <si>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</si>
  <si>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</si>
  <si>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</si>
  <si>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</si>
  <si>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</si>
  <si>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</si>
  <si>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</si>
  <si>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</si>
  <si>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</si>
  <si>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</si>
  <si>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</si>
  <si>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</si>
  <si>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</si>
  <si>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</si>
  <si>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</si>
  <si>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</si>
  <si>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</si>
  <si>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</si>
  <si>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</si>
  <si>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</si>
  <si>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</si>
  <si>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</si>
  <si>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</si>
  <si>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</si>
  <si>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</si>
  <si>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</si>
  <si>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</si>
  <si>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</si>
  <si>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</si>
  <si>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</si>
  <si>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</si>
  <si>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</si>
  <si>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</si>
  <si>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</si>
  <si>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</si>
  <si>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</si>
  <si>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</si>
  <si>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</si>
  <si>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</si>
  <si>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</si>
  <si>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</si>
  <si>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</si>
  <si>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</si>
  <si>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</si>
  <si>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</si>
  <si>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</si>
  <si>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</si>
  <si>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</si>
  <si>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</si>
  <si>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</si>
  <si>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</si>
  <si>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</si>
  <si>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</si>
  <si>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</si>
  <si>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</si>
  <si>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</si>
  <si>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</si>
  <si>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</si>
  <si>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</si>
  <si>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</si>
  <si>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</si>
  <si>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</si>
  <si>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</si>
  <si>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</si>
  <si>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</si>
  <si>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</si>
  <si>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</si>
  <si>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</si>
  <si>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</si>
  <si>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</si>
  <si>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</si>
  <si>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</si>
  <si>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</si>
  <si>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</si>
  <si>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</si>
  <si>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</si>
  <si>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</si>
  <si>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</si>
  <si>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</si>
  <si>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</si>
  <si>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</si>
  <si>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</si>
  <si>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</si>
  <si>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</si>
  <si>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</si>
  <si>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</si>
  <si>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</si>
  <si>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</si>
  <si>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</si>
  <si>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</si>
  <si>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</si>
  <si>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</si>
  <si>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</si>
  <si>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</si>
  <si>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</si>
  <si>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</si>
  <si>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</si>
  <si>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</si>
  <si>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</si>
  <si>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</si>
  <si>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</si>
  <si>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</si>
  <si>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</si>
  <si>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</si>
  <si>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</si>
  <si>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</si>
  <si>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</si>
  <si>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</si>
  <si>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</si>
  <si>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</si>
  <si>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</si>
  <si>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</si>
  <si>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</si>
  <si>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</si>
  <si>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</si>
  <si>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</si>
  <si>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</si>
  <si>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</si>
  <si>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</si>
  <si>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</si>
  <si>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</si>
  <si>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</si>
  <si>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</si>
  <si>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</si>
  <si>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</si>
  <si>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</si>
  <si>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</si>
  <si>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</si>
  <si>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</si>
  <si>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</si>
  <si>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</si>
  <si>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</si>
  <si>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</si>
  <si>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</si>
  <si>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</si>
  <si>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</si>
  <si>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</si>
  <si>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</si>
  <si>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</si>
  <si>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</si>
  <si>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</si>
  <si>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</si>
  <si>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</si>
  <si>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</si>
  <si>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</si>
  <si>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</si>
  <si>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</si>
  <si>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</si>
  <si>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</si>
  <si>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</si>
  <si>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</si>
  <si>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</si>
  <si>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</si>
  <si>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</si>
  <si>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</si>
  <si>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</si>
  <si>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</si>
  <si>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</si>
  <si>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</si>
  <si>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</si>
  <si>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</si>
  <si>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</si>
  <si>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</si>
  <si>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</si>
  <si>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</si>
  <si>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</si>
  <si>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</si>
  <si>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</si>
  <si>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</si>
  <si>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</si>
  <si>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</si>
  <si>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</si>
  <si>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</si>
  <si>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</si>
  <si>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</si>
  <si>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</si>
  <si>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</si>
  <si>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</si>
  <si>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</si>
  <si>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</si>
  <si>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</si>
  <si>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</si>
  <si>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</si>
  <si>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</si>
  <si>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</si>
  <si>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</si>
  <si>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</si>
  <si>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</si>
  <si>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</si>
  <si>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</si>
  <si>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</si>
  <si>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</si>
  <si>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</si>
  <si>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</si>
  <si>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</si>
  <si>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</si>
  <si>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</si>
  <si>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</si>
  <si>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</si>
  <si>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</si>
  <si>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</si>
  <si>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</si>
  <si>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</si>
  <si>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</si>
  <si>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</si>
  <si>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</si>
  <si>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</si>
  <si>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</si>
  <si>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</si>
  <si>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</si>
  <si>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</si>
  <si>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</si>
  <si>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</si>
  <si>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</si>
  <si>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</si>
  <si>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</si>
  <si>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</si>
  <si>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</si>
  <si>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</si>
  <si>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</si>
  <si>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</si>
  <si>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</si>
  <si>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</si>
  <si>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</si>
  <si>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</si>
  <si>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</si>
  <si>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</si>
  <si>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</si>
  <si>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</si>
  <si>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</si>
  <si>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</si>
  <si>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</si>
  <si>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</si>
  <si>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</si>
  <si>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</si>
  <si>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</si>
  <si>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</si>
  <si>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</si>
  <si>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</si>
  <si>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</si>
  <si>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</si>
  <si>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</si>
  <si>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</si>
  <si>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</si>
  <si>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</si>
  <si>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</si>
  <si>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</si>
  <si>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</si>
  <si>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</si>
  <si>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</si>
  <si>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</si>
  <si>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</si>
  <si>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</si>
  <si>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</si>
  <si>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</si>
  <si>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</si>
  <si>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</si>
  <si>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</si>
  <si>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</si>
  <si>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</si>
  <si>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</si>
  <si>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</si>
  <si>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</si>
  <si>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</si>
  <si>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</si>
  <si>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</si>
  <si>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</si>
  <si>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</si>
  <si>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</si>
  <si>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</si>
  <si>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</si>
  <si>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</si>
  <si>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</si>
  <si>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</si>
  <si>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</si>
  <si>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</si>
  <si>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</si>
  <si>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</si>
  <si>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</si>
  <si>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</si>
  <si>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</si>
  <si>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</si>
  <si>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</si>
  <si>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</si>
  <si>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</si>
  <si>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</si>
  <si>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</si>
  <si>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</si>
  <si>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</si>
  <si>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</si>
  <si>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</si>
  <si>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</si>
  <si>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</si>
  <si>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</si>
  <si>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</si>
  <si>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</si>
  <si>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</si>
  <si>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</si>
  <si>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</si>
  <si>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</si>
  <si>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</si>
  <si>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</si>
  <si>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</si>
  <si>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</si>
  <si>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</si>
  <si>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</si>
  <si>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</si>
  <si>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</si>
  <si>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</si>
  <si>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</si>
  <si>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</si>
  <si>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</si>
  <si>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</si>
  <si>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</si>
  <si>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</si>
  <si>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</si>
  <si>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</si>
  <si>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</si>
  <si>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</si>
  <si>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</si>
  <si>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</si>
  <si>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</si>
  <si>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</si>
  <si>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</si>
  <si>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</si>
  <si>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</si>
  <si>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</si>
  <si>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</si>
  <si>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</si>
  <si>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</si>
  <si>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</si>
  <si>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</si>
  <si>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</si>
  <si>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</si>
  <si>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</si>
  <si>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</si>
  <si>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</si>
  <si>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</si>
  <si>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</si>
  <si>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</si>
  <si>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</si>
  <si>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</si>
  <si>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</si>
  <si>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</si>
  <si>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</si>
  <si>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</si>
  <si>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</si>
  <si>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</si>
  <si>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</si>
  <si>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</si>
  <si>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</si>
  <si>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</si>
  <si>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</si>
  <si>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</si>
  <si>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</si>
  <si>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</si>
  <si>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</si>
  <si>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</si>
  <si>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</si>
  <si>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</si>
  <si>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</si>
  <si>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</si>
  <si>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</si>
  <si>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</si>
  <si>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</si>
  <si>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</si>
  <si>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</si>
  <si>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</si>
  <si>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</si>
  <si>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</si>
  <si>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</si>
  <si>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</si>
  <si>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</si>
  <si>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</si>
  <si>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</si>
  <si>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</si>
  <si>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</si>
  <si>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</si>
  <si>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</si>
  <si>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</si>
  <si>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</si>
  <si>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</si>
  <si>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</si>
  <si>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</si>
  <si>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</si>
  <si>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</si>
  <si>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</si>
  <si>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</si>
  <si>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</si>
  <si>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</si>
  <si>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</si>
  <si>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</si>
  <si>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</si>
  <si>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</si>
  <si>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</si>
  <si>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</si>
  <si>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</si>
  <si>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</si>
  <si>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</si>
  <si>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</si>
  <si>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</si>
  <si>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</si>
  <si>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</si>
  <si>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</si>
  <si>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</si>
  <si>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</si>
  <si>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</si>
  <si>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</si>
  <si>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</si>
  <si>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</si>
  <si>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</si>
  <si>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</si>
  <si>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</si>
  <si>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</si>
  <si>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</si>
  <si>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</si>
  <si>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</si>
  <si>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</si>
  <si>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</si>
  <si>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</si>
  <si>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</si>
  <si>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</si>
  <si>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</si>
  <si>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</si>
  <si>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</si>
  <si>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</si>
  <si>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</si>
  <si>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</si>
  <si>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</si>
  <si>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</si>
  <si>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</si>
  <si>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</si>
  <si>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</si>
  <si>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</si>
  <si>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</si>
  <si>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</si>
  <si>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</si>
  <si>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</si>
  <si>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</si>
  <si>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</si>
  <si>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</si>
  <si>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</si>
  <si>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</si>
  <si>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</si>
  <si>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</si>
  <si>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</si>
  <si>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</si>
  <si>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</si>
  <si>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</si>
  <si>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</si>
  <si>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</si>
  <si>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</si>
  <si>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</si>
  <si>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</si>
  <si>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</si>
  <si>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</si>
  <si>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</si>
  <si>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</si>
  <si>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</si>
  <si>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</si>
  <si>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</si>
  <si>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</si>
  <si>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</si>
  <si>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</si>
  <si>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</si>
  <si>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</si>
  <si>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</si>
  <si>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</si>
  <si>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</si>
  <si>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</si>
  <si>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</si>
  <si>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</si>
  <si>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</si>
  <si>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</si>
  <si>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</si>
  <si>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</si>
  <si>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</si>
  <si>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</si>
  <si>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</si>
  <si>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</si>
  <si>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</si>
  <si>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</si>
  <si>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</si>
  <si>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</si>
  <si>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</si>
  <si>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</si>
  <si>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</si>
  <si>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</si>
  <si>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</si>
  <si>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</si>
  <si>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</si>
  <si>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</si>
  <si>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</si>
  <si>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</si>
  <si>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</si>
  <si>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</si>
  <si>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</si>
  <si>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</si>
  <si>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</si>
  <si>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</si>
  <si>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</si>
  <si>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</si>
  <si>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</si>
  <si>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</si>
  <si>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</si>
  <si>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</si>
  <si>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</si>
  <si>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</si>
  <si>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</si>
  <si>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</si>
  <si>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</si>
  <si>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</si>
  <si>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</si>
  <si>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</si>
  <si>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</si>
  <si>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</si>
  <si>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</si>
  <si>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</si>
  <si>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</si>
  <si>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</si>
  <si>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</si>
  <si>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</si>
  <si>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</si>
  <si>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</si>
  <si>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</si>
  <si>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</si>
  <si>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</si>
  <si>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</si>
  <si>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</si>
  <si>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</si>
  <si>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</si>
  <si>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</si>
  <si>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</si>
  <si>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</si>
  <si>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</si>
  <si>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</si>
  <si>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</si>
  <si>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</si>
  <si>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</si>
  <si>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</si>
  <si>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</si>
  <si>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</si>
  <si>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</si>
  <si>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</si>
  <si>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</si>
  <si>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</si>
  <si>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</si>
  <si>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</si>
  <si>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</si>
  <si>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</si>
  <si>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</si>
  <si>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</si>
  <si>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</si>
  <si>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</si>
  <si>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</si>
  <si>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</si>
  <si>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</si>
  <si>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</si>
  <si>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</si>
  <si>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</si>
  <si>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</si>
  <si>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</si>
  <si>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</si>
  <si>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</si>
  <si>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</si>
  <si>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</si>
  <si>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</si>
  <si>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</si>
  <si>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</si>
  <si>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</si>
  <si>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</si>
  <si>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</si>
  <si>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</si>
  <si>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</si>
  <si>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</si>
  <si>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</si>
  <si>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</si>
  <si>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</si>
  <si>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</si>
  <si>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</si>
  <si>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</si>
  <si>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</si>
  <si>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</si>
  <si>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</si>
  <si>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</si>
  <si>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</si>
  <si>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</si>
  <si>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</si>
  <si>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</si>
  <si>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</si>
  <si>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</si>
  <si>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</si>
  <si>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</si>
  <si>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</si>
  <si>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</si>
  <si>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</si>
  <si>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</si>
  <si>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</si>
  <si>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</si>
  <si>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</si>
  <si>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</si>
  <si>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</si>
  <si>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</si>
  <si>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</si>
  <si>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</si>
  <si>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</si>
  <si>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Fire - Personal</t>
  </si>
  <si>
    <t>Fire - Commercial</t>
  </si>
  <si>
    <t>1.0P</t>
  </si>
  <si>
    <t>1.0C</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</si>
  <si>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Most Recent Year of Experience Data; and Request for Variance, if applicable.  Also indicate if this application reflects a new program.</t>
    </r>
  </si>
  <si>
    <t>11/9/2023</t>
  </si>
  <si>
    <t>2023</t>
  </si>
  <si>
    <t>Laura Campbell</t>
  </si>
  <si>
    <t>State Farm Mutual Automobile Insurance Company</t>
  </si>
  <si>
    <t>BIPD</t>
  </si>
  <si>
    <t>MPC</t>
  </si>
  <si>
    <t>UM</t>
  </si>
  <si>
    <t>COMP</t>
  </si>
  <si>
    <t>COLL</t>
  </si>
  <si>
    <t>Misc. Damage</t>
  </si>
  <si>
    <t>Misc. Liability</t>
  </si>
  <si>
    <t>2022</t>
  </si>
  <si>
    <t>February 2024</t>
  </si>
  <si>
    <t>ra9o4cwc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</si>
</sst>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1">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style="medium">
        <color indexed="64"/>
      </right>
      <top/>
      <bottom style="thin">
        <color indexed="8"/>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663">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176" fontId="10" fillId="0" borderId="100" xfId="0" applyNumberFormat="1" applyFont="1" applyBorder="1" applyAlignment="1">
      <alignment horizontal="center"/>
    </xf>
    <xf numFmtId="176" fontId="10" fillId="0" borderId="100" xfId="82" applyNumberFormat="1" applyFont="1" applyBorder="1" applyAlignment="1">
      <alignment horizontal="center"/>
    </xf>
    <xf numFmtId="37" fontId="10" fillId="0" borderId="27" xfId="4" applyNumberFormat="1" applyFont="1" applyFill="1" applyBorder="1" applyAlignment="1">
      <alignment horizontal="center"/>
    </xf>
    <xf numFmtId="179" fontId="10" fillId="0" borderId="27" xfId="4" applyNumberFormat="1" applyFont="1" applyFill="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5"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2" val="0"/>
</file>

<file path=xl/ctrlProps/ctrlProp11.xml><?xml version="1.0" encoding="utf-8"?>
<formControlPr xmlns="http://schemas.microsoft.com/office/spreadsheetml/2009/9/main" objectType="Drop" dropLines="29" dropStyle="combo" dx="16" fmlaLink="'1.General'!$A$36" fmlaRange="List_DetailLine" sel="2" val="0"/>
</file>

<file path=xl/ctrlProps/ctrlProp12.xml><?xml version="1.0" encoding="utf-8"?>
<formControlPr xmlns="http://schemas.microsoft.com/office/spreadsheetml/2009/9/main" objectType="Drop" dropLines="29" dropStyle="combo" dx="16" fmlaLink="'1.General'!$A$37" fmlaRange="List_DetailLine" sel="3" val="0"/>
</file>

<file path=xl/ctrlProps/ctrlProp13.xml><?xml version="1.0" encoding="utf-8"?>
<formControlPr xmlns="http://schemas.microsoft.com/office/spreadsheetml/2009/9/main" objectType="Drop" dropLines="29" dropStyle="combo" dx="16" fmlaLink="'1.General'!$A$38" fmlaRange="List_DetailLine" sel="3" val="0"/>
</file>

<file path=xl/ctrlProps/ctrlProp14.xml><?xml version="1.0" encoding="utf-8"?>
<formControlPr xmlns="http://schemas.microsoft.com/office/spreadsheetml/2009/9/main" objectType="Drop" dropLines="29" dropStyle="combo" dx="16" fmlaLink="'1.General'!$A$39" fmlaRange="List_DetailLine" sel="3" val="0"/>
</file>

<file path=xl/ctrlProps/ctrlProp15.xml><?xml version="1.0" encoding="utf-8"?>
<formControlPr xmlns="http://schemas.microsoft.com/office/spreadsheetml/2009/9/main" objectType="Drop" dropLines="29" dropStyle="combo" dx="16" fmlaLink="'1.General'!$A$40" fmlaRange="List_DetailLine" sel="2"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2"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file>

<file path=xl/ctrlProps/ctrlProp25.xml><?xml version="1.0" encoding="utf-8"?>
<formControlPr xmlns="http://schemas.microsoft.com/office/spreadsheetml/2009/9/main" objectType="CheckBox"/>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19050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19050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1543050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466725</xdr:colOff>
          <xdr:row>27</xdr:row>
          <xdr:rowOff>104775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238125</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238125</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238125</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238125</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238125</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238125</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1152525</xdr:colOff>
          <xdr:row>46</xdr:row>
          <xdr:rowOff>219075</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1152525</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457200</xdr:colOff>
          <xdr:row>47</xdr:row>
          <xdr:rowOff>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1581150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Contract to three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Contract to three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www.insurance.ca.gov/0250-insurers/0800-rate-filings/0200-prior-approval-factors/upload/bondYields.xls" TargetMode="External"/><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test"/>
      <sheetName val="Jul2024"/>
      <sheetName val="Jun2024"/>
      <sheetName val="May2024"/>
      <sheetName val="Apr2024"/>
      <sheetName val="Mar2024"/>
      <sheetName val="Feb2024"/>
      <sheetName val="Jan2024"/>
      <sheetName val="Dec2023"/>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federal reserve_1"/>
      <sheetName val="federal reserve (2)"/>
      <sheetName val="new_tax"/>
      <sheetName val="ibbotson_morning star"/>
      <sheetName val="valu_bond"/>
      <sheetName val="valu_bond (2)"/>
      <sheetName val="valu_bond_test"/>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s>
    <sheetDataSet>
      <sheetData sheetId="0">
        <row r="1">
          <cell r="A1" t="str">
            <v>July 2024</v>
          </cell>
        </row>
      </sheetData>
      <sheetData sheetId="1"/>
      <sheetData sheetId="2"/>
      <sheetData sheetId="3"/>
      <sheetData sheetId="4"/>
      <sheetData sheetId="5">
        <row r="6">
          <cell r="E6">
            <v>4.6944444444444434E-2</v>
          </cell>
        </row>
      </sheetData>
      <sheetData sheetId="6">
        <row r="6">
          <cell r="E6">
            <v>4.6599999999999996E-2</v>
          </cell>
        </row>
        <row r="10">
          <cell r="E10">
            <v>5.4433333333333334E-2</v>
          </cell>
        </row>
        <row r="11">
          <cell r="E11">
            <v>4.0966666666666665E-2</v>
          </cell>
        </row>
        <row r="12">
          <cell r="E12">
            <v>4.4000000000000004E-2</v>
          </cell>
        </row>
        <row r="14">
          <cell r="E14">
            <v>5.2666666666666667E-2</v>
          </cell>
        </row>
        <row r="15">
          <cell r="E15">
            <v>4.7125079365079363E-2</v>
          </cell>
        </row>
        <row r="16">
          <cell r="E16">
            <v>5.0905238095238094E-2</v>
          </cell>
        </row>
        <row r="19">
          <cell r="E19">
            <v>3.0974246031746033E-2</v>
          </cell>
        </row>
        <row r="20">
          <cell r="E20">
            <v>3.6890515873015874E-2</v>
          </cell>
        </row>
        <row r="23">
          <cell r="E23">
            <v>2.036E-2</v>
          </cell>
        </row>
        <row r="24">
          <cell r="E24">
            <v>0.10623999999999999</v>
          </cell>
        </row>
        <row r="25">
          <cell r="E25">
            <v>7.5589629629629632E-2</v>
          </cell>
        </row>
        <row r="26">
          <cell r="E26">
            <v>5.0905238095238094E-2</v>
          </cell>
        </row>
        <row r="27">
          <cell r="E27">
            <v>6.6599999999999993E-2</v>
          </cell>
        </row>
        <row r="28">
          <cell r="E28">
            <v>5.4433333333333334E-2</v>
          </cell>
        </row>
        <row r="30">
          <cell r="E30">
            <v>2.036E-2</v>
          </cell>
        </row>
        <row r="31">
          <cell r="E31">
            <v>0.10623999999999999</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1" sqref="B11"/>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185" t="s">
        <v>127</v>
      </c>
      <c r="B1" s="72"/>
      <c r="C1" s="72"/>
      <c r="D1" s="72"/>
      <c r="E1" s="72"/>
    </row>
    <row r="2" spans="1:5" x14ac:dyDescent="0.25">
      <c r="A2" s="72"/>
      <c r="B2" s="72"/>
      <c r="C2" s="72"/>
      <c r="D2" s="72"/>
      <c r="E2" s="72"/>
    </row>
    <row r="3" spans="1:5" x14ac:dyDescent="0.25">
      <c r="A3" s="72" t="s">
        <v>281</v>
      </c>
      <c r="B3" s="72"/>
      <c r="C3" s="72"/>
      <c r="D3" s="72"/>
      <c r="E3" s="72"/>
    </row>
    <row r="4" spans="1:5" x14ac:dyDescent="0.25">
      <c r="A4" s="186"/>
      <c r="B4" s="72"/>
      <c r="C4" s="72"/>
      <c r="D4" s="72"/>
      <c r="E4" s="72"/>
    </row>
    <row r="5" spans="1:5" x14ac:dyDescent="0.25">
      <c r="A5" s="186" t="s">
        <v>338</v>
      </c>
      <c r="B5" s="72" t="s">
        <v>764</v>
      </c>
      <c r="C5" s="72"/>
      <c r="D5" s="72"/>
      <c r="E5" s="72"/>
    </row>
    <row r="6" spans="1:5" x14ac:dyDescent="0.25">
      <c r="A6" s="186"/>
      <c r="B6" s="72"/>
      <c r="C6" s="72"/>
      <c r="D6" s="72"/>
      <c r="E6" s="72"/>
    </row>
    <row r="7" spans="1:5" x14ac:dyDescent="0.25">
      <c r="A7" s="72" t="s">
        <v>282</v>
      </c>
      <c r="B7" s="72"/>
      <c r="C7" s="72"/>
      <c r="D7" s="72"/>
      <c r="E7" s="72"/>
    </row>
    <row r="8" spans="1:5" x14ac:dyDescent="0.25">
      <c r="A8" s="186"/>
      <c r="B8" s="72"/>
      <c r="C8" s="72"/>
      <c r="D8" s="72"/>
      <c r="E8" s="72"/>
    </row>
    <row r="9" spans="1:5" x14ac:dyDescent="0.25">
      <c r="A9" s="186"/>
      <c r="B9" s="72"/>
      <c r="C9" s="72"/>
      <c r="D9" s="72"/>
      <c r="E9" s="72"/>
    </row>
    <row r="10" spans="1:5" x14ac:dyDescent="0.25">
      <c r="A10" s="72" t="s">
        <v>33</v>
      </c>
      <c r="B10" s="187" t="s">
        <v>751</v>
      </c>
      <c r="C10" s="72"/>
      <c r="D10" s="72"/>
      <c r="E10" s="72"/>
    </row>
    <row r="11" spans="1:5" x14ac:dyDescent="0.25">
      <c r="A11" s="72" t="s">
        <v>277</v>
      </c>
      <c r="B11" s="188"/>
      <c r="C11" s="72"/>
      <c r="D11" s="72"/>
      <c r="E11" s="72"/>
    </row>
    <row r="12" spans="1:5" x14ac:dyDescent="0.25">
      <c r="A12" s="72"/>
      <c r="B12" s="188"/>
      <c r="C12" s="72"/>
      <c r="D12" s="72"/>
      <c r="E12" s="72"/>
    </row>
    <row r="13" spans="1:5" x14ac:dyDescent="0.25">
      <c r="A13" s="72" t="s">
        <v>159</v>
      </c>
      <c r="B13" s="188"/>
      <c r="C13" s="72"/>
      <c r="D13" s="72"/>
      <c r="E13" s="72"/>
    </row>
    <row r="14" spans="1:5" x14ac:dyDescent="0.25">
      <c r="A14" s="72"/>
      <c r="B14" s="188"/>
      <c r="C14" s="72"/>
      <c r="D14" s="72"/>
      <c r="E14" s="72"/>
    </row>
    <row r="15" spans="1:5" x14ac:dyDescent="0.25">
      <c r="A15" s="72" t="s">
        <v>284</v>
      </c>
      <c r="B15" s="188"/>
      <c r="C15" s="72"/>
      <c r="D15" s="72"/>
      <c r="E15" s="72"/>
    </row>
    <row r="16" spans="1:5" x14ac:dyDescent="0.25">
      <c r="A16" s="72" t="s">
        <v>285</v>
      </c>
      <c r="B16" s="188"/>
      <c r="C16" s="72"/>
      <c r="D16" s="72"/>
      <c r="E16" s="72"/>
    </row>
    <row r="17" spans="1:5" x14ac:dyDescent="0.25">
      <c r="A17" s="72"/>
      <c r="B17" s="188"/>
      <c r="C17" s="72"/>
      <c r="D17" s="72"/>
      <c r="E17" s="72"/>
    </row>
    <row r="18" spans="1:5" x14ac:dyDescent="0.25">
      <c r="A18" s="72"/>
      <c r="B18" s="188"/>
      <c r="C18" s="72"/>
      <c r="D18" s="72"/>
      <c r="E18" s="72"/>
    </row>
    <row r="19" spans="1:5" x14ac:dyDescent="0.25">
      <c r="A19" s="324" t="s">
        <v>286</v>
      </c>
      <c r="B19" s="325"/>
      <c r="C19" s="326"/>
      <c r="D19" s="326"/>
      <c r="E19" s="326"/>
    </row>
    <row r="20" spans="1:5" x14ac:dyDescent="0.25">
      <c r="A20" s="72" t="s">
        <v>28</v>
      </c>
      <c r="B20" s="173" t="str">
        <f>B10&amp;" Edition"</f>
        <v>11/9/2023 Edition</v>
      </c>
      <c r="C20" s="72"/>
      <c r="D20" s="72" t="s">
        <v>139</v>
      </c>
      <c r="E20" s="174" t="str">
        <f>IF(ISBLANK('1.General'!$C$10),"",'1.General'!$C$10)</f>
        <v/>
      </c>
    </row>
    <row r="21" spans="1:5" x14ac:dyDescent="0.25">
      <c r="A21" s="72" t="s">
        <v>26</v>
      </c>
      <c r="B21" s="174" t="str">
        <f>IF(ISBLANK('1.General'!$C$13),"",'1.General'!$C$13)</f>
        <v>State Farm Mutual Automobile Insurance Company</v>
      </c>
      <c r="C21" s="72"/>
      <c r="D21" s="72" t="s">
        <v>184</v>
      </c>
      <c r="E21" s="174" t="str">
        <f>IF(ISBLANK('1.General'!$C$8),"",'1.General'!$C$8)</f>
        <v>Laura Campbell</v>
      </c>
    </row>
    <row r="22" spans="1:5" x14ac:dyDescent="0.25">
      <c r="A22" s="72" t="s">
        <v>27</v>
      </c>
      <c r="B22" s="174" t="str">
        <f>INDEX(List_GeneralLine,References!$F$5,1)</f>
        <v>Auto Liability and Physical Damage</v>
      </c>
      <c r="C22" s="72"/>
      <c r="D22" s="72" t="s">
        <v>185</v>
      </c>
      <c r="E22" s="175">
        <f>IF(ISBLANK('1.General'!$F$8),"",'1.General'!$F$8)</f>
        <v>45327.528767013886</v>
      </c>
    </row>
    <row r="23" spans="1:5" x14ac:dyDescent="0.25">
      <c r="A23" s="72" t="s">
        <v>163</v>
      </c>
      <c r="B23" s="333">
        <f>IFERROR('3.2YieldFIT'!$D$42,"")</f>
        <v>0.1033501482576579</v>
      </c>
      <c r="C23" s="72"/>
      <c r="D23" s="72" t="s">
        <v>166</v>
      </c>
      <c r="E23" s="175">
        <f>IF(ISBLANK('1.General'!$D$23),"",'1.General'!$D$23)</f>
        <v>45566</v>
      </c>
    </row>
    <row r="24" spans="1:5" x14ac:dyDescent="0.25">
      <c r="A24" s="72" t="s">
        <v>164</v>
      </c>
      <c r="B24" s="333">
        <f>IFERROR('3.2YieldFIT'!$F$34,"")</f>
        <v>0.19137921840251979</v>
      </c>
      <c r="C24" s="72"/>
      <c r="D24" s="72" t="s">
        <v>377</v>
      </c>
      <c r="E24" s="174" t="b">
        <v>0</v>
      </c>
    </row>
    <row r="25" spans="1:5" x14ac:dyDescent="0.25">
      <c r="A25" s="72" t="s">
        <v>279</v>
      </c>
      <c r="B25" s="174" t="b">
        <v>0</v>
      </c>
      <c r="C25" s="72"/>
      <c r="D25" s="72" t="s">
        <v>611</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72" t="s">
        <v>740</v>
      </c>
      <c r="B26" s="174" t="b">
        <v>0</v>
      </c>
      <c r="C26" s="72"/>
      <c r="D26" s="72" t="s">
        <v>738</v>
      </c>
      <c r="E26" s="174">
        <f>IF(ISBLANK('1.General'!$F$10),"",'1.General'!$F$10)</f>
        <v>45371</v>
      </c>
    </row>
    <row r="27" spans="1:5" x14ac:dyDescent="0.25">
      <c r="A27" s="72" t="s">
        <v>183</v>
      </c>
      <c r="B27" s="333">
        <f>IFERROR('4.2Excluded Exp'!$E$20,0)</f>
        <v>1.2466623522765235E-2</v>
      </c>
      <c r="C27" s="72"/>
      <c r="D27" s="72"/>
      <c r="E27" s="174"/>
    </row>
    <row r="28" spans="1:5" x14ac:dyDescent="0.25">
      <c r="A28" s="446"/>
      <c r="B28" s="447"/>
      <c r="C28" s="72"/>
      <c r="D28" s="72"/>
      <c r="E28" s="72"/>
    </row>
    <row r="29" spans="1:5" x14ac:dyDescent="0.25">
      <c r="A29" s="338" t="s">
        <v>587</v>
      </c>
      <c r="B29" s="174"/>
      <c r="C29" s="72"/>
      <c r="D29" s="338" t="s">
        <v>586</v>
      </c>
      <c r="E29" s="72"/>
    </row>
    <row r="30" spans="1:5" x14ac:dyDescent="0.25">
      <c r="A30" s="72" t="s">
        <v>344</v>
      </c>
      <c r="B30" s="174" t="str">
        <f>IF(Covg01="","",INDEX(List_DetailLine,'1.General'!$A34,1))</f>
        <v>Private Passenger Auto Liability</v>
      </c>
      <c r="C30" s="72"/>
      <c r="D30" s="72" t="s">
        <v>345</v>
      </c>
      <c r="E30" s="174">
        <f ca="1">IF(OR(Covg01="",ISERR(Detailed_LineDesc01)),"",
IF(AND($B30="Fire",References!D5=2),"1.0P",
IF(AND($B30="Fire",References!D5=1),"1.0C",VLOOKUP($B30,List_DetailLine,2,FALSE))))</f>
        <v>19.2</v>
      </c>
    </row>
    <row r="31" spans="1:5" x14ac:dyDescent="0.25">
      <c r="A31" s="72" t="s">
        <v>346</v>
      </c>
      <c r="B31" s="174" t="str">
        <f>IF(Covg02="","",INDEX(List_DetailLine,'1.General'!$A35,1))</f>
        <v>Private Passenger Auto Liability</v>
      </c>
      <c r="C31" s="72"/>
      <c r="D31" s="72" t="s">
        <v>347</v>
      </c>
      <c r="E31" s="174">
        <f ca="1">IF(OR(Covg02="",ISERR(Detailed_LineDesc02)),"",
IF(AND($B31="Fire",References!D5=2),"1.0P",
IF(AND($B31="Fire",References!D5=1),"1.0C",VLOOKUP($B31,List_DetailLine,2,FALSE))))</f>
        <v>19.2</v>
      </c>
    </row>
    <row r="32" spans="1:5" x14ac:dyDescent="0.25">
      <c r="A32" s="72" t="s">
        <v>355</v>
      </c>
      <c r="B32" s="174" t="str">
        <f>IF(Covg03="","",INDEX(List_DetailLine,'1.General'!$A36,1))</f>
        <v>Private Passenger Auto Liability</v>
      </c>
      <c r="C32" s="72"/>
      <c r="D32" s="72" t="s">
        <v>348</v>
      </c>
      <c r="E32" s="174">
        <f ca="1">IF(OR(Covg03="",ISERR(Detailed_LineDesc03)),"",
IF(AND($B32="Fire",References!D5=2),"1.0P",
IF(AND($B32="Fire",References!D5=1),"1.0C",VLOOKUP($B32,List_DetailLine,2,FALSE))))</f>
        <v>19.2</v>
      </c>
    </row>
    <row r="33" spans="1:5" x14ac:dyDescent="0.25">
      <c r="A33" s="72" t="s">
        <v>356</v>
      </c>
      <c r="B33" s="174" t="str">
        <f>IF(Covg04="","",INDEX(List_DetailLine,'1.General'!$A37,1))</f>
        <v>Private Passenger Auto Physical Damage</v>
      </c>
      <c r="C33" s="72"/>
      <c r="D33" s="72" t="s">
        <v>349</v>
      </c>
      <c r="E33" s="174">
        <f ca="1">IF(OR(Covg04="",ISERR(Detailed_LineDesc04)),"",
IF(AND($B33="Fire",References!D5=2),"1.0P",
IF(AND($B33="Fire",References!D5=1),"1.0C",VLOOKUP($B33,List_DetailLine,2,FALSE))))</f>
        <v>21.1</v>
      </c>
    </row>
    <row r="34" spans="1:5" x14ac:dyDescent="0.25">
      <c r="A34" s="72" t="s">
        <v>357</v>
      </c>
      <c r="B34" s="174" t="str">
        <f>IF(Covg05="","",INDEX(List_DetailLine,'1.General'!$A38,1))</f>
        <v>Private Passenger Auto Physical Damage</v>
      </c>
      <c r="C34" s="72"/>
      <c r="D34" s="72" t="s">
        <v>350</v>
      </c>
      <c r="E34" s="174">
        <f ca="1">IF(OR(Covg05="",ISERR(Detailed_LineDesc05)),"",
IF(AND($B34="Fire",References!D5=2),"1.0P",
IF(AND($B34="Fire",References!D5=1),"1.0C",VLOOKUP($B34,List_DetailLine,2,FALSE))))</f>
        <v>21.1</v>
      </c>
    </row>
    <row r="35" spans="1:5" x14ac:dyDescent="0.25">
      <c r="A35" s="72" t="s">
        <v>358</v>
      </c>
      <c r="B35" s="174" t="str">
        <f>IF(Covg06="","",INDEX(List_DetailLine,'1.General'!$A39,1))</f>
        <v>Private Passenger Auto Physical Damage</v>
      </c>
      <c r="C35" s="72"/>
      <c r="D35" s="72" t="s">
        <v>351</v>
      </c>
      <c r="E35" s="174">
        <f ca="1">IF(OR(Covg06="",ISERR(Detailed_LineDesc06)),"",
IF(AND($B35="Fire",References!D5=2),"1.0P",
IF(AND($B35="Fire",References!D5=1),"1.0C",VLOOKUP($B35,List_DetailLine,2,FALSE))))</f>
        <v>21.1</v>
      </c>
    </row>
    <row r="36" spans="1:5" x14ac:dyDescent="0.25">
      <c r="A36" s="72" t="s">
        <v>359</v>
      </c>
      <c r="B36" s="174" t="str">
        <f>IF(Covg07="","",INDEX(List_DetailLine,'1.General'!$A40,1))</f>
        <v>Private Passenger Auto Liability</v>
      </c>
      <c r="C36" s="72"/>
      <c r="D36" s="72" t="s">
        <v>352</v>
      </c>
      <c r="E36" s="174">
        <f ca="1">IF(OR(Covg07="",ISERR(Detailed_LineDesc07)),"",
IF(AND($B36="Fire",References!D5=2),"1.0P",
IF(AND($B36="Fire",References!D5=1),"1.0C",VLOOKUP($B36,List_DetailLine,2,FALSE))))</f>
        <v>19.2</v>
      </c>
    </row>
    <row r="37" spans="1:5" x14ac:dyDescent="0.25">
      <c r="A37" s="72" t="s">
        <v>360</v>
      </c>
      <c r="B37" s="174" t="str">
        <f>IF(Covg08="","",INDEX(List_DetailLine,'1.General'!$A41,1))</f>
        <v/>
      </c>
      <c r="C37" s="72"/>
      <c r="D37" s="72" t="s">
        <v>353</v>
      </c>
      <c r="E37" s="174" t="str">
        <f>IF(OR(Covg08="",ISERR(Detailed_LineDesc08)),"",
IF(AND($B37="Fire",References!D5=2),"1.0P",
IF(AND($B37="Fire",References!D5=1),"1.0C",VLOOKUP($B37,List_DetailLine,2,FALSE))))</f>
        <v/>
      </c>
    </row>
    <row r="38" spans="1:5" x14ac:dyDescent="0.25">
      <c r="A38" s="72" t="s">
        <v>361</v>
      </c>
      <c r="B38" s="174" t="str">
        <f>IF(Covg09="","",INDEX(List_DetailLine,'1.General'!$A42,1))</f>
        <v/>
      </c>
      <c r="C38" s="72"/>
      <c r="D38" s="72" t="s">
        <v>354</v>
      </c>
      <c r="E38" s="174" t="str">
        <f>IF(OR(Covg09="",ISERR(Detailed_LineDesc09)),"",
IF(AND($B38="Fire",References!D5=2),"1.0P",
IF(AND($B38="Fire",References!D5=1),"1.0C",VLOOKUP($B38,List_DetailLine,2,FALSE))))</f>
        <v/>
      </c>
    </row>
    <row r="39" spans="1:5" x14ac:dyDescent="0.25">
      <c r="A39" s="72" t="s">
        <v>342</v>
      </c>
      <c r="B39" s="174" t="str">
        <f>IF(Covg10="","",INDEX(List_DetailLine,'1.General'!$A43,1))</f>
        <v/>
      </c>
      <c r="C39" s="72"/>
      <c r="D39" s="72" t="s">
        <v>343</v>
      </c>
      <c r="E39" s="174" t="str">
        <f>IF(OR(Covg10="",ISERR(Detailed_LineDesc10)),"",
IF(AND($B39="Fire",References!D5=2),"1.0P",
IF(AND($B39="Fire",References!D5=1),"1.0C",VLOOKUP($B39,List_DetailLine,2,FALSE))))</f>
        <v/>
      </c>
    </row>
    <row r="40" spans="1:5" x14ac:dyDescent="0.25">
      <c r="A40" s="72"/>
      <c r="B40" s="174"/>
      <c r="C40" s="72"/>
      <c r="D40" s="72"/>
      <c r="E40" s="72"/>
    </row>
    <row r="41" spans="1:5" x14ac:dyDescent="0.25">
      <c r="A41" s="338" t="s">
        <v>557</v>
      </c>
      <c r="B41" s="174"/>
      <c r="C41" s="72"/>
      <c r="D41" s="338" t="s">
        <v>555</v>
      </c>
      <c r="E41" s="72"/>
    </row>
    <row r="42" spans="1:5" x14ac:dyDescent="0.25">
      <c r="A42" s="336" t="s">
        <v>366</v>
      </c>
      <c r="B42" s="340" t="str">
        <f>IF(ISBLANK('1.General'!$C34),"",'1.General'!$C34)</f>
        <v>BIPD</v>
      </c>
      <c r="C42" s="336"/>
      <c r="D42" s="336" t="s">
        <v>535</v>
      </c>
      <c r="E42" s="335">
        <f ca="1">IF(ISBLANK('5.CDI Parameters'!$J11),"",'5.CDI Parameters'!$J11)</f>
        <v>0.29208037473960702</v>
      </c>
    </row>
    <row r="43" spans="1:5" x14ac:dyDescent="0.25">
      <c r="A43" s="336" t="s">
        <v>367</v>
      </c>
      <c r="B43" s="340" t="str">
        <f>IF(ISBLANK('1.General'!$C35),"",'1.General'!$C35)</f>
        <v>MPC</v>
      </c>
      <c r="C43" s="336"/>
      <c r="D43" s="336" t="s">
        <v>536</v>
      </c>
      <c r="E43" s="335">
        <f ca="1">IF(ISBLANK('5.CDI Parameters'!$J12),"",'5.CDI Parameters'!$J12)</f>
        <v>0.29208037473960702</v>
      </c>
    </row>
    <row r="44" spans="1:5" x14ac:dyDescent="0.25">
      <c r="A44" s="336" t="s">
        <v>368</v>
      </c>
      <c r="B44" s="340" t="str">
        <f>IF(ISBLANK('1.General'!$C36),"",'1.General'!$C36)</f>
        <v>UM</v>
      </c>
      <c r="C44" s="336"/>
      <c r="D44" s="336" t="s">
        <v>537</v>
      </c>
      <c r="E44" s="335">
        <f ca="1">IF(ISBLANK('5.CDI Parameters'!$J13),"",'5.CDI Parameters'!$J13)</f>
        <v>0.29208037473960702</v>
      </c>
    </row>
    <row r="45" spans="1:5" x14ac:dyDescent="0.25">
      <c r="A45" s="336" t="s">
        <v>369</v>
      </c>
      <c r="B45" s="340" t="str">
        <f>IF(ISBLANK('1.General'!$C37),"",'1.General'!$C37)</f>
        <v>COMP</v>
      </c>
      <c r="C45" s="336"/>
      <c r="D45" s="336" t="s">
        <v>538</v>
      </c>
      <c r="E45" s="335">
        <f ca="1">IF(ISBLANK('5.CDI Parameters'!$J14),"",'5.CDI Parameters'!$J14)</f>
        <v>0.30039060239709503</v>
      </c>
    </row>
    <row r="46" spans="1:5" x14ac:dyDescent="0.25">
      <c r="A46" s="336" t="s">
        <v>370</v>
      </c>
      <c r="B46" s="340" t="str">
        <f>IF(ISBLANK('1.General'!$C38),"",'1.General'!$C38)</f>
        <v>COLL</v>
      </c>
      <c r="C46" s="336"/>
      <c r="D46" s="336" t="s">
        <v>539</v>
      </c>
      <c r="E46" s="335">
        <f ca="1">IF(ISBLANK('5.CDI Parameters'!$J15),"",'5.CDI Parameters'!$J15)</f>
        <v>0.30039060239709503</v>
      </c>
    </row>
    <row r="47" spans="1:5" x14ac:dyDescent="0.25">
      <c r="A47" s="336" t="s">
        <v>371</v>
      </c>
      <c r="B47" s="340" t="str">
        <f>IF(ISBLANK('1.General'!$C39),"",'1.General'!$C39)</f>
        <v>Misc. Damage</v>
      </c>
      <c r="C47" s="336"/>
      <c r="D47" s="336" t="s">
        <v>540</v>
      </c>
      <c r="E47" s="335">
        <f ca="1">IF(ISBLANK('5.CDI Parameters'!$J16),"",'5.CDI Parameters'!$J16)</f>
        <v>0.30039060239709503</v>
      </c>
    </row>
    <row r="48" spans="1:5" x14ac:dyDescent="0.25">
      <c r="A48" s="336" t="s">
        <v>372</v>
      </c>
      <c r="B48" s="340" t="str">
        <f>IF(ISBLANK('1.General'!$C40),"",'1.General'!$C40)</f>
        <v>Misc. Liability</v>
      </c>
      <c r="C48" s="336"/>
      <c r="D48" s="336" t="s">
        <v>541</v>
      </c>
      <c r="E48" s="335">
        <f ca="1">IF(ISBLANK('5.CDI Parameters'!$J17),"",'5.CDI Parameters'!$J17)</f>
        <v>0.29208037473960702</v>
      </c>
    </row>
    <row r="49" spans="1:5" x14ac:dyDescent="0.25">
      <c r="A49" s="336" t="s">
        <v>373</v>
      </c>
      <c r="B49" s="340" t="str">
        <f>IF(ISBLANK('1.General'!$C41),"",'1.General'!$C41)</f>
        <v/>
      </c>
      <c r="C49" s="336"/>
      <c r="D49" s="336" t="s">
        <v>542</v>
      </c>
      <c r="E49" s="335" t="str">
        <f>IF(ISBLANK('5.CDI Parameters'!$J18),"",'5.CDI Parameters'!$J18)</f>
        <v/>
      </c>
    </row>
    <row r="50" spans="1:5" x14ac:dyDescent="0.25">
      <c r="A50" s="336" t="s">
        <v>374</v>
      </c>
      <c r="B50" s="340" t="str">
        <f>IF(ISBLANK('1.General'!$C42),"",'1.General'!$C42)</f>
        <v/>
      </c>
      <c r="C50" s="336"/>
      <c r="D50" s="336" t="s">
        <v>543</v>
      </c>
      <c r="E50" s="335" t="str">
        <f>IF(ISBLANK('5.CDI Parameters'!$J19),"",'5.CDI Parameters'!$J19)</f>
        <v/>
      </c>
    </row>
    <row r="51" spans="1:5" x14ac:dyDescent="0.25">
      <c r="A51" s="336" t="s">
        <v>375</v>
      </c>
      <c r="B51" s="340" t="str">
        <f>IF(ISBLANK('1.General'!$C43),"",'1.General'!$C43)</f>
        <v/>
      </c>
      <c r="C51" s="336"/>
      <c r="D51" s="336" t="s">
        <v>544</v>
      </c>
      <c r="E51" s="335" t="str">
        <f>IF(ISBLANK('5.CDI Parameters'!$J20),"",'5.CDI Parameters'!$J20)</f>
        <v/>
      </c>
    </row>
    <row r="52" spans="1:5" x14ac:dyDescent="0.25">
      <c r="A52" s="336"/>
      <c r="B52" s="340"/>
      <c r="C52" s="336"/>
      <c r="D52" s="336"/>
      <c r="E52" s="72"/>
    </row>
    <row r="53" spans="1:5" x14ac:dyDescent="0.25">
      <c r="A53" s="339" t="s">
        <v>585</v>
      </c>
      <c r="B53" s="340"/>
      <c r="C53" s="336"/>
      <c r="D53" s="339" t="s">
        <v>584</v>
      </c>
      <c r="E53" s="72"/>
    </row>
    <row r="54" spans="1:5" x14ac:dyDescent="0.25">
      <c r="A54" s="336" t="s">
        <v>505</v>
      </c>
      <c r="B54" s="337">
        <f ca="1">IF(ISBLANK('5.CDI Parameters'!$G11),"",'5.CDI Parameters'!$G11)</f>
        <v>0.30454699826237225</v>
      </c>
      <c r="C54" s="336"/>
      <c r="D54" s="336" t="s">
        <v>515</v>
      </c>
      <c r="E54" s="337">
        <f>IF(ISBLANK('6.1Ratemaking Data'!$J$39),0,'6.1Ratemaking Data'!$J$39)</f>
        <v>0</v>
      </c>
    </row>
    <row r="55" spans="1:5" x14ac:dyDescent="0.25">
      <c r="A55" s="336" t="s">
        <v>506</v>
      </c>
      <c r="B55" s="337">
        <f ca="1">IF(ISBLANK('5.CDI Parameters'!$G12),"",'5.CDI Parameters'!$G12)</f>
        <v>0.30454699826237225</v>
      </c>
      <c r="C55" s="336"/>
      <c r="D55" s="336" t="s">
        <v>516</v>
      </c>
      <c r="E55" s="337">
        <f>IF(ISBLANK('6.2Ratemaking Data'!$J$39),0,'6.2Ratemaking Data'!$J$39)</f>
        <v>0</v>
      </c>
    </row>
    <row r="56" spans="1:5" x14ac:dyDescent="0.25">
      <c r="A56" s="72" t="s">
        <v>507</v>
      </c>
      <c r="B56" s="333">
        <f ca="1">IF(ISBLANK('5.CDI Parameters'!$G13),"",'5.CDI Parameters'!$G13)</f>
        <v>0.30454699826237225</v>
      </c>
      <c r="C56" s="72"/>
      <c r="D56" s="336" t="s">
        <v>517</v>
      </c>
      <c r="E56" s="337">
        <f>IF(ISBLANK('6.3Ratemaking Data'!$J$39),0,'6.3Ratemaking Data'!$J$39)</f>
        <v>0</v>
      </c>
    </row>
    <row r="57" spans="1:5" x14ac:dyDescent="0.25">
      <c r="A57" s="72" t="s">
        <v>508</v>
      </c>
      <c r="B57" s="333">
        <f ca="1">IF(ISBLANK('5.CDI Parameters'!$G14),"",'5.CDI Parameters'!$G14)</f>
        <v>0.31285722591986026</v>
      </c>
      <c r="C57" s="72"/>
      <c r="D57" s="336" t="s">
        <v>518</v>
      </c>
      <c r="E57" s="337">
        <f>IF(ISBLANK('6.4Ratemaking Data'!$J$39),0,'6.4Ratemaking Data'!$J$39)</f>
        <v>0</v>
      </c>
    </row>
    <row r="58" spans="1:5" x14ac:dyDescent="0.25">
      <c r="A58" s="72" t="s">
        <v>509</v>
      </c>
      <c r="B58" s="333">
        <f ca="1">IF(ISBLANK('5.CDI Parameters'!$G15),"",'5.CDI Parameters'!$G15)</f>
        <v>0.31285722591986026</v>
      </c>
      <c r="C58" s="72"/>
      <c r="D58" s="336" t="s">
        <v>519</v>
      </c>
      <c r="E58" s="337">
        <f>IF(ISBLANK('6.5Ratemaking Data'!$J$39),0,'6.5Ratemaking Data'!$J$39)</f>
        <v>0</v>
      </c>
    </row>
    <row r="59" spans="1:5" x14ac:dyDescent="0.25">
      <c r="A59" s="72" t="s">
        <v>510</v>
      </c>
      <c r="B59" s="333">
        <f ca="1">IF(ISBLANK('5.CDI Parameters'!$G16),"",'5.CDI Parameters'!$G16)</f>
        <v>0.31285722591986026</v>
      </c>
      <c r="C59" s="72"/>
      <c r="D59" s="336" t="s">
        <v>520</v>
      </c>
      <c r="E59" s="337">
        <f>IF(ISBLANK('6.6Ratemaking Data'!$J$39),0,'6.6Ratemaking Data'!$J$39)</f>
        <v>0</v>
      </c>
    </row>
    <row r="60" spans="1:5" x14ac:dyDescent="0.25">
      <c r="A60" s="72" t="s">
        <v>511</v>
      </c>
      <c r="B60" s="333">
        <f ca="1">IF(ISBLANK('5.CDI Parameters'!$G17),"",'5.CDI Parameters'!$G17)</f>
        <v>0.30454699826237225</v>
      </c>
      <c r="C60" s="72"/>
      <c r="D60" s="336" t="s">
        <v>521</v>
      </c>
      <c r="E60" s="337">
        <f>IF(ISBLANK('6.7Ratemaking Data'!$J$39),0,'6.7Ratemaking Data'!$J$39)</f>
        <v>0</v>
      </c>
    </row>
    <row r="61" spans="1:5" x14ac:dyDescent="0.25">
      <c r="A61" s="72" t="s">
        <v>512</v>
      </c>
      <c r="B61" s="333" t="str">
        <f>IF(ISBLANK('5.CDI Parameters'!$G18),"",'5.CDI Parameters'!$G18)</f>
        <v/>
      </c>
      <c r="C61" s="72"/>
      <c r="D61" s="336" t="s">
        <v>522</v>
      </c>
      <c r="E61" s="337">
        <f>IF(ISBLANK('6.8Ratemaking Data'!$J$39),0,'6.8Ratemaking Data'!$J$39)</f>
        <v>0</v>
      </c>
    </row>
    <row r="62" spans="1:5" x14ac:dyDescent="0.25">
      <c r="A62" s="72" t="s">
        <v>513</v>
      </c>
      <c r="B62" s="333" t="str">
        <f>IF(ISBLANK('5.CDI Parameters'!$G19),"",'5.CDI Parameters'!$G19)</f>
        <v/>
      </c>
      <c r="C62" s="72"/>
      <c r="D62" s="336" t="s">
        <v>523</v>
      </c>
      <c r="E62" s="337">
        <f>IF(ISBLANK('6.9Ratemaking Data'!$J$39),0,'6.9Ratemaking Data'!$J$39)</f>
        <v>0</v>
      </c>
    </row>
    <row r="63" spans="1:5" x14ac:dyDescent="0.25">
      <c r="A63" s="72" t="s">
        <v>514</v>
      </c>
      <c r="B63" s="333" t="str">
        <f>IF(ISBLANK('5.CDI Parameters'!$G20),"",'5.CDI Parameters'!$G20)</f>
        <v/>
      </c>
      <c r="C63" s="72"/>
      <c r="D63" s="336" t="s">
        <v>524</v>
      </c>
      <c r="E63" s="337">
        <f>IF(ISBLANK('6.10Ratemaking Data'!$J$39),0,'6.10Ratemaking Data'!$J$39)</f>
        <v>0</v>
      </c>
    </row>
    <row r="64" spans="1:5" x14ac:dyDescent="0.25">
      <c r="A64" s="72"/>
      <c r="B64" s="174"/>
      <c r="C64" s="72"/>
      <c r="D64" s="336"/>
      <c r="E64" s="334"/>
    </row>
    <row r="65" spans="1:5" x14ac:dyDescent="0.25">
      <c r="A65" s="338" t="s">
        <v>582</v>
      </c>
      <c r="B65" s="174"/>
      <c r="C65" s="72"/>
      <c r="D65" s="339"/>
      <c r="E65" s="334"/>
    </row>
    <row r="66" spans="1:5" x14ac:dyDescent="0.25">
      <c r="A66" s="338" t="s">
        <v>558</v>
      </c>
      <c r="B66" s="174"/>
      <c r="C66" s="72"/>
      <c r="D66" s="339" t="s">
        <v>556</v>
      </c>
      <c r="E66" s="334"/>
    </row>
    <row r="67" spans="1:5" x14ac:dyDescent="0.25">
      <c r="A67" s="336" t="s">
        <v>525</v>
      </c>
      <c r="B67" s="337">
        <f ca="1">IF(ExpRatio_Actual01&gt;EffStd_Wtd01,MIN(ExpRatio_Actual01-EffStd_Wtd01,EffStd_VarReq01),0)</f>
        <v>0</v>
      </c>
      <c r="C67" s="72"/>
      <c r="D67" s="336" t="s">
        <v>545</v>
      </c>
      <c r="E67" s="337">
        <f>IF(ISBLANK('6.1Ratemaking Data'!$J$40),0,'6.1Ratemaking Data'!$J$40)</f>
        <v>0</v>
      </c>
    </row>
    <row r="68" spans="1:5" x14ac:dyDescent="0.25">
      <c r="A68" s="336" t="s">
        <v>526</v>
      </c>
      <c r="B68" s="337">
        <f ca="1">IF(ExpRatio_Actual02&gt;EffStd_Wtd02,MIN(ExpRatio_Actual02-EffStd_Wtd02,EffStd_VarReq02),0)</f>
        <v>0</v>
      </c>
      <c r="C68" s="72"/>
      <c r="D68" s="336" t="s">
        <v>546</v>
      </c>
      <c r="E68" s="337">
        <f>IF(ISBLANK('6.2Ratemaking Data'!$J$40),0,'6.2Ratemaking Data'!$J$40)</f>
        <v>0</v>
      </c>
    </row>
    <row r="69" spans="1:5" x14ac:dyDescent="0.25">
      <c r="A69" s="336" t="s">
        <v>527</v>
      </c>
      <c r="B69" s="337">
        <f ca="1">IF(ExpRatio_Actual03&gt;EffStd_Wtd03,MIN(ExpRatio_Actual03-EffStd_Wtd03,EffStd_VarReq03),0)</f>
        <v>0</v>
      </c>
      <c r="C69" s="72"/>
      <c r="D69" s="336" t="s">
        <v>547</v>
      </c>
      <c r="E69" s="337">
        <f>IF(ISBLANK('6.3Ratemaking Data'!$J$40),0,'6.3Ratemaking Data'!$J$40)</f>
        <v>0</v>
      </c>
    </row>
    <row r="70" spans="1:5" x14ac:dyDescent="0.25">
      <c r="A70" s="336" t="s">
        <v>528</v>
      </c>
      <c r="B70" s="337">
        <f ca="1">IF(ExpRatio_Actual04&gt;EffStd_Wtd04,MIN(ExpRatio_Actual04-EffStd_Wtd04,EffStd_VarReq04),0)</f>
        <v>0</v>
      </c>
      <c r="C70" s="72"/>
      <c r="D70" s="336" t="s">
        <v>548</v>
      </c>
      <c r="E70" s="337">
        <f>IF(ISBLANK('6.4Ratemaking Data'!$J$40),0,'6.4Ratemaking Data'!$J$40)</f>
        <v>0</v>
      </c>
    </row>
    <row r="71" spans="1:5" x14ac:dyDescent="0.25">
      <c r="A71" s="336" t="s">
        <v>529</v>
      </c>
      <c r="B71" s="337">
        <f ca="1">IF(ExpRatio_Actual05&gt;EffStd_Wtd05,MIN(ExpRatio_Actual05-EffStd_Wtd05,EffStd_VarReq05),0)</f>
        <v>0</v>
      </c>
      <c r="C71" s="72"/>
      <c r="D71" s="336" t="s">
        <v>549</v>
      </c>
      <c r="E71" s="337">
        <f>IF(ISBLANK('6.5Ratemaking Data'!$J$40),0,'6.5Ratemaking Data'!$J$40)</f>
        <v>0</v>
      </c>
    </row>
    <row r="72" spans="1:5" x14ac:dyDescent="0.25">
      <c r="A72" s="336" t="s">
        <v>530</v>
      </c>
      <c r="B72" s="337">
        <f ca="1">IF(ExpRatio_Actual06&gt;EffStd_Wtd06,MIN(ExpRatio_Actual06-EffStd_Wtd06,EffStd_VarReq06),0)</f>
        <v>0</v>
      </c>
      <c r="C72" s="72"/>
      <c r="D72" s="336" t="s">
        <v>550</v>
      </c>
      <c r="E72" s="337">
        <f>IF(ISBLANK('6.6Ratemaking Data'!$J$40),0,'6.6Ratemaking Data'!$J$40)</f>
        <v>0</v>
      </c>
    </row>
    <row r="73" spans="1:5" x14ac:dyDescent="0.25">
      <c r="A73" s="336" t="s">
        <v>531</v>
      </c>
      <c r="B73" s="337">
        <f ca="1">IF(ExpRatio_Actual07&gt;EffStd_Wtd07,MIN(ExpRatio_Actual07-EffStd_Wtd07,EffStd_VarReq07),0)</f>
        <v>0</v>
      </c>
      <c r="C73" s="72"/>
      <c r="D73" s="336" t="s">
        <v>551</v>
      </c>
      <c r="E73" s="337">
        <f>IF(ISBLANK('6.7Ratemaking Data'!$J$40),0,'6.7Ratemaking Data'!$J$40)</f>
        <v>0</v>
      </c>
    </row>
    <row r="74" spans="1:5" x14ac:dyDescent="0.25">
      <c r="A74" s="336" t="s">
        <v>532</v>
      </c>
      <c r="B74" s="337">
        <f>IF(ExpRatio_Actual08&gt;EffStd_Wtd08,MIN(ExpRatio_Actual08-EffStd_Wtd08,EffStd_VarReq08),0)</f>
        <v>0</v>
      </c>
      <c r="C74" s="72"/>
      <c r="D74" s="336" t="s">
        <v>552</v>
      </c>
      <c r="E74" s="337">
        <f>IF(ISBLANK('6.8Ratemaking Data'!$J$40),0,'6.8Ratemaking Data'!$J$40)</f>
        <v>0</v>
      </c>
    </row>
    <row r="75" spans="1:5" x14ac:dyDescent="0.25">
      <c r="A75" s="336" t="s">
        <v>533</v>
      </c>
      <c r="B75" s="337">
        <f>IF(ExpRatio_Actual09&gt;EffStd_Wtd09,MIN(ExpRatio_Actual09-EffStd_Wtd09,EffStd_VarReq09),0)</f>
        <v>0</v>
      </c>
      <c r="C75" s="72"/>
      <c r="D75" s="336" t="s">
        <v>553</v>
      </c>
      <c r="E75" s="337">
        <f>IF(ISBLANK('6.9Ratemaking Data'!$J$40),0,'6.9Ratemaking Data'!$J$40)</f>
        <v>0</v>
      </c>
    </row>
    <row r="76" spans="1:5" x14ac:dyDescent="0.25">
      <c r="A76" s="336" t="s">
        <v>534</v>
      </c>
      <c r="B76" s="337">
        <f>IF(ExpRatio_Actual10&gt;EffStd_Wtd10,MIN(ExpRatio_Actual10-EffStd_Wtd10,EffStd_VarReq10),0)</f>
        <v>0</v>
      </c>
      <c r="C76" s="72"/>
      <c r="D76" s="336" t="s">
        <v>554</v>
      </c>
      <c r="E76" s="337">
        <f>IF(ISBLANK('6.10Ratemaking Data'!$J$40),0,'6.10Ratemaking Data'!$J$40)</f>
        <v>0</v>
      </c>
    </row>
    <row r="77" spans="1:5" x14ac:dyDescent="0.25">
      <c r="A77" s="336"/>
      <c r="B77" s="337"/>
      <c r="C77" s="72"/>
      <c r="D77" s="336"/>
      <c r="E77" s="337"/>
    </row>
    <row r="78" spans="1:5" x14ac:dyDescent="0.25">
      <c r="A78" s="338" t="s">
        <v>583</v>
      </c>
      <c r="B78" s="174"/>
      <c r="C78" s="72"/>
      <c r="D78" s="338" t="s">
        <v>581</v>
      </c>
      <c r="E78" s="72"/>
    </row>
    <row r="79" spans="1:5" x14ac:dyDescent="0.25">
      <c r="A79" s="72" t="s">
        <v>561</v>
      </c>
      <c r="B79" s="393">
        <f ca="1">IF(ISBLANK('5.CDI Parameters'!$D26),"",'5.CDI Parameters'!$D26)</f>
        <v>0.32</v>
      </c>
      <c r="C79" s="72"/>
      <c r="D79" s="72" t="s">
        <v>571</v>
      </c>
      <c r="E79" s="393">
        <f ca="1">IF(ISBLANK('5.CDI Parameters'!$E26),"",'5.CDI Parameters'!$E26)</f>
        <v>1.1599999999999999</v>
      </c>
    </row>
    <row r="80" spans="1:5" x14ac:dyDescent="0.25">
      <c r="A80" s="72" t="s">
        <v>562</v>
      </c>
      <c r="B80" s="393">
        <f ca="1">IF(ISBLANK('5.CDI Parameters'!$D27),"",'5.CDI Parameters'!$D27)</f>
        <v>0.32</v>
      </c>
      <c r="C80" s="72"/>
      <c r="D80" s="72" t="s">
        <v>572</v>
      </c>
      <c r="E80" s="393">
        <f ca="1">IF(ISBLANK('5.CDI Parameters'!$E27),"",'5.CDI Parameters'!$E27)</f>
        <v>1.1599999999999999</v>
      </c>
    </row>
    <row r="81" spans="1:5" x14ac:dyDescent="0.25">
      <c r="A81" s="72" t="s">
        <v>563</v>
      </c>
      <c r="B81" s="393">
        <f ca="1">IF(ISBLANK('5.CDI Parameters'!$D28),"",'5.CDI Parameters'!$D28)</f>
        <v>0.32</v>
      </c>
      <c r="C81" s="72"/>
      <c r="D81" s="72" t="s">
        <v>573</v>
      </c>
      <c r="E81" s="393">
        <f ca="1">IF(ISBLANK('5.CDI Parameters'!$E28),"",'5.CDI Parameters'!$E28)</f>
        <v>1.1599999999999999</v>
      </c>
    </row>
    <row r="82" spans="1:5" x14ac:dyDescent="0.25">
      <c r="A82" s="72" t="s">
        <v>564</v>
      </c>
      <c r="B82" s="393">
        <f ca="1">IF(ISBLANK('5.CDI Parameters'!$D29),"",'5.CDI Parameters'!$D29)</f>
        <v>0.32</v>
      </c>
      <c r="C82" s="72"/>
      <c r="D82" s="72" t="s">
        <v>574</v>
      </c>
      <c r="E82" s="393">
        <f ca="1">IF(ISBLANK('5.CDI Parameters'!$E29),"",'5.CDI Parameters'!$E29)</f>
        <v>0.1</v>
      </c>
    </row>
    <row r="83" spans="1:5" x14ac:dyDescent="0.25">
      <c r="A83" s="72" t="s">
        <v>565</v>
      </c>
      <c r="B83" s="393">
        <f ca="1">IF(ISBLANK('5.CDI Parameters'!$D30),"",'5.CDI Parameters'!$D30)</f>
        <v>0.32</v>
      </c>
      <c r="C83" s="72"/>
      <c r="D83" s="72" t="s">
        <v>575</v>
      </c>
      <c r="E83" s="393">
        <f ca="1">IF(ISBLANK('5.CDI Parameters'!$E30),"",'5.CDI Parameters'!$E30)</f>
        <v>0.1</v>
      </c>
    </row>
    <row r="84" spans="1:5" x14ac:dyDescent="0.25">
      <c r="A84" s="72" t="s">
        <v>566</v>
      </c>
      <c r="B84" s="393">
        <f ca="1">IF(ISBLANK('5.CDI Parameters'!$D31),"",'5.CDI Parameters'!$D31)</f>
        <v>0.32</v>
      </c>
      <c r="C84" s="72"/>
      <c r="D84" s="72" t="s">
        <v>576</v>
      </c>
      <c r="E84" s="393">
        <f ca="1">IF(ISBLANK('5.CDI Parameters'!$E31),"",'5.CDI Parameters'!$E31)</f>
        <v>0.1</v>
      </c>
    </row>
    <row r="85" spans="1:5" x14ac:dyDescent="0.25">
      <c r="A85" s="72" t="s">
        <v>567</v>
      </c>
      <c r="B85" s="393">
        <f ca="1">IF(ISBLANK('5.CDI Parameters'!$D32),"",'5.CDI Parameters'!$D32)</f>
        <v>0.32</v>
      </c>
      <c r="C85" s="72"/>
      <c r="D85" s="72" t="s">
        <v>577</v>
      </c>
      <c r="E85" s="393">
        <f ca="1">IF(ISBLANK('5.CDI Parameters'!$E32),"",'5.CDI Parameters'!$E32)</f>
        <v>1.1599999999999999</v>
      </c>
    </row>
    <row r="86" spans="1:5" x14ac:dyDescent="0.25">
      <c r="A86" s="72" t="s">
        <v>568</v>
      </c>
      <c r="B86" s="393" t="str">
        <f>IF(ISBLANK('5.CDI Parameters'!$D33),"",'5.CDI Parameters'!$D33)</f>
        <v/>
      </c>
      <c r="C86" s="72"/>
      <c r="D86" s="72" t="s">
        <v>578</v>
      </c>
      <c r="E86" s="393" t="str">
        <f>IF(ISBLANK('5.CDI Parameters'!$E33),"",'5.CDI Parameters'!$E33)</f>
        <v/>
      </c>
    </row>
    <row r="87" spans="1:5" x14ac:dyDescent="0.25">
      <c r="A87" s="72" t="s">
        <v>569</v>
      </c>
      <c r="B87" s="393" t="str">
        <f>IF(ISBLANK('5.CDI Parameters'!$D34),"",'5.CDI Parameters'!$D34)</f>
        <v/>
      </c>
      <c r="C87" s="72"/>
      <c r="D87" s="72" t="s">
        <v>579</v>
      </c>
      <c r="E87" s="393" t="str">
        <f>IF(ISBLANK('5.CDI Parameters'!$E34),"",'5.CDI Parameters'!$E34)</f>
        <v/>
      </c>
    </row>
    <row r="88" spans="1:5" x14ac:dyDescent="0.25">
      <c r="A88" s="72" t="s">
        <v>570</v>
      </c>
      <c r="B88" s="393" t="str">
        <f>IF(ISBLANK('5.CDI Parameters'!$D35),"",'5.CDI Parameters'!$D35)</f>
        <v/>
      </c>
      <c r="C88" s="72"/>
      <c r="D88" s="72" t="s">
        <v>580</v>
      </c>
      <c r="E88" s="393" t="str">
        <f>IF(ISBLANK('5.CDI Parameters'!$E35),"",'5.CDI Parameters'!$E35)</f>
        <v/>
      </c>
    </row>
    <row r="89" spans="1:5" x14ac:dyDescent="0.25">
      <c r="A89" s="72"/>
      <c r="B89" s="174"/>
      <c r="C89" s="72"/>
      <c r="D89" s="72"/>
      <c r="E89" s="72"/>
    </row>
    <row r="90" spans="1:5" x14ac:dyDescent="0.25">
      <c r="A90" s="338" t="s">
        <v>601</v>
      </c>
      <c r="B90" s="174"/>
      <c r="C90" s="72"/>
      <c r="D90" s="338" t="s">
        <v>688</v>
      </c>
      <c r="E90" s="72"/>
    </row>
    <row r="91" spans="1:5" x14ac:dyDescent="0.25">
      <c r="A91" s="72" t="s">
        <v>588</v>
      </c>
      <c r="B91" s="393">
        <f ca="1">IF(ISBLANK('5.CDI Parameters'!$H26),"",'5.CDI Parameters'!$H26)</f>
        <v>0.77049999999999996</v>
      </c>
      <c r="C91" s="72"/>
      <c r="D91" s="72" t="s">
        <v>678</v>
      </c>
      <c r="E91" s="175">
        <f>IF(ISBLANK('1.General'!$E$34),"",'1.General'!$E$34)</f>
        <v>45348</v>
      </c>
    </row>
    <row r="92" spans="1:5" x14ac:dyDescent="0.25">
      <c r="A92" s="72" t="s">
        <v>589</v>
      </c>
      <c r="B92" s="393">
        <f ca="1">IF(ISBLANK('5.CDI Parameters'!$H27),"",'5.CDI Parameters'!$H27)</f>
        <v>0.77049999999999996</v>
      </c>
      <c r="C92" s="72"/>
      <c r="D92" s="72" t="s">
        <v>679</v>
      </c>
      <c r="E92" s="175">
        <f>IF(ISBLANK('1.General'!$E$35),"",'1.General'!$E$35)</f>
        <v>45348</v>
      </c>
    </row>
    <row r="93" spans="1:5" x14ac:dyDescent="0.25">
      <c r="A93" s="72" t="s">
        <v>590</v>
      </c>
      <c r="B93" s="393">
        <f ca="1">IF(ISBLANK('5.CDI Parameters'!$H28),"",'5.CDI Parameters'!$H28)</f>
        <v>0.77049999999999996</v>
      </c>
      <c r="C93" s="72"/>
      <c r="D93" s="72" t="s">
        <v>680</v>
      </c>
      <c r="E93" s="175">
        <f>IF(ISBLANK('1.General'!$E$36),"",'1.General'!$E$36)</f>
        <v>45348</v>
      </c>
    </row>
    <row r="94" spans="1:5" x14ac:dyDescent="0.25">
      <c r="A94" s="72" t="s">
        <v>591</v>
      </c>
      <c r="B94" s="393">
        <f ca="1">IF(ISBLANK('5.CDI Parameters'!$H29),"",'5.CDI Parameters'!$H29)</f>
        <v>1.2808999999999999</v>
      </c>
      <c r="C94" s="72"/>
      <c r="D94" s="72" t="s">
        <v>681</v>
      </c>
      <c r="E94" s="175">
        <f>IF(ISBLANK('1.General'!$E$37),"",'1.General'!$E$37)</f>
        <v>45348</v>
      </c>
    </row>
    <row r="95" spans="1:5" x14ac:dyDescent="0.25">
      <c r="A95" s="72" t="s">
        <v>592</v>
      </c>
      <c r="B95" s="393">
        <f ca="1">IF(ISBLANK('5.CDI Parameters'!$H30),"",'5.CDI Parameters'!$H30)</f>
        <v>1.2808999999999999</v>
      </c>
      <c r="C95" s="72"/>
      <c r="D95" s="72" t="s">
        <v>682</v>
      </c>
      <c r="E95" s="175">
        <f>IF(ISBLANK('1.General'!$E$38),"",'1.General'!$E$38)</f>
        <v>45348</v>
      </c>
    </row>
    <row r="96" spans="1:5" x14ac:dyDescent="0.25">
      <c r="A96" s="72" t="s">
        <v>593</v>
      </c>
      <c r="B96" s="393">
        <f ca="1">IF(ISBLANK('5.CDI Parameters'!$H31),"",'5.CDI Parameters'!$H31)</f>
        <v>1.2808999999999999</v>
      </c>
      <c r="C96" s="72"/>
      <c r="D96" s="72" t="s">
        <v>683</v>
      </c>
      <c r="E96" s="175">
        <f>IF(ISBLANK('1.General'!$E$39),"",'1.General'!$E$39)</f>
        <v>45348</v>
      </c>
    </row>
    <row r="97" spans="1:5" x14ac:dyDescent="0.25">
      <c r="A97" s="72" t="s">
        <v>594</v>
      </c>
      <c r="B97" s="393">
        <f ca="1">IF(ISBLANK('5.CDI Parameters'!$H32),"",'5.CDI Parameters'!$H32)</f>
        <v>0.77049999999999996</v>
      </c>
      <c r="C97" s="72"/>
      <c r="D97" s="72" t="s">
        <v>684</v>
      </c>
      <c r="E97" s="175">
        <f>IF(ISBLANK('1.General'!$E$40),"",'1.General'!$E$40)</f>
        <v>45348</v>
      </c>
    </row>
    <row r="98" spans="1:5" x14ac:dyDescent="0.25">
      <c r="A98" s="72" t="s">
        <v>595</v>
      </c>
      <c r="B98" s="393" t="str">
        <f>IF(ISBLANK('5.CDI Parameters'!$H33),"",'5.CDI Parameters'!$H33)</f>
        <v/>
      </c>
      <c r="C98" s="72"/>
      <c r="D98" s="72" t="s">
        <v>685</v>
      </c>
      <c r="E98" s="175" t="str">
        <f>IF(ISBLANK('1.General'!$E$41),"",'1.General'!$E$41)</f>
        <v/>
      </c>
    </row>
    <row r="99" spans="1:5" x14ac:dyDescent="0.25">
      <c r="A99" s="72" t="s">
        <v>596</v>
      </c>
      <c r="B99" s="393" t="str">
        <f>IF(ISBLANK('5.CDI Parameters'!$H34),"",'5.CDI Parameters'!$H34)</f>
        <v/>
      </c>
      <c r="C99" s="72"/>
      <c r="D99" s="72" t="s">
        <v>686</v>
      </c>
      <c r="E99" s="175" t="str">
        <f>IF(ISBLANK('1.General'!$E$42),"",'1.General'!$E$42)</f>
        <v/>
      </c>
    </row>
    <row r="100" spans="1:5" x14ac:dyDescent="0.25">
      <c r="A100" s="72" t="s">
        <v>597</v>
      </c>
      <c r="B100" s="393" t="str">
        <f>IF(ISBLANK('5.CDI Parameters'!$H35),"",'5.CDI Parameters'!$H35)</f>
        <v/>
      </c>
      <c r="C100" s="72"/>
      <c r="D100" s="72" t="s">
        <v>687</v>
      </c>
      <c r="E100" s="175" t="str">
        <f>IF(ISBLANK('1.General'!$E$43),"",'1.General'!$E$43)</f>
        <v/>
      </c>
    </row>
    <row r="101" spans="1:5" x14ac:dyDescent="0.25">
      <c r="A101" s="72"/>
      <c r="B101" s="393"/>
      <c r="C101" s="72"/>
      <c r="D101" s="72"/>
      <c r="E101" s="175"/>
    </row>
    <row r="102" spans="1:5" x14ac:dyDescent="0.25">
      <c r="A102" s="72" t="s">
        <v>165</v>
      </c>
      <c r="B102" s="555">
        <f>'Federal Income Tax Rate'!B9</f>
        <v>0.21</v>
      </c>
      <c r="C102" s="72"/>
      <c r="D102" s="72"/>
      <c r="E102" s="175"/>
    </row>
    <row r="103" spans="1:5" x14ac:dyDescent="0.25">
      <c r="A103" s="72" t="s">
        <v>190</v>
      </c>
      <c r="B103" s="555">
        <f>'5.CDI Parameters'!$J$28</f>
        <v>2.35E-2</v>
      </c>
      <c r="C103" s="72"/>
      <c r="D103" s="72"/>
      <c r="E103" s="175"/>
    </row>
    <row r="104" spans="1:5" x14ac:dyDescent="0.25">
      <c r="A104" s="72" t="s">
        <v>193</v>
      </c>
      <c r="B104" s="555">
        <f>'5.CDI Parameters'!$J$31</f>
        <v>4.6599999999999996E-2</v>
      </c>
      <c r="C104" s="72"/>
      <c r="D104" s="72" t="s">
        <v>726</v>
      </c>
      <c r="E104" s="175" t="str">
        <f>'3.2YieldFIT'!$G$48</f>
        <v>February 2024</v>
      </c>
    </row>
    <row r="105" spans="1:5" x14ac:dyDescent="0.25">
      <c r="A105" s="72" t="s">
        <v>195</v>
      </c>
      <c r="B105" s="555">
        <v>-0.06</v>
      </c>
      <c r="C105" s="72"/>
      <c r="D105" s="72"/>
      <c r="E105" s="175"/>
    </row>
    <row r="106" spans="1:5" x14ac:dyDescent="0.25">
      <c r="A106" s="72" t="s">
        <v>194</v>
      </c>
      <c r="B106" s="555">
        <f>ROR_RiskFree+0.06</f>
        <v>0.1066</v>
      </c>
      <c r="C106" s="72"/>
      <c r="D106" s="72"/>
      <c r="E106" s="175"/>
    </row>
    <row r="107" spans="1:5" x14ac:dyDescent="0.25">
      <c r="A107" s="72"/>
      <c r="B107" s="555"/>
      <c r="C107" s="72"/>
      <c r="D107" s="72"/>
      <c r="E107" s="175"/>
    </row>
  </sheetData>
  <sheetProtection formatColumns="0" formatRows="0" sort="0"/>
  <pageMargins left="0.7" right="0.7" top="0.75" bottom="0.75" header="0.3" footer="0.3"/>
  <pageSetup scale="44" orientation="portrait" r:id="rId1"/>
  <headerFooter>
    <oddFooter>&amp;L11/9/2023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heetViews>
  <sheetFormatPr defaultColWidth="9.140625" defaultRowHeight="15" x14ac:dyDescent="0.25"/>
  <cols>
    <col min="1" max="1" width="29" style="6" customWidth="1"/>
    <col min="2" max="2" width="15.85546875" style="6" bestFit="1" customWidth="1"/>
    <col min="3" max="3" width="5.7109375" style="6" customWidth="1"/>
    <col min="4" max="4" width="11.5703125" style="6" bestFit="1" customWidth="1"/>
    <col min="5" max="5" width="5.7109375" style="6" customWidth="1"/>
    <col min="6" max="6" width="32.28515625" style="6" bestFit="1" customWidth="1"/>
    <col min="7" max="7" width="7.5703125" style="6" bestFit="1" customWidth="1"/>
    <col min="8" max="8" width="54.7109375" style="6" bestFit="1" customWidth="1"/>
    <col min="9" max="9" width="5.7109375" style="6" bestFit="1" customWidth="1"/>
    <col min="10" max="10" width="5.7109375" style="6" customWidth="1"/>
    <col min="11" max="11" width="41.42578125" style="6" customWidth="1"/>
    <col min="12" max="12" width="5.7109375" style="6" customWidth="1"/>
    <col min="13" max="13" width="18.7109375" style="6" customWidth="1"/>
    <col min="14" max="14" width="117.85546875" style="6" customWidth="1"/>
    <col min="15" max="15" width="5.7109375" style="6" customWidth="1"/>
    <col min="16" max="16" width="34" style="6" bestFit="1" customWidth="1"/>
    <col min="17" max="17" width="5.7109375" style="6" customWidth="1"/>
    <col min="18" max="18" width="9.140625" style="6"/>
    <col min="19" max="19" width="41.42578125" style="6" customWidth="1"/>
    <col min="20" max="20" width="9.140625" style="6"/>
    <col min="21" max="21" width="14.5703125" style="6" bestFit="1" customWidth="1"/>
    <col min="22" max="22" width="18" style="6" bestFit="1" customWidth="1"/>
    <col min="23" max="16384" width="9.140625" style="6"/>
  </cols>
  <sheetData>
    <row r="1" spans="1:22" ht="15.75" thickBot="1" x14ac:dyDescent="0.3">
      <c r="A1" s="185" t="s">
        <v>127</v>
      </c>
    </row>
    <row r="2" spans="1:22" x14ac:dyDescent="0.25">
      <c r="B2" s="90" t="s">
        <v>103</v>
      </c>
      <c r="C2" s="91"/>
      <c r="D2" s="92" t="s">
        <v>104</v>
      </c>
      <c r="E2" s="91"/>
      <c r="F2" s="90" t="s">
        <v>156</v>
      </c>
      <c r="G2" s="91"/>
      <c r="H2" s="106" t="s">
        <v>501</v>
      </c>
      <c r="I2" s="107"/>
      <c r="J2" s="91"/>
      <c r="K2" s="92" t="s">
        <v>502</v>
      </c>
      <c r="L2" s="91"/>
      <c r="M2" s="93" t="s">
        <v>105</v>
      </c>
      <c r="N2" s="94" t="s">
        <v>504</v>
      </c>
      <c r="P2" s="92" t="s">
        <v>503</v>
      </c>
      <c r="S2" s="92" t="s">
        <v>623</v>
      </c>
    </row>
    <row r="3" spans="1:22" ht="15.75" thickBot="1" x14ac:dyDescent="0.3">
      <c r="B3" s="95" t="s">
        <v>106</v>
      </c>
      <c r="C3" s="91"/>
      <c r="D3" s="108" t="s">
        <v>158</v>
      </c>
      <c r="F3" s="97"/>
      <c r="H3" s="98"/>
      <c r="I3" s="99"/>
      <c r="K3" s="96"/>
      <c r="M3" s="100"/>
      <c r="N3" s="101"/>
      <c r="P3" s="96"/>
      <c r="S3" s="96"/>
    </row>
    <row r="4" spans="1:22" ht="30" x14ac:dyDescent="0.25">
      <c r="B4" s="95" t="s">
        <v>157</v>
      </c>
      <c r="C4" s="155"/>
      <c r="D4" s="96"/>
      <c r="F4" s="97"/>
      <c r="H4" s="98"/>
      <c r="I4" s="99"/>
      <c r="K4" s="96"/>
      <c r="M4" s="100"/>
      <c r="N4" s="101"/>
      <c r="P4" s="96"/>
      <c r="S4" s="96"/>
      <c r="U4" s="599" t="s">
        <v>733</v>
      </c>
      <c r="V4" s="600" t="s">
        <v>734</v>
      </c>
    </row>
    <row r="5" spans="1:22" ht="90" x14ac:dyDescent="0.25">
      <c r="A5" s="193" t="s">
        <v>500</v>
      </c>
      <c r="B5" s="194"/>
      <c r="C5" s="7"/>
      <c r="D5" s="195">
        <v>2</v>
      </c>
      <c r="E5" s="109"/>
      <c r="F5" s="196">
        <v>5</v>
      </c>
      <c r="G5" s="109"/>
      <c r="H5" s="197"/>
      <c r="I5" s="198"/>
      <c r="J5" s="7"/>
      <c r="K5" s="195">
        <v>1</v>
      </c>
      <c r="L5" s="7"/>
      <c r="M5" s="199"/>
      <c r="N5" s="200"/>
      <c r="O5" s="109"/>
      <c r="P5" s="195">
        <v>3</v>
      </c>
      <c r="S5" s="196">
        <v>9</v>
      </c>
      <c r="U5" s="603" t="s">
        <v>732</v>
      </c>
      <c r="V5" s="604" t="s">
        <v>735</v>
      </c>
    </row>
    <row r="6" spans="1:22" ht="30" x14ac:dyDescent="0.25">
      <c r="B6" s="102" t="s">
        <v>2</v>
      </c>
      <c r="C6" s="11"/>
      <c r="D6" s="96" t="s">
        <v>5</v>
      </c>
      <c r="F6" s="97"/>
      <c r="H6" s="98"/>
      <c r="I6" s="99"/>
      <c r="K6" s="96" t="s">
        <v>36</v>
      </c>
      <c r="M6" s="86" t="s">
        <v>82</v>
      </c>
      <c r="N6" s="87" t="s">
        <v>255</v>
      </c>
      <c r="P6" s="96"/>
      <c r="S6" s="96" t="s">
        <v>624</v>
      </c>
      <c r="U6" s="100" t="str">
        <f>TEXT(V6,"mmm")&amp;YEAR(V6)</f>
        <v>Feb2024</v>
      </c>
      <c r="V6" s="101" t="str">
        <f>'3.2YieldFIT'!G48</f>
        <v>February 2024</v>
      </c>
    </row>
    <row r="7" spans="1:22" ht="30" x14ac:dyDescent="0.25">
      <c r="B7" s="102" t="s">
        <v>3</v>
      </c>
      <c r="C7" s="11"/>
      <c r="D7" s="96" t="s">
        <v>6</v>
      </c>
      <c r="F7" s="97" t="s">
        <v>8</v>
      </c>
      <c r="H7" s="98" t="s">
        <v>8</v>
      </c>
      <c r="I7" s="99">
        <v>22</v>
      </c>
      <c r="K7" s="96" t="s">
        <v>72</v>
      </c>
      <c r="M7" s="86" t="s">
        <v>83</v>
      </c>
      <c r="N7" s="87" t="s">
        <v>256</v>
      </c>
      <c r="P7" s="96" t="s">
        <v>238</v>
      </c>
      <c r="S7" s="96" t="s">
        <v>625</v>
      </c>
      <c r="U7" s="100" t="str">
        <f>TEXT(V7,"mmm")&amp;YEAR(V7)</f>
        <v>Jul2024</v>
      </c>
      <c r="V7" s="101" t="str">
        <f>[1]Latest!$A$1</f>
        <v>July 2024</v>
      </c>
    </row>
    <row r="8" spans="1:22" ht="30.75" thickBot="1" x14ac:dyDescent="0.3">
      <c r="B8" s="104" t="s">
        <v>24</v>
      </c>
      <c r="C8" s="11"/>
      <c r="D8" s="103"/>
      <c r="F8" s="97" t="s">
        <v>9</v>
      </c>
      <c r="H8" s="98" t="s">
        <v>9</v>
      </c>
      <c r="I8" s="99">
        <v>2.1</v>
      </c>
      <c r="K8" s="103" t="s">
        <v>73</v>
      </c>
      <c r="M8" s="86" t="s">
        <v>84</v>
      </c>
      <c r="N8" s="87" t="s">
        <v>257</v>
      </c>
      <c r="P8" s="96" t="s">
        <v>239</v>
      </c>
      <c r="S8" s="96" t="s">
        <v>626</v>
      </c>
      <c r="U8" s="100" t="str">
        <f t="shared" ref="U8:U30" si="0">TEXT(EOMONTH(U7,-1),"mmm")&amp;YEAR(EOMONTH(U7,-1))</f>
        <v>Jun2024</v>
      </c>
      <c r="V8" s="101" t="str">
        <f t="shared" ref="V8:V30" si="1">TEXT(U8,"mmmm ")&amp;YEAR(U8)</f>
        <v>June 2024</v>
      </c>
    </row>
    <row r="9" spans="1:22" ht="30.75" thickBot="1" x14ac:dyDescent="0.3">
      <c r="F9" s="97" t="s">
        <v>742</v>
      </c>
      <c r="H9" s="98" t="s">
        <v>11</v>
      </c>
      <c r="I9" s="99">
        <v>27</v>
      </c>
      <c r="M9" s="86" t="s">
        <v>85</v>
      </c>
      <c r="N9" s="87" t="s">
        <v>258</v>
      </c>
      <c r="P9" s="103" t="s">
        <v>240</v>
      </c>
      <c r="S9" s="96" t="s">
        <v>627</v>
      </c>
      <c r="U9" s="100" t="str">
        <f t="shared" si="0"/>
        <v>May2024</v>
      </c>
      <c r="V9" s="101" t="str">
        <f t="shared" si="1"/>
        <v>May 2024</v>
      </c>
    </row>
    <row r="10" spans="1:22" ht="30" x14ac:dyDescent="0.25">
      <c r="F10" s="97" t="s">
        <v>10</v>
      </c>
      <c r="H10" s="98" t="s">
        <v>12</v>
      </c>
      <c r="I10" s="99">
        <v>26</v>
      </c>
      <c r="M10" s="86" t="s">
        <v>86</v>
      </c>
      <c r="N10" s="87" t="s">
        <v>259</v>
      </c>
      <c r="P10" s="327" t="s">
        <v>621</v>
      </c>
      <c r="Q10" s="328"/>
      <c r="S10" s="96" t="s">
        <v>628</v>
      </c>
      <c r="U10" s="100" t="str">
        <f t="shared" si="0"/>
        <v>Apr2024</v>
      </c>
      <c r="V10" s="101" t="str">
        <f t="shared" si="1"/>
        <v>April 2024</v>
      </c>
    </row>
    <row r="11" spans="1:22" ht="45" x14ac:dyDescent="0.25">
      <c r="F11" s="97" t="s">
        <v>11</v>
      </c>
      <c r="H11" s="98" t="s">
        <v>37</v>
      </c>
      <c r="I11" s="99">
        <v>19.399999999999999</v>
      </c>
      <c r="M11" s="86" t="s">
        <v>89</v>
      </c>
      <c r="N11" s="87" t="s">
        <v>260</v>
      </c>
      <c r="P11" s="329" t="s">
        <v>344</v>
      </c>
      <c r="Q11" s="330">
        <v>1</v>
      </c>
      <c r="S11" s="96" t="s">
        <v>629</v>
      </c>
      <c r="U11" s="100" t="str">
        <f t="shared" si="0"/>
        <v>Mar2024</v>
      </c>
      <c r="V11" s="101" t="str">
        <f t="shared" si="1"/>
        <v>March 2024</v>
      </c>
    </row>
    <row r="12" spans="1:22" ht="30" x14ac:dyDescent="0.25">
      <c r="F12" s="97" t="s">
        <v>12</v>
      </c>
      <c r="H12" s="98" t="s">
        <v>38</v>
      </c>
      <c r="I12" s="99">
        <v>21.2</v>
      </c>
      <c r="M12" s="86" t="s">
        <v>87</v>
      </c>
      <c r="N12" s="87" t="s">
        <v>261</v>
      </c>
      <c r="P12" s="329" t="s">
        <v>346</v>
      </c>
      <c r="Q12" s="330">
        <v>2</v>
      </c>
      <c r="S12" s="96" t="s">
        <v>692</v>
      </c>
      <c r="U12" s="100" t="str">
        <f t="shared" si="0"/>
        <v>Feb2024</v>
      </c>
      <c r="V12" s="101" t="str">
        <f t="shared" si="1"/>
        <v>February 2024</v>
      </c>
    </row>
    <row r="13" spans="1:22" ht="30" x14ac:dyDescent="0.25">
      <c r="F13" s="97" t="s">
        <v>13</v>
      </c>
      <c r="H13" s="98" t="s">
        <v>39</v>
      </c>
      <c r="I13" s="99">
        <v>5</v>
      </c>
      <c r="M13" s="86" t="s">
        <v>88</v>
      </c>
      <c r="N13" s="87" t="s">
        <v>262</v>
      </c>
      <c r="P13" s="329" t="s">
        <v>355</v>
      </c>
      <c r="Q13" s="330">
        <v>1</v>
      </c>
      <c r="S13" s="96" t="s">
        <v>691</v>
      </c>
      <c r="U13" s="100" t="str">
        <f t="shared" si="0"/>
        <v>Jan2024</v>
      </c>
      <c r="V13" s="101" t="str">
        <f t="shared" si="1"/>
        <v>January 2024</v>
      </c>
    </row>
    <row r="14" spans="1:22" ht="30.75" thickBot="1" x14ac:dyDescent="0.3">
      <c r="F14" s="97" t="s">
        <v>14</v>
      </c>
      <c r="H14" s="98" t="s">
        <v>40</v>
      </c>
      <c r="I14" s="99">
        <v>5.2</v>
      </c>
      <c r="M14" s="86" t="s">
        <v>114</v>
      </c>
      <c r="N14" s="87" t="s">
        <v>263</v>
      </c>
      <c r="P14" s="329" t="s">
        <v>356</v>
      </c>
      <c r="Q14" s="330">
        <v>1</v>
      </c>
      <c r="S14" s="103" t="s">
        <v>630</v>
      </c>
      <c r="U14" s="100" t="str">
        <f t="shared" si="0"/>
        <v>Dec2023</v>
      </c>
      <c r="V14" s="101" t="str">
        <f t="shared" si="1"/>
        <v>December 2023</v>
      </c>
    </row>
    <row r="15" spans="1:22" ht="30" x14ac:dyDescent="0.25">
      <c r="F15" s="97" t="s">
        <v>15</v>
      </c>
      <c r="H15" s="98" t="s">
        <v>41</v>
      </c>
      <c r="I15" s="99">
        <v>5.0999999999999996</v>
      </c>
      <c r="M15" s="86" t="s">
        <v>90</v>
      </c>
      <c r="N15" s="87" t="s">
        <v>264</v>
      </c>
      <c r="P15" s="329" t="s">
        <v>357</v>
      </c>
      <c r="Q15" s="330">
        <v>1</v>
      </c>
      <c r="U15" s="100" t="str">
        <f t="shared" si="0"/>
        <v>Nov2023</v>
      </c>
      <c r="V15" s="101" t="str">
        <f t="shared" si="1"/>
        <v>November 2023</v>
      </c>
    </row>
    <row r="16" spans="1:22" ht="30" x14ac:dyDescent="0.25">
      <c r="F16" s="97" t="s">
        <v>16</v>
      </c>
      <c r="H16" s="98" t="s">
        <v>13</v>
      </c>
      <c r="I16" s="99">
        <v>12</v>
      </c>
      <c r="M16" s="86" t="s">
        <v>91</v>
      </c>
      <c r="N16" s="87" t="s">
        <v>265</v>
      </c>
      <c r="P16" s="329" t="s">
        <v>358</v>
      </c>
      <c r="Q16" s="330">
        <v>1</v>
      </c>
      <c r="U16" s="100" t="str">
        <f t="shared" si="0"/>
        <v>Oct2023</v>
      </c>
      <c r="V16" s="101" t="str">
        <f t="shared" si="1"/>
        <v>October 2023</v>
      </c>
    </row>
    <row r="17" spans="6:22" ht="30" x14ac:dyDescent="0.25">
      <c r="F17" s="97" t="s">
        <v>709</v>
      </c>
      <c r="H17" s="98" t="s">
        <v>323</v>
      </c>
      <c r="I17" s="99" t="s">
        <v>329</v>
      </c>
      <c r="M17" s="86" t="s">
        <v>92</v>
      </c>
      <c r="N17" s="87" t="s">
        <v>266</v>
      </c>
      <c r="P17" s="329" t="s">
        <v>359</v>
      </c>
      <c r="Q17" s="330">
        <v>1</v>
      </c>
      <c r="U17" s="100" t="str">
        <f t="shared" si="0"/>
        <v>Sep2023</v>
      </c>
      <c r="V17" s="101" t="str">
        <f t="shared" si="1"/>
        <v>September 2023</v>
      </c>
    </row>
    <row r="18" spans="6:22" ht="30" x14ac:dyDescent="0.25">
      <c r="F18" s="97" t="s">
        <v>741</v>
      </c>
      <c r="H18" s="98" t="s">
        <v>42</v>
      </c>
      <c r="I18" s="99">
        <v>3</v>
      </c>
      <c r="M18" s="86" t="s">
        <v>93</v>
      </c>
      <c r="N18" s="87" t="s">
        <v>267</v>
      </c>
      <c r="P18" s="329" t="s">
        <v>360</v>
      </c>
      <c r="Q18" s="330">
        <v>1</v>
      </c>
      <c r="U18" s="100" t="str">
        <f t="shared" si="0"/>
        <v>Aug2023</v>
      </c>
      <c r="V18" s="101" t="str">
        <f t="shared" si="1"/>
        <v>August 2023</v>
      </c>
    </row>
    <row r="19" spans="6:22" ht="30" x14ac:dyDescent="0.25">
      <c r="F19" s="97" t="s">
        <v>743</v>
      </c>
      <c r="H19" s="98" t="s">
        <v>15</v>
      </c>
      <c r="I19" s="99">
        <v>23</v>
      </c>
      <c r="M19" s="86" t="s">
        <v>94</v>
      </c>
      <c r="N19" s="87" t="s">
        <v>268</v>
      </c>
      <c r="P19" s="329" t="s">
        <v>361</v>
      </c>
      <c r="Q19" s="330">
        <v>1</v>
      </c>
      <c r="U19" s="100" t="str">
        <f t="shared" si="0"/>
        <v>Jul2023</v>
      </c>
      <c r="V19" s="101" t="str">
        <f t="shared" si="1"/>
        <v>July 2023</v>
      </c>
    </row>
    <row r="20" spans="6:22" ht="30" x14ac:dyDescent="0.25">
      <c r="F20" s="97" t="s">
        <v>17</v>
      </c>
      <c r="H20" s="98" t="s">
        <v>16</v>
      </c>
      <c r="I20" s="99">
        <v>1</v>
      </c>
      <c r="M20" s="86" t="s">
        <v>95</v>
      </c>
      <c r="N20" s="87" t="s">
        <v>269</v>
      </c>
      <c r="P20" s="331" t="s">
        <v>342</v>
      </c>
      <c r="Q20" s="332">
        <v>1</v>
      </c>
      <c r="U20" s="100" t="str">
        <f t="shared" si="0"/>
        <v>Jun2023</v>
      </c>
      <c r="V20" s="101" t="str">
        <f t="shared" si="1"/>
        <v>June 2023</v>
      </c>
    </row>
    <row r="21" spans="6:22" ht="30" x14ac:dyDescent="0.25">
      <c r="F21" s="97" t="s">
        <v>43</v>
      </c>
      <c r="H21" s="98" t="s">
        <v>43</v>
      </c>
      <c r="I21" s="99">
        <v>4</v>
      </c>
      <c r="M21" s="86" t="s">
        <v>96</v>
      </c>
      <c r="N21" s="87" t="s">
        <v>270</v>
      </c>
      <c r="U21" s="100" t="str">
        <f t="shared" si="0"/>
        <v>May2023</v>
      </c>
      <c r="V21" s="101" t="str">
        <f t="shared" si="1"/>
        <v>May 2023</v>
      </c>
    </row>
    <row r="22" spans="6:22" ht="30" x14ac:dyDescent="0.25">
      <c r="F22" s="97" t="s">
        <v>18</v>
      </c>
      <c r="H22" s="98" t="s">
        <v>18</v>
      </c>
      <c r="I22" s="99">
        <v>9</v>
      </c>
      <c r="M22" s="86" t="s">
        <v>97</v>
      </c>
      <c r="N22" s="87" t="s">
        <v>271</v>
      </c>
      <c r="U22" s="100" t="str">
        <f t="shared" si="0"/>
        <v>Apr2023</v>
      </c>
      <c r="V22" s="101" t="str">
        <f t="shared" si="1"/>
        <v>April 2023</v>
      </c>
    </row>
    <row r="23" spans="6:22" ht="30" x14ac:dyDescent="0.25">
      <c r="F23" s="97" t="s">
        <v>19</v>
      </c>
      <c r="H23" s="98" t="s">
        <v>19</v>
      </c>
      <c r="I23" s="99">
        <v>11</v>
      </c>
      <c r="M23" s="86" t="s">
        <v>98</v>
      </c>
      <c r="N23" s="87" t="s">
        <v>272</v>
      </c>
      <c r="U23" s="100" t="str">
        <f t="shared" si="0"/>
        <v>Mar2023</v>
      </c>
      <c r="V23" s="101" t="str">
        <f t="shared" si="1"/>
        <v>March 2023</v>
      </c>
    </row>
    <row r="24" spans="6:22" ht="45" x14ac:dyDescent="0.25">
      <c r="F24" s="97" t="s">
        <v>20</v>
      </c>
      <c r="H24" s="98" t="s">
        <v>44</v>
      </c>
      <c r="I24" s="99">
        <v>11.2</v>
      </c>
      <c r="M24" s="86" t="s">
        <v>99</v>
      </c>
      <c r="N24" s="87" t="s">
        <v>273</v>
      </c>
      <c r="U24" s="100" t="str">
        <f t="shared" si="0"/>
        <v>Feb2023</v>
      </c>
      <c r="V24" s="101" t="str">
        <f t="shared" si="1"/>
        <v>February 2023</v>
      </c>
    </row>
    <row r="25" spans="6:22" ht="30" x14ac:dyDescent="0.25">
      <c r="F25" s="97" t="s">
        <v>21</v>
      </c>
      <c r="H25" s="98" t="s">
        <v>45</v>
      </c>
      <c r="I25" s="99">
        <v>11.1</v>
      </c>
      <c r="M25" s="86" t="s">
        <v>100</v>
      </c>
      <c r="N25" s="87" t="s">
        <v>274</v>
      </c>
      <c r="U25" s="100" t="str">
        <f t="shared" si="0"/>
        <v>Jan2023</v>
      </c>
      <c r="V25" s="101" t="str">
        <f t="shared" si="1"/>
        <v>January 2023</v>
      </c>
    </row>
    <row r="26" spans="6:22" ht="30" x14ac:dyDescent="0.25">
      <c r="F26" s="97" t="s">
        <v>22</v>
      </c>
      <c r="H26" s="98" t="s">
        <v>324</v>
      </c>
      <c r="I26" s="99" t="s">
        <v>326</v>
      </c>
      <c r="M26" s="86" t="s">
        <v>101</v>
      </c>
      <c r="N26" s="87" t="s">
        <v>275</v>
      </c>
      <c r="U26" s="100" t="str">
        <f t="shared" si="0"/>
        <v>Dec2022</v>
      </c>
      <c r="V26" s="101" t="str">
        <f t="shared" si="1"/>
        <v>December 2022</v>
      </c>
    </row>
    <row r="27" spans="6:22" ht="30.75" customHeight="1" x14ac:dyDescent="0.25">
      <c r="F27" s="97" t="s">
        <v>744</v>
      </c>
      <c r="H27" s="98" t="s">
        <v>322</v>
      </c>
      <c r="I27" s="99" t="s">
        <v>328</v>
      </c>
      <c r="M27" s="86" t="s">
        <v>102</v>
      </c>
      <c r="N27" s="87" t="s">
        <v>276</v>
      </c>
      <c r="U27" s="100" t="str">
        <f t="shared" si="0"/>
        <v>Nov2022</v>
      </c>
      <c r="V27" s="101" t="str">
        <f t="shared" si="1"/>
        <v>November 2022</v>
      </c>
    </row>
    <row r="28" spans="6:22" ht="30.75" customHeight="1" thickBot="1" x14ac:dyDescent="0.3">
      <c r="F28" s="105" t="s">
        <v>23</v>
      </c>
      <c r="H28" s="98" t="s">
        <v>325</v>
      </c>
      <c r="I28" s="99" t="s">
        <v>327</v>
      </c>
      <c r="M28" s="453" t="s">
        <v>24</v>
      </c>
      <c r="N28" s="454" t="str">
        <f>""</f>
        <v/>
      </c>
      <c r="U28" s="100" t="str">
        <f t="shared" si="0"/>
        <v>Oct2022</v>
      </c>
      <c r="V28" s="101" t="str">
        <f t="shared" si="1"/>
        <v>October 2022</v>
      </c>
    </row>
    <row r="29" spans="6:22" ht="30.75" customHeight="1" thickBot="1" x14ac:dyDescent="0.3">
      <c r="H29" s="98" t="s">
        <v>21</v>
      </c>
      <c r="I29" s="99">
        <v>17</v>
      </c>
      <c r="M29" s="88" t="s">
        <v>376</v>
      </c>
      <c r="N29" s="89" t="str">
        <f>""</f>
        <v/>
      </c>
      <c r="U29" s="100" t="str">
        <f t="shared" si="0"/>
        <v>Sep2022</v>
      </c>
      <c r="V29" s="101" t="str">
        <f t="shared" si="1"/>
        <v>September 2022</v>
      </c>
    </row>
    <row r="30" spans="6:22" ht="30.75" customHeight="1" thickBot="1" x14ac:dyDescent="0.3">
      <c r="H30" s="98" t="s">
        <v>46</v>
      </c>
      <c r="I30" s="99">
        <v>17.2</v>
      </c>
      <c r="N30" s="13"/>
      <c r="U30" s="601" t="str">
        <f t="shared" si="0"/>
        <v>Aug2022</v>
      </c>
      <c r="V30" s="602" t="str">
        <f t="shared" si="1"/>
        <v>August 2022</v>
      </c>
    </row>
    <row r="31" spans="6:22" ht="30.75" customHeight="1" x14ac:dyDescent="0.25">
      <c r="H31" s="98" t="s">
        <v>47</v>
      </c>
      <c r="I31" s="99">
        <v>17.100000000000001</v>
      </c>
      <c r="N31" s="13"/>
    </row>
    <row r="32" spans="6:22" ht="30.75" customHeight="1" x14ac:dyDescent="0.25">
      <c r="H32" s="98" t="s">
        <v>48</v>
      </c>
      <c r="I32" s="99">
        <v>19.2</v>
      </c>
      <c r="N32" s="13"/>
    </row>
    <row r="33" spans="8:14" ht="30.75" customHeight="1" x14ac:dyDescent="0.25">
      <c r="H33" s="98" t="s">
        <v>49</v>
      </c>
      <c r="I33" s="99">
        <v>21.1</v>
      </c>
      <c r="N33" s="13"/>
    </row>
    <row r="34" spans="8:14" ht="30.75" customHeight="1" x14ac:dyDescent="0.25">
      <c r="H34" s="98" t="s">
        <v>22</v>
      </c>
      <c r="I34" s="99">
        <v>18</v>
      </c>
      <c r="N34" s="13"/>
    </row>
    <row r="35" spans="8:14" ht="30.75" customHeight="1" x14ac:dyDescent="0.25">
      <c r="H35" s="98" t="s">
        <v>50</v>
      </c>
      <c r="I35" s="99">
        <v>18.2</v>
      </c>
      <c r="N35" s="13"/>
    </row>
    <row r="36" spans="8:14" ht="30.75" customHeight="1" x14ac:dyDescent="0.25">
      <c r="H36" s="98" t="s">
        <v>51</v>
      </c>
      <c r="I36" s="99">
        <v>18.100000000000001</v>
      </c>
      <c r="N36" s="13"/>
    </row>
    <row r="37" spans="8:14" ht="30.75" customHeight="1" x14ac:dyDescent="0.25">
      <c r="H37" s="98" t="s">
        <v>23</v>
      </c>
      <c r="I37" s="99">
        <v>24</v>
      </c>
      <c r="N37" s="13"/>
    </row>
    <row r="38" spans="8:14" ht="30.75" customHeight="1" x14ac:dyDescent="0.25">
      <c r="H38" s="327" t="s">
        <v>676</v>
      </c>
      <c r="I38" s="328"/>
      <c r="N38" s="13"/>
    </row>
    <row r="39" spans="8:14" ht="30.75" customHeight="1" x14ac:dyDescent="0.25">
      <c r="H39" s="329"/>
      <c r="I39" s="426"/>
      <c r="N39" s="13"/>
    </row>
    <row r="40" spans="8:14" ht="30" customHeight="1" x14ac:dyDescent="0.25">
      <c r="H40" s="329" t="s">
        <v>48</v>
      </c>
      <c r="I40" s="426">
        <f t="shared" ref="I40:I48" ca="1" si="2">IF(ISNA(OFFSET($I$6,MATCH($H40,$H$7:$H$37),0)),"",OFFSET($I$6,MATCH($H40,$H$7:$H$37),0))</f>
        <v>19.2</v>
      </c>
      <c r="N40" s="13"/>
    </row>
    <row r="41" spans="8:14" ht="30" customHeight="1" x14ac:dyDescent="0.25">
      <c r="H41" s="329" t="s">
        <v>49</v>
      </c>
      <c r="I41" s="426">
        <f t="shared" ca="1" si="2"/>
        <v>21.1</v>
      </c>
      <c r="N41" s="13"/>
    </row>
    <row r="42" spans="8:14" ht="30" customHeight="1" x14ac:dyDescent="0.25">
      <c r="H42" s="329"/>
      <c r="I42" s="426" t="str">
        <f t="shared" ca="1" si="2"/>
        <v/>
      </c>
      <c r="N42" s="13"/>
    </row>
    <row r="43" spans="8:14" ht="30" customHeight="1" x14ac:dyDescent="0.25">
      <c r="H43" s="329"/>
      <c r="I43" s="426" t="str">
        <f t="shared" ca="1" si="2"/>
        <v/>
      </c>
      <c r="N43" s="13"/>
    </row>
    <row r="44" spans="8:14" ht="30" customHeight="1" x14ac:dyDescent="0.25">
      <c r="H44" s="329"/>
      <c r="I44" s="426" t="str">
        <f t="shared" ca="1" si="2"/>
        <v/>
      </c>
      <c r="N44" s="13"/>
    </row>
    <row r="45" spans="8:14" ht="30" customHeight="1" x14ac:dyDescent="0.25">
      <c r="H45" s="329"/>
      <c r="I45" s="426" t="str">
        <f t="shared" ca="1" si="2"/>
        <v/>
      </c>
      <c r="N45" s="13"/>
    </row>
    <row r="46" spans="8:14" ht="30" customHeight="1" x14ac:dyDescent="0.25">
      <c r="H46" s="329"/>
      <c r="I46" s="426" t="str">
        <f t="shared" ca="1" si="2"/>
        <v/>
      </c>
      <c r="N46" s="13"/>
    </row>
    <row r="47" spans="8:14" ht="30" customHeight="1" x14ac:dyDescent="0.25">
      <c r="H47" s="329"/>
      <c r="I47" s="426" t="str">
        <f t="shared" ca="1" si="2"/>
        <v/>
      </c>
      <c r="N47" s="13"/>
    </row>
    <row r="48" spans="8:14" ht="30" customHeight="1" x14ac:dyDescent="0.25">
      <c r="H48" s="331"/>
      <c r="I48" s="456" t="str">
        <f t="shared" ca="1" si="2"/>
        <v/>
      </c>
      <c r="N48" s="13"/>
    </row>
    <row r="49" spans="14:14" ht="30" customHeight="1" x14ac:dyDescent="0.25">
      <c r="N49" s="13"/>
    </row>
    <row r="50" spans="14:14" ht="30" customHeight="1" x14ac:dyDescent="0.25">
      <c r="N50" s="13"/>
    </row>
    <row r="51" spans="14:14" ht="30" customHeight="1" x14ac:dyDescent="0.25">
      <c r="N51" s="13"/>
    </row>
    <row r="52" spans="14:14" ht="30" customHeight="1" x14ac:dyDescent="0.25"/>
    <row r="53" spans="14:14" ht="30" customHeight="1" x14ac:dyDescent="0.25"/>
    <row r="54" spans="14:14" ht="30" customHeight="1" x14ac:dyDescent="0.25"/>
    <row r="55" spans="14:14" ht="30" customHeight="1" x14ac:dyDescent="0.25"/>
    <row r="56" spans="14:14" ht="30" customHeight="1" x14ac:dyDescent="0.25"/>
    <row r="57" spans="14:14" ht="30" customHeight="1" x14ac:dyDescent="0.25"/>
    <row r="58" spans="14:14" ht="30" customHeight="1" x14ac:dyDescent="0.25"/>
    <row r="59" spans="14:14" ht="30" customHeight="1" x14ac:dyDescent="0.25"/>
    <row r="60" spans="14:14" ht="30" customHeight="1" x14ac:dyDescent="0.25"/>
    <row r="61" spans="14:14" ht="30" customHeight="1" x14ac:dyDescent="0.25"/>
    <row r="62" spans="14:14" ht="30" customHeight="1" x14ac:dyDescent="0.25"/>
    <row r="63" spans="14:14" ht="30" customHeight="1" x14ac:dyDescent="0.25"/>
    <row r="64" spans="14: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mdzQLnl1Q3iveSmU9XpS12Nei4lKI+75zW/MmkLlRt5TCe6bdDlWPaRpTlzfwBi2XO4tdKDFbVjMEv1XWFA+sA==" saltValue="bjR53Z9dTrD+ufETYDVcLA==" spinCount="100000" sheet="1" objects="1" scenarios="1" formatColumns="0" formatRows="0" sort="0"/>
  <printOptions horizontalCentered="1"/>
  <pageMargins left="0.2" right="0.45" top="0.5" bottom="0.5" header="0.3" footer="0.3"/>
  <pageSetup scale="26" orientation="landscape" r:id="rId1"/>
  <headerFooter>
    <oddFooter>&amp;L11/9/2023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183" t="s">
        <v>283</v>
      </c>
      <c r="B1" s="183"/>
      <c r="C1" s="183" t="s">
        <v>701</v>
      </c>
      <c r="D1" s="5"/>
    </row>
    <row r="2" spans="1:4" ht="26.25" x14ac:dyDescent="0.25">
      <c r="A2" s="183" t="s">
        <v>378</v>
      </c>
      <c r="B2" s="3"/>
      <c r="C2" s="183" t="s">
        <v>498</v>
      </c>
      <c r="D2" s="5"/>
    </row>
    <row r="3" spans="1:4" ht="26.25" customHeight="1" x14ac:dyDescent="0.25">
      <c r="A3" s="183"/>
      <c r="B3" s="3"/>
      <c r="C3" s="3"/>
    </row>
    <row r="4" spans="1:4" ht="47.25" x14ac:dyDescent="0.25">
      <c r="A4" s="180"/>
      <c r="B4" s="181" t="s">
        <v>649</v>
      </c>
      <c r="C4" s="181"/>
    </row>
    <row r="5" spans="1:4" ht="27" thickBot="1" x14ac:dyDescent="0.3">
      <c r="A5" s="179"/>
      <c r="B5" s="182" t="s">
        <v>25</v>
      </c>
      <c r="C5" s="182"/>
      <c r="D5" s="84"/>
    </row>
    <row r="6" spans="1:4" ht="15" customHeight="1" x14ac:dyDescent="0.25">
      <c r="A6" s="180"/>
      <c r="B6" s="184"/>
      <c r="C6" s="184"/>
    </row>
    <row r="7" spans="1:4" ht="75" customHeight="1" x14ac:dyDescent="0.25">
      <c r="A7" s="7" t="s">
        <v>639</v>
      </c>
      <c r="B7" s="164" t="s">
        <v>654</v>
      </c>
      <c r="C7" s="7" t="s">
        <v>639</v>
      </c>
      <c r="D7" s="164" t="s">
        <v>690</v>
      </c>
    </row>
    <row r="8" spans="1:4" ht="32.25" x14ac:dyDescent="0.25">
      <c r="A8" s="7" t="s">
        <v>640</v>
      </c>
      <c r="B8" s="164" t="s">
        <v>633</v>
      </c>
      <c r="C8" s="7" t="s">
        <v>640</v>
      </c>
      <c r="D8" s="10" t="s">
        <v>656</v>
      </c>
    </row>
    <row r="9" spans="1:4" ht="99.95" customHeight="1" x14ac:dyDescent="0.25">
      <c r="A9" s="7" t="s">
        <v>641</v>
      </c>
      <c r="B9" s="164" t="s">
        <v>750</v>
      </c>
      <c r="C9" s="7" t="s">
        <v>641</v>
      </c>
      <c r="D9" s="10" t="s">
        <v>305</v>
      </c>
    </row>
    <row r="10" spans="1:4" ht="75" x14ac:dyDescent="0.25">
      <c r="A10" s="7" t="s">
        <v>642</v>
      </c>
      <c r="B10" s="164" t="s">
        <v>634</v>
      </c>
      <c r="C10" s="7" t="s">
        <v>642</v>
      </c>
      <c r="D10" s="10" t="s">
        <v>306</v>
      </c>
    </row>
    <row r="11" spans="1:4" ht="69.95" customHeight="1" x14ac:dyDescent="0.25">
      <c r="A11" s="7" t="s">
        <v>643</v>
      </c>
      <c r="B11" s="164" t="s">
        <v>635</v>
      </c>
      <c r="C11" s="7" t="s">
        <v>643</v>
      </c>
      <c r="D11" s="10" t="s">
        <v>307</v>
      </c>
    </row>
    <row r="12" spans="1:4" ht="60" x14ac:dyDescent="0.25">
      <c r="A12" s="7" t="s">
        <v>644</v>
      </c>
      <c r="B12" s="164" t="s">
        <v>636</v>
      </c>
      <c r="C12" s="7"/>
    </row>
    <row r="13" spans="1:4" ht="54.95" customHeight="1" x14ac:dyDescent="0.25">
      <c r="A13" s="7" t="s">
        <v>645</v>
      </c>
      <c r="B13" s="164" t="s">
        <v>637</v>
      </c>
      <c r="C13" s="7"/>
    </row>
    <row r="14" spans="1:4" ht="54.95" customHeight="1" x14ac:dyDescent="0.25">
      <c r="A14" s="7" t="s">
        <v>646</v>
      </c>
      <c r="B14" s="164" t="s">
        <v>655</v>
      </c>
      <c r="C14" s="7"/>
    </row>
    <row r="15" spans="1:4" ht="39.950000000000003" customHeight="1" x14ac:dyDescent="0.25">
      <c r="A15" s="7" t="s">
        <v>647</v>
      </c>
      <c r="B15" s="164" t="s">
        <v>638</v>
      </c>
      <c r="C15" s="7"/>
      <c r="D15" s="237"/>
    </row>
    <row r="16" spans="1:4" ht="24.95" customHeight="1" x14ac:dyDescent="0.25">
      <c r="A16" s="7" t="s">
        <v>648</v>
      </c>
      <c r="B16" s="10" t="s">
        <v>307</v>
      </c>
      <c r="C16" s="164"/>
      <c r="D16" s="23" t="str">
        <f>Edition_Date</f>
        <v>11/9/2023 Edition</v>
      </c>
    </row>
    <row r="17" spans="1:3" ht="90" customHeight="1" x14ac:dyDescent="0.25">
      <c r="A17" s="7"/>
      <c r="B17" s="164"/>
      <c r="C17" s="164"/>
    </row>
    <row r="19" spans="1:3" x14ac:dyDescent="0.25">
      <c r="B19" s="164"/>
    </row>
    <row r="22" spans="1:3" x14ac:dyDescent="0.25">
      <c r="B22" s="164"/>
    </row>
  </sheetData>
  <sheetProtection algorithmName="SHA-512" hashValue="8y6gC3Hn9aFzsMJtOh9JuSn2AsmuWCzv7wu24xl5xCO5YgmsTc8LiAu2OQDMuAN0Q4tseZtTmdWhBrMcOGesWg==" saltValue="tBomu0zFsmq0KN4snDy0Mw=="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Template&amp;L11/9/2023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view="pageBreakPreview" topLeftCell="A20" zoomScaleNormal="100" zoomScaleSheetLayoutView="100" workbookViewId="0">
      <selection activeCell="D39" sqref="D39"/>
    </sheetView>
  </sheetViews>
  <sheetFormatPr defaultColWidth="9.140625" defaultRowHeight="15" x14ac:dyDescent="0.25"/>
  <cols>
    <col min="1" max="1" width="44.7109375" customWidth="1"/>
    <col min="2" max="2" width="5.7109375" customWidth="1"/>
    <col min="3" max="3" width="23.85546875" customWidth="1"/>
    <col min="4" max="6" width="12.7109375" customWidth="1"/>
    <col min="7" max="7" width="23.140625" customWidth="1"/>
    <col min="8" max="8" width="0.85546875" customWidth="1"/>
    <col min="9" max="9" width="5.28515625" hidden="1" customWidth="1"/>
    <col min="10" max="10" width="195.42578125" style="6" bestFit="1" customWidth="1"/>
  </cols>
  <sheetData>
    <row r="1" spans="1:10" ht="15.75" thickBot="1" x14ac:dyDescent="0.3">
      <c r="A1" s="1" t="s">
        <v>29</v>
      </c>
      <c r="B1" s="1"/>
      <c r="E1" s="1" t="s">
        <v>31</v>
      </c>
      <c r="G1" s="8" t="str">
        <f>Co_Name</f>
        <v>State Farm Mutual Automobile Insurance Company</v>
      </c>
      <c r="H1" s="8"/>
      <c r="J1" s="74" t="s">
        <v>658</v>
      </c>
    </row>
    <row r="2" spans="1:10" x14ac:dyDescent="0.25">
      <c r="A2" s="1" t="s">
        <v>30</v>
      </c>
      <c r="B2" s="1"/>
      <c r="E2" s="1" t="s">
        <v>32</v>
      </c>
      <c r="G2" s="8" t="str">
        <f>General_Line</f>
        <v>Auto Liability and Physical Damage</v>
      </c>
      <c r="H2" s="8"/>
      <c r="J2" s="176" t="s">
        <v>111</v>
      </c>
    </row>
    <row r="3" spans="1:10" ht="18" customHeight="1" x14ac:dyDescent="0.25">
      <c r="A3" s="1"/>
      <c r="B3" s="1"/>
      <c r="C3" s="158"/>
      <c r="I3" s="8"/>
      <c r="J3" s="213"/>
    </row>
    <row r="4" spans="1:10" ht="23.25" x14ac:dyDescent="0.25">
      <c r="A4" s="4" t="s">
        <v>652</v>
      </c>
      <c r="B4" s="4"/>
      <c r="C4" s="5"/>
      <c r="D4" s="5"/>
      <c r="E4" s="5"/>
      <c r="F4" s="5"/>
      <c r="G4" s="5"/>
      <c r="H4" s="5"/>
      <c r="I4" s="5"/>
      <c r="J4" s="213"/>
    </row>
    <row r="5" spans="1:10" ht="23.25" x14ac:dyDescent="0.25">
      <c r="A5" s="4" t="s">
        <v>653</v>
      </c>
      <c r="B5" s="4"/>
      <c r="C5" s="5"/>
      <c r="D5" s="5"/>
      <c r="E5" s="5"/>
      <c r="F5" s="5"/>
      <c r="G5" s="5"/>
      <c r="H5" s="5"/>
      <c r="I5" s="5"/>
      <c r="J5" s="214"/>
    </row>
    <row r="6" spans="1:10" ht="18" customHeight="1" x14ac:dyDescent="0.25">
      <c r="A6" s="7"/>
      <c r="B6" s="4"/>
      <c r="C6" s="5"/>
      <c r="D6" s="5"/>
      <c r="E6" s="5"/>
      <c r="F6" s="5"/>
      <c r="G6" s="5"/>
      <c r="H6" s="5"/>
      <c r="I6" s="5"/>
      <c r="J6" s="213"/>
    </row>
    <row r="7" spans="1:10" ht="18" customHeight="1" x14ac:dyDescent="0.25">
      <c r="A7" s="4"/>
      <c r="B7" s="4"/>
      <c r="C7" s="5"/>
      <c r="D7" s="5"/>
      <c r="E7" s="5"/>
      <c r="F7" s="5"/>
      <c r="G7" s="5"/>
      <c r="H7" s="5"/>
      <c r="I7" s="5"/>
      <c r="J7" s="213"/>
    </row>
    <row r="8" spans="1:10" ht="18" customHeight="1" x14ac:dyDescent="0.25">
      <c r="A8" s="7" t="s">
        <v>1</v>
      </c>
      <c r="B8" s="7"/>
      <c r="C8" s="235" t="s">
        <v>753</v>
      </c>
      <c r="D8" s="6"/>
      <c r="E8" s="23" t="s">
        <v>737</v>
      </c>
      <c r="F8" s="241">
        <v>45327.528767013886</v>
      </c>
      <c r="G8" s="6"/>
      <c r="H8" s="6"/>
      <c r="I8" s="6"/>
      <c r="J8" s="226"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14"/>
    </row>
    <row r="10" spans="1:10" ht="18" customHeight="1" x14ac:dyDescent="0.25">
      <c r="A10" s="7" t="s">
        <v>363</v>
      </c>
      <c r="B10" s="7"/>
      <c r="C10" s="403"/>
      <c r="D10" s="6"/>
      <c r="E10" s="23" t="s">
        <v>736</v>
      </c>
      <c r="F10" s="241">
        <v>45371</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36"/>
      <c r="D11" s="6"/>
      <c r="E11" s="6"/>
      <c r="F11" s="6"/>
      <c r="J11" s="214"/>
    </row>
    <row r="12" spans="1:10" ht="15" customHeight="1" x14ac:dyDescent="0.25">
      <c r="A12" s="6"/>
      <c r="B12" s="6"/>
      <c r="C12" s="6"/>
      <c r="D12" s="6"/>
      <c r="E12" s="6"/>
      <c r="F12" s="6"/>
      <c r="G12" s="6"/>
      <c r="H12" s="6"/>
      <c r="I12" s="6"/>
      <c r="J12" s="214"/>
    </row>
    <row r="13" spans="1:10" ht="15" customHeight="1" x14ac:dyDescent="0.25">
      <c r="A13" s="7" t="s">
        <v>0</v>
      </c>
      <c r="B13" s="7"/>
      <c r="C13" s="622" t="s">
        <v>754</v>
      </c>
      <c r="D13" s="623"/>
      <c r="E13" s="623"/>
      <c r="F13" s="624"/>
      <c r="G13" s="6"/>
      <c r="H13" s="6"/>
      <c r="I13" s="6"/>
      <c r="J13" s="214"/>
    </row>
    <row r="14" spans="1:10" ht="15" customHeight="1" x14ac:dyDescent="0.25">
      <c r="A14" s="7"/>
      <c r="B14" s="7"/>
      <c r="C14" s="7"/>
      <c r="D14" s="7"/>
      <c r="E14" s="7"/>
      <c r="F14" s="7"/>
      <c r="G14" s="6"/>
      <c r="H14" s="6"/>
      <c r="I14" s="6"/>
      <c r="J14" s="214"/>
    </row>
    <row r="15" spans="1:10" ht="15" customHeight="1" x14ac:dyDescent="0.25">
      <c r="A15" s="7" t="s">
        <v>153</v>
      </c>
      <c r="B15" s="7"/>
      <c r="C15" s="1"/>
      <c r="D15" s="239" t="s">
        <v>77</v>
      </c>
      <c r="E15" s="239" t="s">
        <v>78</v>
      </c>
      <c r="F15" s="239" t="s">
        <v>79</v>
      </c>
      <c r="G15" s="6"/>
      <c r="H15" s="6"/>
      <c r="I15" s="6"/>
      <c r="J15" s="214"/>
    </row>
    <row r="16" spans="1:10" ht="15" customHeight="1" x14ac:dyDescent="0.25">
      <c r="A16" s="7"/>
      <c r="B16" s="7"/>
      <c r="C16" s="7"/>
      <c r="D16" s="240">
        <v>1</v>
      </c>
      <c r="E16" s="240"/>
      <c r="F16" s="240"/>
      <c r="G16" s="233"/>
      <c r="H16" s="233"/>
      <c r="I16" s="7"/>
      <c r="J16" s="226" t="str">
        <f>IF(SUM($D$16:$F$16)&lt;&gt;1,"← ERROR! Sum of all marketing systems must add to 100%.","")</f>
        <v/>
      </c>
    </row>
    <row r="17" spans="1:10" ht="15" customHeight="1" x14ac:dyDescent="0.25">
      <c r="A17" s="7"/>
      <c r="B17" s="7"/>
      <c r="C17" s="7"/>
      <c r="D17" s="7"/>
      <c r="E17" s="7"/>
      <c r="F17" s="7"/>
      <c r="G17" s="234"/>
      <c r="H17" s="234"/>
      <c r="I17" s="6"/>
      <c r="J17" s="214"/>
    </row>
    <row r="18" spans="1:10" ht="15" customHeight="1" x14ac:dyDescent="0.25">
      <c r="A18" s="7" t="s">
        <v>4</v>
      </c>
      <c r="B18" s="7"/>
      <c r="C18" s="7"/>
      <c r="D18" s="7"/>
      <c r="E18" s="7"/>
      <c r="F18" s="7"/>
      <c r="G18" s="234"/>
      <c r="H18" s="234"/>
      <c r="I18" s="6"/>
      <c r="J18" s="226" t="str">
        <f>IF(INDEX(List_LineType,References!$D$5,1)="","← ERROR! Select a Line Type from the pull-down menu.","")</f>
        <v/>
      </c>
    </row>
    <row r="19" spans="1:10" ht="15" customHeight="1" x14ac:dyDescent="0.25">
      <c r="A19" s="7"/>
      <c r="B19" s="7"/>
      <c r="C19" s="7"/>
      <c r="D19" s="7"/>
      <c r="E19" s="7"/>
      <c r="F19" s="7"/>
      <c r="G19" s="234"/>
      <c r="H19" s="234"/>
      <c r="I19" s="6"/>
      <c r="J19" s="214"/>
    </row>
    <row r="20" spans="1:10" ht="15" customHeight="1" x14ac:dyDescent="0.25">
      <c r="A20" s="7" t="s">
        <v>7</v>
      </c>
      <c r="B20" s="7"/>
      <c r="C20" s="7"/>
      <c r="D20" s="7"/>
      <c r="E20" s="7"/>
      <c r="F20" s="7"/>
      <c r="G20" s="6"/>
      <c r="H20" s="6"/>
      <c r="I20" s="6"/>
      <c r="J20" s="226" t="str">
        <f>IF(INDEX(List_GeneralLine,References!$F$5,1)="","← ERROR! Select a General Line from the pull-down menu.","")</f>
        <v/>
      </c>
    </row>
    <row r="21" spans="1:10" ht="15" customHeight="1" x14ac:dyDescent="0.25">
      <c r="A21" s="7"/>
      <c r="B21" s="7"/>
      <c r="C21" s="7"/>
      <c r="D21" s="7"/>
      <c r="E21" s="7"/>
      <c r="F21" s="7"/>
      <c r="G21" s="234"/>
      <c r="H21" s="234"/>
      <c r="I21" s="6"/>
      <c r="J21" s="214"/>
    </row>
    <row r="22" spans="1:10" ht="15" customHeight="1" x14ac:dyDescent="0.25">
      <c r="A22" s="7"/>
      <c r="B22" s="7"/>
      <c r="C22" s="7"/>
      <c r="D22" s="7"/>
      <c r="E22" s="7"/>
      <c r="F22" s="7"/>
      <c r="G22" s="234"/>
      <c r="H22" s="234"/>
      <c r="I22" s="6"/>
      <c r="J22" s="226"/>
    </row>
    <row r="23" spans="1:10" ht="15" customHeight="1" x14ac:dyDescent="0.25">
      <c r="A23" s="7" t="s">
        <v>80</v>
      </c>
      <c r="B23" s="7"/>
      <c r="C23" s="7"/>
      <c r="D23" s="241">
        <v>45566</v>
      </c>
      <c r="E23" s="7"/>
      <c r="F23" s="7"/>
      <c r="G23" s="234"/>
      <c r="H23" s="234"/>
      <c r="I23" s="6"/>
      <c r="J23" s="400" t="str">
        <f>IF(ISBLANK($D$23),"← ERROR! Enter a proposed effective date.",IF($D$23&lt;=$D$22,"← ERROR! Proposed effective date must be after prior effective date.",""))</f>
        <v/>
      </c>
    </row>
    <row r="24" spans="1:10" ht="15" customHeight="1" x14ac:dyDescent="0.25">
      <c r="A24" s="7"/>
      <c r="B24" s="7"/>
      <c r="C24" s="7"/>
      <c r="D24" s="7"/>
      <c r="E24" s="7"/>
      <c r="F24" s="7"/>
      <c r="G24" s="234"/>
      <c r="H24" s="234"/>
      <c r="I24" s="6"/>
      <c r="J24" s="214"/>
    </row>
    <row r="25" spans="1:10" ht="15" customHeight="1" x14ac:dyDescent="0.25">
      <c r="A25" s="7" t="s">
        <v>362</v>
      </c>
      <c r="B25" s="7"/>
      <c r="C25" s="7" t="s">
        <v>699</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25">
      <c r="A26" s="6"/>
      <c r="B26" s="6"/>
      <c r="C26" s="6"/>
      <c r="D26" s="6"/>
      <c r="E26" s="6"/>
      <c r="F26" s="6"/>
      <c r="G26" s="234"/>
      <c r="H26" s="234"/>
      <c r="I26" s="6"/>
      <c r="J26" s="214"/>
    </row>
    <row r="27" spans="1:10" ht="18" hidden="1" customHeight="1" x14ac:dyDescent="0.25">
      <c r="A27" s="7" t="s">
        <v>745</v>
      </c>
      <c r="B27" s="6"/>
      <c r="C27" s="6"/>
      <c r="D27" s="6"/>
      <c r="E27" s="6"/>
      <c r="F27" s="6"/>
      <c r="G27" s="234"/>
      <c r="H27" s="234"/>
      <c r="I27" s="6"/>
      <c r="J27" s="214"/>
    </row>
    <row r="28" spans="1:10" ht="15" customHeight="1" x14ac:dyDescent="0.25">
      <c r="A28" s="7"/>
      <c r="B28" s="7"/>
      <c r="C28" s="6"/>
      <c r="D28" s="6"/>
      <c r="E28" s="6"/>
      <c r="F28" s="6"/>
      <c r="G28" s="234"/>
      <c r="H28" s="234"/>
      <c r="I28" s="6"/>
      <c r="J28" s="214"/>
    </row>
    <row r="29" spans="1:10" ht="15" customHeight="1" x14ac:dyDescent="0.25">
      <c r="A29" s="7" t="s">
        <v>384</v>
      </c>
      <c r="B29" s="7"/>
      <c r="C29" s="341">
        <v>20233</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394" t="s">
        <v>599</v>
      </c>
      <c r="B30" s="7"/>
      <c r="C30" s="437"/>
      <c r="D30" s="6"/>
      <c r="E30" s="6"/>
      <c r="F30" s="6"/>
      <c r="G30" s="234"/>
      <c r="H30" s="234"/>
      <c r="I30" s="6"/>
      <c r="J30" s="400"/>
    </row>
    <row r="31" spans="1:10" ht="30" customHeight="1" x14ac:dyDescent="0.25">
      <c r="A31" s="7"/>
      <c r="B31" s="7"/>
      <c r="C31" s="625" t="s">
        <v>657</v>
      </c>
      <c r="D31" s="625"/>
      <c r="E31" s="625"/>
      <c r="F31" s="6"/>
      <c r="G31" s="234"/>
      <c r="H31" s="234"/>
      <c r="I31" s="6"/>
      <c r="J31" s="214"/>
    </row>
    <row r="32" spans="1:10" ht="60" x14ac:dyDescent="0.25">
      <c r="A32" s="237" t="s">
        <v>380</v>
      </c>
      <c r="B32" s="237"/>
      <c r="C32" s="342" t="s">
        <v>632</v>
      </c>
      <c r="D32" s="342" t="s">
        <v>559</v>
      </c>
      <c r="E32" s="342" t="s">
        <v>677</v>
      </c>
      <c r="G32" s="234"/>
      <c r="J32" s="214"/>
    </row>
    <row r="33" spans="1:10" ht="5.0999999999999996" customHeight="1" x14ac:dyDescent="0.25">
      <c r="G33" s="234"/>
      <c r="J33" s="429"/>
    </row>
    <row r="34" spans="1:10" ht="20.100000000000001" customHeight="1" x14ac:dyDescent="0.25">
      <c r="A34" s="238">
        <v>2</v>
      </c>
      <c r="C34" s="512" t="s">
        <v>755</v>
      </c>
      <c r="D34" s="240">
        <v>0.31759450546552537</v>
      </c>
      <c r="E34" s="241">
        <v>45348</v>
      </c>
      <c r="G34" s="234"/>
      <c r="J34" s="42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238">
        <v>2</v>
      </c>
      <c r="C35" s="512" t="s">
        <v>756</v>
      </c>
      <c r="D35" s="240">
        <v>0.21</v>
      </c>
      <c r="E35" s="241">
        <v>45348</v>
      </c>
      <c r="G35" s="234"/>
      <c r="J35" s="429" t="str">
        <f t="shared" si="0"/>
        <v/>
      </c>
    </row>
    <row r="36" spans="1:10" ht="20.100000000000001" customHeight="1" x14ac:dyDescent="0.25">
      <c r="A36" s="238">
        <v>2</v>
      </c>
      <c r="C36" s="512" t="s">
        <v>757</v>
      </c>
      <c r="D36" s="240">
        <v>0.43</v>
      </c>
      <c r="E36" s="241">
        <v>45348</v>
      </c>
      <c r="G36" s="234"/>
      <c r="J36" s="429" t="str">
        <f t="shared" si="0"/>
        <v/>
      </c>
    </row>
    <row r="37" spans="1:10" ht="20.100000000000001" customHeight="1" x14ac:dyDescent="0.25">
      <c r="A37" s="238">
        <v>3</v>
      </c>
      <c r="C37" s="512" t="s">
        <v>758</v>
      </c>
      <c r="D37" s="240">
        <v>0.155</v>
      </c>
      <c r="E37" s="241">
        <v>45348</v>
      </c>
      <c r="G37" s="234"/>
      <c r="J37" s="429" t="str">
        <f t="shared" si="0"/>
        <v/>
      </c>
    </row>
    <row r="38" spans="1:10" ht="20.100000000000001" customHeight="1" x14ac:dyDescent="0.25">
      <c r="A38" s="238">
        <v>3</v>
      </c>
      <c r="C38" s="512" t="s">
        <v>759</v>
      </c>
      <c r="D38" s="240">
        <v>0.15</v>
      </c>
      <c r="E38" s="241">
        <v>45348</v>
      </c>
      <c r="G38" s="234"/>
      <c r="J38" s="429" t="str">
        <f t="shared" si="0"/>
        <v/>
      </c>
    </row>
    <row r="39" spans="1:10" ht="20.100000000000001" customHeight="1" x14ac:dyDescent="0.25">
      <c r="A39" s="238">
        <v>3</v>
      </c>
      <c r="C39" s="512" t="s">
        <v>760</v>
      </c>
      <c r="D39" s="240">
        <v>0.12</v>
      </c>
      <c r="E39" s="241">
        <v>45348</v>
      </c>
      <c r="G39" s="234"/>
      <c r="J39" s="429" t="str">
        <f t="shared" si="0"/>
        <v/>
      </c>
    </row>
    <row r="40" spans="1:10" ht="20.100000000000001" customHeight="1" x14ac:dyDescent="0.25">
      <c r="A40" s="238">
        <v>2</v>
      </c>
      <c r="C40" s="512" t="s">
        <v>761</v>
      </c>
      <c r="D40" s="240">
        <v>-7.3999999999999996E-2</v>
      </c>
      <c r="E40" s="241">
        <v>45348</v>
      </c>
      <c r="G40" s="234"/>
      <c r="J40" s="429" t="str">
        <f t="shared" si="0"/>
        <v/>
      </c>
    </row>
    <row r="41" spans="1:10" ht="20.100000000000001" customHeight="1" x14ac:dyDescent="0.25">
      <c r="A41" s="238">
        <v>1</v>
      </c>
      <c r="C41" s="512"/>
      <c r="D41" s="240"/>
      <c r="E41" s="241"/>
      <c r="G41" s="234"/>
      <c r="J41" s="429" t="str">
        <f t="shared" si="0"/>
        <v/>
      </c>
    </row>
    <row r="42" spans="1:10" ht="20.100000000000001" customHeight="1" x14ac:dyDescent="0.25">
      <c r="A42" s="238">
        <v>1</v>
      </c>
      <c r="C42" s="512"/>
      <c r="D42" s="240"/>
      <c r="E42" s="241"/>
      <c r="G42" s="234"/>
      <c r="J42" s="429" t="str">
        <f t="shared" si="0"/>
        <v/>
      </c>
    </row>
    <row r="43" spans="1:10" ht="20.100000000000001" customHeight="1" x14ac:dyDescent="0.25">
      <c r="A43" s="238">
        <v>1</v>
      </c>
      <c r="C43" s="512"/>
      <c r="D43" s="240"/>
      <c r="E43" s="241"/>
      <c r="G43" s="234"/>
      <c r="J43" s="429" t="str">
        <f t="shared" si="0"/>
        <v/>
      </c>
    </row>
    <row r="44" spans="1:10" ht="20.100000000000001" customHeight="1" x14ac:dyDescent="0.25">
      <c r="A44" s="266"/>
      <c r="B44" s="266"/>
      <c r="C44" s="266"/>
      <c r="G44" s="234"/>
      <c r="J44" s="400"/>
    </row>
    <row r="45" spans="1:10" ht="20.100000000000001" customHeight="1" x14ac:dyDescent="0.25">
      <c r="A45" s="431"/>
      <c r="B45" s="431"/>
      <c r="C45" s="431"/>
      <c r="J45" s="400"/>
    </row>
    <row r="46" spans="1:10" x14ac:dyDescent="0.25">
      <c r="A46" s="1" t="s">
        <v>600</v>
      </c>
      <c r="J46" s="214"/>
    </row>
    <row r="47" spans="1:10" ht="18" customHeight="1" x14ac:dyDescent="0.25">
      <c r="A47" t="s">
        <v>602</v>
      </c>
      <c r="D47" s="23" t="s">
        <v>81</v>
      </c>
      <c r="E47" s="424" t="s">
        <v>651</v>
      </c>
      <c r="I47" s="430">
        <v>2</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2" t="s">
        <v>608</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3"/>
      <c r="E49" s="425"/>
      <c r="J49" s="401"/>
    </row>
    <row r="51" spans="1:10" x14ac:dyDescent="0.25">
      <c r="A51" s="1" t="s">
        <v>622</v>
      </c>
      <c r="B51" s="1"/>
      <c r="C51" s="427"/>
    </row>
  </sheetData>
  <sheetProtection algorithmName="SHA-512" hashValue="uomz2gApyLOG6fKdH09m/HbC7Xnioq65mun4spDTi9mQoKmhNiJD94EhiVivSiEQqNkYLAi+5FEh2LMYHdfn8w==" saltValue="BDR/QJQjl4N83Cjw7Lp+oQ=="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3"/>
  <pageSetup scale="70" orientation="portrait" r:id="rId1"/>
  <headerFooter>
    <oddFooter>&amp;CPrior Approval Rate Template&amp;RPage 1&amp;L11/9/2023 Edition</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zoomScaleNormal="100" zoomScaleSheetLayoutView="100" workbookViewId="0">
      <selection activeCell="D9" sqref="D9"/>
    </sheetView>
  </sheetViews>
  <sheetFormatPr defaultColWidth="9.140625" defaultRowHeight="15" x14ac:dyDescent="0.25"/>
  <cols>
    <col min="1" max="1" width="30" style="6" customWidth="1"/>
    <col min="2" max="4" width="18.7109375" style="6" customWidth="1"/>
    <col min="5" max="6" width="17.7109375" style="6" customWidth="1"/>
    <col min="7" max="7" width="15.7109375" style="6" customWidth="1"/>
    <col min="8" max="8" width="18.7109375" style="6" hidden="1" customWidth="1"/>
    <col min="9" max="9" width="102.42578125" style="6" bestFit="1" customWidth="1"/>
    <col min="10" max="16384" width="9.140625" style="6"/>
  </cols>
  <sheetData>
    <row r="1" spans="1:9" ht="15.75" thickBot="1" x14ac:dyDescent="0.3">
      <c r="A1" s="7" t="s">
        <v>29</v>
      </c>
      <c r="D1" s="7" t="s">
        <v>31</v>
      </c>
      <c r="G1" s="23" t="str">
        <f>Co_Name</f>
        <v>State Farm Mutual Automobile Insurance Company</v>
      </c>
      <c r="I1" s="74" t="s">
        <v>659</v>
      </c>
    </row>
    <row r="2" spans="1:9" x14ac:dyDescent="0.25">
      <c r="A2" s="7" t="s">
        <v>30</v>
      </c>
      <c r="B2" s="573"/>
      <c r="D2" s="7" t="s">
        <v>32</v>
      </c>
      <c r="G2" s="23" t="str">
        <f>General_Line</f>
        <v>Auto Liability and Physical Damage</v>
      </c>
      <c r="I2" s="176" t="s">
        <v>111</v>
      </c>
    </row>
    <row r="3" spans="1:9" x14ac:dyDescent="0.25">
      <c r="B3" s="573"/>
      <c r="D3" s="154" t="s">
        <v>140</v>
      </c>
      <c r="E3" s="77"/>
      <c r="F3" s="77"/>
      <c r="G3" s="249" t="str">
        <f>CDI_FileNo</f>
        <v/>
      </c>
      <c r="I3" s="214"/>
    </row>
    <row r="4" spans="1:9" ht="18" customHeight="1" x14ac:dyDescent="0.25">
      <c r="D4" s="7"/>
      <c r="G4" s="23"/>
      <c r="I4" s="214"/>
    </row>
    <row r="5" spans="1:9" ht="23.25" x14ac:dyDescent="0.25">
      <c r="A5" s="4" t="s">
        <v>652</v>
      </c>
      <c r="B5" s="4"/>
      <c r="C5" s="5"/>
      <c r="D5" s="5"/>
      <c r="E5" s="5"/>
      <c r="F5" s="5"/>
      <c r="G5" s="5"/>
      <c r="I5" s="214"/>
    </row>
    <row r="6" spans="1:9" ht="23.25" x14ac:dyDescent="0.25">
      <c r="A6" s="4" t="s">
        <v>379</v>
      </c>
      <c r="B6" s="4"/>
      <c r="C6" s="5"/>
      <c r="D6" s="5"/>
      <c r="E6" s="5"/>
      <c r="F6" s="5"/>
      <c r="G6" s="5"/>
      <c r="I6" s="214"/>
    </row>
    <row r="7" spans="1:9" ht="15.75" thickBot="1" x14ac:dyDescent="0.3">
      <c r="I7" s="214"/>
    </row>
    <row r="8" spans="1:9" ht="45.75" thickBot="1" x14ac:dyDescent="0.3">
      <c r="A8" s="244" t="s">
        <v>632</v>
      </c>
      <c r="B8" s="245" t="str">
        <f>IF(New_Program=TRUE,"Projected ","Latest Year Adjusted ")&amp;"Annual Premium ($)"</f>
        <v>Latest Year Adjusted Annual Premium ($)</v>
      </c>
      <c r="C8" s="246" t="s">
        <v>381</v>
      </c>
      <c r="D8" s="247" t="s">
        <v>382</v>
      </c>
      <c r="E8" s="246" t="s">
        <v>693</v>
      </c>
      <c r="F8" s="247" t="s">
        <v>694</v>
      </c>
      <c r="G8" s="247" t="s">
        <v>365</v>
      </c>
      <c r="H8" s="246" t="s">
        <v>610</v>
      </c>
      <c r="I8" s="523"/>
    </row>
    <row r="9" spans="1:9" x14ac:dyDescent="0.25">
      <c r="A9" s="515" t="str">
        <f>IF(Covg01="","",Covg01)</f>
        <v>BIPD</v>
      </c>
      <c r="B9" s="250">
        <f>IF(Covg01="","",IF(New_Program=TRUE,'7.1Rate Change Calculation'!$H$48,'7.1Rate Change Calculation'!$G$48))</f>
        <v>2171062430.38061</v>
      </c>
      <c r="C9" s="418">
        <f ca="1">IF(Covg01="","",IF(Rein_Indicator=TRUE,"NA",(1+E9)*$B9))</f>
        <v>2059729935.7598979</v>
      </c>
      <c r="D9" s="419">
        <f ca="1">IF(Covg01="","",(1+F9)*$B9)</f>
        <v>2860579929.2921214</v>
      </c>
      <c r="E9" s="410">
        <f ca="1">IF(Covg01="","",IF(Rein_Indicator=TRUE,"NA",'7.1Rate Change Calculation'!CHANGE_AT_MIN))</f>
        <v>-5.1280190317325162E-2</v>
      </c>
      <c r="F9" s="411">
        <f ca="1">IF(Covg01="","",IF(Rein_Indicator=TRUE,'7.1Rate Change Calculation'!Rein_CHANGE_AT_MAX,'7.1Rate Change Calculation'!CHANGE_AT_MAX))</f>
        <v>0.31759450546552537</v>
      </c>
      <c r="G9" s="411">
        <f t="array" ref="G9:G18">IF('1.General'!$C$34:$C$43="","",'1.General'!$D$34:$D$43)</f>
        <v>0.31759450546552537</v>
      </c>
      <c r="H9" s="251">
        <f>IF(Covg01="","",IF(New_Program=TRUE,$B9,(1+$G9)*$B9))</f>
        <v>2860579929.2921214</v>
      </c>
      <c r="I9" s="521" t="str">
        <f ca="1">IF(Covg01="","",IF(AND(ROUND($G9,3)&gt;=ROUND($E9,3),ROUND($G9,3)&lt;=ROUND($F9,3)),"","← WARNING! Proposed % is outside of range of permitted rate changes."))</f>
        <v/>
      </c>
    </row>
    <row r="10" spans="1:9" x14ac:dyDescent="0.25">
      <c r="A10" s="515" t="str">
        <f>IF(Covg02="","",Covg02)</f>
        <v>MPC</v>
      </c>
      <c r="B10" s="250">
        <f>IF(Covg02="","",IF(New_Program=TRUE,'7.2Rate Change Calculation'!$H$48,'7.2Rate Change Calculation'!$G$48))</f>
        <v>87490485.165137172</v>
      </c>
      <c r="C10" s="418">
        <f ca="1">IF(Covg02="","",IF(Rein_Indicator=TRUE,"NA",(1+E10)*$B10))</f>
        <v>76243501.557870165</v>
      </c>
      <c r="D10" s="419">
        <f ca="1">IF(Covg02="","",(1+F10)*$B10)</f>
        <v>105887974.19936121</v>
      </c>
      <c r="E10" s="410">
        <f ca="1">IF(Covg02="","",IF(Rein_Indicator=TRUE,"NA",'7.2Rate Change Calculation'!CHANGE_AT_MIN))</f>
        <v>-0.12855093426489153</v>
      </c>
      <c r="F10" s="411">
        <f ca="1">IF(Covg02="","",IF(Rein_Indicator=TRUE,'7.2Rate Change Calculation'!Rein_CHANGE_AT_MAX,'7.2Rate Change Calculation'!CHANGE_AT_MAX))</f>
        <v>0.21027988357247082</v>
      </c>
      <c r="G10" s="411">
        <v>0.21</v>
      </c>
      <c r="H10" s="251">
        <f>IF(Covg02="","",IF(New_Program=TRUE,$B10,(1+$G10)*$B10))</f>
        <v>105863487.04981597</v>
      </c>
      <c r="I10" s="521" t="str">
        <f ca="1">IF(Covg02="","",IF(AND(ROUND($G10,3)&gt;=ROUND($E10,3),ROUND($G10,3)&lt;=ROUND($F10,3)),"","← WARNING! Proposed % is outside of range of permitted rate changes."))</f>
        <v/>
      </c>
    </row>
    <row r="11" spans="1:9" x14ac:dyDescent="0.25">
      <c r="A11" s="515" t="str">
        <f>IF(Covg03="","",Covg03)</f>
        <v>UM</v>
      </c>
      <c r="B11" s="250">
        <f>IF(Covg03="","",IF(New_Program=TRUE,'7.3Rate Change Calculation'!$H$48,'7.3Rate Change Calculation'!$G$48))</f>
        <v>427899416.45443994</v>
      </c>
      <c r="C11" s="418">
        <f ca="1">IF(Covg03="","",IF(Rein_Indicator=TRUE,"NA",(1+E11)*$B11))</f>
        <v>441700939.81698614</v>
      </c>
      <c r="D11" s="419">
        <f ca="1">IF(Covg03="","",(1+F11)*$B11)</f>
        <v>613440054.08349144</v>
      </c>
      <c r="E11" s="410">
        <f ca="1">IF(Covg03="","",IF(Rein_Indicator=TRUE,"NA",'7.3Rate Change Calculation'!CHANGE_AT_MIN))</f>
        <v>3.2254129900211578E-2</v>
      </c>
      <c r="F11" s="411">
        <f ca="1">IF(Covg03="","",IF(Rein_Indicator=TRUE,'7.3Rate Change Calculation'!Rein_CHANGE_AT_MAX,'7.3Rate Change Calculation'!CHANGE_AT_MAX))</f>
        <v>0.43360806417179748</v>
      </c>
      <c r="G11" s="411">
        <v>0.43</v>
      </c>
      <c r="H11" s="251">
        <f>IF(Covg03="","",IF(New_Program=TRUE,$B11,(1+$G11)*$B11))</f>
        <v>611896165.52984905</v>
      </c>
      <c r="I11" s="521" t="str">
        <f ca="1">IF(Covg03="","",IF(AND(ROUND($G11,3)&gt;=ROUND($E11,3),ROUND($G11,3)&lt;=ROUND($F11,3)),"","← WARNING! Proposed % is outside of range of permitted rate changes."))</f>
        <v/>
      </c>
    </row>
    <row r="12" spans="1:9" x14ac:dyDescent="0.25">
      <c r="A12" s="515" t="str">
        <f>IF(Covg04="","",Covg04)</f>
        <v>COMP</v>
      </c>
      <c r="B12" s="250">
        <f>IF(Covg04="","",IF(New_Program=TRUE,'7.4Rate Change Calculation'!$H$48,'7.4Rate Change Calculation'!$G$48))</f>
        <v>803293170.83251536</v>
      </c>
      <c r="C12" s="418">
        <f ca="1">IF(Covg04="","",IF(Rein_Indicator=TRUE,"NA",(1+E12)*$B12))</f>
        <v>800128842.69430399</v>
      </c>
      <c r="D12" s="419">
        <f ca="1">IF(Covg04="","",(1+F12)*$B12)</f>
        <v>985483876.17567003</v>
      </c>
      <c r="E12" s="410">
        <f ca="1">IF(Covg04="","",IF(Rein_Indicator=TRUE,"NA",'7.4Rate Change Calculation'!CHANGE_AT_MIN))</f>
        <v>-3.9391946217243725E-3</v>
      </c>
      <c r="F12" s="411">
        <f ca="1">IF(Covg04="","",IF(Rein_Indicator=TRUE,'7.4Rate Change Calculation'!Rein_CHANGE_AT_MAX,'7.4Rate Change Calculation'!CHANGE_AT_MAX))</f>
        <v>0.22680474820212432</v>
      </c>
      <c r="G12" s="411">
        <v>0.155</v>
      </c>
      <c r="H12" s="251">
        <f>IF(Covg04="","",IF(New_Program=TRUE,$B12,(1+$G12)*$B12))</f>
        <v>927803612.31155527</v>
      </c>
      <c r="I12" s="521" t="str">
        <f ca="1">IF(Covg04="","",IF(AND(ROUND($G12,3)&gt;=ROUND($E12,3),ROUND($G12,3)&lt;=ROUND($F12,3)),"","← WARNING! Proposed % is outside of range of permitted rate changes."))</f>
        <v/>
      </c>
    </row>
    <row r="13" spans="1:9" x14ac:dyDescent="0.25">
      <c r="A13" s="515" t="str">
        <f>IF(Covg05="","",Covg05)</f>
        <v>COLL</v>
      </c>
      <c r="B13" s="250">
        <f>IF(Covg05="","",IF(New_Program=TRUE,'7.5Rate Change Calculation'!$H$48,'7.5Rate Change Calculation'!$G$48))</f>
        <v>2199655401.4828205</v>
      </c>
      <c r="C13" s="418">
        <f ca="1">IF(Covg05="","",IF(Rein_Indicator=TRUE,"NA",(1+E13)*$B13))</f>
        <v>2142907537.5974746</v>
      </c>
      <c r="D13" s="419">
        <f ca="1">IF(Covg05="","",(1+F13)*$B13)</f>
        <v>2639325960.7121191</v>
      </c>
      <c r="E13" s="410">
        <f ca="1">IF(Covg05="","",IF(Rein_Indicator=TRUE,"NA",'7.5Rate Change Calculation'!CHANGE_AT_MIN))</f>
        <v>-2.5798524553933062E-2</v>
      </c>
      <c r="F13" s="411">
        <f ca="1">IF(Covg05="","",IF(Rein_Indicator=TRUE,'7.5Rate Change Calculation'!Rein_CHANGE_AT_MAX,'7.5Rate Change Calculation'!CHANGE_AT_MAX))</f>
        <v>0.19988156278156574</v>
      </c>
      <c r="G13" s="411">
        <v>0.15</v>
      </c>
      <c r="H13" s="251">
        <f>IF(Covg05="","",IF(New_Program=TRUE,$B13,(1+$G13)*$B13))</f>
        <v>2529603711.7052436</v>
      </c>
      <c r="I13" s="521" t="str">
        <f ca="1">IF(Covg05="","",IF(AND(ROUND($G13,3)&gt;=ROUND($E13,3),ROUND($G13,3)&lt;=ROUND($F13,3)),"","← WARNING! Proposed % is outside of range of permitted rate changes."))</f>
        <v/>
      </c>
    </row>
    <row r="14" spans="1:9" x14ac:dyDescent="0.25">
      <c r="A14" s="515" t="str">
        <f>IF(Covg06="","",Covg06)</f>
        <v>Misc. Damage</v>
      </c>
      <c r="B14" s="250">
        <f>IF(Covg06="","",IF(New_Program=TRUE,'7.6Rate Change Calculation'!$H$48,'7.6Rate Change Calculation'!$G$48))</f>
        <v>130597350.74234541</v>
      </c>
      <c r="C14" s="418">
        <f ca="1">IF(Covg06="","",IF(Rein_Indicator=TRUE,"NA",(1+E14)*$B14))</f>
        <v>118850417.68768072</v>
      </c>
      <c r="D14" s="419">
        <f ca="1">IF(Covg06="","",(1+F14)*$B14)</f>
        <v>146382887.42792103</v>
      </c>
      <c r="E14" s="410">
        <f ca="1">IF(Covg06="","",IF(Rein_Indicator=TRUE,"NA",'7.6Rate Change Calculation'!CHANGE_AT_MIN))</f>
        <v>-8.9947713241443336E-2</v>
      </c>
      <c r="F14" s="411">
        <f ca="1">IF(Covg06="","",IF(Rein_Indicator=TRUE,'7.6Rate Change Calculation'!Rein_CHANGE_AT_MAX,'7.6Rate Change Calculation'!CHANGE_AT_MAX))</f>
        <v>0.12087179866855635</v>
      </c>
      <c r="G14" s="411">
        <v>0.12</v>
      </c>
      <c r="H14" s="251">
        <f>IF(Covg06="","",IF(New_Program=TRUE,$B14,(1+$G14)*$B14))</f>
        <v>146269032.83142686</v>
      </c>
      <c r="I14" s="521" t="str">
        <f ca="1">IF(Covg06="","",IF(AND(ROUND($G14,3)&gt;=ROUND($E14,3),ROUND($G14,3)&lt;=ROUND($F14,3)),"","← WARNING! Proposed % is outside of range of permitted rate changes."))</f>
        <v/>
      </c>
    </row>
    <row r="15" spans="1:9" x14ac:dyDescent="0.25">
      <c r="A15" s="515" t="str">
        <f>IF(Covg07="","",Covg07)</f>
        <v>Misc. Liability</v>
      </c>
      <c r="B15" s="250">
        <f>IF(Covg07="","",IF(New_Program=TRUE,'7.7Rate Change Calculation'!$H$48,'7.7Rate Change Calculation'!$G$48))</f>
        <v>551173.00072783954</v>
      </c>
      <c r="C15" s="418">
        <f ca="1">IF(Covg07="","",IF(Rein_Indicator=TRUE,"NA",(1+E15)*$B15))</f>
        <v>367372.75334174524</v>
      </c>
      <c r="D15" s="419">
        <f ca="1">IF(Covg07="","",(1+F15)*$B15)</f>
        <v>510212.09457271523</v>
      </c>
      <c r="E15" s="410">
        <f ca="1">IF(Covg07="","",IF(Rein_Indicator=TRUE,"NA",'7.7Rate Change Calculation'!CHANGE_AT_MIN))</f>
        <v>-0.33347106469907062</v>
      </c>
      <c r="F15" s="411">
        <f ca="1">IF(Covg07="","",IF(Rein_Indicator=TRUE,'7.7Rate Change Calculation'!Rein_CHANGE_AT_MAX,'7.7Rate Change Calculation'!CHANGE_AT_MAX))</f>
        <v>-7.4315879226729692E-2</v>
      </c>
      <c r="G15" s="411">
        <v>-7.3999999999999996E-2</v>
      </c>
      <c r="H15" s="251">
        <f>IF(Covg07="","",IF(New_Program=TRUE,$B15,(1+$G15)*$B15))</f>
        <v>510386.19867397944</v>
      </c>
      <c r="I15" s="521" t="str">
        <f ca="1">IF(Covg07="","",IF(AND(ROUND($G15,3)&gt;=ROUND($E15,3),ROUND($G15,3)&lt;=ROUND($F15,3)),"","← WARNING! Proposed % is outside of range of permitted rate changes."))</f>
        <v/>
      </c>
    </row>
    <row r="16" spans="1:9" x14ac:dyDescent="0.25">
      <c r="A16" s="515"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21" t="str">
        <f>IF(Covg08="","",IF(AND(ROUND($G16,3)&gt;=ROUND($E16,3),ROUND($G16,3)&lt;=ROUND($F16,3)),"","← WARNING! Proposed % is outside of range of permitted rate changes."))</f>
        <v/>
      </c>
    </row>
    <row r="17" spans="1:9" x14ac:dyDescent="0.25">
      <c r="A17" s="515"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21" t="str">
        <f>IF(Covg09="","",IF(AND(ROUND($G17,3)&gt;=ROUND($E17,3),ROUND($G17,3)&lt;=ROUND($F17,3)),"","← WARNING! Proposed % is outside of range of permitted rate changes."))</f>
        <v/>
      </c>
    </row>
    <row r="18" spans="1:9" ht="15.75" thickBot="1" x14ac:dyDescent="0.3">
      <c r="A18" s="516"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21" t="str">
        <f>IF(Covg10="","",IF(AND(ROUND($G18,3)&gt;=ROUND($E18,3),ROUND($G18,3)&lt;=ROUND($F18,3)),"","← WARNING! Proposed % is outside of range of permitted rate changes."))</f>
        <v/>
      </c>
    </row>
    <row r="19" spans="1:9" ht="21.75" thickBot="1" x14ac:dyDescent="0.3">
      <c r="A19" s="255" t="s">
        <v>376</v>
      </c>
      <c r="B19" s="256">
        <f>IF(AND(Covg01="",Covg02="",Covg03="",Covg04="",Covg05="",Covg06="",Covg07="",Covg08="",Covg09="",Covg10=""),"",SUM(B9:B18))</f>
        <v>5820549428.0585966</v>
      </c>
      <c r="C19" s="257">
        <f ca="1">IF(AND(Covg01="",Covg02="",Covg03="",Covg04="",Covg05="",Covg06="",Covg07="",Covg08="",Covg09="",Covg10=""),"",SUM(C9:C18))</f>
        <v>5639928547.8675556</v>
      </c>
      <c r="D19" s="258">
        <f ca="1">IF(AND(Covg01="",Covg02="",Covg03="",Covg04="",Covg05="",Covg06="",Covg07="",Covg08="",Covg09="",Covg10=""),"",SUM(D9:D18))</f>
        <v>7351610893.9852571</v>
      </c>
      <c r="E19" s="414">
        <f ca="1">IF(AND(Covg01="",Covg02="",Covg03="",Covg04="",Covg05="",Covg06="",Covg07="",Covg08="",Covg09="",Covg10=""),"",IF(Rein_Indicator=TRUE,"NA",SUMPRODUCT(E9:E18,$B$9:$B$18)/$B$19))</f>
        <v>-3.1031586008073118E-2</v>
      </c>
      <c r="F19" s="415">
        <f ca="1">IF(AND(Covg01="",Covg02="",Covg03="",Covg04="",Covg05="",Covg06="",Covg07="",Covg08="",Covg09="",Covg10=""),"",SUMPRODUCT(F9:F18,$B$9:$B$18)/$B$19)</f>
        <v>0.26304414812560667</v>
      </c>
      <c r="G19" s="415">
        <f>IF(AND(Covg01="",Covg02="",Covg03="",Covg04="",Covg05="",Covg06="",Covg07="",Covg08="",Covg09="",Covg10=""),"",SUMPRODUCT(G9:G18,$B$9:$B$18)/$B$19)</f>
        <v>0.23399455905219721</v>
      </c>
      <c r="H19" s="257">
        <f>IF(AND(Covg01="",Covg02="",Covg03="",Covg04="",Covg05="",Covg06="",Covg07="",Covg08="",Covg09="",Covg10=""),"",SUM(H9:H18))</f>
        <v>7182526324.9186869</v>
      </c>
      <c r="I19" s="521" t="str">
        <f ca="1">IF(AND(Covg01="",Covg02="",Covg03="",Covg04="",Covg05="",Covg06="",Covg07="",Covg08="",Covg09="",Covg10=""),"",
IF(AND(ROUND($G19,3)&lt;ROUND($E19,3),NOT(ISNUMBER(SEARCH(5,'1.General'!E47)))),"← Error! Proposed % is less than the permitted minimum change. Variance 5 must be submitted.",
IF(ROUND($G19,3)&gt;ROUND($F19,3),"← Error! Proposed % is more than the permitted maximum change.","")))</f>
        <v/>
      </c>
    </row>
    <row r="20" spans="1:9" ht="30" customHeight="1" x14ac:dyDescent="0.25">
      <c r="I20" s="214"/>
    </row>
    <row r="21" spans="1:9" x14ac:dyDescent="0.25">
      <c r="A21" s="7" t="s">
        <v>650</v>
      </c>
      <c r="C21" s="436">
        <v>3875934.5033333334</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14"/>
    </row>
    <row r="23" spans="1:9" ht="15.75" thickBot="1" x14ac:dyDescent="0.3">
      <c r="A23" s="626" t="s">
        <v>632</v>
      </c>
      <c r="B23" s="402" t="s">
        <v>383</v>
      </c>
      <c r="C23" s="242"/>
      <c r="D23" s="242"/>
      <c r="E23" s="243"/>
      <c r="F23" s="629" t="str">
        <f>IF(New_Program=TRUE,"Projected ","Latest Year ")&amp;"Earned Exposures"</f>
        <v>Latest Year Earned Exposures</v>
      </c>
      <c r="G23" s="628"/>
      <c r="I23" s="214"/>
    </row>
    <row r="24" spans="1:9" ht="52.5" customHeight="1" thickBot="1" x14ac:dyDescent="0.3">
      <c r="A24" s="627"/>
      <c r="B24" s="246" t="str">
        <f>IF(New_Program=TRUE,"Projected ","Latest Year Adjusted ")</f>
        <v xml:space="preserve">Latest Year Adjusted </v>
      </c>
      <c r="C24" s="248" t="s">
        <v>704</v>
      </c>
      <c r="D24" s="248" t="s">
        <v>705</v>
      </c>
      <c r="E24" s="247" t="s">
        <v>607</v>
      </c>
      <c r="F24" s="630"/>
      <c r="G24" s="628"/>
      <c r="I24" s="214"/>
    </row>
    <row r="25" spans="1:9" x14ac:dyDescent="0.25">
      <c r="A25" s="515" t="str">
        <f>IF(Covg01="","",Covg01)</f>
        <v>BIPD</v>
      </c>
      <c r="B25" s="254">
        <f>IF(Covg01="","",$B9/$F25)</f>
        <v>567.47028456616954</v>
      </c>
      <c r="C25" s="407">
        <f ca="1">IF(Covg01="","",'7.1Rate Change Calculation'!H66)</f>
        <v>538.3703003741897</v>
      </c>
      <c r="D25" s="408">
        <f ca="1">IF(Covg01="","",'7.1Rate Change Calculation'!H67)</f>
        <v>747.69572895934311</v>
      </c>
      <c r="E25" s="130">
        <f>IF(Covg01="","",$H9/$F25)</f>
        <v>747.69572895934311</v>
      </c>
      <c r="F25" s="433">
        <f>IF(Covg01="","",IF(New_Program=TRUE,'7.1Rate Change Calculation'!$H$21,'7.1Rate Change Calculation'!$G$21))</f>
        <v>3825861</v>
      </c>
      <c r="G25" s="422"/>
      <c r="I25" s="214"/>
    </row>
    <row r="26" spans="1:9" x14ac:dyDescent="0.25">
      <c r="A26" s="515" t="str">
        <f>IF(Covg02="","",Covg02)</f>
        <v>MPC</v>
      </c>
      <c r="B26" s="254">
        <f>IF(Covg02="","",$B10/$F26)</f>
        <v>40.706767347452676</v>
      </c>
      <c r="C26" s="407">
        <f ca="1">IF(Covg02="","",'7.2Rate Change Calculation'!H66)</f>
        <v>35.473874374034054</v>
      </c>
      <c r="D26" s="407">
        <f ca="1">IF(Covg02="","",'7.2Rate Change Calculation'!H67)</f>
        <v>49.266581645886681</v>
      </c>
      <c r="E26" s="130">
        <f>IF(Covg02="","",$H10/$F26)</f>
        <v>49.25518849041773</v>
      </c>
      <c r="F26" s="250">
        <f>IF(Covg02="","",IF(New_Program=TRUE,'7.2Rate Change Calculation'!$H$21,'7.2Rate Change Calculation'!$G$21))</f>
        <v>2149286</v>
      </c>
      <c r="G26" s="422"/>
      <c r="I26" s="214"/>
    </row>
    <row r="27" spans="1:9" x14ac:dyDescent="0.25">
      <c r="A27" s="515" t="str">
        <f>IF(Covg03="","",Covg03)</f>
        <v>UM</v>
      </c>
      <c r="B27" s="254">
        <f>IF(Covg03="","",$B11/$F27)</f>
        <v>113.66455296205339</v>
      </c>
      <c r="C27" s="407">
        <f ca="1">IF(Covg03="","",'7.3Rate Change Calculation'!H66)</f>
        <v>117.33070421834094</v>
      </c>
      <c r="D27" s="407">
        <f ca="1">IF(Covg03="","",'7.3Rate Change Calculation'!H67)</f>
        <v>162.95041973688211</v>
      </c>
      <c r="E27" s="130">
        <f>IF(Covg03="","",$H11/$F27)</f>
        <v>162.54031073573634</v>
      </c>
      <c r="F27" s="250">
        <f>IF(Covg03="","",IF(New_Program=TRUE,'7.3Rate Change Calculation'!$H$21,'7.3Rate Change Calculation'!$G$21))</f>
        <v>3764581</v>
      </c>
      <c r="G27" s="422"/>
      <c r="I27" s="214"/>
    </row>
    <row r="28" spans="1:9" x14ac:dyDescent="0.25">
      <c r="A28" s="515" t="str">
        <f>IF(Covg04="","",Covg04)</f>
        <v>COMP</v>
      </c>
      <c r="B28" s="254">
        <f>IF(Covg04="","",$B12/$F28)</f>
        <v>228.78414726627688</v>
      </c>
      <c r="C28" s="407">
        <f ca="1">IF(Covg04="","",'7.4Rate Change Calculation'!H66)</f>
        <v>227.88292198382976</v>
      </c>
      <c r="D28" s="407">
        <f ca="1">IF(Covg04="","",'7.4Rate Change Calculation'!H67)</f>
        <v>280.67347817964253</v>
      </c>
      <c r="E28" s="130">
        <f>IF(Covg04="","",$H12/$F28)</f>
        <v>264.24569009254981</v>
      </c>
      <c r="F28" s="250">
        <f>IF(Covg04="","",IF(New_Program=TRUE,'7.4Rate Change Calculation'!$H$21,'7.4Rate Change Calculation'!$G$21))</f>
        <v>3511140</v>
      </c>
      <c r="G28" s="422"/>
      <c r="I28" s="214"/>
    </row>
    <row r="29" spans="1:9" x14ac:dyDescent="0.25">
      <c r="A29" s="515" t="str">
        <f>IF(Covg05="","",Covg05)</f>
        <v>COLL</v>
      </c>
      <c r="B29" s="254">
        <f>IF(Covg05="","",$B13/$F29)</f>
        <v>648.33327236557</v>
      </c>
      <c r="C29" s="407">
        <f ca="1">IF(Covg05="","",'7.5Rate Change Calculation'!H66)</f>
        <v>631.60723051931507</v>
      </c>
      <c r="D29" s="407">
        <f ca="1">IF(Covg05="","",'7.5Rate Change Calculation'!H67)</f>
        <v>777.92314004928664</v>
      </c>
      <c r="E29" s="130">
        <f>IF(Covg05="","",$H13/$F29)</f>
        <v>745.58326322040557</v>
      </c>
      <c r="F29" s="250">
        <f>IF(Covg05="","",IF(New_Program=TRUE,'7.5Rate Change Calculation'!$H$21,'7.5Rate Change Calculation'!$G$21))</f>
        <v>3392785</v>
      </c>
      <c r="G29" s="422"/>
      <c r="I29" s="214"/>
    </row>
    <row r="30" spans="1:9" x14ac:dyDescent="0.25">
      <c r="A30" s="515" t="str">
        <f>IF(Covg06="","",Covg06)</f>
        <v>Misc. Damage</v>
      </c>
      <c r="B30" s="254">
        <f>IF(Covg06="","",$B14/$F30)</f>
        <v>29.890996526152957</v>
      </c>
      <c r="C30" s="407">
        <f ca="1">IF(Covg06="","",'7.6Rate Change Calculation'!H66)</f>
        <v>27.202369742117572</v>
      </c>
      <c r="D30" s="407">
        <f ca="1">IF(Covg06="","",'7.6Rate Change Calculation'!H67)</f>
        <v>33.503975040264635</v>
      </c>
      <c r="E30" s="130">
        <f>IF(Covg06="","",$H14/$F30)</f>
        <v>33.477916109291314</v>
      </c>
      <c r="F30" s="250">
        <f>IF(Covg06="","",IF(New_Program=TRUE,'7.6Rate Change Calculation'!$H$21,'7.6Rate Change Calculation'!$G$21))</f>
        <v>4369120</v>
      </c>
      <c r="G30" s="422"/>
      <c r="I30" s="214"/>
    </row>
    <row r="31" spans="1:9" x14ac:dyDescent="0.25">
      <c r="A31" s="515" t="str">
        <f>IF(Covg07="","",Covg07)</f>
        <v>Misc. Liability</v>
      </c>
      <c r="B31" s="254">
        <f>IF(Covg07="","",$B15/$F31)</f>
        <v>2.3456266335623162</v>
      </c>
      <c r="C31" s="407">
        <f ca="1">IF(Covg07="","",'7.7Rate Change Calculation'!H66)</f>
        <v>1.5692917920565042</v>
      </c>
      <c r="D31" s="407">
        <f ca="1">IF(Covg07="","",'7.7Rate Change Calculation'!H67)</f>
        <v>2.1794530077087702</v>
      </c>
      <c r="E31" s="130">
        <f>IF(Covg07="","",$H15/$F31)</f>
        <v>2.172050262678705</v>
      </c>
      <c r="F31" s="250">
        <f>IF(Covg07="","",IF(New_Program=TRUE,'7.7Rate Change Calculation'!$H$21,'7.7Rate Change Calculation'!$G$21))</f>
        <v>234979</v>
      </c>
      <c r="G31" s="422"/>
      <c r="I31" s="214"/>
    </row>
    <row r="32" spans="1:9" x14ac:dyDescent="0.25">
      <c r="A32" s="515"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25">
      <c r="A33" s="515"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75" thickBot="1" x14ac:dyDescent="0.3">
      <c r="A34" s="516"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75" thickBot="1" x14ac:dyDescent="0.3">
      <c r="A35" s="259" t="s">
        <v>376</v>
      </c>
      <c r="B35" s="423">
        <f>IF(AND(Covg01="",Covg02="",Covg03="",Covg04="",Covg05="",Covg06="",Covg07="",Covg08="",Covg09="",Covg10=""),"",$B19/$F35)</f>
        <v>1501.7151149104504</v>
      </c>
      <c r="C35" s="260">
        <f ca="1">IF(AND(Covg01="",Covg02="",Covg03="",Covg04="",Covg05="",Covg06="",Covg07="",Covg08="",Covg09="",Covg10=""),"",$C19/$F35)</f>
        <v>1455.1145131624835</v>
      </c>
      <c r="D35" s="260">
        <f ca="1">IF(AND(Covg01="",Covg02="",Covg03="",Covg04="",Covg05="",Covg06="",Covg07="",Covg08="",Covg09="",Covg10=""),"",$D19/$F35)</f>
        <v>1896.7324880394174</v>
      </c>
      <c r="E35" s="261">
        <f>IF(AND(Covg01="",Covg02="",Covg03="",Covg04="",Covg05="",Covg06="",Covg07="",Covg08="",Covg09="",Covg10=""),"",$H19/$F35)</f>
        <v>1853.1082810459411</v>
      </c>
      <c r="F35" s="518">
        <f>IF(ISBLANK($C$21),"",$C$21)</f>
        <v>3875934.5033333334</v>
      </c>
      <c r="I35" s="435"/>
    </row>
    <row r="36" spans="1:9" ht="30" customHeight="1" thickBot="1" x14ac:dyDescent="0.3">
      <c r="I36" s="214"/>
    </row>
    <row r="37" spans="1:9" ht="45.75" thickBot="1" x14ac:dyDescent="0.3">
      <c r="A37" s="244" t="s">
        <v>632</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25">
      <c r="A38" s="515" t="str">
        <f>IF(Covg01="","",Covg01)</f>
        <v>BIPD</v>
      </c>
      <c r="B38" s="251">
        <f>$B9</f>
        <v>2171062430.38061</v>
      </c>
      <c r="C38" s="118">
        <f>IF(Covg01="","",IF(New_Program=TRUE,'7.1Rate Change Calculation'!$H$49+'7.1Rate Change Calculation'!$H$50,'7.1Rate Change Calculation'!$G$49+'7.1Rate Change Calculation'!$G$50))</f>
        <v>2295335887.1695824</v>
      </c>
      <c r="D38" s="252">
        <f>IF(Covg01="","",C38/B38)</f>
        <v>1.0572408490193375</v>
      </c>
      <c r="H38" s="57"/>
      <c r="I38" s="214"/>
    </row>
    <row r="39" spans="1:9" x14ac:dyDescent="0.25">
      <c r="A39" s="515" t="str">
        <f>IF(Covg02="","",Covg02)</f>
        <v>MPC</v>
      </c>
      <c r="B39" s="251">
        <f t="shared" ref="B39:B47" si="0">$B10</f>
        <v>87490485.165137172</v>
      </c>
      <c r="C39" s="118">
        <f>IF(Covg02="","",IF(New_Program=TRUE,'7.2Rate Change Calculation'!$H$49+'7.2Rate Change Calculation'!$H$50,'7.2Rate Change Calculation'!$G$49+'7.2Rate Change Calculation'!$G$50))</f>
        <v>84964753.024616703</v>
      </c>
      <c r="D39" s="252">
        <f>IF(Covg02="","",C39/B39)</f>
        <v>0.97113135061769085</v>
      </c>
      <c r="H39" s="57"/>
      <c r="I39" s="214"/>
    </row>
    <row r="40" spans="1:9" x14ac:dyDescent="0.25">
      <c r="A40" s="515" t="str">
        <f>IF(Covg03="","",Covg03)</f>
        <v>UM</v>
      </c>
      <c r="B40" s="251">
        <f t="shared" si="0"/>
        <v>427899416.45443994</v>
      </c>
      <c r="C40" s="118">
        <f>IF(Covg03="","",IF(New_Program=TRUE,'7.3Rate Change Calculation'!$H$49+'7.3Rate Change Calculation'!$H$50,'7.3Rate Change Calculation'!$G$49+'7.3Rate Change Calculation'!$G$50))</f>
        <v>492225704.4268375</v>
      </c>
      <c r="D40" s="252">
        <f>IF(Covg03="","",C40/B40)</f>
        <v>1.1503303942440561</v>
      </c>
      <c r="H40" s="57"/>
      <c r="I40" s="214"/>
    </row>
    <row r="41" spans="1:9" x14ac:dyDescent="0.25">
      <c r="A41" s="515" t="str">
        <f>IF(Covg04="","",Covg04)</f>
        <v>COMP</v>
      </c>
      <c r="B41" s="251">
        <f t="shared" si="0"/>
        <v>803293170.83251536</v>
      </c>
      <c r="C41" s="118">
        <f>IF(Covg04="","",IF(New_Program=TRUE,'7.4Rate Change Calculation'!$H$49+'7.4Rate Change Calculation'!$H$50,'7.4Rate Change Calculation'!$G$49+'7.4Rate Change Calculation'!$G$50))</f>
        <v>707874802.0471766</v>
      </c>
      <c r="D41" s="252">
        <f>IF(Covg04="","",C41/B41)</f>
        <v>0.88121600898654562</v>
      </c>
      <c r="H41" s="57"/>
      <c r="I41" s="214"/>
    </row>
    <row r="42" spans="1:9" x14ac:dyDescent="0.25">
      <c r="A42" s="515" t="str">
        <f>IF(Covg05="","",Covg05)</f>
        <v>COLL</v>
      </c>
      <c r="B42" s="251">
        <f t="shared" si="0"/>
        <v>2199655401.4828205</v>
      </c>
      <c r="C42" s="118">
        <f>IF(Covg05="","",IF(New_Program=TRUE,'7.5Rate Change Calculation'!$H$49+'7.5Rate Change Calculation'!$H$50,'7.5Rate Change Calculation'!$G$49+'7.5Rate Change Calculation'!$G$50))</f>
        <v>1895832481.0217638</v>
      </c>
      <c r="D42" s="252">
        <f>IF(Covg05="","",C42/B42)</f>
        <v>0.861877037532222</v>
      </c>
      <c r="H42" s="57"/>
      <c r="I42" s="214"/>
    </row>
    <row r="43" spans="1:9" x14ac:dyDescent="0.25">
      <c r="A43" s="515" t="str">
        <f>IF(Covg06="","",Covg06)</f>
        <v>Misc. Damage</v>
      </c>
      <c r="B43" s="251">
        <f t="shared" si="0"/>
        <v>130597350.74234541</v>
      </c>
      <c r="C43" s="118">
        <f>IF(Covg06="","",IF(New_Program=TRUE,'7.6Rate Change Calculation'!$H$49+'7.6Rate Change Calculation'!$H$50,'7.6Rate Change Calculation'!$G$49+'7.6Rate Change Calculation'!$G$50))</f>
        <v>105147085.57510941</v>
      </c>
      <c r="D43" s="252">
        <f>IF(Covg06="","",C43/B43)</f>
        <v>0.8051241849656916</v>
      </c>
      <c r="I43" s="214"/>
    </row>
    <row r="44" spans="1:9" x14ac:dyDescent="0.25">
      <c r="A44" s="515" t="str">
        <f>IF(Covg07="","",Covg07)</f>
        <v>Misc. Liability</v>
      </c>
      <c r="B44" s="251">
        <f t="shared" si="0"/>
        <v>551173.00072783954</v>
      </c>
      <c r="C44" s="118">
        <f>IF(Covg07="","",IF(New_Program=TRUE,'7.7Rate Change Calculation'!$H$49+'7.7Rate Change Calculation'!$H$50,'7.7Rate Change Calculation'!$G$49+'7.7Rate Change Calculation'!$G$50))</f>
        <v>269566.50511999737</v>
      </c>
      <c r="D44" s="252">
        <f>IF(Covg07="","",C44/B44)</f>
        <v>0.48907784808767335</v>
      </c>
      <c r="I44" s="214"/>
    </row>
    <row r="45" spans="1:9" x14ac:dyDescent="0.25">
      <c r="A45" s="515"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25">
      <c r="A46" s="515"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75" thickBot="1" x14ac:dyDescent="0.3">
      <c r="A47" s="516"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75" thickBot="1" x14ac:dyDescent="0.3">
      <c r="A48" s="259" t="s">
        <v>376</v>
      </c>
      <c r="B48" s="262">
        <f>IF(AND(Covg01="",Covg02="",Covg03="",Covg04="",Covg05="",Covg06="",Covg07="",Covg08="",Covg09="",Covg10=""),"",SUM(B38:B47))</f>
        <v>5820549428.0585966</v>
      </c>
      <c r="C48" s="263">
        <f>IF(AND(Covg01="",Covg02="",Covg03="",Covg04="",Covg05="",Covg06="",Covg07="",Covg08="",Covg09="",Covg10=""),"",SUM(C38:C47))</f>
        <v>5581650279.7702065</v>
      </c>
      <c r="D48" s="397">
        <f>IF(AND(Covg01="",Covg02="",Covg03="",Covg04="",Covg05="",Covg06="",Covg07="",Covg08="",Covg09="",Covg10=""),"",C48/B48)</f>
        <v>0.95895591108001754</v>
      </c>
      <c r="I48" s="401"/>
    </row>
  </sheetData>
  <sheetProtection algorithmName="SHA-512" hashValue="DJahCOI+00+b2MLXldPZzeo3+MG6Z+fOuXKkXZSv+6Hq1MCPAkc3Q1bjO4PifY2XhZnOMmfqvLDiPGbqNV8k2g==" saltValue="6cI2C10n65UATp2M7dZTJg=="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3"/>
  <pageSetup scale="69" orientation="portrait" r:id="rId1"/>
  <headerFooter>
    <oddFooter>&amp;CPrior Approval Rate Template&amp;RPage 2&amp;L11/9/2023 Edition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zoomScaleNormal="100" zoomScaleSheetLayoutView="100" workbookViewId="0"/>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7" t="s">
        <v>29</v>
      </c>
      <c r="D1" s="109" t="s">
        <v>31</v>
      </c>
      <c r="G1" s="110" t="str">
        <f>Co_Name</f>
        <v>State Farm Mutual Automobile Insurance Company</v>
      </c>
      <c r="H1" s="110"/>
    </row>
    <row r="2" spans="1:8" x14ac:dyDescent="0.25">
      <c r="A2" s="7" t="s">
        <v>30</v>
      </c>
      <c r="D2" s="109" t="s">
        <v>32</v>
      </c>
      <c r="G2" s="110" t="str">
        <f>General_Line</f>
        <v>Auto Liability and Physical Damage</v>
      </c>
      <c r="H2" s="110"/>
    </row>
    <row r="3" spans="1:8" x14ac:dyDescent="0.25">
      <c r="B3" s="158"/>
      <c r="D3" s="154" t="s">
        <v>140</v>
      </c>
      <c r="E3" s="77"/>
      <c r="F3" s="77"/>
      <c r="G3" s="249" t="str">
        <f>CDI_FileNo</f>
        <v/>
      </c>
      <c r="H3" s="249"/>
    </row>
    <row r="4" spans="1:8" ht="18" customHeight="1" x14ac:dyDescent="0.25">
      <c r="A4" s="6"/>
    </row>
    <row r="5" spans="1:8" ht="23.25" x14ac:dyDescent="0.25">
      <c r="A5" s="4" t="s">
        <v>415</v>
      </c>
      <c r="B5" s="3"/>
      <c r="C5" s="3"/>
      <c r="D5" s="3"/>
      <c r="E5" s="3"/>
      <c r="F5" s="3"/>
      <c r="G5" s="3"/>
      <c r="H5" s="3"/>
    </row>
    <row r="6" spans="1:8" ht="15.75" thickBot="1" x14ac:dyDescent="0.3"/>
    <row r="7" spans="1:8" ht="30" customHeight="1" x14ac:dyDescent="0.25">
      <c r="A7" s="286"/>
      <c r="B7" s="287"/>
      <c r="C7" s="460" t="s">
        <v>416</v>
      </c>
      <c r="D7" s="461" t="s">
        <v>417</v>
      </c>
      <c r="E7" s="461"/>
      <c r="F7" s="461" t="s">
        <v>418</v>
      </c>
      <c r="G7" s="461"/>
      <c r="H7" s="547" t="s">
        <v>719</v>
      </c>
    </row>
    <row r="8" spans="1:8" ht="30" customHeight="1" thickBot="1" x14ac:dyDescent="0.3">
      <c r="A8" s="464" t="s">
        <v>57</v>
      </c>
      <c r="B8" s="469" t="s">
        <v>62</v>
      </c>
      <c r="C8" s="470" t="s">
        <v>419</v>
      </c>
      <c r="D8" s="471" t="s">
        <v>420</v>
      </c>
      <c r="E8" s="470" t="s">
        <v>421</v>
      </c>
      <c r="F8" s="471" t="s">
        <v>422</v>
      </c>
      <c r="G8" s="471" t="s">
        <v>423</v>
      </c>
      <c r="H8" s="548" t="s">
        <v>720</v>
      </c>
    </row>
    <row r="9" spans="1:8" ht="30" customHeight="1" x14ac:dyDescent="0.25">
      <c r="A9" s="465">
        <v>1.7</v>
      </c>
      <c r="B9" s="466" t="s">
        <v>424</v>
      </c>
      <c r="C9" s="467">
        <v>521301644</v>
      </c>
      <c r="D9" s="468">
        <v>3948979953</v>
      </c>
      <c r="E9" s="468">
        <v>442244325</v>
      </c>
      <c r="F9" s="468">
        <v>221208204</v>
      </c>
      <c r="G9" s="468">
        <v>22696430</v>
      </c>
      <c r="H9" s="551"/>
    </row>
    <row r="10" spans="1:8" ht="30" customHeight="1" x14ac:dyDescent="0.25">
      <c r="A10" s="289">
        <v>2.7</v>
      </c>
      <c r="B10" s="283" t="s">
        <v>425</v>
      </c>
      <c r="C10" s="438">
        <v>2025317</v>
      </c>
      <c r="D10" s="439">
        <v>21697229</v>
      </c>
      <c r="E10" s="439">
        <v>72712161</v>
      </c>
      <c r="F10" s="439">
        <v>0</v>
      </c>
      <c r="G10" s="439">
        <v>0</v>
      </c>
      <c r="H10" s="552"/>
    </row>
    <row r="11" spans="1:8" ht="30" customHeight="1" x14ac:dyDescent="0.25">
      <c r="A11" s="289">
        <v>3.7</v>
      </c>
      <c r="B11" s="284" t="s">
        <v>426</v>
      </c>
      <c r="C11" s="438">
        <v>450505234</v>
      </c>
      <c r="D11" s="439">
        <v>1401699838</v>
      </c>
      <c r="E11" s="439">
        <v>587736003</v>
      </c>
      <c r="F11" s="439">
        <v>56907067</v>
      </c>
      <c r="G11" s="439">
        <v>0</v>
      </c>
      <c r="H11" s="552"/>
    </row>
    <row r="12" spans="1:8" ht="30" customHeight="1" x14ac:dyDescent="0.25">
      <c r="A12" s="289">
        <v>4.7</v>
      </c>
      <c r="B12" s="284" t="s">
        <v>427</v>
      </c>
      <c r="C12" s="438">
        <v>1390134561</v>
      </c>
      <c r="D12" s="439">
        <v>10172187660</v>
      </c>
      <c r="E12" s="439">
        <v>4721613886</v>
      </c>
      <c r="F12" s="439">
        <v>757444434</v>
      </c>
      <c r="G12" s="439">
        <v>9960199</v>
      </c>
      <c r="H12" s="552"/>
    </row>
    <row r="13" spans="1:8" ht="30" customHeight="1" x14ac:dyDescent="0.25">
      <c r="A13" s="289">
        <v>5.7</v>
      </c>
      <c r="B13" s="284" t="s">
        <v>428</v>
      </c>
      <c r="C13" s="438">
        <v>1065866534</v>
      </c>
      <c r="D13" s="439">
        <v>7200167558</v>
      </c>
      <c r="E13" s="439">
        <v>6535098404</v>
      </c>
      <c r="F13" s="439">
        <v>530132134</v>
      </c>
      <c r="G13" s="439">
        <v>12895032</v>
      </c>
      <c r="H13" s="552"/>
    </row>
    <row r="14" spans="1:8" ht="30" customHeight="1" x14ac:dyDescent="0.25">
      <c r="A14" s="289">
        <v>6.7</v>
      </c>
      <c r="B14" s="284" t="s">
        <v>429</v>
      </c>
      <c r="C14" s="438">
        <v>868188765</v>
      </c>
      <c r="D14" s="439">
        <v>5873193685</v>
      </c>
      <c r="E14" s="439">
        <v>9646072904</v>
      </c>
      <c r="F14" s="439">
        <v>69629757</v>
      </c>
      <c r="G14" s="439">
        <v>0</v>
      </c>
      <c r="H14" s="552"/>
    </row>
    <row r="15" spans="1:8" ht="30" customHeight="1" x14ac:dyDescent="0.25">
      <c r="A15" s="289">
        <v>7.7</v>
      </c>
      <c r="B15" s="284" t="s">
        <v>695</v>
      </c>
      <c r="C15" s="438">
        <v>0</v>
      </c>
      <c r="D15" s="439">
        <v>0</v>
      </c>
      <c r="E15" s="439">
        <v>0</v>
      </c>
      <c r="F15" s="439">
        <v>0</v>
      </c>
      <c r="G15" s="439">
        <v>0</v>
      </c>
      <c r="H15" s="552"/>
    </row>
    <row r="16" spans="1:8" ht="30" customHeight="1" x14ac:dyDescent="0.25">
      <c r="A16" s="289">
        <v>8.6999999999999993</v>
      </c>
      <c r="B16" s="284" t="s">
        <v>430</v>
      </c>
      <c r="C16" s="438">
        <v>0</v>
      </c>
      <c r="D16" s="439">
        <v>0</v>
      </c>
      <c r="E16" s="439">
        <v>0</v>
      </c>
      <c r="F16" s="439">
        <v>0</v>
      </c>
      <c r="G16" s="439">
        <v>0</v>
      </c>
      <c r="H16" s="552"/>
    </row>
    <row r="17" spans="1:8" ht="30" customHeight="1" thickBot="1" x14ac:dyDescent="0.3">
      <c r="A17" s="464">
        <v>9.6999999999999993</v>
      </c>
      <c r="B17" s="314" t="s">
        <v>723</v>
      </c>
      <c r="C17" s="549"/>
      <c r="D17" s="550"/>
      <c r="E17" s="550"/>
      <c r="F17" s="550"/>
      <c r="G17" s="550"/>
      <c r="H17" s="546">
        <v>0</v>
      </c>
    </row>
    <row r="18" spans="1:8" ht="15" customHeight="1" x14ac:dyDescent="0.25">
      <c r="A18" s="13" t="s">
        <v>118</v>
      </c>
      <c r="B18" s="285"/>
      <c r="C18" s="37"/>
      <c r="D18" s="37"/>
      <c r="E18" s="37"/>
      <c r="F18" s="37"/>
      <c r="G18" s="37"/>
      <c r="H18" s="37"/>
    </row>
    <row r="19" spans="1:8" ht="15" customHeight="1" x14ac:dyDescent="0.25">
      <c r="A19" s="6" t="s">
        <v>700</v>
      </c>
      <c r="B19" s="285"/>
      <c r="C19" s="37"/>
      <c r="D19" s="37"/>
      <c r="E19" s="37"/>
      <c r="F19" s="37"/>
      <c r="G19" s="37"/>
      <c r="H19" s="37"/>
    </row>
    <row r="20" spans="1:8" ht="30" customHeight="1" thickBot="1" x14ac:dyDescent="0.3"/>
    <row r="21" spans="1:8" ht="30" customHeight="1" x14ac:dyDescent="0.25">
      <c r="A21" s="286"/>
      <c r="B21" s="287"/>
      <c r="C21" s="460" t="s">
        <v>416</v>
      </c>
      <c r="D21" s="461" t="s">
        <v>417</v>
      </c>
      <c r="E21" s="461"/>
      <c r="F21" s="461" t="s">
        <v>418</v>
      </c>
      <c r="G21" s="462"/>
    </row>
    <row r="22" spans="1:8" ht="30" customHeight="1" thickBot="1" x14ac:dyDescent="0.3">
      <c r="A22" s="477"/>
      <c r="B22" s="36"/>
      <c r="C22" s="470" t="s">
        <v>419</v>
      </c>
      <c r="D22" s="478" t="s">
        <v>431</v>
      </c>
      <c r="E22" s="478"/>
      <c r="F22" s="478" t="s">
        <v>432</v>
      </c>
      <c r="G22" s="479"/>
    </row>
    <row r="23" spans="1:8" ht="45" customHeight="1" x14ac:dyDescent="0.25">
      <c r="A23" s="309" t="s">
        <v>161</v>
      </c>
      <c r="B23" s="475" t="s">
        <v>433</v>
      </c>
      <c r="C23" s="476">
        <f>SUM(C9:C10)</f>
        <v>523326961</v>
      </c>
      <c r="D23" s="631">
        <f>SUM(D9:E10)</f>
        <v>4485633668</v>
      </c>
      <c r="E23" s="632"/>
      <c r="F23" s="633">
        <f>SUM(F9:G10)</f>
        <v>243904634</v>
      </c>
      <c r="G23" s="634"/>
    </row>
    <row r="24" spans="1:8" ht="45" customHeight="1" x14ac:dyDescent="0.25">
      <c r="A24" s="291" t="s">
        <v>162</v>
      </c>
      <c r="B24" s="281" t="s">
        <v>722</v>
      </c>
      <c r="C24" s="18">
        <f>SUM(C14:C16)+C13/2</f>
        <v>1401122032</v>
      </c>
      <c r="D24" s="635">
        <f>SUM(D14:E16)+SUM(D13:E13)/2</f>
        <v>22386899570</v>
      </c>
      <c r="E24" s="636"/>
      <c r="F24" s="635">
        <f>H17+SUM(F14:G16)+SUM(F13:G13)/2</f>
        <v>341143340</v>
      </c>
      <c r="G24" s="637"/>
    </row>
    <row r="25" spans="1:8" ht="45" customHeight="1" thickBot="1" x14ac:dyDescent="0.3">
      <c r="A25" s="313" t="s">
        <v>434</v>
      </c>
      <c r="B25" s="473" t="s">
        <v>435</v>
      </c>
      <c r="C25" s="474">
        <f>SUM(C11:C12)+C13/2</f>
        <v>2373573062</v>
      </c>
      <c r="D25" s="638">
        <f>SUM(D11:E12)+SUM(D13:E13)/2</f>
        <v>23750870368</v>
      </c>
      <c r="E25" s="639"/>
      <c r="F25" s="638">
        <f>SUM(F11:G12)+SUM(F13:G13)/2</f>
        <v>1095825283</v>
      </c>
      <c r="G25" s="640"/>
    </row>
    <row r="26" spans="1:8" x14ac:dyDescent="0.25">
      <c r="A26" s="480" t="s">
        <v>698</v>
      </c>
    </row>
    <row r="27" spans="1:8" x14ac:dyDescent="0.25">
      <c r="A27" s="481" t="s">
        <v>697</v>
      </c>
    </row>
    <row r="28" spans="1:8" x14ac:dyDescent="0.25">
      <c r="A28" s="481" t="s">
        <v>696</v>
      </c>
    </row>
    <row r="29" spans="1:8" ht="17.25" x14ac:dyDescent="0.25">
      <c r="A29" s="319" t="s">
        <v>721</v>
      </c>
    </row>
  </sheetData>
  <sheetProtection algorithmName="SHA-512" hashValue="0JGwEDcQW04xndmupyQPU9G6VemBdcytt2T/uuq1Sw8bBUbA5zQd1q9Eh/ZOc3e2XVcYFOh1S9grqBHAQermMw==" saltValue="OsqYXCwz13fI+b3OOZYQwg=="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3"/>
  <pageSetup scale="76" orientation="portrait" r:id="rId1"/>
  <headerFooter>
    <oddFooter>&amp;CPrior Approval Rate Template&amp;RPage 3.1&amp;L11/9/2023 Edition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tabSelected="1" view="pageBreakPreview" topLeftCell="A3" zoomScaleNormal="100" zoomScaleSheetLayoutView="100" workbookViewId="0">
      <selection activeCell="G48" sqref="G48"/>
    </sheetView>
  </sheetViews>
  <sheetFormatPr defaultRowHeight="15" x14ac:dyDescent="0.25"/>
  <cols>
    <col min="1" max="1" width="8" customWidth="1"/>
    <col min="2" max="2" width="51" customWidth="1"/>
    <col min="3" max="3" width="17" bestFit="1" customWidth="1"/>
    <col min="4" max="7" width="15.7109375" customWidth="1"/>
    <col min="8" max="8" width="69" style="6" bestFit="1" customWidth="1"/>
  </cols>
  <sheetData>
    <row r="1" spans="1:8" ht="15.75" thickBot="1" x14ac:dyDescent="0.3">
      <c r="A1" s="7" t="s">
        <v>29</v>
      </c>
      <c r="D1" s="109" t="s">
        <v>31</v>
      </c>
      <c r="G1" s="110" t="str">
        <f>Co_Name</f>
        <v>State Farm Mutual Automobile Insurance Company</v>
      </c>
      <c r="H1" s="74" t="s">
        <v>660</v>
      </c>
    </row>
    <row r="2" spans="1:8" x14ac:dyDescent="0.25">
      <c r="A2" s="7" t="s">
        <v>30</v>
      </c>
      <c r="D2" s="109" t="s">
        <v>32</v>
      </c>
      <c r="G2" s="110" t="str">
        <f>General_Line</f>
        <v>Auto Liability and Physical Damage</v>
      </c>
      <c r="H2" s="176" t="s">
        <v>111</v>
      </c>
    </row>
    <row r="3" spans="1:8" x14ac:dyDescent="0.25">
      <c r="B3" s="158"/>
      <c r="D3" s="154" t="s">
        <v>140</v>
      </c>
      <c r="E3" s="77"/>
      <c r="F3" s="77"/>
      <c r="G3" s="249" t="str">
        <f>CDI_FileNo</f>
        <v/>
      </c>
      <c r="H3" s="214"/>
    </row>
    <row r="4" spans="1:8" ht="18" customHeight="1" x14ac:dyDescent="0.25">
      <c r="A4" s="6"/>
      <c r="H4" s="214"/>
    </row>
    <row r="5" spans="1:8" ht="23.25" x14ac:dyDescent="0.25">
      <c r="A5" s="4" t="s">
        <v>415</v>
      </c>
      <c r="B5" s="3"/>
      <c r="C5" s="3"/>
      <c r="D5" s="3"/>
      <c r="E5" s="3"/>
      <c r="F5" s="3"/>
      <c r="G5" s="3"/>
      <c r="H5" s="214"/>
    </row>
    <row r="6" spans="1:8" ht="19.5" thickBot="1" x14ac:dyDescent="0.35">
      <c r="A6" s="428" t="s">
        <v>631</v>
      </c>
      <c r="B6" s="428"/>
      <c r="C6" s="428"/>
      <c r="D6" s="428"/>
      <c r="E6" s="428"/>
      <c r="F6" s="428"/>
      <c r="G6" s="428"/>
      <c r="H6" s="214"/>
    </row>
    <row r="7" spans="1:8" ht="32.25" x14ac:dyDescent="0.25">
      <c r="A7" s="286"/>
      <c r="B7" s="287"/>
      <c r="C7" s="288" t="s">
        <v>436</v>
      </c>
      <c r="D7" s="288" t="s">
        <v>437</v>
      </c>
      <c r="E7" s="288" t="s">
        <v>438</v>
      </c>
      <c r="F7" s="288" t="s">
        <v>439</v>
      </c>
      <c r="G7" s="580" t="s">
        <v>440</v>
      </c>
      <c r="H7" s="214"/>
    </row>
    <row r="8" spans="1:8" ht="18" customHeight="1" x14ac:dyDescent="0.25">
      <c r="A8" s="289"/>
      <c r="B8" s="281"/>
      <c r="C8" s="290" t="s">
        <v>441</v>
      </c>
      <c r="D8" s="290" t="s">
        <v>442</v>
      </c>
      <c r="E8" s="290" t="s">
        <v>443</v>
      </c>
      <c r="F8" s="290" t="s">
        <v>444</v>
      </c>
      <c r="G8" s="581" t="s">
        <v>445</v>
      </c>
      <c r="H8" s="214"/>
    </row>
    <row r="9" spans="1:8" ht="18" customHeight="1" x14ac:dyDescent="0.25">
      <c r="A9" s="291" t="s">
        <v>161</v>
      </c>
      <c r="B9" s="282" t="s">
        <v>446</v>
      </c>
      <c r="C9" s="73"/>
      <c r="D9" s="292"/>
      <c r="E9" s="73"/>
      <c r="F9" s="293"/>
      <c r="G9" s="582"/>
      <c r="H9" s="214"/>
    </row>
    <row r="10" spans="1:8" ht="18" customHeight="1" x14ac:dyDescent="0.25">
      <c r="A10" s="291"/>
      <c r="B10" s="294" t="s">
        <v>447</v>
      </c>
      <c r="C10" s="73">
        <f>'3.1YieldFIT'!C23</f>
        <v>523326961</v>
      </c>
      <c r="D10" s="590">
        <f>[1]Feb2024!$E$10</f>
        <v>5.4433333333333334E-2</v>
      </c>
      <c r="E10" s="73">
        <f>C10*D10</f>
        <v>28486430.910433333</v>
      </c>
      <c r="F10" s="293">
        <f>INDEX(INV_TAX_RATE,COUNTA($B$9:$B10)+1,1)</f>
        <v>0.21</v>
      </c>
      <c r="G10" s="302">
        <f>E10*F10</f>
        <v>5982150.4911909997</v>
      </c>
      <c r="H10" s="214"/>
    </row>
    <row r="11" spans="1:8" ht="18" customHeight="1" x14ac:dyDescent="0.25">
      <c r="A11" s="291"/>
      <c r="B11" s="294" t="s">
        <v>448</v>
      </c>
      <c r="C11" s="73">
        <f>'3.1YieldFIT'!D23</f>
        <v>4485633668</v>
      </c>
      <c r="D11" s="590">
        <f>[1]Feb2024!$E$11</f>
        <v>4.0966666666666665E-2</v>
      </c>
      <c r="E11" s="73">
        <f>C11*D11</f>
        <v>183761459.26573333</v>
      </c>
      <c r="F11" s="293">
        <f>INDEX(INV_TAX_RATE,COUNTA($B$9:$B11)+1,1)</f>
        <v>0.21</v>
      </c>
      <c r="G11" s="302">
        <f>E11*F11</f>
        <v>38589906.445804</v>
      </c>
      <c r="H11" s="214"/>
    </row>
    <row r="12" spans="1:8" ht="18" customHeight="1" x14ac:dyDescent="0.25">
      <c r="A12" s="291"/>
      <c r="B12" s="294" t="s">
        <v>449</v>
      </c>
      <c r="C12" s="73">
        <f>'3.1YieldFIT'!F23</f>
        <v>243904634</v>
      </c>
      <c r="D12" s="590">
        <f>[1]Feb2024!$E$12</f>
        <v>4.4000000000000004E-2</v>
      </c>
      <c r="E12" s="73">
        <f>C12*D12</f>
        <v>10731803.896000002</v>
      </c>
      <c r="F12" s="293">
        <f>INDEX(INV_TAX_RATE,COUNTA($B$9:$B12)+1,1)</f>
        <v>0.21</v>
      </c>
      <c r="G12" s="302">
        <f>E12*F12</f>
        <v>2253678.8181600003</v>
      </c>
      <c r="H12" s="214"/>
    </row>
    <row r="13" spans="1:8" ht="18" customHeight="1" x14ac:dyDescent="0.25">
      <c r="A13" s="291" t="s">
        <v>162</v>
      </c>
      <c r="B13" s="283" t="s">
        <v>450</v>
      </c>
      <c r="C13" s="73"/>
      <c r="D13" s="591"/>
      <c r="E13" s="73"/>
      <c r="F13" s="293"/>
      <c r="G13" s="582"/>
      <c r="H13" s="214"/>
    </row>
    <row r="14" spans="1:8" ht="18" customHeight="1" x14ac:dyDescent="0.25">
      <c r="A14" s="291"/>
      <c r="B14" s="294" t="s">
        <v>447</v>
      </c>
      <c r="C14" s="73">
        <f>'3.1YieldFIT'!C24</f>
        <v>1401122032</v>
      </c>
      <c r="D14" s="590">
        <f>[1]Feb2024!$E$14</f>
        <v>5.2666666666666667E-2</v>
      </c>
      <c r="E14" s="73">
        <f>C14*D14</f>
        <v>73792427.01866667</v>
      </c>
      <c r="F14" s="293">
        <f>INDEX(INV_TAX_RATE,COUNTA($B$9:$B14)+1,1)</f>
        <v>0.21</v>
      </c>
      <c r="G14" s="302">
        <f>E14*F14</f>
        <v>15496409.67392</v>
      </c>
      <c r="H14" s="214"/>
    </row>
    <row r="15" spans="1:8" ht="18" customHeight="1" x14ac:dyDescent="0.25">
      <c r="A15" s="291"/>
      <c r="B15" s="294" t="s">
        <v>448</v>
      </c>
      <c r="C15" s="73">
        <f>'3.1YieldFIT'!D24</f>
        <v>22386899570</v>
      </c>
      <c r="D15" s="590">
        <f>[1]Feb2024!$E$15</f>
        <v>4.7125079365079363E-2</v>
      </c>
      <c r="E15" s="73">
        <f>C15*D15</f>
        <v>1054984418.9743111</v>
      </c>
      <c r="F15" s="293">
        <f>INDEX(INV_TAX_RATE,COUNTA($B$9:$B15)+1,1)</f>
        <v>0.21</v>
      </c>
      <c r="G15" s="302">
        <f>E15*F15</f>
        <v>221546727.98460531</v>
      </c>
      <c r="H15" s="214"/>
    </row>
    <row r="16" spans="1:8" ht="18" customHeight="1" x14ac:dyDescent="0.25">
      <c r="A16" s="291"/>
      <c r="B16" s="294" t="s">
        <v>449</v>
      </c>
      <c r="C16" s="73">
        <f>'3.1YieldFIT'!F24</f>
        <v>341143340</v>
      </c>
      <c r="D16" s="590">
        <f>[1]Feb2024!$E$16</f>
        <v>5.0905238095238094E-2</v>
      </c>
      <c r="E16" s="73">
        <f>C16*D16</f>
        <v>17365982.947304763</v>
      </c>
      <c r="F16" s="293">
        <f>INDEX(INV_TAX_RATE,COUNTA($B$9:$B16)+1,1)</f>
        <v>0.21</v>
      </c>
      <c r="G16" s="302">
        <f>E16*F16</f>
        <v>3646856.4189340002</v>
      </c>
      <c r="H16" s="214"/>
    </row>
    <row r="17" spans="1:8" ht="18" customHeight="1" x14ac:dyDescent="0.25">
      <c r="A17" s="291" t="s">
        <v>434</v>
      </c>
      <c r="B17" s="284" t="s">
        <v>451</v>
      </c>
      <c r="C17" s="73"/>
      <c r="D17" s="591"/>
      <c r="E17" s="73"/>
      <c r="F17" s="293"/>
      <c r="G17" s="583"/>
      <c r="H17" s="214"/>
    </row>
    <row r="18" spans="1:8" ht="18" customHeight="1" x14ac:dyDescent="0.25">
      <c r="A18" s="291"/>
      <c r="B18" s="294" t="s">
        <v>447</v>
      </c>
      <c r="C18" s="73">
        <f>'3.1YieldFIT'!C25</f>
        <v>2373573062</v>
      </c>
      <c r="D18" s="590">
        <f>D14*(1-INDEX(INV_TAX_RATE,1,1))</f>
        <v>4.1606666666666667E-2</v>
      </c>
      <c r="E18" s="73">
        <f>C18*D18</f>
        <v>98756463.199613333</v>
      </c>
      <c r="F18" s="293">
        <f>INDEX(INV_TAX_RATE,COUNTA($B$9:$B18)+1,1)</f>
        <v>5.2499999999999998E-2</v>
      </c>
      <c r="G18" s="302">
        <f>E18*F18</f>
        <v>5184714.3179796999</v>
      </c>
      <c r="H18" s="214"/>
    </row>
    <row r="19" spans="1:8" ht="18" customHeight="1" x14ac:dyDescent="0.25">
      <c r="A19" s="291"/>
      <c r="B19" s="294" t="s">
        <v>448</v>
      </c>
      <c r="C19" s="73">
        <f>'3.1YieldFIT'!D25</f>
        <v>23750870368</v>
      </c>
      <c r="D19" s="590">
        <f>[1]Feb2024!$E$19</f>
        <v>3.0974246031746033E-2</v>
      </c>
      <c r="E19" s="73">
        <f>C19*D19</f>
        <v>735665302.2465384</v>
      </c>
      <c r="F19" s="293">
        <f>INDEX(INV_TAX_RATE,COUNTA($B$9:$B19)+1,1)</f>
        <v>5.2499999999999998E-2</v>
      </c>
      <c r="G19" s="302">
        <f>E19*F19</f>
        <v>38622428.367943265</v>
      </c>
      <c r="H19" s="214"/>
    </row>
    <row r="20" spans="1:8" ht="18" customHeight="1" x14ac:dyDescent="0.25">
      <c r="A20" s="291"/>
      <c r="B20" s="294" t="s">
        <v>449</v>
      </c>
      <c r="C20" s="441">
        <f>'3.1YieldFIT'!F25</f>
        <v>1095825283</v>
      </c>
      <c r="D20" s="590">
        <f>[1]Feb2024!$E$20</f>
        <v>3.6890515873015874E-2</v>
      </c>
      <c r="E20" s="73">
        <f>C20*D20</f>
        <v>40425559.996563613</v>
      </c>
      <c r="F20" s="293">
        <f>INDEX(INV_TAX_RATE,COUNTA($B$9:$B20)+1,1)</f>
        <v>5.2499999999999998E-2</v>
      </c>
      <c r="G20" s="302">
        <f>E20*F20</f>
        <v>2122341.8998195897</v>
      </c>
      <c r="H20" s="214"/>
    </row>
    <row r="21" spans="1:8" ht="18" customHeight="1" x14ac:dyDescent="0.25">
      <c r="A21" s="291" t="s">
        <v>452</v>
      </c>
      <c r="B21" s="443" t="s">
        <v>453</v>
      </c>
      <c r="C21" s="112">
        <v>124223580528</v>
      </c>
      <c r="D21" s="592"/>
      <c r="E21" s="73"/>
      <c r="F21" s="293"/>
      <c r="G21" s="583"/>
      <c r="H21" s="399"/>
    </row>
    <row r="22" spans="1:8" ht="18" customHeight="1" x14ac:dyDescent="0.25">
      <c r="A22" s="291"/>
      <c r="B22" s="294" t="s">
        <v>454</v>
      </c>
      <c r="C22" s="442"/>
      <c r="D22" s="590">
        <f>[1]Feb2024!$E$23</f>
        <v>2.036E-2</v>
      </c>
      <c r="E22" s="73">
        <f>C21*D22</f>
        <v>2529192099.5500798</v>
      </c>
      <c r="F22" s="293">
        <f>INDEX(INV_TAX_RATE,COUNTA($B$9:$B22)+1,1)</f>
        <v>0.13125000000000001</v>
      </c>
      <c r="G22" s="302">
        <f t="shared" ref="G22:G27" si="0">E22*F22</f>
        <v>331956463.06594801</v>
      </c>
      <c r="H22" s="214"/>
    </row>
    <row r="23" spans="1:8" ht="18" customHeight="1" x14ac:dyDescent="0.25">
      <c r="A23" s="291"/>
      <c r="B23" s="294" t="s">
        <v>455</v>
      </c>
      <c r="C23" s="73"/>
      <c r="D23" s="590">
        <f>[1]Feb2024!$E$24</f>
        <v>0.10623999999999999</v>
      </c>
      <c r="E23" s="73">
        <f>C21*D23</f>
        <v>13197513195.294718</v>
      </c>
      <c r="F23" s="293">
        <f>INDEX(INV_TAX_RATE,COUNTA($B$9:$B23)+1,1)</f>
        <v>0.21</v>
      </c>
      <c r="G23" s="302">
        <f t="shared" si="0"/>
        <v>2771477771.0118904</v>
      </c>
      <c r="H23" s="214"/>
    </row>
    <row r="24" spans="1:8" ht="18" customHeight="1" x14ac:dyDescent="0.25">
      <c r="A24" s="291" t="s">
        <v>456</v>
      </c>
      <c r="B24" s="284" t="s">
        <v>457</v>
      </c>
      <c r="C24" s="112">
        <v>258312110</v>
      </c>
      <c r="D24" s="590">
        <f>[1]Feb2024!$E$25</f>
        <v>7.5589629629629632E-2</v>
      </c>
      <c r="E24" s="73">
        <f t="shared" ref="E24:E27" si="1">C24*D24</f>
        <v>19525716.723748147</v>
      </c>
      <c r="F24" s="293">
        <f>INDEX(INV_TAX_RATE,COUNTA($B$9:$B24)+1,1)</f>
        <v>0.13125000000000001</v>
      </c>
      <c r="G24" s="302">
        <f t="shared" si="0"/>
        <v>2562750.3199919444</v>
      </c>
      <c r="H24" s="214"/>
    </row>
    <row r="25" spans="1:8" ht="18" customHeight="1" x14ac:dyDescent="0.25">
      <c r="A25" s="291" t="s">
        <v>458</v>
      </c>
      <c r="B25" s="284" t="s">
        <v>459</v>
      </c>
      <c r="C25" s="112">
        <v>1681371801</v>
      </c>
      <c r="D25" s="590">
        <f>[1]Feb2024!$E$26</f>
        <v>5.0905238095238094E-2</v>
      </c>
      <c r="E25" s="73">
        <f t="shared" si="1"/>
        <v>85590631.856524289</v>
      </c>
      <c r="F25" s="293">
        <f>INDEX(INV_TAX_RATE,COUNTA($B$9:$B25)+1,1)</f>
        <v>0.21</v>
      </c>
      <c r="G25" s="302">
        <f t="shared" si="0"/>
        <v>17974032.6898701</v>
      </c>
      <c r="H25" s="214"/>
    </row>
    <row r="26" spans="1:8" ht="18" customHeight="1" x14ac:dyDescent="0.25">
      <c r="A26" s="291" t="s">
        <v>460</v>
      </c>
      <c r="B26" s="284" t="s">
        <v>461</v>
      </c>
      <c r="C26" s="112">
        <v>380352334</v>
      </c>
      <c r="D26" s="590">
        <f>[1]Feb2024!$E$27</f>
        <v>6.6599999999999993E-2</v>
      </c>
      <c r="E26" s="73">
        <f t="shared" si="1"/>
        <v>25331465.444399998</v>
      </c>
      <c r="F26" s="293">
        <f>INDEX(INV_TAX_RATE,COUNTA($B$9:$B26)+1,1)</f>
        <v>0.21</v>
      </c>
      <c r="G26" s="302">
        <f t="shared" si="0"/>
        <v>5319607.7433239995</v>
      </c>
      <c r="H26" s="214"/>
    </row>
    <row r="27" spans="1:8" ht="18" customHeight="1" x14ac:dyDescent="0.25">
      <c r="A27" s="291" t="s">
        <v>462</v>
      </c>
      <c r="B27" s="284" t="s">
        <v>463</v>
      </c>
      <c r="C27" s="112">
        <v>-258333001</v>
      </c>
      <c r="D27" s="590">
        <f>[1]Feb2024!$E$28</f>
        <v>5.4433333333333334E-2</v>
      </c>
      <c r="E27" s="73">
        <f t="shared" si="1"/>
        <v>-14061926.354433334</v>
      </c>
      <c r="F27" s="293">
        <f>INDEX(INV_TAX_RATE,COUNTA($B$9:$B27)+1,1)</f>
        <v>0.21</v>
      </c>
      <c r="G27" s="302">
        <f t="shared" si="0"/>
        <v>-2953004.5344309998</v>
      </c>
      <c r="H27" s="214"/>
    </row>
    <row r="28" spans="1:8" ht="18" customHeight="1" x14ac:dyDescent="0.25">
      <c r="A28" s="291" t="s">
        <v>464</v>
      </c>
      <c r="B28" s="284" t="s">
        <v>465</v>
      </c>
      <c r="C28" s="112">
        <v>7667526162</v>
      </c>
      <c r="D28" s="591"/>
      <c r="E28" s="73"/>
      <c r="F28" s="293"/>
      <c r="G28" s="583"/>
      <c r="H28" s="214"/>
    </row>
    <row r="29" spans="1:8" ht="18" customHeight="1" x14ac:dyDescent="0.25">
      <c r="A29" s="291"/>
      <c r="B29" s="294" t="s">
        <v>454</v>
      </c>
      <c r="C29" s="73"/>
      <c r="D29" s="590">
        <f>[1]Feb2024!$E$30</f>
        <v>2.036E-2</v>
      </c>
      <c r="E29" s="73">
        <f>C28*D29</f>
        <v>156110832.65832001</v>
      </c>
      <c r="F29" s="293">
        <f>INDEX(INV_TAX_RATE,COUNTA($B$9:$B29)+1,1)</f>
        <v>0.13125000000000001</v>
      </c>
      <c r="G29" s="302">
        <f>E29*F29</f>
        <v>20489546.786404502</v>
      </c>
      <c r="H29" s="214"/>
    </row>
    <row r="30" spans="1:8" ht="18" customHeight="1" x14ac:dyDescent="0.25">
      <c r="A30" s="291"/>
      <c r="B30" s="294" t="s">
        <v>455</v>
      </c>
      <c r="C30" s="73"/>
      <c r="D30" s="590">
        <f>[1]Feb2024!$E$31</f>
        <v>0.10623999999999999</v>
      </c>
      <c r="E30" s="73">
        <f>C28*D30</f>
        <v>814597979.45087993</v>
      </c>
      <c r="F30" s="293">
        <f>INDEX(INV_TAX_RATE,COUNTA($B$9:$B30)+1,1)</f>
        <v>0.21</v>
      </c>
      <c r="G30" s="302">
        <f>E30*F30</f>
        <v>171065575.68468478</v>
      </c>
      <c r="H30" s="214"/>
    </row>
    <row r="31" spans="1:8" ht="18" customHeight="1" thickBot="1" x14ac:dyDescent="0.3">
      <c r="A31" s="295" t="s">
        <v>466</v>
      </c>
      <c r="B31" s="296" t="s">
        <v>467</v>
      </c>
      <c r="C31" s="297">
        <f>SUM(C9:C30)</f>
        <v>190555108852</v>
      </c>
      <c r="D31" s="298"/>
      <c r="E31" s="297">
        <f>SUM(E9:E30)</f>
        <v>19057769843.079399</v>
      </c>
      <c r="F31" s="299"/>
      <c r="G31" s="305">
        <f>SUM(G9:G30)</f>
        <v>3651337957.1860394</v>
      </c>
      <c r="H31" s="214"/>
    </row>
    <row r="32" spans="1:8" ht="18" customHeight="1" thickTop="1" x14ac:dyDescent="0.25">
      <c r="A32" s="291" t="s">
        <v>468</v>
      </c>
      <c r="B32" s="284" t="s">
        <v>469</v>
      </c>
      <c r="C32" s="20"/>
      <c r="D32" s="440"/>
      <c r="E32" s="167">
        <v>218941407</v>
      </c>
      <c r="F32" s="293">
        <f>INDEX(INV_TAX_RATE,COUNTA($B$9:$B32)+1,1)</f>
        <v>0.21</v>
      </c>
      <c r="G32" s="302">
        <f>E32*F32</f>
        <v>45977695.469999999</v>
      </c>
      <c r="H32" s="214"/>
    </row>
    <row r="33" spans="1:8" ht="15.75" thickBot="1" x14ac:dyDescent="0.3">
      <c r="A33" s="291" t="s">
        <v>470</v>
      </c>
      <c r="B33" s="284" t="s">
        <v>471</v>
      </c>
      <c r="C33" s="73">
        <f>C31</f>
        <v>190555108852</v>
      </c>
      <c r="D33" s="300"/>
      <c r="E33" s="442">
        <f>E31-E32</f>
        <v>18838828436.079399</v>
      </c>
      <c r="F33" s="301"/>
      <c r="G33" s="302">
        <f>G31-G32</f>
        <v>3605360261.7160397</v>
      </c>
      <c r="H33" s="214"/>
    </row>
    <row r="34" spans="1:8" ht="19.5" thickBot="1" x14ac:dyDescent="0.3">
      <c r="A34" s="291" t="s">
        <v>472</v>
      </c>
      <c r="B34" s="284" t="s">
        <v>473</v>
      </c>
      <c r="C34" s="73"/>
      <c r="D34" s="300"/>
      <c r="E34" s="302"/>
      <c r="F34" s="303">
        <f>G33/E33</f>
        <v>0.19137921840251979</v>
      </c>
      <c r="G34" s="584"/>
      <c r="H34" s="399" t="str">
        <f>IF(ISERROR($F$34),"← ERROR! Correct issues with input of source data on either Page 3.1 or 3.2.","")</f>
        <v/>
      </c>
    </row>
    <row r="35" spans="1:8" ht="30.75" thickBot="1" x14ac:dyDescent="0.3">
      <c r="A35" s="295" t="s">
        <v>474</v>
      </c>
      <c r="B35" s="296" t="s">
        <v>475</v>
      </c>
      <c r="C35" s="297"/>
      <c r="D35" s="304">
        <f>E33/C33</f>
        <v>9.8862888271922994E-2</v>
      </c>
      <c r="E35" s="305"/>
      <c r="F35" s="306"/>
      <c r="G35" s="585"/>
      <c r="H35" s="435"/>
    </row>
    <row r="36" spans="1:8" ht="30.75" thickTop="1" x14ac:dyDescent="0.25">
      <c r="A36" s="307"/>
      <c r="B36" s="308"/>
      <c r="C36" s="308" t="s">
        <v>392</v>
      </c>
      <c r="D36" s="308"/>
      <c r="E36" s="308"/>
      <c r="F36" s="308"/>
      <c r="G36" s="586"/>
      <c r="H36" s="214"/>
    </row>
    <row r="37" spans="1:8" ht="18" customHeight="1" x14ac:dyDescent="0.25">
      <c r="A37" s="309" t="s">
        <v>476</v>
      </c>
      <c r="B37" s="310" t="s">
        <v>477</v>
      </c>
      <c r="C37" s="112">
        <v>28159891871</v>
      </c>
      <c r="D37" s="311"/>
      <c r="E37" s="312"/>
      <c r="F37" s="311"/>
      <c r="G37" s="587"/>
      <c r="H37" s="214"/>
    </row>
    <row r="38" spans="1:8" ht="17.25" x14ac:dyDescent="0.25">
      <c r="A38" s="309" t="s">
        <v>478</v>
      </c>
      <c r="B38" s="310" t="s">
        <v>479</v>
      </c>
      <c r="C38" s="112">
        <v>9353119827</v>
      </c>
      <c r="D38" s="311"/>
      <c r="E38" s="312"/>
      <c r="F38" s="311"/>
      <c r="G38" s="587"/>
      <c r="H38" s="214"/>
    </row>
    <row r="39" spans="1:8" ht="17.25" x14ac:dyDescent="0.25">
      <c r="A39" s="309" t="s">
        <v>480</v>
      </c>
      <c r="B39" s="310" t="s">
        <v>481</v>
      </c>
      <c r="C39" s="112">
        <v>13559184061</v>
      </c>
      <c r="D39" s="311"/>
      <c r="E39" s="312"/>
      <c r="F39" s="311"/>
      <c r="G39" s="587"/>
      <c r="H39" s="214"/>
    </row>
    <row r="40" spans="1:8" ht="17.25" x14ac:dyDescent="0.25">
      <c r="A40" s="309" t="s">
        <v>482</v>
      </c>
      <c r="B40" s="310" t="s">
        <v>483</v>
      </c>
      <c r="C40" s="112">
        <v>131209385387</v>
      </c>
      <c r="D40" s="311"/>
      <c r="E40" s="312"/>
      <c r="F40" s="311"/>
      <c r="G40" s="587"/>
      <c r="H40" s="214"/>
    </row>
    <row r="41" spans="1:8" ht="15.75" thickBot="1" x14ac:dyDescent="0.3">
      <c r="A41" s="309" t="s">
        <v>484</v>
      </c>
      <c r="B41" s="310" t="s">
        <v>485</v>
      </c>
      <c r="C41" s="73">
        <f>SUM(C37:C40)</f>
        <v>182281581146</v>
      </c>
      <c r="D41" s="311"/>
      <c r="E41" s="312"/>
      <c r="F41" s="311"/>
      <c r="G41" s="587"/>
      <c r="H41" s="214"/>
    </row>
    <row r="42" spans="1:8" ht="45.75" thickBot="1" x14ac:dyDescent="0.3">
      <c r="A42" s="313" t="s">
        <v>486</v>
      </c>
      <c r="B42" s="314" t="s">
        <v>710</v>
      </c>
      <c r="C42" s="315"/>
      <c r="D42" s="316">
        <f>D35*C33/C41</f>
        <v>0.1033501482576579</v>
      </c>
      <c r="E42" s="317"/>
      <c r="F42" s="318"/>
      <c r="G42" s="588"/>
      <c r="H42" s="399" t="str">
        <f>IF(ISERROR($D$42),"← ERROR! Correct issues with input of source data on either Page 3.1 or 3.2.","")</f>
        <v/>
      </c>
    </row>
    <row r="43" spans="1:8" ht="5.0999999999999996" customHeight="1" x14ac:dyDescent="0.25">
      <c r="A43" s="81"/>
      <c r="B43" s="285"/>
      <c r="C43" s="285"/>
      <c r="D43" s="285"/>
      <c r="E43" s="285"/>
      <c r="F43" s="285"/>
      <c r="G43" s="285"/>
      <c r="H43" s="214"/>
    </row>
    <row r="44" spans="1:8" ht="17.25" x14ac:dyDescent="0.25">
      <c r="A44" s="319" t="s">
        <v>689</v>
      </c>
      <c r="H44" s="214"/>
    </row>
    <row r="45" spans="1:8" x14ac:dyDescent="0.25">
      <c r="A45" s="320" t="s">
        <v>487</v>
      </c>
      <c r="H45" s="214"/>
    </row>
    <row r="46" spans="1:8" x14ac:dyDescent="0.25">
      <c r="A46" s="321" t="s">
        <v>488</v>
      </c>
      <c r="H46" s="214"/>
    </row>
    <row r="47" spans="1:8" ht="17.25" x14ac:dyDescent="0.25">
      <c r="A47" s="322" t="s">
        <v>489</v>
      </c>
      <c r="H47" s="445"/>
    </row>
    <row r="48" spans="1:8" x14ac:dyDescent="0.25">
      <c r="A48" s="323" t="s">
        <v>490</v>
      </c>
      <c r="F48" s="159" t="s">
        <v>491</v>
      </c>
      <c r="G48" s="605" t="s">
        <v>763</v>
      </c>
      <c r="H48" s="445" t="s">
        <v>620</v>
      </c>
    </row>
    <row r="49" spans="1:10" ht="17.25" x14ac:dyDescent="0.25">
      <c r="A49" s="322" t="s">
        <v>492</v>
      </c>
      <c r="H49" s="445" t="s">
        <v>337</v>
      </c>
    </row>
    <row r="50" spans="1:10" ht="17.25" x14ac:dyDescent="0.25">
      <c r="A50" s="319" t="s">
        <v>493</v>
      </c>
      <c r="H50" s="445"/>
    </row>
    <row r="51" spans="1:10" ht="15.75" thickBot="1" x14ac:dyDescent="0.3">
      <c r="A51" s="321" t="s">
        <v>494</v>
      </c>
      <c r="H51" s="589"/>
    </row>
    <row r="52" spans="1:10" x14ac:dyDescent="0.25">
      <c r="H52" s="15"/>
    </row>
    <row r="57" spans="1:10" x14ac:dyDescent="0.25">
      <c r="J57" s="595"/>
    </row>
    <row r="73" spans="9:10" x14ac:dyDescent="0.25">
      <c r="I73" s="594"/>
      <c r="J73" s="594"/>
    </row>
  </sheetData>
  <sheetProtection algorithmName="SHA-512" hashValue="dS67jP+AENiZV+HzxlxnKBc3HBNFHFwwnzy0vhb0q2XjNLPtXbE1d801FJnoKNnryyoeqqUKt7RZO/0GDbQvGw==" saltValue="9K1yPpxnER4IQCOIrW+FDQ==" spinCount="100000" sheet="1" objects="1" scenarios="1" formatColumns="0" formatRows="0" sort="0"/>
  <hyperlinks>
    <hyperlink ref="A48" r:id="rId1" xr:uid="{00000000-0004-0000-0600-000000000000}"/>
  </hyperlinks>
  <printOptions horizontalCentered="1"/>
  <pageMargins left="0.45" right="0.45" top="0.5" bottom="0.5" header="0.3" footer="0.3"/>
  <pageSetup scale="69" orientation="portrait" r:id="rId2"/>
  <headerFooter>
    <oddFooter>&amp;CPrior Approval Rate Template&amp;RPage 3.2&amp;L11/9/2023 Edition</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topLeftCell="A6" zoomScaleNormal="100" zoomScaleSheetLayoutView="100" workbookViewId="0"/>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7" t="s">
        <v>29</v>
      </c>
      <c r="B1" s="7"/>
      <c r="D1" s="109" t="s">
        <v>31</v>
      </c>
      <c r="G1" s="110" t="str">
        <f>Co_Name</f>
        <v>State Farm Mutual Automobile Insurance Company</v>
      </c>
    </row>
    <row r="2" spans="1:7" x14ac:dyDescent="0.25">
      <c r="A2" s="7" t="s">
        <v>30</v>
      </c>
      <c r="B2" s="7"/>
      <c r="D2" s="109" t="s">
        <v>32</v>
      </c>
      <c r="G2" s="110" t="str">
        <f>General_Line</f>
        <v>Auto Liability and Physical Damage</v>
      </c>
    </row>
    <row r="3" spans="1:7" x14ac:dyDescent="0.25">
      <c r="A3" s="6"/>
      <c r="B3" s="156"/>
      <c r="C3" s="6"/>
      <c r="D3" s="154" t="s">
        <v>140</v>
      </c>
      <c r="E3" s="77"/>
      <c r="F3" s="77"/>
      <c r="G3" s="249" t="str">
        <f>CDI_FileNo</f>
        <v/>
      </c>
    </row>
    <row r="4" spans="1:7" ht="18" customHeight="1" x14ac:dyDescent="0.25">
      <c r="A4" s="6"/>
      <c r="B4" s="156"/>
      <c r="C4" s="6"/>
      <c r="D4" s="6"/>
      <c r="E4" s="6"/>
      <c r="F4" s="6"/>
      <c r="G4" s="6"/>
    </row>
    <row r="5" spans="1:7" ht="23.25" x14ac:dyDescent="0.25">
      <c r="A5" s="4" t="s">
        <v>388</v>
      </c>
      <c r="B5" s="4"/>
      <c r="C5" s="5"/>
      <c r="D5" s="5"/>
      <c r="E5" s="5"/>
      <c r="F5" s="5"/>
      <c r="G5" s="5"/>
    </row>
    <row r="6" spans="1:7" ht="23.25" x14ac:dyDescent="0.25">
      <c r="A6" s="4" t="s">
        <v>389</v>
      </c>
      <c r="B6" s="4"/>
      <c r="C6" s="4"/>
      <c r="D6" s="4"/>
      <c r="E6" s="4"/>
      <c r="F6" s="4"/>
      <c r="G6" s="4"/>
    </row>
    <row r="7" spans="1:7" ht="15.75" thickBot="1" x14ac:dyDescent="0.3"/>
    <row r="8" spans="1:7" ht="30" x14ac:dyDescent="0.25">
      <c r="E8" s="501" t="s">
        <v>390</v>
      </c>
      <c r="F8" s="288" t="s">
        <v>391</v>
      </c>
      <c r="G8" s="457" t="s">
        <v>392</v>
      </c>
    </row>
    <row r="9" spans="1:7" x14ac:dyDescent="0.25">
      <c r="D9" s="264"/>
      <c r="E9" s="502">
        <f>F9-1</f>
        <v>2020</v>
      </c>
      <c r="F9" s="459">
        <f>G9-1</f>
        <v>2021</v>
      </c>
      <c r="G9" s="522" t="s">
        <v>762</v>
      </c>
    </row>
    <row r="10" spans="1:7" ht="30" customHeight="1" x14ac:dyDescent="0.25">
      <c r="A10" s="641" t="s">
        <v>495</v>
      </c>
      <c r="B10" s="641"/>
      <c r="C10" s="641"/>
      <c r="D10" s="641"/>
      <c r="E10" s="503">
        <v>64818696796</v>
      </c>
      <c r="F10" s="265">
        <v>66535293970</v>
      </c>
      <c r="G10" s="504">
        <v>73736073509</v>
      </c>
    </row>
    <row r="11" spans="1:7" ht="30" customHeight="1" x14ac:dyDescent="0.25">
      <c r="A11" s="641" t="s">
        <v>496</v>
      </c>
      <c r="B11" s="641"/>
      <c r="C11" s="641"/>
      <c r="D11" s="641"/>
      <c r="E11" s="503">
        <v>1131957699</v>
      </c>
      <c r="F11" s="265">
        <v>1328791390</v>
      </c>
      <c r="G11" s="504">
        <v>1351788160</v>
      </c>
    </row>
    <row r="12" spans="1:7" ht="15.75" thickBot="1" x14ac:dyDescent="0.3">
      <c r="A12" s="6" t="s">
        <v>497</v>
      </c>
      <c r="B12" s="6"/>
      <c r="C12" s="6"/>
      <c r="D12" s="6"/>
      <c r="E12" s="505">
        <f>SUM(E10:E11)</f>
        <v>65950654495</v>
      </c>
      <c r="F12" s="506">
        <f>SUM(F10:F11)</f>
        <v>67864085360</v>
      </c>
      <c r="G12" s="507">
        <f>SUM(G10:G11)</f>
        <v>75087861669</v>
      </c>
    </row>
    <row r="13" spans="1:7" x14ac:dyDescent="0.25">
      <c r="A13" s="266" t="s">
        <v>672</v>
      </c>
      <c r="B13" s="6"/>
      <c r="C13" s="6"/>
      <c r="D13" s="6"/>
    </row>
    <row r="14" spans="1:7" ht="15.75" x14ac:dyDescent="0.25">
      <c r="A14" s="531" t="s">
        <v>714</v>
      </c>
      <c r="B14" s="1"/>
    </row>
    <row r="15" spans="1:7" ht="30" customHeight="1" x14ac:dyDescent="0.25">
      <c r="A15" s="267" t="s">
        <v>393</v>
      </c>
    </row>
    <row r="16" spans="1:7" ht="5.25" customHeight="1" thickBot="1" x14ac:dyDescent="0.3">
      <c r="A16" s="268"/>
    </row>
    <row r="17" spans="1:7" ht="15" customHeight="1" x14ac:dyDescent="0.25">
      <c r="A17" s="493"/>
      <c r="B17" s="461" t="s">
        <v>390</v>
      </c>
      <c r="C17" s="461"/>
      <c r="D17" s="461" t="s">
        <v>391</v>
      </c>
      <c r="E17" s="461"/>
      <c r="F17" s="461" t="s">
        <v>392</v>
      </c>
      <c r="G17" s="462"/>
    </row>
    <row r="18" spans="1:7" ht="15" customHeight="1" x14ac:dyDescent="0.25">
      <c r="A18" s="494"/>
      <c r="B18" s="270">
        <f>E$9</f>
        <v>2020</v>
      </c>
      <c r="C18" s="269"/>
      <c r="D18" s="270">
        <f>F$9</f>
        <v>2021</v>
      </c>
      <c r="E18" s="269"/>
      <c r="F18" s="270" t="str">
        <f>G$9</f>
        <v>2022</v>
      </c>
      <c r="G18" s="472"/>
    </row>
    <row r="19" spans="1:7" ht="15" customHeight="1" x14ac:dyDescent="0.25">
      <c r="A19" s="495"/>
      <c r="B19" s="32" t="s">
        <v>394</v>
      </c>
      <c r="C19" s="32" t="s">
        <v>395</v>
      </c>
      <c r="D19" s="32" t="s">
        <v>394</v>
      </c>
      <c r="E19" s="32" t="s">
        <v>395</v>
      </c>
      <c r="F19" s="32" t="s">
        <v>394</v>
      </c>
      <c r="G19" s="496" t="s">
        <v>395</v>
      </c>
    </row>
    <row r="20" spans="1:7" ht="15" customHeight="1" x14ac:dyDescent="0.25">
      <c r="A20" s="497" t="s">
        <v>396</v>
      </c>
      <c r="B20" s="112">
        <v>2184605.62</v>
      </c>
      <c r="C20" s="112">
        <v>18081900</v>
      </c>
      <c r="D20" s="112">
        <v>2130873.84</v>
      </c>
      <c r="E20" s="112">
        <v>22376700</v>
      </c>
      <c r="F20" s="112">
        <v>2467551.19</v>
      </c>
      <c r="G20" s="498">
        <v>21943050</v>
      </c>
    </row>
    <row r="21" spans="1:7" ht="15" customHeight="1" x14ac:dyDescent="0.25">
      <c r="A21" s="497" t="s">
        <v>397</v>
      </c>
      <c r="B21" s="112">
        <v>1010750.1</v>
      </c>
      <c r="C21" s="112">
        <v>5801460</v>
      </c>
      <c r="D21" s="112">
        <v>1019146.0700000001</v>
      </c>
      <c r="E21" s="112">
        <v>7616868</v>
      </c>
      <c r="F21" s="112">
        <v>1082751.49</v>
      </c>
      <c r="G21" s="498">
        <v>8034770</v>
      </c>
    </row>
    <row r="22" spans="1:7" ht="15" customHeight="1" x14ac:dyDescent="0.25">
      <c r="A22" s="497" t="s">
        <v>398</v>
      </c>
      <c r="B22" s="112">
        <v>1004986.77</v>
      </c>
      <c r="C22" s="112">
        <v>5801460</v>
      </c>
      <c r="D22" s="112">
        <v>1006088.25</v>
      </c>
      <c r="E22" s="112">
        <v>7253322</v>
      </c>
      <c r="F22" s="112">
        <v>1094244.79</v>
      </c>
      <c r="G22" s="498">
        <v>7406191.25</v>
      </c>
    </row>
    <row r="23" spans="1:7" ht="15" customHeight="1" x14ac:dyDescent="0.25">
      <c r="A23" s="497" t="s">
        <v>399</v>
      </c>
      <c r="B23" s="112">
        <v>1086416.3799999999</v>
      </c>
      <c r="C23" s="112">
        <v>4962100</v>
      </c>
      <c r="D23" s="112">
        <v>979601.7</v>
      </c>
      <c r="E23" s="112">
        <v>6616284</v>
      </c>
      <c r="F23" s="112">
        <v>1003281.25</v>
      </c>
      <c r="G23" s="498">
        <v>7111391.25</v>
      </c>
    </row>
    <row r="24" spans="1:7" ht="15" customHeight="1" x14ac:dyDescent="0.25">
      <c r="A24" s="497" t="s">
        <v>400</v>
      </c>
      <c r="B24" s="112">
        <v>790204.24</v>
      </c>
      <c r="C24" s="112">
        <v>2475562.5</v>
      </c>
      <c r="D24" s="112">
        <v>819194.11</v>
      </c>
      <c r="E24" s="112">
        <v>3881730</v>
      </c>
      <c r="F24" s="112">
        <v>871250.13</v>
      </c>
      <c r="G24" s="498">
        <v>4091448</v>
      </c>
    </row>
    <row r="25" spans="1:7" ht="15" customHeight="1" x14ac:dyDescent="0.25">
      <c r="A25" s="117"/>
      <c r="B25" s="6"/>
      <c r="C25" s="6"/>
      <c r="D25" s="6"/>
      <c r="E25" s="6"/>
      <c r="F25" s="6"/>
      <c r="G25" s="144"/>
    </row>
    <row r="26" spans="1:7" ht="15" customHeight="1" x14ac:dyDescent="0.25">
      <c r="A26" s="495"/>
      <c r="B26" s="269" t="s">
        <v>390</v>
      </c>
      <c r="C26" s="269"/>
      <c r="D26" s="269" t="s">
        <v>391</v>
      </c>
      <c r="E26" s="269"/>
      <c r="F26" s="269" t="s">
        <v>392</v>
      </c>
      <c r="G26" s="472"/>
    </row>
    <row r="27" spans="1:7" ht="15" customHeight="1" x14ac:dyDescent="0.25">
      <c r="A27" s="495"/>
      <c r="B27" s="642">
        <f>E$9</f>
        <v>2020</v>
      </c>
      <c r="C27" s="643"/>
      <c r="D27" s="642">
        <f>F$9</f>
        <v>2021</v>
      </c>
      <c r="E27" s="643"/>
      <c r="F27" s="642" t="str">
        <f>G$9</f>
        <v>2022</v>
      </c>
      <c r="G27" s="644"/>
    </row>
    <row r="28" spans="1:7" ht="30" customHeight="1" x14ac:dyDescent="0.25">
      <c r="A28" s="495"/>
      <c r="B28" s="271" t="s">
        <v>401</v>
      </c>
      <c r="C28" s="271" t="s">
        <v>402</v>
      </c>
      <c r="D28" s="271" t="s">
        <v>401</v>
      </c>
      <c r="E28" s="271" t="s">
        <v>402</v>
      </c>
      <c r="F28" s="271" t="s">
        <v>401</v>
      </c>
      <c r="G28" s="463" t="s">
        <v>402</v>
      </c>
    </row>
    <row r="29" spans="1:7" ht="15" customHeight="1" x14ac:dyDescent="0.25">
      <c r="A29" s="497" t="s">
        <v>396</v>
      </c>
      <c r="B29" s="73">
        <f>1077*10^(1.46+0.406*(IF($E$10/1000000&lt;70,LOG10(70),LOG10($E$10/1000000))))</f>
        <v>2791039.7587723737</v>
      </c>
      <c r="C29" s="73">
        <f>IF(SUM(B20:C20)&lt;B29,0,SUM(B20:C20)-B29)</f>
        <v>17475465.861227628</v>
      </c>
      <c r="D29" s="73">
        <f>1077*10^(1.46+0.406*(IF($F$10/1000000&lt;70,LOG10(70),LOG10($F$10/1000000))))</f>
        <v>2820816.5810865532</v>
      </c>
      <c r="E29" s="73">
        <f>IF(SUM(D20:E20)&lt;D29,0,SUM(D20:E20)-D29)</f>
        <v>21686757.258913446</v>
      </c>
      <c r="F29" s="73">
        <f>1077*10^(1.46+0.406*(IF($G$10/1000000&lt;70,LOG10(70),LOG10($G$10/1000000))))</f>
        <v>2940991.6151177594</v>
      </c>
      <c r="G29" s="458">
        <f>IF(SUM(F20:G20)&lt;F29,0,SUM(F20:G20)-F29)</f>
        <v>21469609.574882243</v>
      </c>
    </row>
    <row r="30" spans="1:7" ht="15" customHeight="1" x14ac:dyDescent="0.25">
      <c r="A30" s="497" t="s">
        <v>397</v>
      </c>
      <c r="B30" s="73">
        <f>1077*10^(1.414+0.349*(IF($E$10/1000000&lt;70,LOG10(70),LOG10($E$10/1000000))))</f>
        <v>1335054.8422535942</v>
      </c>
      <c r="C30" s="73">
        <f t="shared" ref="C30:E33" si="0">IF(SUM(B21:C21)&lt;B30,0,SUM(B21:C21)-B30)</f>
        <v>5477155.2577464059</v>
      </c>
      <c r="D30" s="73">
        <f>1077*10^(1.414+0.349*(IF($F$10/1000000&lt;70,LOG10(70),LOG10($F$10/1000000))))</f>
        <v>1347289.3575431716</v>
      </c>
      <c r="E30" s="73">
        <f t="shared" si="0"/>
        <v>7288724.7124568289</v>
      </c>
      <c r="F30" s="73">
        <f>1077*10^(1.414+0.349*(IF($G$10/1000000&lt;70,LOG10(70),LOG10($G$10/1000000))))</f>
        <v>1396484.198368002</v>
      </c>
      <c r="G30" s="458">
        <f t="shared" ref="G30" si="1">IF(SUM(F21:G21)&lt;F30,0,SUM(F21:G21)-F30)</f>
        <v>7721037.2916319985</v>
      </c>
    </row>
    <row r="31" spans="1:7" ht="15" customHeight="1" x14ac:dyDescent="0.25">
      <c r="A31" s="497" t="s">
        <v>398</v>
      </c>
      <c r="B31" s="73">
        <f>1077*10^(1.231+0.382*(IF($E$10/1000000&lt;70,LOG10(70),LOG10($E$10/1000000))))</f>
        <v>1262656.4920574978</v>
      </c>
      <c r="C31" s="73">
        <f t="shared" si="0"/>
        <v>5543790.2779425019</v>
      </c>
      <c r="D31" s="73">
        <f>1077*10^(1.231+0.382*(IF($F$10/1000000&lt;70,LOG10(70),LOG10($F$10/1000000))))</f>
        <v>1275327.1281058325</v>
      </c>
      <c r="E31" s="73">
        <f t="shared" si="0"/>
        <v>6984083.1218941677</v>
      </c>
      <c r="F31" s="73">
        <f>1077*10^(1.231+0.382*(IF($G$10/1000000&lt;70,LOG10(70),LOG10($G$10/1000000))))</f>
        <v>1326384.5855972108</v>
      </c>
      <c r="G31" s="458">
        <f t="shared" ref="G31" si="2">IF(SUM(F22:G22)&lt;F31,0,SUM(F22:G22)-F31)</f>
        <v>7174051.4544027885</v>
      </c>
    </row>
    <row r="32" spans="1:7" ht="15" customHeight="1" x14ac:dyDescent="0.25">
      <c r="A32" s="497" t="s">
        <v>399</v>
      </c>
      <c r="B32" s="73">
        <f>1077*10^(1.247+0.358*(IF($E$10/1000000&lt;70,LOG10(70),LOG10($E$10/1000000))))</f>
        <v>1004163.4483309854</v>
      </c>
      <c r="C32" s="73">
        <f t="shared" si="0"/>
        <v>5044352.9316690145</v>
      </c>
      <c r="D32" s="73">
        <f>1077*10^(1.247+0.358*(IF($F$10/1000000&lt;70,LOG10(70),LOG10($F$10/1000000))))</f>
        <v>1013604.0751812285</v>
      </c>
      <c r="E32" s="73">
        <f t="shared" si="0"/>
        <v>6582281.6248187721</v>
      </c>
      <c r="F32" s="73">
        <f>1077*10^(1.247+0.358*(IF($G$10/1000000&lt;70,LOG10(70),LOG10($G$10/1000000))))</f>
        <v>1051586.8483214146</v>
      </c>
      <c r="G32" s="458">
        <f t="shared" ref="G32" si="3">IF(SUM(F23:G23)&lt;F32,0,SUM(F23:G23)-F32)</f>
        <v>7063085.6516785854</v>
      </c>
    </row>
    <row r="33" spans="1:7" ht="15" customHeight="1" x14ac:dyDescent="0.25">
      <c r="A33" s="497" t="s">
        <v>400</v>
      </c>
      <c r="B33" s="73">
        <f>1077*10^(1.246+0.342*(IF($E$10/1000000&lt;70,LOG10(70),LOG10($E$10/1000000))))</f>
        <v>839106.72980252013</v>
      </c>
      <c r="C33" s="73">
        <f t="shared" si="0"/>
        <v>2426660.0101974802</v>
      </c>
      <c r="D33" s="73">
        <f>1077*10^(1.246+0.342*(IF($F$10/1000000&lt;70,LOG10(70),LOG10($F$10/1000000))))</f>
        <v>846641.42613823386</v>
      </c>
      <c r="E33" s="73">
        <f t="shared" si="0"/>
        <v>3854282.6838617665</v>
      </c>
      <c r="F33" s="73">
        <f>1077*10^(1.246+0.342*(IF($G$10/1000000&lt;70,LOG10(70),LOG10($G$10/1000000))))</f>
        <v>876924.62526462669</v>
      </c>
      <c r="G33" s="458">
        <f t="shared" ref="G33" si="4">IF(SUM(F24:G24)&lt;F33,0,SUM(F24:G24)-F33)</f>
        <v>4085773.504735373</v>
      </c>
    </row>
    <row r="34" spans="1:7" ht="15" customHeight="1" thickBot="1" x14ac:dyDescent="0.3">
      <c r="A34" s="499" t="s">
        <v>403</v>
      </c>
      <c r="B34" s="17"/>
      <c r="C34" s="474">
        <f>SUM(C29:C33)</f>
        <v>35967424.338783033</v>
      </c>
      <c r="D34" s="17"/>
      <c r="E34" s="474">
        <f>SUM(E29:E33)</f>
        <v>46396129.401944987</v>
      </c>
      <c r="F34" s="17"/>
      <c r="G34" s="500">
        <f>SUM(G29:G33)</f>
        <v>47513557.47733099</v>
      </c>
    </row>
    <row r="35" spans="1:7" ht="15" customHeight="1" x14ac:dyDescent="0.25"/>
    <row r="36" spans="1:7" ht="15" customHeight="1" x14ac:dyDescent="0.25">
      <c r="A36" s="267" t="s">
        <v>404</v>
      </c>
    </row>
    <row r="37" spans="1:7" ht="15" customHeight="1" thickBot="1" x14ac:dyDescent="0.3"/>
    <row r="38" spans="1:7" ht="15" customHeight="1" x14ac:dyDescent="0.25">
      <c r="A38" s="508"/>
      <c r="B38" s="461" t="s">
        <v>390</v>
      </c>
      <c r="C38" s="461"/>
      <c r="D38" s="461" t="s">
        <v>391</v>
      </c>
      <c r="E38" s="461"/>
      <c r="F38" s="461" t="s">
        <v>392</v>
      </c>
      <c r="G38" s="462"/>
    </row>
    <row r="39" spans="1:7" ht="15" customHeight="1" x14ac:dyDescent="0.25">
      <c r="A39" s="465"/>
      <c r="B39" s="270">
        <f>E$9</f>
        <v>2020</v>
      </c>
      <c r="C39" s="269"/>
      <c r="D39" s="270">
        <f>F$9</f>
        <v>2021</v>
      </c>
      <c r="E39" s="269"/>
      <c r="F39" s="270" t="str">
        <f>G$9</f>
        <v>2022</v>
      </c>
      <c r="G39" s="472"/>
    </row>
    <row r="40" spans="1:7" ht="30" x14ac:dyDescent="0.25">
      <c r="A40" s="495"/>
      <c r="B40" s="271" t="s">
        <v>405</v>
      </c>
      <c r="C40" s="271" t="s">
        <v>716</v>
      </c>
      <c r="D40" s="271" t="s">
        <v>405</v>
      </c>
      <c r="E40" s="271" t="s">
        <v>716</v>
      </c>
      <c r="F40" s="271" t="s">
        <v>405</v>
      </c>
      <c r="G40" s="463" t="s">
        <v>716</v>
      </c>
    </row>
    <row r="41" spans="1:7" ht="18" thickBot="1" x14ac:dyDescent="0.3">
      <c r="A41" s="499" t="s">
        <v>406</v>
      </c>
      <c r="B41" s="532">
        <v>875227273.5</v>
      </c>
      <c r="C41" s="533">
        <v>291742424.5</v>
      </c>
      <c r="D41" s="532">
        <v>801167938.5</v>
      </c>
      <c r="E41" s="532">
        <v>267055979.5</v>
      </c>
      <c r="F41" s="532">
        <v>759832232.25</v>
      </c>
      <c r="G41" s="534">
        <v>253277410.75</v>
      </c>
    </row>
    <row r="42" spans="1:7" ht="15.75" x14ac:dyDescent="0.25">
      <c r="A42" s="272" t="s">
        <v>717</v>
      </c>
    </row>
    <row r="43" spans="1:7" x14ac:dyDescent="0.25">
      <c r="A43" s="272" t="s">
        <v>715</v>
      </c>
    </row>
  </sheetData>
  <sheetProtection algorithmName="SHA-512" hashValue="Mz7AgqzuwQPIp3xkXzXRPEq9O+Yz5BJJ5UaDr4SeqXMRF3FEr8/gMLwWBV8zvuBFTND0Xl4E2jtRTlaKwWNXMQ==" saltValue="ifDCLjA5kOQdQHi/Tfuatw=="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3"/>
  <pageSetup scale="83" orientation="portrait" r:id="rId1"/>
  <headerFooter>
    <oddFooter>&amp;CPrior Approval Rate Template&amp;RPage 4.1&amp;L11/9/2023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E20" sqref="E20"/>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7" t="s">
        <v>29</v>
      </c>
      <c r="B1" s="109" t="s">
        <v>31</v>
      </c>
      <c r="E1" s="110" t="str">
        <f>Co_Name</f>
        <v>State Farm Mutual Automobile Insurance Company</v>
      </c>
      <c r="F1" s="74" t="s">
        <v>706</v>
      </c>
    </row>
    <row r="2" spans="1:6" x14ac:dyDescent="0.25">
      <c r="A2" s="7" t="s">
        <v>30</v>
      </c>
      <c r="B2" s="109" t="s">
        <v>32</v>
      </c>
      <c r="E2" s="110" t="str">
        <f>General_Line</f>
        <v>Auto Liability and Physical Damage</v>
      </c>
      <c r="F2" s="176" t="s">
        <v>111</v>
      </c>
    </row>
    <row r="3" spans="1:6" x14ac:dyDescent="0.25">
      <c r="A3" s="6"/>
      <c r="B3" s="154" t="s">
        <v>140</v>
      </c>
      <c r="C3" s="77"/>
      <c r="D3" s="77"/>
      <c r="E3" s="249" t="str">
        <f>CDI_FileNo</f>
        <v/>
      </c>
      <c r="F3" s="214"/>
    </row>
    <row r="4" spans="1:6" ht="18" customHeight="1" x14ac:dyDescent="0.25">
      <c r="A4" s="6"/>
      <c r="B4" s="156"/>
      <c r="F4" s="214"/>
    </row>
    <row r="5" spans="1:6" ht="23.25" x14ac:dyDescent="0.25">
      <c r="A5" s="4" t="s">
        <v>407</v>
      </c>
      <c r="B5" s="5"/>
      <c r="C5" s="5"/>
      <c r="D5" s="5"/>
      <c r="E5" s="5"/>
      <c r="F5" s="214"/>
    </row>
    <row r="6" spans="1:6" ht="23.25" x14ac:dyDescent="0.25">
      <c r="A6" s="4" t="s">
        <v>389</v>
      </c>
      <c r="B6" s="4"/>
      <c r="C6" s="4"/>
      <c r="D6" s="4"/>
      <c r="E6" s="4"/>
      <c r="F6" s="214"/>
    </row>
    <row r="7" spans="1:6" x14ac:dyDescent="0.25">
      <c r="A7" s="1"/>
      <c r="F7" s="214"/>
    </row>
    <row r="8" spans="1:6" ht="16.5" thickBot="1" x14ac:dyDescent="0.3">
      <c r="A8" s="530" t="s">
        <v>714</v>
      </c>
      <c r="F8" s="214"/>
    </row>
    <row r="9" spans="1:6" ht="30" x14ac:dyDescent="0.25">
      <c r="A9" s="484"/>
      <c r="B9" s="485"/>
      <c r="C9" s="486" t="s">
        <v>390</v>
      </c>
      <c r="D9" s="288" t="s">
        <v>391</v>
      </c>
      <c r="E9" s="457" t="s">
        <v>392</v>
      </c>
      <c r="F9" s="214"/>
    </row>
    <row r="10" spans="1:6" x14ac:dyDescent="0.25">
      <c r="A10" s="487"/>
      <c r="B10" s="274"/>
      <c r="C10" s="275">
        <f>'4.1Excluded Exp'!E$9</f>
        <v>2020</v>
      </c>
      <c r="D10" s="275">
        <f>'4.1Excluded Exp'!F$9</f>
        <v>2021</v>
      </c>
      <c r="E10" s="535" t="str">
        <f>'4.1Excluded Exp'!G$9</f>
        <v>2022</v>
      </c>
      <c r="F10" s="214"/>
    </row>
    <row r="11" spans="1:6" ht="30" customHeight="1" x14ac:dyDescent="0.25">
      <c r="A11" s="488" t="s">
        <v>408</v>
      </c>
      <c r="B11" s="273"/>
      <c r="C11" s="113">
        <v>6600269.0599999996</v>
      </c>
      <c r="D11" s="113">
        <v>6184292.0499999998</v>
      </c>
      <c r="E11" s="498">
        <v>6326032.3799999999</v>
      </c>
      <c r="F11" s="214"/>
    </row>
    <row r="12" spans="1:6" ht="30" customHeight="1" x14ac:dyDescent="0.25">
      <c r="A12" s="488" t="s">
        <v>674</v>
      </c>
      <c r="B12" s="276"/>
      <c r="C12" s="277">
        <f>'4.1Excluded Exp'!$C$34</f>
        <v>35967424.338783033</v>
      </c>
      <c r="D12" s="277">
        <f>'4.1Excluded Exp'!$E$34</f>
        <v>46396129.401944987</v>
      </c>
      <c r="E12" s="458">
        <f>'4.1Excluded Exp'!$G$34</f>
        <v>47513557.47733099</v>
      </c>
      <c r="F12" s="214"/>
    </row>
    <row r="13" spans="1:6" ht="30" customHeight="1" x14ac:dyDescent="0.25">
      <c r="A13" s="488" t="s">
        <v>409</v>
      </c>
      <c r="B13" s="276"/>
      <c r="C13" s="113">
        <v>0</v>
      </c>
      <c r="D13" s="113">
        <v>697639</v>
      </c>
      <c r="E13" s="498">
        <v>0</v>
      </c>
      <c r="F13" s="214"/>
    </row>
    <row r="14" spans="1:6" ht="30" customHeight="1" x14ac:dyDescent="0.25">
      <c r="A14" s="488" t="s">
        <v>410</v>
      </c>
      <c r="B14" s="276"/>
      <c r="C14" s="113">
        <v>0</v>
      </c>
      <c r="D14" s="113">
        <v>0</v>
      </c>
      <c r="E14" s="498">
        <v>0</v>
      </c>
      <c r="F14" s="214"/>
    </row>
    <row r="15" spans="1:6" ht="30" customHeight="1" x14ac:dyDescent="0.25">
      <c r="A15" s="488" t="s">
        <v>411</v>
      </c>
      <c r="B15" s="276"/>
      <c r="C15" s="113">
        <v>901017.98</v>
      </c>
      <c r="D15" s="113">
        <v>317683.52</v>
      </c>
      <c r="E15" s="498">
        <v>2877940.27</v>
      </c>
      <c r="F15" s="214"/>
    </row>
    <row r="16" spans="1:6" ht="30" customHeight="1" x14ac:dyDescent="0.25">
      <c r="A16" s="488" t="s">
        <v>675</v>
      </c>
      <c r="B16" s="276"/>
      <c r="C16" s="277">
        <f>'4.1Excluded Exp'!$B$41</f>
        <v>875227273.5</v>
      </c>
      <c r="D16" s="277">
        <f>'4.1Excluded Exp'!$D$41</f>
        <v>801167938.5</v>
      </c>
      <c r="E16" s="458">
        <f>'4.1Excluded Exp'!$F$41</f>
        <v>759832232.25</v>
      </c>
      <c r="F16" s="214"/>
    </row>
    <row r="17" spans="1:6" ht="30" customHeight="1" x14ac:dyDescent="0.25">
      <c r="A17" s="488" t="s">
        <v>412</v>
      </c>
      <c r="B17" s="276"/>
      <c r="C17" s="113">
        <v>0</v>
      </c>
      <c r="D17" s="113">
        <v>0</v>
      </c>
      <c r="E17" s="498">
        <v>0</v>
      </c>
      <c r="F17" s="214"/>
    </row>
    <row r="18" spans="1:6" ht="30" customHeight="1" x14ac:dyDescent="0.25">
      <c r="A18" s="489" t="s">
        <v>413</v>
      </c>
      <c r="B18" s="278"/>
      <c r="C18" s="279">
        <f>SUM(C11:C17)</f>
        <v>918695984.87878299</v>
      </c>
      <c r="D18" s="279">
        <f>SUM(D11:D17)</f>
        <v>854763682.47194505</v>
      </c>
      <c r="E18" s="536">
        <f>SUM(E11:E17)</f>
        <v>816549762.37733102</v>
      </c>
      <c r="F18" s="214"/>
    </row>
    <row r="19" spans="1:6" ht="30" customHeight="1" x14ac:dyDescent="0.25">
      <c r="A19" s="489" t="s">
        <v>160</v>
      </c>
      <c r="B19" s="278"/>
      <c r="C19" s="280">
        <f>IF(AND(New_Insurer_Group=TRUE,New_Program=TRUE),0,C18/'4.1Excluded Exp'!E$12)</f>
        <v>1.393005106489782E-2</v>
      </c>
      <c r="D19" s="280">
        <f>IF(AND(New_Insurer_Group=TRUE,New_Program=TRUE),0,D18/'4.1Excluded Exp'!F$12)</f>
        <v>1.2595228800884336E-2</v>
      </c>
      <c r="E19" s="537">
        <f>IF(AND(New_Insurer_Group=TRUE,New_Program=TRUE),0,E18/'4.1Excluded Exp'!G$12)</f>
        <v>1.0874590702513551E-2</v>
      </c>
      <c r="F19" s="519"/>
    </row>
    <row r="20" spans="1:6" ht="30" customHeight="1" thickBot="1" x14ac:dyDescent="0.3">
      <c r="A20" s="490" t="s">
        <v>414</v>
      </c>
      <c r="B20" s="491"/>
      <c r="C20" s="492"/>
      <c r="D20" s="492"/>
      <c r="E20" s="538">
        <f>AVERAGE(C19:E19)</f>
        <v>1.2466623522765235E-2</v>
      </c>
      <c r="F20" s="399" t="str">
        <f>IF(ISERROR($E$20),"← ERROR! Correct issues with input of source data on either Page 4.1 or 4.2.","")</f>
        <v/>
      </c>
    </row>
    <row r="21" spans="1:6" ht="15.75" thickBot="1" x14ac:dyDescent="0.3">
      <c r="F21" s="520"/>
    </row>
  </sheetData>
  <sheetProtection algorithmName="SHA-512" hashValue="FafjZFLDHoO3bi3sRYA1Icf7Z0CoRZTJ0xrzFlcXDbO2bROLw5oPtignuEj8WoLLC2pdjEsZbpA5EfSsDSzAlQ==" saltValue="WQU9b/m5EmBO1ld7a+EoMw==" spinCount="100000" sheet="1" objects="1" scenarios="1" formatColumns="0" formatRows="0" sort="0"/>
  <printOptions horizontalCentered="1"/>
  <pageMargins left="0.45" right="0.45" top="0.5" bottom="0.5" header="0.3" footer="0.3"/>
  <pageSetup scale="86" fitToHeight="2" orientation="portrait" r:id="rId1"/>
  <headerFooter>
    <oddFooter>&amp;CPrior Approval Rate Template&amp;RPage 4.2&amp;L11/9/2023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topLeftCell="C1" zoomScaleNormal="100" zoomScaleSheetLayoutView="100" workbookViewId="0">
      <selection activeCell="J28" sqref="J28:J30"/>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7" t="s">
        <v>29</v>
      </c>
      <c r="G1" s="109" t="s">
        <v>31</v>
      </c>
      <c r="J1" s="110" t="str">
        <f>Co_Name</f>
        <v>State Farm Mutual Automobile Insurance Company</v>
      </c>
    </row>
    <row r="2" spans="1:10 16374:16374" x14ac:dyDescent="0.25">
      <c r="A2" s="7" t="s">
        <v>30</v>
      </c>
      <c r="G2" s="109" t="s">
        <v>32</v>
      </c>
      <c r="J2" s="110" t="str">
        <f>General_Line</f>
        <v>Auto Liability and Physical Damage</v>
      </c>
    </row>
    <row r="3" spans="1:10 16374:16374" x14ac:dyDescent="0.25">
      <c r="G3" s="201" t="s">
        <v>138</v>
      </c>
      <c r="H3" s="201"/>
      <c r="I3" s="201"/>
      <c r="J3" s="160" t="str">
        <f>CDI_FileNo</f>
        <v/>
      </c>
    </row>
    <row r="4" spans="1:10 16374:16374" ht="18" customHeight="1" x14ac:dyDescent="0.25"/>
    <row r="5" spans="1:10 16374:16374" ht="23.25" x14ac:dyDescent="0.25">
      <c r="A5" s="4" t="s">
        <v>604</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379" t="s">
        <v>312</v>
      </c>
      <c r="B7" s="380"/>
      <c r="C7" s="380"/>
      <c r="D7" s="380"/>
      <c r="E7" s="380"/>
      <c r="F7" s="380"/>
      <c r="G7" s="380"/>
      <c r="H7" s="380"/>
      <c r="I7" s="380"/>
      <c r="J7" s="381"/>
    </row>
    <row r="8" spans="1:10 16374:16374" x14ac:dyDescent="0.25">
      <c r="A8" s="357"/>
      <c r="B8" s="358"/>
      <c r="C8" s="358"/>
      <c r="D8" s="359" t="s">
        <v>387</v>
      </c>
      <c r="E8" s="360"/>
      <c r="F8" s="361"/>
      <c r="G8" s="358"/>
      <c r="H8" s="358"/>
      <c r="I8" s="358"/>
      <c r="J8" s="362"/>
    </row>
    <row r="9" spans="1:10 16374:16374" ht="15.75" thickBot="1" x14ac:dyDescent="0.3">
      <c r="A9" s="212"/>
      <c r="B9" s="1"/>
      <c r="C9" s="376"/>
      <c r="D9" s="363">
        <f>Pct_Cap</f>
        <v>1</v>
      </c>
      <c r="E9" s="364">
        <f>Pct_Dir</f>
        <v>0</v>
      </c>
      <c r="F9" s="365">
        <f>Pct_Ind</f>
        <v>0</v>
      </c>
      <c r="G9" s="366"/>
      <c r="H9" s="210"/>
      <c r="I9" s="210"/>
      <c r="J9" s="367"/>
    </row>
    <row r="10" spans="1:10 16374:16374" ht="60.75" thickBot="1" x14ac:dyDescent="0.3">
      <c r="A10" s="83" t="s">
        <v>386</v>
      </c>
      <c r="B10" s="368" t="s">
        <v>385</v>
      </c>
      <c r="C10" s="368" t="s">
        <v>364</v>
      </c>
      <c r="D10" s="369" t="s">
        <v>115</v>
      </c>
      <c r="E10" s="370" t="s">
        <v>116</v>
      </c>
      <c r="F10" s="371" t="s">
        <v>123</v>
      </c>
      <c r="G10" s="372" t="s">
        <v>499</v>
      </c>
      <c r="H10" s="372" t="s">
        <v>290</v>
      </c>
      <c r="I10" s="372" t="s">
        <v>160</v>
      </c>
      <c r="J10" s="373" t="s">
        <v>313</v>
      </c>
      <c r="XET10" s="178"/>
    </row>
    <row r="11" spans="1:10 16374:16374" ht="18" customHeight="1" x14ac:dyDescent="0.25">
      <c r="A11" s="344" t="str">
        <f>Detailed_LineDesc01</f>
        <v>Private Passenger Auto Liability</v>
      </c>
      <c r="B11" s="345">
        <f ca="1">IF(OR(RIGHT(Detailed_LineCode01,1)="R",RIGHT(Detailed_LineCode01,1)="C",RIGHT(Detailed_LineCode01,1)="P"),LEFT(Detailed_LineCode01,LEN(Detailed_LineCode01)-1),Detailed_LineCode01)</f>
        <v>19.2</v>
      </c>
      <c r="C11" s="513" t="str">
        <f>IF(Covg01="","",Covg01)</f>
        <v>BIPD</v>
      </c>
      <c r="D11" s="355">
        <f ca="1">IF(Covg01="","",VLOOKUP(Detailed_LineCode01,Table_EffStd,D$21+1,FALSE))</f>
        <v>0.30454699826237225</v>
      </c>
      <c r="E11" s="343">
        <f ca="1">IF(Covg01="","",VLOOKUP(Detailed_LineCode01,Table_EffStd,E$21+1,FALSE))</f>
        <v>0.25970385247386396</v>
      </c>
      <c r="F11" s="356">
        <f ca="1">IF(Covg01="","",VLOOKUP(Detailed_LineCode01,Table_EffStd,F$21+1,FALSE))</f>
        <v>0.35019924035838601</v>
      </c>
      <c r="G11" s="211">
        <f ca="1">IF(Covg01="","",SUMPRODUCT(D11:F11,D$9:F$9))</f>
        <v>0.30454699826237225</v>
      </c>
      <c r="H11" s="405">
        <f>IF(Covg01="","",IF(AND(ISBLANK('6.1Ratemaking Data'!$J$39)=FALSE,'1.General'!$I$47=1),EffStd_Var01,0))</f>
        <v>0</v>
      </c>
      <c r="I11" s="343">
        <f>IF(Covg01="","",ExpRatio_Excluded)</f>
        <v>1.2466623522765235E-2</v>
      </c>
      <c r="J11" s="347">
        <f ca="1">IF(Covg01="","",G11+H11-I11)</f>
        <v>0.29208037473960702</v>
      </c>
    </row>
    <row r="12" spans="1:10 16374:16374" ht="18" customHeight="1" x14ac:dyDescent="0.25">
      <c r="A12" s="344" t="str">
        <f>Detailed_LineDesc02</f>
        <v>Private Passenger Auto Liability</v>
      </c>
      <c r="B12" s="345">
        <f ca="1">IF(OR(RIGHT(Detailed_LineCode02,1)="R",RIGHT(Detailed_LineCode02,1)="C",RIGHT(Detailed_LineCode02,1)="P"),LEFT(Detailed_LineCode02,LEN(Detailed_LineCode02)-1),Detailed_LineCode02)</f>
        <v>19.2</v>
      </c>
      <c r="C12" s="513" t="str">
        <f>IF(Covg02="","",Covg02)</f>
        <v>MPC</v>
      </c>
      <c r="D12" s="355">
        <f ca="1">IF(Covg02="","",VLOOKUP(Detailed_LineCode02,Table_EffStd,D$21+1,FALSE))</f>
        <v>0.30454699826237225</v>
      </c>
      <c r="E12" s="343">
        <f ca="1">IF(Covg02="","",VLOOKUP(Detailed_LineCode02,Table_EffStd,E$21+1,FALSE))</f>
        <v>0.25970385247386396</v>
      </c>
      <c r="F12" s="356">
        <f ca="1">IF(Covg02="","",VLOOKUP(Detailed_LineCode02,Table_EffStd,F$21+1,FALSE))</f>
        <v>0.35019924035838601</v>
      </c>
      <c r="G12" s="211">
        <f ca="1">IF(Covg02="","",SUMPRODUCT(D12:F12,D$9:F$9))</f>
        <v>0.30454699826237225</v>
      </c>
      <c r="H12" s="405">
        <f>IF(Covg02="","",IF(AND(ISBLANK('6.2Ratemaking Data'!$J$39)=FALSE,'1.General'!$I$47=1),EffStd_Var02,0))</f>
        <v>0</v>
      </c>
      <c r="I12" s="343">
        <f>IF(Covg02="","",ExpRatio_Excluded)</f>
        <v>1.2466623522765235E-2</v>
      </c>
      <c r="J12" s="347">
        <f ca="1">IF(Covg02="","",G12+H12-I12)</f>
        <v>0.29208037473960702</v>
      </c>
    </row>
    <row r="13" spans="1:10 16374:16374" ht="18" customHeight="1" x14ac:dyDescent="0.25">
      <c r="A13" s="344" t="str">
        <f>Detailed_LineDesc03</f>
        <v>Private Passenger Auto Liability</v>
      </c>
      <c r="B13" s="345">
        <f ca="1">IF(OR(RIGHT(Detailed_LineCode03,1)="R",RIGHT(Detailed_LineCode03,1)="C",RIGHT(Detailed_LineCode03,1)="P"),LEFT(Detailed_LineCode03,LEN(Detailed_LineCode03)-1),Detailed_LineCode03)</f>
        <v>19.2</v>
      </c>
      <c r="C13" s="513" t="str">
        <f>IF(Covg03="","",Covg03)</f>
        <v>UM</v>
      </c>
      <c r="D13" s="355">
        <f ca="1">IF(Covg03="","",VLOOKUP(Detailed_LineCode03,Table_EffStd,D$21+1,FALSE))</f>
        <v>0.30454699826237225</v>
      </c>
      <c r="E13" s="343">
        <f ca="1">IF(Covg03="","",VLOOKUP(Detailed_LineCode03,Table_EffStd,E$21+1,FALSE))</f>
        <v>0.25970385247386396</v>
      </c>
      <c r="F13" s="356">
        <f ca="1">IF(Covg03="","",VLOOKUP(Detailed_LineCode03,Table_EffStd,F$21+1,FALSE))</f>
        <v>0.35019924035838601</v>
      </c>
      <c r="G13" s="211">
        <f ca="1">IF(Covg03="","",SUMPRODUCT(D13:F13,D$9:F$9))</f>
        <v>0.30454699826237225</v>
      </c>
      <c r="H13" s="405">
        <f>IF(Covg03="","",IF(AND(ISBLANK('6.3Ratemaking Data'!$J$39)=FALSE,'1.General'!$I$47=1),EffStd_Var03,0))</f>
        <v>0</v>
      </c>
      <c r="I13" s="343">
        <f>IF(Covg03="","",ExpRatio_Excluded)</f>
        <v>1.2466623522765235E-2</v>
      </c>
      <c r="J13" s="347">
        <f ca="1">IF(Covg03="","",G13+H13-I13)</f>
        <v>0.29208037473960702</v>
      </c>
    </row>
    <row r="14" spans="1:10 16374:16374" ht="18" customHeight="1" x14ac:dyDescent="0.25">
      <c r="A14" s="344" t="str">
        <f>Detailed_LineDesc04</f>
        <v>Private Passenger Auto Physical Damage</v>
      </c>
      <c r="B14" s="345">
        <f ca="1">IF(OR(RIGHT(Detailed_LineCode04,1)="R",RIGHT(Detailed_LineCode04,1)="C",RIGHT(Detailed_LineCode04,1)="P"),LEFT(Detailed_LineCode04,LEN(Detailed_LineCode04)-1),Detailed_LineCode04)</f>
        <v>21.1</v>
      </c>
      <c r="C14" s="513" t="str">
        <f>IF(Covg04="","",Covg04)</f>
        <v>COMP</v>
      </c>
      <c r="D14" s="355">
        <f ca="1">IF(Covg04="","",VLOOKUP(Detailed_LineCode04,Table_EffStd,D$21+1,FALSE))</f>
        <v>0.31285722591986026</v>
      </c>
      <c r="E14" s="343">
        <f ca="1">IF(Covg04="","",VLOOKUP(Detailed_LineCode04,Table_EffStd,E$21+1,FALSE))</f>
        <v>0.26631210822473322</v>
      </c>
      <c r="F14" s="356">
        <f ca="1">IF(Covg04="","",VLOOKUP(Detailed_LineCode04,Table_EffStd,F$21+1,FALSE))</f>
        <v>0.35034271367466108</v>
      </c>
      <c r="G14" s="211">
        <f ca="1">IF(Covg04="","",SUMPRODUCT(D14:F14,D$9:F$9))</f>
        <v>0.31285722591986026</v>
      </c>
      <c r="H14" s="405">
        <f>IF(Covg04="","",IF(AND(ISBLANK('6.4Ratemaking Data'!$J$39)=FALSE,'1.General'!$I$47=1),EffStd_Var04,0))</f>
        <v>0</v>
      </c>
      <c r="I14" s="343">
        <f>IF(Covg04="","",ExpRatio_Excluded)</f>
        <v>1.2466623522765235E-2</v>
      </c>
      <c r="J14" s="347">
        <f ca="1">IF(Covg04="","",G14+H14-I14)</f>
        <v>0.30039060239709503</v>
      </c>
    </row>
    <row r="15" spans="1:10 16374:16374" ht="18" customHeight="1" x14ac:dyDescent="0.25">
      <c r="A15" s="344" t="str">
        <f>Detailed_LineDesc05</f>
        <v>Private Passenger Auto Physical Damage</v>
      </c>
      <c r="B15" s="345">
        <f ca="1">IF(OR(RIGHT(Detailed_LineCode05,1)="R",RIGHT(Detailed_LineCode05,1)="C",RIGHT(Detailed_LineCode05,1)="P"),LEFT(Detailed_LineCode05,LEN(Detailed_LineCode05)-1),Detailed_LineCode05)</f>
        <v>21.1</v>
      </c>
      <c r="C15" s="513" t="str">
        <f>IF(Covg05="","",Covg05)</f>
        <v>COLL</v>
      </c>
      <c r="D15" s="355">
        <f ca="1">IF(Covg05="","",VLOOKUP(Detailed_LineCode05,Table_EffStd,D$21+1,FALSE))</f>
        <v>0.31285722591986026</v>
      </c>
      <c r="E15" s="343">
        <f ca="1">IF(Covg05="","",VLOOKUP(Detailed_LineCode05,Table_EffStd,E$21+1,FALSE))</f>
        <v>0.26631210822473322</v>
      </c>
      <c r="F15" s="356">
        <f ca="1">IF(Covg05="","",VLOOKUP(Detailed_LineCode05,Table_EffStd,F$21+1,FALSE))</f>
        <v>0.35034271367466108</v>
      </c>
      <c r="G15" s="211">
        <f ca="1">IF(Covg05="","",SUMPRODUCT(D15:F15,D$9:F$9))</f>
        <v>0.31285722591986026</v>
      </c>
      <c r="H15" s="405">
        <f>IF(Covg05="","",IF(AND(ISBLANK('6.5Ratemaking Data'!$J$39)=FALSE,'1.General'!$I$47=1),EffStd_Var05,0))</f>
        <v>0</v>
      </c>
      <c r="I15" s="343">
        <f>IF(Covg05="","",ExpRatio_Excluded)</f>
        <v>1.2466623522765235E-2</v>
      </c>
      <c r="J15" s="347">
        <f ca="1">IF(Covg05="","",G15+H15-I15)</f>
        <v>0.30039060239709503</v>
      </c>
    </row>
    <row r="16" spans="1:10 16374:16374" ht="18" customHeight="1" x14ac:dyDescent="0.25">
      <c r="A16" s="344" t="str">
        <f>Detailed_LineDesc06</f>
        <v>Private Passenger Auto Physical Damage</v>
      </c>
      <c r="B16" s="345">
        <f ca="1">IF(OR(RIGHT(Detailed_LineCode06,1)="R",RIGHT(Detailed_LineCode06,1)="C",RIGHT(Detailed_LineCode06,1)="P"),LEFT(Detailed_LineCode06,LEN(Detailed_LineCode06)-1),Detailed_LineCode06)</f>
        <v>21.1</v>
      </c>
      <c r="C16" s="513" t="str">
        <f>IF(Covg06="","",Covg06)</f>
        <v>Misc. Damage</v>
      </c>
      <c r="D16" s="355">
        <f ca="1">IF(Covg06="","",VLOOKUP(Detailed_LineCode06,Table_EffStd,D$21+1,FALSE))</f>
        <v>0.31285722591986026</v>
      </c>
      <c r="E16" s="343">
        <f ca="1">IF(Covg06="","",VLOOKUP(Detailed_LineCode06,Table_EffStd,E$21+1,FALSE))</f>
        <v>0.26631210822473322</v>
      </c>
      <c r="F16" s="356">
        <f ca="1">IF(Covg06="","",VLOOKUP(Detailed_LineCode06,Table_EffStd,F$21+1,FALSE))</f>
        <v>0.35034271367466108</v>
      </c>
      <c r="G16" s="211">
        <f ca="1">IF(Covg06="","",SUMPRODUCT(D16:F16,D$9:F$9))</f>
        <v>0.31285722591986026</v>
      </c>
      <c r="H16" s="405">
        <f>IF(Covg06="","",IF(AND(ISBLANK('6.6Ratemaking Data'!$J$39)=FALSE,'1.General'!$I$47=1),EffStd_Var06,0))</f>
        <v>0</v>
      </c>
      <c r="I16" s="343">
        <f>IF(Covg06="","",ExpRatio_Excluded)</f>
        <v>1.2466623522765235E-2</v>
      </c>
      <c r="J16" s="347">
        <f ca="1">IF(Covg06="","",G16+H16-I16)</f>
        <v>0.30039060239709503</v>
      </c>
    </row>
    <row r="17" spans="1:11" ht="18" customHeight="1" x14ac:dyDescent="0.25">
      <c r="A17" s="344" t="str">
        <f>Detailed_LineDesc07</f>
        <v>Private Passenger Auto Liability</v>
      </c>
      <c r="B17" s="345">
        <f ca="1">IF(OR(RIGHT(Detailed_LineCode07,1)="R",RIGHT(Detailed_LineCode07,1)="C",RIGHT(Detailed_LineCode07,1)="P"),LEFT(Detailed_LineCode07,LEN(Detailed_LineCode07)-1),Detailed_LineCode07)</f>
        <v>19.2</v>
      </c>
      <c r="C17" s="513" t="str">
        <f>IF(Covg07="","",Covg07)</f>
        <v>Misc. Liability</v>
      </c>
      <c r="D17" s="355">
        <f ca="1">IF(Covg07="","",VLOOKUP(Detailed_LineCode07,Table_EffStd,D$21+1,FALSE))</f>
        <v>0.30454699826237225</v>
      </c>
      <c r="E17" s="343">
        <f ca="1">IF(Covg07="","",VLOOKUP(Detailed_LineCode07,Table_EffStd,E$21+1,FALSE))</f>
        <v>0.25970385247386396</v>
      </c>
      <c r="F17" s="356">
        <f ca="1">IF(Covg07="","",VLOOKUP(Detailed_LineCode07,Table_EffStd,F$21+1,FALSE))</f>
        <v>0.35019924035838601</v>
      </c>
      <c r="G17" s="211">
        <f ca="1">IF(Covg07="","",SUMPRODUCT(D17:F17,D$9:F$9))</f>
        <v>0.30454699826237225</v>
      </c>
      <c r="H17" s="405">
        <f>IF(Covg07="","",IF(AND(ISBLANK('6.7Ratemaking Data'!$J$39)=FALSE,'1.General'!$I$47=1),EffStd_Var07,0))</f>
        <v>0</v>
      </c>
      <c r="I17" s="343">
        <f>IF(Covg07="","",ExpRatio_Excluded)</f>
        <v>1.2466623522765235E-2</v>
      </c>
      <c r="J17" s="347">
        <f ca="1">IF(Covg07="","",G17+H17-I17)</f>
        <v>0.29208037473960702</v>
      </c>
    </row>
    <row r="18" spans="1:11" ht="18" customHeight="1" x14ac:dyDescent="0.25">
      <c r="A18" s="344" t="str">
        <f>Detailed_LineDesc08</f>
        <v/>
      </c>
      <c r="B18" s="345" t="str">
        <f>IF(OR(RIGHT(Detailed_LineCode08,1)="R",RIGHT(Detailed_LineCode08,1)="C",RIGHT(Detailed_LineCode08,1)="P"),LEFT(Detailed_LineCode08,LEN(Detailed_LineCode08)-1),Detailed_LineCode08)</f>
        <v/>
      </c>
      <c r="C18" s="513"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25">
      <c r="A19" s="344" t="str">
        <f>Detailed_LineDesc09</f>
        <v/>
      </c>
      <c r="B19" s="345" t="str">
        <f>IF(OR(RIGHT(Detailed_LineCode09,1)="R",RIGHT(Detailed_LineCode09,1)="C",RIGHT(Detailed_LineCode09,1)="P"),LEFT(Detailed_LineCode09,LEN(Detailed_LineCode09)-1),Detailed_LineCode09)</f>
        <v/>
      </c>
      <c r="C19" s="513"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3">
      <c r="A20" s="348" t="str">
        <f>Detailed_LineDesc10</f>
        <v/>
      </c>
      <c r="B20" s="349" t="str">
        <f>IF(OR(RIGHT(Detailed_LineCode10,1)="R",RIGHT(Detailed_LineCode10,1)="C",RIGHT(Detailed_LineCode10,1)="P"),LEFT(Detailed_LineCode10,LEN(Detailed_LineCode10)-1),Detailed_LineCode10)</f>
        <v/>
      </c>
      <c r="C20" s="514"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25">
      <c r="B21" s="345"/>
      <c r="C21" s="11"/>
      <c r="D21" s="382">
        <v>1</v>
      </c>
      <c r="E21" s="382">
        <v>2</v>
      </c>
      <c r="F21" s="382">
        <v>3</v>
      </c>
      <c r="G21" s="211"/>
      <c r="H21" s="346"/>
      <c r="I21" s="343"/>
      <c r="J21" s="79"/>
    </row>
    <row r="22" spans="1:11" ht="15.75" thickBot="1" x14ac:dyDescent="0.3"/>
    <row r="23" spans="1:11" ht="47.25" customHeight="1" x14ac:dyDescent="0.3">
      <c r="A23" s="383"/>
      <c r="B23" s="384"/>
      <c r="C23" s="385"/>
      <c r="D23" s="645" t="s">
        <v>134</v>
      </c>
      <c r="E23" s="646"/>
      <c r="F23" s="379" t="s">
        <v>132</v>
      </c>
      <c r="G23" s="386"/>
      <c r="H23" s="387"/>
      <c r="I23" s="656" t="str">
        <f>"Yields, Rate of Return &amp; Premium Tax Values as of "&amp;'3.2YieldFIT'!G48</f>
        <v>Yields, Rate of Return &amp; Premium Tax Values as of February 2024</v>
      </c>
      <c r="J23" s="657"/>
    </row>
    <row r="24" spans="1:11" ht="33.75" customHeight="1" thickBot="1" x14ac:dyDescent="0.35">
      <c r="A24" s="388"/>
      <c r="B24" s="389"/>
      <c r="C24" s="390"/>
      <c r="D24" s="647"/>
      <c r="E24" s="648"/>
      <c r="F24" s="528" t="str">
        <f>IF(AND('1.General'!$I$47*'1.General'!$I$48=1,FIND({3},'1.General'!$E$47&amp;"3")&lt;=LEN('1.General'!$E$47)),"(Variance 3 applied)","(Variance 3 not applied)")</f>
        <v>(Variance 3 not applied)</v>
      </c>
      <c r="G24" s="391"/>
      <c r="H24" s="392"/>
      <c r="I24" s="658"/>
      <c r="J24" s="659"/>
    </row>
    <row r="25" spans="1:11" ht="60.75" thickBot="1" x14ac:dyDescent="0.3">
      <c r="A25" s="83" t="s">
        <v>386</v>
      </c>
      <c r="B25" s="368" t="s">
        <v>385</v>
      </c>
      <c r="C25" s="377" t="s">
        <v>364</v>
      </c>
      <c r="D25" s="378" t="s">
        <v>136</v>
      </c>
      <c r="E25" s="377" t="s">
        <v>137</v>
      </c>
      <c r="F25" s="378" t="s">
        <v>560</v>
      </c>
      <c r="G25" s="368" t="s">
        <v>290</v>
      </c>
      <c r="H25" s="368" t="s">
        <v>314</v>
      </c>
      <c r="I25" s="527" t="s">
        <v>163</v>
      </c>
      <c r="J25" s="529">
        <f>'3.2YieldFIT'!D42</f>
        <v>0.1033501482576579</v>
      </c>
    </row>
    <row r="26" spans="1:11" ht="18" customHeight="1" x14ac:dyDescent="0.25">
      <c r="A26" s="344" t="str">
        <f>Detailed_LineDesc01</f>
        <v>Private Passenger Auto Liability</v>
      </c>
      <c r="B26" s="345">
        <f ca="1">B11</f>
        <v>19.2</v>
      </c>
      <c r="C26" s="513" t="str">
        <f>IF(Covg01="","",Covg01)</f>
        <v>BIPD</v>
      </c>
      <c r="D26" s="374">
        <f ca="1">IF(Covg01="","",VLOOKUP(Detailed_LineCode01,Table_ResRatio,2,FALSE))</f>
        <v>0.32</v>
      </c>
      <c r="E26" s="375">
        <f ca="1">IF(Covg01="","",VLOOKUP(Detailed_LineCode01,Table_ResRatio,3,FALSE))</f>
        <v>1.1599999999999999</v>
      </c>
      <c r="F26" s="374">
        <f ca="1">IF(Covg01="","",VLOOKUP(Detailed_LineCode01,Table_LevFact,2,FALSE))</f>
        <v>0.77049999999999996</v>
      </c>
      <c r="G26" s="404">
        <f>IF(Covg01="","",IF(AND('1.General'!$I$47*'1.General'!$I$48=1,FIND({3},'1.General'!$E$47&amp;"3")&lt;=LEN('1.General'!$E$47)),0.85,1))</f>
        <v>1</v>
      </c>
      <c r="H26" s="404">
        <f ca="1">IF(Covg01="","",F26*G26)</f>
        <v>0.77049999999999996</v>
      </c>
      <c r="I26" s="629" t="s">
        <v>711</v>
      </c>
      <c r="J26" s="652">
        <f>'3.2YieldFIT'!F34</f>
        <v>0.19137921840251979</v>
      </c>
    </row>
    <row r="27" spans="1:11" ht="18" customHeight="1" thickBot="1" x14ac:dyDescent="0.3">
      <c r="A27" s="344" t="str">
        <f>Detailed_LineDesc02</f>
        <v>Private Passenger Auto Liability</v>
      </c>
      <c r="B27" s="345">
        <f ca="1">B12</f>
        <v>19.2</v>
      </c>
      <c r="C27" s="513" t="str">
        <f>IF(Covg02="","",Covg02)</f>
        <v>MPC</v>
      </c>
      <c r="D27" s="374">
        <f ca="1">IF(Covg02="","",VLOOKUP(Detailed_LineCode02,Table_ResRatio,2,FALSE))</f>
        <v>0.32</v>
      </c>
      <c r="E27" s="375">
        <f ca="1">IF(Covg02="","",VLOOKUP(Detailed_LineCode02,Table_ResRatio,3,FALSE))</f>
        <v>1.1599999999999999</v>
      </c>
      <c r="F27" s="374">
        <f ca="1">IF(Covg02="","",VLOOKUP(Detailed_LineCode02,Table_LevFact,2,FALSE))</f>
        <v>0.77049999999999996</v>
      </c>
      <c r="G27" s="404">
        <f>IF(Covg02="","",IF(AND('1.General'!$I$47*'1.General'!$I$48=1,FIND({3},'1.General'!$E$47&amp;"3")&lt;=LEN('1.General'!$E$47)),0.85,1))</f>
        <v>1</v>
      </c>
      <c r="H27" s="404">
        <f ca="1">IF(Covg02="","",F27*G27)</f>
        <v>0.77049999999999996</v>
      </c>
      <c r="I27" s="630"/>
      <c r="J27" s="653"/>
    </row>
    <row r="28" spans="1:11" ht="18" customHeight="1" x14ac:dyDescent="0.25">
      <c r="A28" s="344" t="str">
        <f>Detailed_LineDesc03</f>
        <v>Private Passenger Auto Liability</v>
      </c>
      <c r="B28" s="345">
        <f t="shared" ref="B28:B34" ca="1" si="0">B13</f>
        <v>19.2</v>
      </c>
      <c r="C28" s="513" t="str">
        <f>IF(Covg03="","",Covg03)</f>
        <v>UM</v>
      </c>
      <c r="D28" s="374">
        <f ca="1">IF(Covg03="","",VLOOKUP(Detailed_LineCode03,Table_ResRatio,2,FALSE))</f>
        <v>0.32</v>
      </c>
      <c r="E28" s="375">
        <f ca="1">IF(Covg03="","",VLOOKUP(Detailed_LineCode03,Table_ResRatio,3,FALSE))</f>
        <v>1.1599999999999999</v>
      </c>
      <c r="F28" s="374">
        <f ca="1">IF(Covg03="","",VLOOKUP(Detailed_LineCode03,Table_LevFact,2,FALSE))</f>
        <v>0.77049999999999996</v>
      </c>
      <c r="G28" s="404">
        <f>IF(Covg03="","",IF(AND('1.General'!$I$47*'1.General'!$I$48=1,FIND({3},'1.General'!$E$47&amp;"3")&lt;=LEN('1.General'!$E$47)),0.85,1))</f>
        <v>1</v>
      </c>
      <c r="H28" s="404">
        <f ca="1">IF(Covg03="","",F28*G28)</f>
        <v>0.77049999999999996</v>
      </c>
      <c r="I28" s="629" t="s">
        <v>727</v>
      </c>
      <c r="J28" s="652">
        <v>2.35E-2</v>
      </c>
    </row>
    <row r="29" spans="1:11" ht="18" customHeight="1" x14ac:dyDescent="0.25">
      <c r="A29" s="344" t="str">
        <f>Detailed_LineDesc04</f>
        <v>Private Passenger Auto Physical Damage</v>
      </c>
      <c r="B29" s="345">
        <f t="shared" ca="1" si="0"/>
        <v>21.1</v>
      </c>
      <c r="C29" s="513" t="str">
        <f>IF(Covg04="","",Covg04)</f>
        <v>COMP</v>
      </c>
      <c r="D29" s="374">
        <f ca="1">IF(Covg04="","",VLOOKUP(Detailed_LineCode04,Table_ResRatio,2,FALSE))</f>
        <v>0.32</v>
      </c>
      <c r="E29" s="375">
        <f ca="1">IF(Covg04="","",VLOOKUP(Detailed_LineCode04,Table_ResRatio,3,FALSE))</f>
        <v>0.1</v>
      </c>
      <c r="F29" s="374">
        <f ca="1">IF(Covg04="","",VLOOKUP(Detailed_LineCode04,Table_LevFact,2,FALSE))</f>
        <v>1.2808999999999999</v>
      </c>
      <c r="G29" s="404">
        <f>IF(Covg04="","",IF(AND('1.General'!$I$47*'1.General'!$I$48=1,FIND({3},'1.General'!$E$47&amp;"3")&lt;=LEN('1.General'!$E$47)),0.85,1))</f>
        <v>1</v>
      </c>
      <c r="H29" s="404">
        <f ca="1">IF(Covg04="","",F29*G29)</f>
        <v>1.2808999999999999</v>
      </c>
      <c r="I29" s="654"/>
      <c r="J29" s="655"/>
    </row>
    <row r="30" spans="1:11" ht="18" customHeight="1" thickBot="1" x14ac:dyDescent="0.3">
      <c r="A30" s="344" t="str">
        <f>Detailed_LineDesc05</f>
        <v>Private Passenger Auto Physical Damage</v>
      </c>
      <c r="B30" s="345">
        <f t="shared" ca="1" si="0"/>
        <v>21.1</v>
      </c>
      <c r="C30" s="513" t="str">
        <f>IF(Covg05="","",Covg05)</f>
        <v>COLL</v>
      </c>
      <c r="D30" s="374">
        <f ca="1">IF(Covg05="","",VLOOKUP(Detailed_LineCode05,Table_ResRatio,2,FALSE))</f>
        <v>0.32</v>
      </c>
      <c r="E30" s="375">
        <f ca="1">IF(Covg05="","",VLOOKUP(Detailed_LineCode05,Table_ResRatio,3,FALSE))</f>
        <v>0.1</v>
      </c>
      <c r="F30" s="374">
        <f ca="1">IF(Covg05="","",VLOOKUP(Detailed_LineCode05,Table_LevFact,2,FALSE))</f>
        <v>1.2808999999999999</v>
      </c>
      <c r="G30" s="404">
        <f>IF(Covg05="","",IF(AND('1.General'!$I$47*'1.General'!$I$48=1,FIND({3},'1.General'!$E$47&amp;"3")&lt;=LEN('1.General'!$E$47)),0.85,1))</f>
        <v>1</v>
      </c>
      <c r="H30" s="404">
        <f ca="1">IF(Covg05="","",F30*G30)</f>
        <v>1.2808999999999999</v>
      </c>
      <c r="I30" s="630"/>
      <c r="J30" s="653"/>
    </row>
    <row r="31" spans="1:11" ht="18" customHeight="1" x14ac:dyDescent="0.25">
      <c r="A31" s="344" t="str">
        <f>Detailed_LineDesc06</f>
        <v>Private Passenger Auto Physical Damage</v>
      </c>
      <c r="B31" s="345">
        <f t="shared" ca="1" si="0"/>
        <v>21.1</v>
      </c>
      <c r="C31" s="513" t="str">
        <f>IF(Covg06="","",Covg06)</f>
        <v>Misc. Damage</v>
      </c>
      <c r="D31" s="374">
        <f ca="1">IF(Covg06="","",VLOOKUP(Detailed_LineCode06,Table_ResRatio,2,FALSE))</f>
        <v>0.32</v>
      </c>
      <c r="E31" s="375">
        <f ca="1">IF(Covg06="","",VLOOKUP(Detailed_LineCode06,Table_ResRatio,3,FALSE))</f>
        <v>0.1</v>
      </c>
      <c r="F31" s="374">
        <f ca="1">IF(Covg06="","",VLOOKUP(Detailed_LineCode06,Table_LevFact,2,FALSE))</f>
        <v>1.2808999999999999</v>
      </c>
      <c r="G31" s="404">
        <f>IF(Covg06="","",IF(AND('1.General'!$I$47*'1.General'!$I$48=1,FIND({3},'1.General'!$E$47&amp;"3")&lt;=LEN('1.General'!$E$47)),0.85,1))</f>
        <v>1</v>
      </c>
      <c r="H31" s="404">
        <f ca="1">IF(Covg06="","",F31*G31)</f>
        <v>1.2808999999999999</v>
      </c>
      <c r="I31" s="629" t="s">
        <v>713</v>
      </c>
      <c r="J31" s="649">
        <f>[1]Feb2024!$E$6</f>
        <v>4.6599999999999996E-2</v>
      </c>
      <c r="K31" s="15"/>
    </row>
    <row r="32" spans="1:11" ht="18" customHeight="1" x14ac:dyDescent="0.25">
      <c r="A32" s="344" t="str">
        <f>Detailed_LineDesc07</f>
        <v>Private Passenger Auto Liability</v>
      </c>
      <c r="B32" s="345">
        <f t="shared" ca="1" si="0"/>
        <v>19.2</v>
      </c>
      <c r="C32" s="513" t="str">
        <f>IF(Covg07="","",Covg07)</f>
        <v>Misc. Liability</v>
      </c>
      <c r="D32" s="374">
        <f ca="1">IF(Covg07="","",VLOOKUP(Detailed_LineCode07,Table_ResRatio,2,FALSE))</f>
        <v>0.32</v>
      </c>
      <c r="E32" s="375">
        <f ca="1">IF(Covg07="","",VLOOKUP(Detailed_LineCode07,Table_ResRatio,3,FALSE))</f>
        <v>1.1599999999999999</v>
      </c>
      <c r="F32" s="374">
        <f ca="1">IF(Covg07="","",VLOOKUP(Detailed_LineCode07,Table_LevFact,2,FALSE))</f>
        <v>0.77049999999999996</v>
      </c>
      <c r="G32" s="404">
        <f>IF(Covg07="","",IF(AND('1.General'!$I$47*'1.General'!$I$48=1,FIND({3},'1.General'!$E$47&amp;"3")&lt;=LEN('1.General'!$E$47)),0.85,1))</f>
        <v>1</v>
      </c>
      <c r="H32" s="404">
        <f ca="1">IF(Covg07="","",F32*G32)</f>
        <v>0.77049999999999996</v>
      </c>
      <c r="I32" s="654"/>
      <c r="J32" s="650"/>
      <c r="K32" s="15" t="s">
        <v>620</v>
      </c>
    </row>
    <row r="33" spans="1:11" ht="18" customHeight="1" x14ac:dyDescent="0.25">
      <c r="A33" s="344" t="str">
        <f>Detailed_LineDesc08</f>
        <v/>
      </c>
      <c r="B33" s="345" t="str">
        <f t="shared" si="0"/>
        <v/>
      </c>
      <c r="C33" s="513"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4"/>
      <c r="J33" s="650"/>
      <c r="K33" s="15" t="s">
        <v>337</v>
      </c>
    </row>
    <row r="34" spans="1:11" ht="18" customHeight="1" x14ac:dyDescent="0.25">
      <c r="A34" s="344" t="str">
        <f>Detailed_LineDesc09</f>
        <v/>
      </c>
      <c r="B34" s="345" t="str">
        <f t="shared" si="0"/>
        <v/>
      </c>
      <c r="C34" s="513"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4"/>
      <c r="J34" s="650"/>
      <c r="K34" s="15"/>
    </row>
    <row r="35" spans="1:11" ht="18" customHeight="1" thickBot="1" x14ac:dyDescent="0.3">
      <c r="A35" s="348" t="str">
        <f>Detailed_LineDesc10</f>
        <v/>
      </c>
      <c r="B35" s="349" t="str">
        <f>B20</f>
        <v/>
      </c>
      <c r="C35" s="514"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30"/>
      <c r="J35" s="651"/>
      <c r="K35" s="15"/>
    </row>
  </sheetData>
  <sheetProtection algorithmName="SHA-512" hashValue="qzNS/Cn6smxjpMShDUzEEEsQDx76eu742UCItOqKyJ2IMj6buxWc542N2HNlktbjy/Egnf8vVX19o/xot4HazQ==" saltValue="UzBgUPDLFu1reGQUiKmtEw=="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3"/>
  <pageSetup scale="71" orientation="landscape" r:id="rId1"/>
  <headerFooter>
    <oddFooter>&amp;CPrior Approval Rate Template&amp;RPage 5&amp;L11/9/2023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topLeftCell="A8" zoomScaleNormal="100" zoomScaleSheetLayoutView="100" workbookViewId="0">
      <selection activeCell="J25" sqref="J25:J26"/>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 t="s">
        <v>29</v>
      </c>
      <c r="B1" s="9"/>
      <c r="H1" s="9" t="s">
        <v>31</v>
      </c>
      <c r="K1" s="8" t="str">
        <f>Co_Name</f>
        <v>State Farm Mutual Automobile Insurance Company</v>
      </c>
      <c r="M1" s="74" t="s">
        <v>308</v>
      </c>
    </row>
    <row r="2" spans="1:13" x14ac:dyDescent="0.25">
      <c r="A2" s="1" t="s">
        <v>30</v>
      </c>
      <c r="B2" s="9"/>
      <c r="H2" s="9" t="s">
        <v>32</v>
      </c>
      <c r="K2" s="8" t="str">
        <f>General_Line</f>
        <v>Auto Liability and Physical Damage</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702</v>
      </c>
      <c r="K7" s="455"/>
      <c r="M7" s="75"/>
    </row>
    <row r="8" spans="1:13" ht="18" customHeight="1" x14ac:dyDescent="0.25">
      <c r="B8" s="7" t="s">
        <v>74</v>
      </c>
      <c r="G8" s="52">
        <f>Completed_Date</f>
        <v>45327.528767013886</v>
      </c>
      <c r="M8" s="75"/>
    </row>
    <row r="9" spans="1:13" ht="5.0999999999999996" customHeight="1" x14ac:dyDescent="0.25">
      <c r="B9" s="7"/>
      <c r="M9" s="75"/>
    </row>
    <row r="10" spans="1:13" ht="18" customHeight="1" x14ac:dyDescent="0.25">
      <c r="B10" s="7" t="s">
        <v>75</v>
      </c>
      <c r="G10" t="str">
        <f>Detailed_LineDesc01</f>
        <v>Private Passenger Auto Liability</v>
      </c>
      <c r="M10" s="226"/>
    </row>
    <row r="11" spans="1:13" ht="18" customHeight="1" x14ac:dyDescent="0.25">
      <c r="B11" s="7" t="s">
        <v>76</v>
      </c>
      <c r="G11" t="str">
        <f>Covg01</f>
        <v>BIPD</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3" ht="30" customHeight="1" x14ac:dyDescent="0.25">
      <c r="A15" s="33">
        <v>-1</v>
      </c>
      <c r="B15" s="34" t="s">
        <v>52</v>
      </c>
      <c r="C15" s="35"/>
      <c r="D15" s="166"/>
      <c r="E15" s="167"/>
      <c r="F15" s="167"/>
      <c r="G15" s="112"/>
      <c r="H15" s="112"/>
      <c r="I15" s="112">
        <v>1823796100.0599999</v>
      </c>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v>1812536743.1999998</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v>1.1663094602311874</v>
      </c>
      <c r="J17" s="16"/>
      <c r="K17" s="16"/>
      <c r="M17" s="75"/>
    </row>
    <row r="18" spans="1:13" ht="18" customHeight="1" x14ac:dyDescent="0.25">
      <c r="A18" s="30">
        <v>-4</v>
      </c>
      <c r="B18" s="31" t="s">
        <v>128</v>
      </c>
      <c r="C18" s="32" t="s">
        <v>64</v>
      </c>
      <c r="D18" s="168"/>
      <c r="E18" s="169"/>
      <c r="F18" s="169"/>
      <c r="G18" s="169"/>
      <c r="H18" s="169"/>
      <c r="I18" s="169">
        <v>1.0270029581675457</v>
      </c>
      <c r="J18" s="170">
        <v>1.19125340977557E-2</v>
      </c>
      <c r="K18" s="16"/>
      <c r="M18" s="226" t="str">
        <f>IF(AND(New_Program=FALSE,ISBLANK($J$18)),"← ERROR! Enter Annual Premium Trend as a percentage in the 'Projected' column.","")</f>
        <v/>
      </c>
    </row>
    <row r="19" spans="1:13" ht="30" customHeight="1" x14ac:dyDescent="0.2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v>3825861</v>
      </c>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v>764838235.5</v>
      </c>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v>4073483.5700000003</v>
      </c>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v>1.9536604363777716</v>
      </c>
      <c r="J23" s="16"/>
      <c r="K23" s="16"/>
      <c r="M23" s="75"/>
    </row>
    <row r="24" spans="1:13" ht="18" customHeight="1" x14ac:dyDescent="0.25">
      <c r="A24" s="30">
        <v>-10</v>
      </c>
      <c r="B24" s="31" t="s">
        <v>59</v>
      </c>
      <c r="C24" s="32" t="s">
        <v>66</v>
      </c>
      <c r="D24" s="168"/>
      <c r="E24" s="169"/>
      <c r="F24" s="169"/>
      <c r="G24" s="169"/>
      <c r="H24" s="169"/>
      <c r="I24" s="169">
        <v>42.579076492494991</v>
      </c>
      <c r="J24" s="16"/>
      <c r="K24" s="16"/>
      <c r="M24" s="75"/>
    </row>
    <row r="25" spans="1:13" ht="18" customHeight="1" x14ac:dyDescent="0.25">
      <c r="A25" s="30">
        <v>-11</v>
      </c>
      <c r="B25" s="31" t="s">
        <v>130</v>
      </c>
      <c r="C25" s="32" t="s">
        <v>67</v>
      </c>
      <c r="D25" s="168"/>
      <c r="E25" s="169"/>
      <c r="F25" s="169"/>
      <c r="G25" s="169"/>
      <c r="H25" s="169"/>
      <c r="I25" s="169">
        <v>1.3763652229719814</v>
      </c>
      <c r="J25" s="170">
        <v>0.15254905257818163</v>
      </c>
      <c r="K25" s="16"/>
      <c r="M25" s="226" t="str">
        <f>IF(AND(New_Program=FALSE,ISBLANK($J$25)),"← ERROR! Enter Annual Loss Trend as a percentage in the 'Projected' column","")</f>
        <v/>
      </c>
    </row>
    <row r="26" spans="1:13" ht="18" customHeight="1" x14ac:dyDescent="0.25">
      <c r="A26" s="30">
        <v>-12</v>
      </c>
      <c r="B26" s="31" t="s">
        <v>129</v>
      </c>
      <c r="C26" s="32" t="s">
        <v>67</v>
      </c>
      <c r="D26" s="168"/>
      <c r="E26" s="169"/>
      <c r="F26" s="169"/>
      <c r="G26" s="169"/>
      <c r="H26" s="169"/>
      <c r="I26" s="169">
        <v>1.3763652229719814</v>
      </c>
      <c r="J26" s="170">
        <v>0.15254905257818163</v>
      </c>
      <c r="K26" s="16"/>
      <c r="M26" s="226" t="str">
        <f>IF(AND(New_Program=FALSE,ISBLANK($J$26)),"← ERROR! Enter Annual DCCE Trend as a percentage in the 'Projected' column","")</f>
        <v/>
      </c>
    </row>
    <row r="27" spans="1:13" ht="18" customHeight="1" x14ac:dyDescent="0.25">
      <c r="A27" s="30">
        <v>-13</v>
      </c>
      <c r="B27" s="31" t="s">
        <v>60</v>
      </c>
      <c r="C27" s="32" t="s">
        <v>68</v>
      </c>
      <c r="D27" s="168"/>
      <c r="E27" s="169"/>
      <c r="F27" s="169"/>
      <c r="G27" s="169"/>
      <c r="H27" s="169"/>
      <c r="I27" s="169">
        <v>1</v>
      </c>
      <c r="J27" s="16"/>
      <c r="K27" s="16"/>
      <c r="M27" s="75"/>
    </row>
    <row r="28" spans="1:13" ht="18" customHeight="1" x14ac:dyDescent="0.25">
      <c r="A28" s="30">
        <v>-14</v>
      </c>
      <c r="B28" s="26" t="s">
        <v>724</v>
      </c>
      <c r="C28" s="32" t="s">
        <v>69</v>
      </c>
      <c r="D28" s="27"/>
      <c r="E28" s="16"/>
      <c r="F28" s="16"/>
      <c r="G28" s="16"/>
      <c r="H28" s="16"/>
      <c r="I28" s="16"/>
      <c r="J28" s="171">
        <v>1</v>
      </c>
      <c r="K28" s="16"/>
      <c r="M28" s="227"/>
    </row>
    <row r="29" spans="1:13" ht="18" customHeight="1" x14ac:dyDescent="0.2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5" ht="17.25" hidden="1" customHeight="1" x14ac:dyDescent="0.25">
      <c r="A49" s="6" t="s">
        <v>336</v>
      </c>
      <c r="J49" s="159"/>
      <c r="M49" s="172"/>
    </row>
    <row r="50" spans="1:15" ht="17.25" hidden="1" customHeight="1" thickBot="1" x14ac:dyDescent="0.3">
      <c r="A50" s="6" t="s">
        <v>155</v>
      </c>
      <c r="J50" s="78"/>
      <c r="M50" s="76"/>
    </row>
    <row r="51" spans="1:15" ht="20.100000000000001" customHeight="1" x14ac:dyDescent="0.25">
      <c r="A51" s="6"/>
      <c r="H51" s="660" t="s">
        <v>662</v>
      </c>
      <c r="I51" s="660"/>
      <c r="J51" s="660"/>
      <c r="K51" s="660"/>
      <c r="M51" s="125"/>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8TOvL7Du30tLsxDizjQgq5n97Ya5SPegeps92hKqUji4104I+WRFieZw/cxBVaaqKBGN9rkzij5rUllcEr841g==" saltValue="vzgUUQa4cSdQ1i3dshK3vA=="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3"/>
  <pageSetup scale="79" orientation="portrait" r:id="rId1"/>
  <headerFooter>
    <oddFooter>&amp;CPrior Approval Rate Template&amp;RPage 6.1&amp;L11/9/2023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6" zoomScaleNormal="100" zoomScaleSheetLayoutView="100" workbookViewId="0">
      <selection activeCell="I29" sqref="I2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 t="s">
        <v>29</v>
      </c>
      <c r="B1" s="9"/>
      <c r="H1" s="9" t="s">
        <v>31</v>
      </c>
      <c r="K1" s="8" t="str">
        <f>Co_Name</f>
        <v>State Farm Mutual Automobile Insurance Company</v>
      </c>
      <c r="M1" s="74" t="s">
        <v>308</v>
      </c>
    </row>
    <row r="2" spans="1:14" x14ac:dyDescent="0.25">
      <c r="A2" s="1" t="s">
        <v>30</v>
      </c>
      <c r="B2" s="9"/>
      <c r="H2" s="9" t="s">
        <v>32</v>
      </c>
      <c r="K2" s="8" t="str">
        <f>General_Line</f>
        <v>Auto Liability and Physical Damage</v>
      </c>
      <c r="M2" s="176" t="s">
        <v>111</v>
      </c>
    </row>
    <row r="3" spans="1:14" x14ac:dyDescent="0.25">
      <c r="A3" s="1"/>
      <c r="B3" s="157"/>
      <c r="H3" s="71" t="s">
        <v>140</v>
      </c>
      <c r="I3" s="72"/>
      <c r="J3" s="72"/>
      <c r="K3" s="70" t="str">
        <f>CDI_FileNo</f>
        <v/>
      </c>
      <c r="M3" s="225"/>
    </row>
    <row r="4" spans="1:14" ht="18" customHeight="1" x14ac:dyDescent="0.25">
      <c r="M4" s="75"/>
    </row>
    <row r="5" spans="1:14" ht="23.25" x14ac:dyDescent="0.25">
      <c r="A5" s="4" t="s">
        <v>603</v>
      </c>
      <c r="B5" s="3"/>
      <c r="C5" s="3"/>
      <c r="D5" s="3"/>
      <c r="E5" s="3"/>
      <c r="F5" s="3"/>
      <c r="G5" s="3"/>
      <c r="H5" s="3"/>
      <c r="I5" s="3"/>
      <c r="J5" s="3"/>
      <c r="K5" s="3"/>
      <c r="L5" s="3"/>
      <c r="M5" s="75"/>
    </row>
    <row r="6" spans="1:14" ht="15.75" thickBot="1" x14ac:dyDescent="0.3">
      <c r="M6" s="75"/>
    </row>
    <row r="7" spans="1:14" ht="18" customHeight="1" thickBot="1" x14ac:dyDescent="0.3">
      <c r="B7" s="7" t="s">
        <v>1</v>
      </c>
      <c r="G7" s="6" t="str">
        <f>Completed_By</f>
        <v>Laura Campbell</v>
      </c>
      <c r="J7" s="7" t="s">
        <v>702</v>
      </c>
      <c r="K7" s="455"/>
      <c r="M7" s="75"/>
    </row>
    <row r="8" spans="1:14" ht="18" customHeight="1" x14ac:dyDescent="0.25">
      <c r="B8" s="7" t="s">
        <v>74</v>
      </c>
      <c r="G8" s="52">
        <f>Completed_Date</f>
        <v>45327.528767013886</v>
      </c>
      <c r="M8" s="75"/>
    </row>
    <row r="9" spans="1:14" ht="5.0999999999999996" customHeight="1" x14ac:dyDescent="0.25">
      <c r="B9" s="7"/>
      <c r="M9" s="75"/>
    </row>
    <row r="10" spans="1:14" ht="18" customHeight="1" x14ac:dyDescent="0.25">
      <c r="B10" s="7" t="s">
        <v>75</v>
      </c>
      <c r="G10" t="str">
        <f>Detailed_LineDesc02</f>
        <v>Private Passenger Auto Liability</v>
      </c>
      <c r="M10" s="226"/>
    </row>
    <row r="11" spans="1:14" ht="18" customHeight="1" x14ac:dyDescent="0.25">
      <c r="B11" s="7" t="s">
        <v>76</v>
      </c>
      <c r="G11" t="str">
        <f>Covg02</f>
        <v>MPC</v>
      </c>
      <c r="M11" s="75"/>
    </row>
    <row r="12" spans="1:14" ht="9.9499999999999993" customHeight="1" x14ac:dyDescent="0.25">
      <c r="B12" s="2"/>
      <c r="G12" s="22"/>
      <c r="I12" s="23"/>
      <c r="J12" s="24"/>
      <c r="M12" s="75"/>
    </row>
    <row r="13" spans="1:14"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4"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4" ht="30" customHeight="1" x14ac:dyDescent="0.25">
      <c r="A15" s="33">
        <v>-1</v>
      </c>
      <c r="B15" s="34" t="s">
        <v>52</v>
      </c>
      <c r="C15" s="35"/>
      <c r="D15" s="166"/>
      <c r="E15" s="167"/>
      <c r="F15" s="167"/>
      <c r="G15" s="112"/>
      <c r="H15" s="112"/>
      <c r="I15" s="112">
        <v>75287307.330000013</v>
      </c>
      <c r="J15" s="19"/>
      <c r="K15" s="112"/>
      <c r="M15" s="226" t="str">
        <f>IF(AND(New_Program=TRUE,ISBLANK($K$15)),"← ERROR! Enter projected figure for new program, or deselect 'New Program' on Page '1.General'.","")</f>
        <v/>
      </c>
      <c r="N15" s="6"/>
    </row>
    <row r="16" spans="1:14" ht="30" customHeight="1" x14ac:dyDescent="0.25">
      <c r="A16" s="30">
        <v>-2</v>
      </c>
      <c r="B16" s="31" t="s">
        <v>53</v>
      </c>
      <c r="C16" s="32"/>
      <c r="D16" s="113"/>
      <c r="E16" s="112"/>
      <c r="F16" s="112"/>
      <c r="G16" s="112"/>
      <c r="H16" s="112"/>
      <c r="I16" s="112">
        <v>74112276.879999995</v>
      </c>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25">
      <c r="A17" s="30">
        <v>-3</v>
      </c>
      <c r="B17" s="31" t="s">
        <v>34</v>
      </c>
      <c r="C17" s="32" t="s">
        <v>63</v>
      </c>
      <c r="D17" s="168"/>
      <c r="E17" s="169"/>
      <c r="F17" s="169"/>
      <c r="G17" s="169"/>
      <c r="H17" s="169"/>
      <c r="I17" s="169">
        <v>1.2146863770339111</v>
      </c>
      <c r="J17" s="16"/>
      <c r="K17" s="16"/>
      <c r="M17" s="75"/>
      <c r="N17" s="6"/>
    </row>
    <row r="18" spans="1:14" ht="18" customHeight="1" x14ac:dyDescent="0.25">
      <c r="A18" s="30">
        <v>-4</v>
      </c>
      <c r="B18" s="31" t="s">
        <v>128</v>
      </c>
      <c r="C18" s="32" t="s">
        <v>64</v>
      </c>
      <c r="D18" s="168"/>
      <c r="E18" s="169"/>
      <c r="F18" s="169"/>
      <c r="G18" s="169"/>
      <c r="H18" s="169"/>
      <c r="I18" s="169">
        <v>0.97186626681962995</v>
      </c>
      <c r="J18" s="170">
        <v>-1.26030499465726E-2</v>
      </c>
      <c r="K18" s="16"/>
      <c r="M18" s="226" t="str">
        <f>IF(AND(New_Program=FALSE,ISBLANK($J$18)),"← ERROR! Enter Annual Premium Trend as a percentage in the 'Projected' column.","")</f>
        <v/>
      </c>
      <c r="N18" s="6"/>
    </row>
    <row r="19" spans="1:14" ht="30" customHeight="1" x14ac:dyDescent="0.2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c r="N19" s="6"/>
    </row>
    <row r="20" spans="1:14" ht="18" customHeight="1" x14ac:dyDescent="0.25">
      <c r="A20" s="30">
        <v>-6</v>
      </c>
      <c r="B20" s="31" t="s">
        <v>54</v>
      </c>
      <c r="C20" s="32"/>
      <c r="D20" s="113"/>
      <c r="E20" s="112"/>
      <c r="F20" s="112"/>
      <c r="G20" s="112"/>
      <c r="H20" s="112"/>
      <c r="I20" s="112">
        <v>2149286</v>
      </c>
      <c r="J20" s="16"/>
      <c r="K20" s="112"/>
      <c r="M20" s="226" t="str">
        <f>IF(AND(New_Program=TRUE,ISBLANK($K$20)),"← ERROR! Enter projected figure for new program, or deselect 'New Program' on Page '1.General'.","")</f>
        <v/>
      </c>
      <c r="N20" s="6"/>
    </row>
    <row r="21" spans="1:14" ht="18" customHeight="1" x14ac:dyDescent="0.25">
      <c r="A21" s="30">
        <v>-7</v>
      </c>
      <c r="B21" s="31" t="s">
        <v>131</v>
      </c>
      <c r="C21" s="32"/>
      <c r="D21" s="113"/>
      <c r="E21" s="112"/>
      <c r="F21" s="112"/>
      <c r="G21" s="112"/>
      <c r="H21" s="112"/>
      <c r="I21" s="112">
        <v>51271701.909999996</v>
      </c>
      <c r="J21" s="16"/>
      <c r="K21" s="112"/>
      <c r="M21" s="226" t="str">
        <f>IF(AND(New_Program=TRUE,ISBLANK($K$21)),"← ERROR! Enter projected figure for new program, or deselect 'New Program' on Page '1.General'.","")</f>
        <v/>
      </c>
      <c r="N21" s="6"/>
    </row>
    <row r="22" spans="1:14" ht="30" customHeight="1" x14ac:dyDescent="0.25">
      <c r="A22" s="30">
        <v>-8</v>
      </c>
      <c r="B22" s="31" t="s">
        <v>55</v>
      </c>
      <c r="C22" s="32"/>
      <c r="D22" s="113"/>
      <c r="E22" s="112"/>
      <c r="F22" s="112"/>
      <c r="G22" s="112"/>
      <c r="H22" s="112"/>
      <c r="I22" s="112">
        <v>119137.74</v>
      </c>
      <c r="J22" s="16"/>
      <c r="K22" s="112"/>
      <c r="M22" s="226" t="str">
        <f>IF(AND(New_Program=TRUE,ISBLANK($K$22)),"← ERROR! Enter projected figure for new program, or deselect 'New Program' on Page '1.General'.","")</f>
        <v/>
      </c>
      <c r="N22" s="6"/>
    </row>
    <row r="23" spans="1:14" ht="18" customHeight="1" x14ac:dyDescent="0.25">
      <c r="A23" s="30">
        <v>-9</v>
      </c>
      <c r="B23" s="31" t="s">
        <v>58</v>
      </c>
      <c r="C23" s="32" t="s">
        <v>66</v>
      </c>
      <c r="D23" s="168"/>
      <c r="E23" s="169"/>
      <c r="F23" s="169"/>
      <c r="G23" s="169"/>
      <c r="H23" s="169"/>
      <c r="I23" s="169">
        <v>1.4774098695028071</v>
      </c>
      <c r="J23" s="16"/>
      <c r="K23" s="16"/>
      <c r="M23" s="75"/>
      <c r="N23" s="6"/>
    </row>
    <row r="24" spans="1:14" ht="18" customHeight="1" x14ac:dyDescent="0.25">
      <c r="A24" s="30">
        <v>-10</v>
      </c>
      <c r="B24" s="31" t="s">
        <v>59</v>
      </c>
      <c r="C24" s="32" t="s">
        <v>66</v>
      </c>
      <c r="D24" s="168"/>
      <c r="E24" s="169"/>
      <c r="F24" s="169"/>
      <c r="G24" s="169"/>
      <c r="H24" s="169"/>
      <c r="I24" s="169">
        <v>3.4854513638366451</v>
      </c>
      <c r="J24" s="16"/>
      <c r="K24" s="16"/>
      <c r="M24" s="75"/>
      <c r="N24" s="6"/>
    </row>
    <row r="25" spans="1:14" ht="18" customHeight="1" x14ac:dyDescent="0.25">
      <c r="A25" s="30">
        <v>-11</v>
      </c>
      <c r="B25" s="31" t="s">
        <v>130</v>
      </c>
      <c r="C25" s="32" t="s">
        <v>67</v>
      </c>
      <c r="D25" s="168"/>
      <c r="E25" s="169"/>
      <c r="F25" s="169"/>
      <c r="G25" s="169"/>
      <c r="H25" s="169"/>
      <c r="I25" s="169">
        <v>1.1155417291619325</v>
      </c>
      <c r="J25" s="170">
        <v>4.979574740499082E-2</v>
      </c>
      <c r="K25" s="16"/>
      <c r="M25" s="226" t="str">
        <f>IF(AND(New_Program=FALSE,ISBLANK($J$25)),"← ERROR! Enter Annual Loss Trend as a percentage in the 'Projected' column","")</f>
        <v/>
      </c>
      <c r="N25" s="6"/>
    </row>
    <row r="26" spans="1:14" ht="18" customHeight="1" x14ac:dyDescent="0.25">
      <c r="A26" s="30">
        <v>-12</v>
      </c>
      <c r="B26" s="31" t="s">
        <v>129</v>
      </c>
      <c r="C26" s="32" t="s">
        <v>67</v>
      </c>
      <c r="D26" s="168"/>
      <c r="E26" s="169"/>
      <c r="F26" s="169"/>
      <c r="G26" s="169"/>
      <c r="H26" s="169"/>
      <c r="I26" s="169">
        <v>1.1155417291619325</v>
      </c>
      <c r="J26" s="170">
        <v>4.979574740499082E-2</v>
      </c>
      <c r="K26" s="16"/>
      <c r="M26" s="226" t="str">
        <f>IF(AND(New_Program=FALSE,ISBLANK($J$26)),"← ERROR! Enter Annual DCCE Trend as a percentage in the 'Projected' column","")</f>
        <v/>
      </c>
      <c r="N26" s="6"/>
    </row>
    <row r="27" spans="1:14" ht="18" customHeight="1" x14ac:dyDescent="0.25">
      <c r="A27" s="30">
        <v>-13</v>
      </c>
      <c r="B27" s="31" t="s">
        <v>60</v>
      </c>
      <c r="C27" s="32" t="s">
        <v>68</v>
      </c>
      <c r="D27" s="168"/>
      <c r="E27" s="169"/>
      <c r="F27" s="169"/>
      <c r="G27" s="169"/>
      <c r="H27" s="169"/>
      <c r="I27" s="169">
        <v>1</v>
      </c>
      <c r="J27" s="16"/>
      <c r="K27" s="16"/>
      <c r="M27" s="75"/>
      <c r="N27" s="6"/>
    </row>
    <row r="28" spans="1:14" ht="18" customHeight="1" x14ac:dyDescent="0.25">
      <c r="A28" s="30">
        <v>-14</v>
      </c>
      <c r="B28" s="26" t="s">
        <v>724</v>
      </c>
      <c r="C28" s="32" t="s">
        <v>69</v>
      </c>
      <c r="D28" s="27"/>
      <c r="E28" s="16"/>
      <c r="F28" s="16"/>
      <c r="G28" s="16"/>
      <c r="H28" s="16"/>
      <c r="I28" s="16"/>
      <c r="J28" s="171">
        <v>1</v>
      </c>
      <c r="K28" s="16"/>
      <c r="M28" s="227"/>
      <c r="N28" s="6"/>
    </row>
    <row r="29" spans="1:14" ht="18" customHeight="1" x14ac:dyDescent="0.2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c r="N29" s="6"/>
    </row>
    <row r="30" spans="1:14"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c r="N30" s="6"/>
    </row>
    <row r="31" spans="1:14"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25">
      <c r="A32" s="14"/>
      <c r="B32" s="10"/>
      <c r="C32" s="11"/>
      <c r="D32" s="6"/>
      <c r="E32" s="6"/>
      <c r="F32" s="6"/>
      <c r="G32" s="6"/>
      <c r="H32" s="6"/>
      <c r="I32" s="6"/>
      <c r="J32" s="21"/>
      <c r="K32" s="126"/>
      <c r="M32" s="75"/>
      <c r="N32" s="6"/>
    </row>
    <row r="33" spans="1:14"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c r="N33" s="6"/>
    </row>
    <row r="34" spans="1:14"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c r="N34" s="6"/>
    </row>
    <row r="35" spans="1:14"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c r="N35" s="6"/>
    </row>
    <row r="36" spans="1:14" ht="5.0999999999999996" hidden="1" customHeight="1" x14ac:dyDescent="0.25">
      <c r="A36" s="14"/>
      <c r="B36" s="10"/>
      <c r="C36" s="11"/>
      <c r="D36" s="6"/>
      <c r="E36" s="6"/>
      <c r="F36" s="6"/>
      <c r="G36" s="6"/>
      <c r="H36" s="6"/>
      <c r="I36" s="6"/>
      <c r="J36" s="21"/>
      <c r="K36" s="126"/>
      <c r="M36" s="75"/>
      <c r="N36" s="6"/>
    </row>
    <row r="37" spans="1:14" ht="15" hidden="1" customHeight="1" x14ac:dyDescent="0.25">
      <c r="A37" s="14"/>
      <c r="B37" s="15" t="s">
        <v>335</v>
      </c>
      <c r="C37" s="11"/>
      <c r="D37" s="37"/>
      <c r="E37" s="37"/>
      <c r="F37" s="37"/>
      <c r="G37" s="37"/>
      <c r="H37" s="37"/>
      <c r="I37" s="37"/>
      <c r="J37" s="37"/>
      <c r="K37" s="37"/>
      <c r="M37" s="75"/>
      <c r="N37" s="6"/>
    </row>
    <row r="38" spans="1:14" ht="5.0999999999999996" hidden="1" customHeight="1" x14ac:dyDescent="0.25">
      <c r="A38" s="14"/>
      <c r="B38" s="10"/>
      <c r="C38" s="11"/>
      <c r="D38" s="37"/>
      <c r="E38" s="37"/>
      <c r="F38" s="37"/>
      <c r="G38" s="37"/>
      <c r="H38" s="37"/>
      <c r="I38" s="37"/>
      <c r="K38" s="37"/>
      <c r="M38" s="75"/>
      <c r="N38" s="6"/>
    </row>
    <row r="39" spans="1:14"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c r="N39" s="6"/>
    </row>
    <row r="40" spans="1:14" ht="30" hidden="1" customHeight="1" x14ac:dyDescent="0.25">
      <c r="A40" s="30">
        <v>-20</v>
      </c>
      <c r="B40" s="31" t="s">
        <v>154</v>
      </c>
      <c r="C40" s="32" t="s">
        <v>109</v>
      </c>
      <c r="D40" s="16"/>
      <c r="E40" s="16"/>
      <c r="F40" s="16"/>
      <c r="G40" s="16"/>
      <c r="H40" s="16"/>
      <c r="I40" s="16"/>
      <c r="J40" s="170"/>
      <c r="K40" s="16"/>
      <c r="M40" s="227" t="str">
        <f>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25">
      <c r="A41" s="14"/>
      <c r="B41" s="10"/>
      <c r="C41" s="11"/>
      <c r="D41" s="37"/>
      <c r="E41" s="37"/>
      <c r="F41" s="37"/>
      <c r="G41" s="37"/>
      <c r="H41" s="37"/>
      <c r="I41" s="37"/>
      <c r="J41" s="37"/>
      <c r="K41" s="37"/>
      <c r="M41" s="227"/>
      <c r="N41" s="6"/>
    </row>
    <row r="42" spans="1:14" ht="15" hidden="1" customHeight="1" x14ac:dyDescent="0.25">
      <c r="A42" s="14"/>
      <c r="B42" s="15" t="s">
        <v>707</v>
      </c>
      <c r="C42" s="11"/>
      <c r="D42" s="6"/>
      <c r="E42" s="6"/>
      <c r="F42" s="6"/>
      <c r="G42" s="6"/>
      <c r="H42" s="6"/>
      <c r="I42" s="6"/>
      <c r="J42" s="6"/>
      <c r="K42" s="6"/>
      <c r="M42" s="75"/>
      <c r="N42" s="6"/>
    </row>
    <row r="43" spans="1:14" ht="4.5" hidden="1" customHeight="1" x14ac:dyDescent="0.25">
      <c r="A43" s="14"/>
      <c r="B43" s="15"/>
      <c r="C43" s="11"/>
      <c r="D43" s="6"/>
      <c r="E43" s="6"/>
      <c r="F43" s="6"/>
      <c r="G43" s="6"/>
      <c r="H43" s="6"/>
      <c r="I43" s="6"/>
      <c r="J43" s="6"/>
      <c r="K43" s="6"/>
      <c r="M43" s="75"/>
      <c r="N43" s="6"/>
    </row>
    <row r="44" spans="1:14"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25">
      <c r="A47" s="6" t="s">
        <v>703</v>
      </c>
      <c r="M47" s="226"/>
      <c r="N47" s="6"/>
    </row>
    <row r="48" spans="1:14" ht="17.25" customHeight="1" thickBot="1" x14ac:dyDescent="0.3">
      <c r="A48" s="6" t="s">
        <v>321</v>
      </c>
      <c r="M48" s="226"/>
      <c r="N48" s="6"/>
    </row>
    <row r="49" spans="1:15" ht="17.25" hidden="1" customHeight="1" x14ac:dyDescent="0.25">
      <c r="A49" s="6" t="s">
        <v>336</v>
      </c>
      <c r="J49" s="159"/>
      <c r="M49" s="172"/>
      <c r="N49" s="6"/>
    </row>
    <row r="50" spans="1:15" ht="17.25" hidden="1" customHeight="1" thickBot="1" x14ac:dyDescent="0.3">
      <c r="A50" s="6" t="s">
        <v>155</v>
      </c>
      <c r="J50" s="78"/>
      <c r="M50" s="76"/>
      <c r="N50" s="6"/>
    </row>
    <row r="51" spans="1:15" ht="20.100000000000001" customHeight="1" x14ac:dyDescent="0.25">
      <c r="A51" s="6"/>
      <c r="H51" s="660" t="s">
        <v>663</v>
      </c>
      <c r="I51" s="660"/>
      <c r="J51" s="660"/>
      <c r="K51" s="660"/>
      <c r="M51" s="125"/>
      <c r="N51" s="6"/>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C0hrAjfRYtJKy/sC/R381qfthth5sDIQCsCgADnjR/Rf7uxFNKuazdlQ5EsZhffqBZKc/DQnZZidTUP+t2380Q==" saltValue="vcGk2W3W3SH9nIdrvdLc+g=="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3"/>
  <pageSetup scale="79" orientation="portrait" r:id="rId1"/>
  <headerFooter>
    <oddFooter>&amp;CPrior Approval Rate Template&amp;RPage 6.2&amp;L11/9/2023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topLeftCell="A12" zoomScaleNormal="100" zoomScaleSheetLayoutView="100" workbookViewId="0">
      <selection activeCell="I29" sqref="I2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Mutual Automobile Insurance Company</v>
      </c>
      <c r="M1" s="74" t="s">
        <v>308</v>
      </c>
    </row>
    <row r="2" spans="1:13" x14ac:dyDescent="0.25">
      <c r="A2" s="1" t="s">
        <v>30</v>
      </c>
      <c r="B2" s="9"/>
      <c r="H2" s="9" t="s">
        <v>32</v>
      </c>
      <c r="K2" s="8" t="str">
        <f>General_Line</f>
        <v>Auto Liability and Physical Damage</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702</v>
      </c>
      <c r="K7" s="455"/>
      <c r="M7" s="75"/>
    </row>
    <row r="8" spans="1:13" ht="18" customHeight="1" x14ac:dyDescent="0.25">
      <c r="B8" s="7" t="s">
        <v>74</v>
      </c>
      <c r="G8" s="52">
        <f>Completed_Date</f>
        <v>45327.528767013886</v>
      </c>
      <c r="M8" s="75"/>
    </row>
    <row r="9" spans="1:13" ht="5.0999999999999996" customHeight="1" x14ac:dyDescent="0.25">
      <c r="B9" s="7"/>
      <c r="M9" s="75"/>
    </row>
    <row r="10" spans="1:13" ht="18" customHeight="1" x14ac:dyDescent="0.25">
      <c r="B10" s="7" t="s">
        <v>75</v>
      </c>
      <c r="G10" t="str">
        <f>Detailed_LineDesc03</f>
        <v>Private Passenger Auto Liability</v>
      </c>
      <c r="M10" s="226"/>
    </row>
    <row r="11" spans="1:13" ht="18" customHeight="1" x14ac:dyDescent="0.25">
      <c r="B11" s="7" t="s">
        <v>76</v>
      </c>
      <c r="G11" t="str">
        <f>Covg03</f>
        <v>UM</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3" ht="30" customHeight="1" x14ac:dyDescent="0.25">
      <c r="A15" s="33">
        <v>-1</v>
      </c>
      <c r="B15" s="34" t="s">
        <v>52</v>
      </c>
      <c r="C15" s="35"/>
      <c r="D15" s="166"/>
      <c r="E15" s="167"/>
      <c r="F15" s="167"/>
      <c r="G15" s="112"/>
      <c r="H15" s="112"/>
      <c r="I15" s="112">
        <v>366808633.5</v>
      </c>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v>352588755.75999999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v>1.2275831615470976</v>
      </c>
      <c r="J17" s="16"/>
      <c r="K17" s="16"/>
      <c r="M17" s="75"/>
    </row>
    <row r="18" spans="1:13" ht="18" customHeight="1" x14ac:dyDescent="0.25">
      <c r="A18" s="30">
        <v>-4</v>
      </c>
      <c r="B18" s="31" t="s">
        <v>128</v>
      </c>
      <c r="C18" s="32" t="s">
        <v>64</v>
      </c>
      <c r="D18" s="168"/>
      <c r="E18" s="169"/>
      <c r="F18" s="169"/>
      <c r="G18" s="169"/>
      <c r="H18" s="169"/>
      <c r="I18" s="169">
        <v>0.98860388593055637</v>
      </c>
      <c r="J18" s="170">
        <v>-5.0810685335475102E-3</v>
      </c>
      <c r="K18" s="16"/>
      <c r="M18" s="226" t="str">
        <f>IF(AND(New_Program=FALSE,ISBLANK($J$18)),"← ERROR! Enter Annual Premium Trend as a percentage in the 'Projected' column.","")</f>
        <v/>
      </c>
    </row>
    <row r="19" spans="1:13" ht="30" customHeight="1" x14ac:dyDescent="0.2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v>3764581</v>
      </c>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v>171024639.69</v>
      </c>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v>606088.36</v>
      </c>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v>2.1855614896636979</v>
      </c>
      <c r="J23" s="16"/>
      <c r="K23" s="16"/>
      <c r="M23" s="75"/>
    </row>
    <row r="24" spans="1:13" ht="18" customHeight="1" x14ac:dyDescent="0.25">
      <c r="A24" s="30">
        <v>-10</v>
      </c>
      <c r="B24" s="31" t="s">
        <v>59</v>
      </c>
      <c r="C24" s="32" t="s">
        <v>66</v>
      </c>
      <c r="D24" s="168"/>
      <c r="E24" s="169"/>
      <c r="F24" s="169"/>
      <c r="G24" s="169"/>
      <c r="H24" s="169"/>
      <c r="I24" s="169">
        <v>45.317689420485273</v>
      </c>
      <c r="J24" s="16"/>
      <c r="K24" s="16"/>
      <c r="M24" s="75"/>
    </row>
    <row r="25" spans="1:13" ht="18" customHeight="1" x14ac:dyDescent="0.25">
      <c r="A25" s="30">
        <v>-11</v>
      </c>
      <c r="B25" s="31" t="s">
        <v>130</v>
      </c>
      <c r="C25" s="32" t="s">
        <v>67</v>
      </c>
      <c r="D25" s="168"/>
      <c r="E25" s="169"/>
      <c r="F25" s="169"/>
      <c r="G25" s="169"/>
      <c r="H25" s="169"/>
      <c r="I25" s="169">
        <v>1.2267264768791839</v>
      </c>
      <c r="J25" s="170">
        <v>9.5073928765989191E-2</v>
      </c>
      <c r="K25" s="16"/>
      <c r="M25" s="226" t="str">
        <f>IF(AND(New_Program=FALSE,ISBLANK($J$25)),"← ERROR! Enter Annual Loss Trend as a percentage in the 'Projected' column","")</f>
        <v/>
      </c>
    </row>
    <row r="26" spans="1:13" ht="18" customHeight="1" x14ac:dyDescent="0.25">
      <c r="A26" s="30">
        <v>-12</v>
      </c>
      <c r="B26" s="31" t="s">
        <v>129</v>
      </c>
      <c r="C26" s="32" t="s">
        <v>67</v>
      </c>
      <c r="D26" s="168"/>
      <c r="E26" s="169"/>
      <c r="F26" s="169"/>
      <c r="G26" s="169"/>
      <c r="H26" s="169"/>
      <c r="I26" s="169">
        <v>1.2267264768791839</v>
      </c>
      <c r="J26" s="170">
        <v>9.5073928765989191E-2</v>
      </c>
      <c r="K26" s="16"/>
      <c r="M26" s="226" t="str">
        <f>IF(AND(New_Program=FALSE,ISBLANK($J$26)),"← ERROR! Enter Annual DCCE Trend as a percentage in the 'Projected' column","")</f>
        <v/>
      </c>
    </row>
    <row r="27" spans="1:13" ht="18" customHeight="1" x14ac:dyDescent="0.25">
      <c r="A27" s="30">
        <v>-13</v>
      </c>
      <c r="B27" s="31" t="s">
        <v>60</v>
      </c>
      <c r="C27" s="32" t="s">
        <v>68</v>
      </c>
      <c r="D27" s="168"/>
      <c r="E27" s="169"/>
      <c r="F27" s="169"/>
      <c r="G27" s="169"/>
      <c r="H27" s="169"/>
      <c r="I27" s="169">
        <v>1</v>
      </c>
      <c r="J27" s="16"/>
      <c r="K27" s="16"/>
      <c r="M27" s="75"/>
    </row>
    <row r="28" spans="1:13" ht="18" customHeight="1" x14ac:dyDescent="0.25">
      <c r="A28" s="30">
        <v>-14</v>
      </c>
      <c r="B28" s="26" t="s">
        <v>724</v>
      </c>
      <c r="C28" s="32" t="s">
        <v>69</v>
      </c>
      <c r="D28" s="27"/>
      <c r="E28" s="16"/>
      <c r="F28" s="16"/>
      <c r="G28" s="16"/>
      <c r="H28" s="16"/>
      <c r="I28" s="16"/>
      <c r="J28" s="171">
        <v>1</v>
      </c>
      <c r="K28" s="16"/>
      <c r="M28" s="227"/>
    </row>
    <row r="29" spans="1:13" ht="18" customHeight="1" x14ac:dyDescent="0.2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664</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TjlK0qUHQxH9sMHzB7hM+rk3iQolZ/IhpK5PtFX06rrFhKRxfbOn1aXE+TWk9K4HgCyh8nUwCFMfr/YKjcYJSw==" saltValue="aXG0SmO7+m3t2tXsD5q2Fw=="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79" orientation="portrait" r:id="rId1"/>
  <headerFooter>
    <oddFooter>&amp;CPrior Approval Rate Template&amp;RPage 6.3&amp;L11/9/2023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topLeftCell="A6" zoomScaleNormal="100" zoomScaleSheetLayoutView="100" workbookViewId="0">
      <selection activeCell="I29" sqref="I2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Mutual Automobile Insurance Company</v>
      </c>
      <c r="M1" s="74" t="s">
        <v>308</v>
      </c>
    </row>
    <row r="2" spans="1:13" x14ac:dyDescent="0.25">
      <c r="A2" s="1" t="s">
        <v>30</v>
      </c>
      <c r="B2" s="9"/>
      <c r="H2" s="9" t="s">
        <v>32</v>
      </c>
      <c r="K2" s="8" t="str">
        <f>General_Line</f>
        <v>Auto Liability and Physical Damage</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702</v>
      </c>
      <c r="K7" s="455"/>
      <c r="M7" s="75"/>
    </row>
    <row r="8" spans="1:13" ht="18" customHeight="1" x14ac:dyDescent="0.25">
      <c r="B8" s="7" t="s">
        <v>74</v>
      </c>
      <c r="G8" s="52">
        <f>Completed_Date</f>
        <v>45327.528767013886</v>
      </c>
      <c r="M8" s="75"/>
    </row>
    <row r="9" spans="1:13" ht="5.0999999999999996" customHeight="1" x14ac:dyDescent="0.25">
      <c r="B9" s="7"/>
      <c r="M9" s="75"/>
    </row>
    <row r="10" spans="1:13" ht="18" customHeight="1" x14ac:dyDescent="0.25">
      <c r="B10" s="7" t="s">
        <v>75</v>
      </c>
      <c r="G10" t="str">
        <f>Detailed_LineDesc04</f>
        <v>Private Passenger Auto Physical Damage</v>
      </c>
      <c r="M10" s="226"/>
    </row>
    <row r="11" spans="1:13" ht="18" customHeight="1" x14ac:dyDescent="0.25">
      <c r="B11" s="7" t="s">
        <v>76</v>
      </c>
      <c r="G11" t="str">
        <f>Covg04</f>
        <v>COMP</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3" ht="30" customHeight="1" x14ac:dyDescent="0.25">
      <c r="A15" s="33">
        <v>-1</v>
      </c>
      <c r="B15" s="34" t="s">
        <v>52</v>
      </c>
      <c r="C15" s="35"/>
      <c r="D15" s="166"/>
      <c r="E15" s="167"/>
      <c r="F15" s="167"/>
      <c r="G15" s="112"/>
      <c r="H15" s="112"/>
      <c r="I15" s="112">
        <v>484009003.63999999</v>
      </c>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v>424260692.04999995</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v>1.7203051062435748</v>
      </c>
      <c r="J17" s="16"/>
      <c r="K17" s="16"/>
      <c r="M17" s="75"/>
    </row>
    <row r="18" spans="1:13" ht="18" customHeight="1" x14ac:dyDescent="0.25">
      <c r="A18" s="30">
        <v>-4</v>
      </c>
      <c r="B18" s="31" t="s">
        <v>128</v>
      </c>
      <c r="C18" s="32" t="s">
        <v>64</v>
      </c>
      <c r="D18" s="168"/>
      <c r="E18" s="169"/>
      <c r="F18" s="169"/>
      <c r="G18" s="169"/>
      <c r="H18" s="169"/>
      <c r="I18" s="169">
        <v>1.1006159451988577</v>
      </c>
      <c r="J18" s="170">
        <v>4.3529666578276102E-2</v>
      </c>
      <c r="K18" s="16"/>
      <c r="M18" s="226" t="str">
        <f>IF(AND(New_Program=FALSE,ISBLANK($J$18)),"← ERROR! Enter Annual Premium Trend as a percentage in the 'Projected' column.","")</f>
        <v/>
      </c>
    </row>
    <row r="19" spans="1:13" ht="30" customHeight="1" x14ac:dyDescent="0.2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v>3511140</v>
      </c>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v>474826873.52999997</v>
      </c>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v>1268084.0500000003</v>
      </c>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v>1.0152124719389071</v>
      </c>
      <c r="J23" s="16"/>
      <c r="K23" s="16"/>
      <c r="M23" s="75"/>
    </row>
    <row r="24" spans="1:13" ht="18" customHeight="1" x14ac:dyDescent="0.25">
      <c r="A24" s="30">
        <v>-10</v>
      </c>
      <c r="B24" s="31" t="s">
        <v>59</v>
      </c>
      <c r="C24" s="32" t="s">
        <v>66</v>
      </c>
      <c r="D24" s="168"/>
      <c r="E24" s="169"/>
      <c r="F24" s="169"/>
      <c r="G24" s="169"/>
      <c r="H24" s="169"/>
      <c r="I24" s="169">
        <v>1.8169725444806955</v>
      </c>
      <c r="J24" s="16"/>
      <c r="K24" s="16"/>
      <c r="M24" s="75"/>
    </row>
    <row r="25" spans="1:13" ht="18" customHeight="1" x14ac:dyDescent="0.25">
      <c r="A25" s="30">
        <v>-11</v>
      </c>
      <c r="B25" s="31" t="s">
        <v>130</v>
      </c>
      <c r="C25" s="32" t="s">
        <v>67</v>
      </c>
      <c r="D25" s="168"/>
      <c r="E25" s="169"/>
      <c r="F25" s="169"/>
      <c r="G25" s="169"/>
      <c r="H25" s="169"/>
      <c r="I25" s="169">
        <v>1.4147934081207791</v>
      </c>
      <c r="J25" s="170">
        <v>0.16674158955202456</v>
      </c>
      <c r="K25" s="16"/>
      <c r="M25" s="226" t="str">
        <f>IF(AND(New_Program=FALSE,ISBLANK($J$25)),"← ERROR! Enter Annual Loss Trend as a percentage in the 'Projected' column","")</f>
        <v/>
      </c>
    </row>
    <row r="26" spans="1:13" ht="18" customHeight="1" x14ac:dyDescent="0.25">
      <c r="A26" s="30">
        <v>-12</v>
      </c>
      <c r="B26" s="31" t="s">
        <v>129</v>
      </c>
      <c r="C26" s="32" t="s">
        <v>67</v>
      </c>
      <c r="D26" s="168"/>
      <c r="E26" s="169"/>
      <c r="F26" s="169"/>
      <c r="G26" s="169"/>
      <c r="H26" s="169"/>
      <c r="I26" s="169">
        <v>1.4147934081207791</v>
      </c>
      <c r="J26" s="170">
        <v>0.16674158955202456</v>
      </c>
      <c r="K26" s="16"/>
      <c r="M26" s="226" t="str">
        <f>IF(AND(New_Program=FALSE,ISBLANK($J$26)),"← ERROR! Enter Annual DCCE Trend as a percentage in the 'Projected' column","")</f>
        <v/>
      </c>
    </row>
    <row r="27" spans="1:13" ht="18" customHeight="1" x14ac:dyDescent="0.25">
      <c r="A27" s="30">
        <v>-13</v>
      </c>
      <c r="B27" s="31" t="s">
        <v>60</v>
      </c>
      <c r="C27" s="32" t="s">
        <v>68</v>
      </c>
      <c r="D27" s="168"/>
      <c r="E27" s="169"/>
      <c r="F27" s="169"/>
      <c r="G27" s="169"/>
      <c r="H27" s="169"/>
      <c r="I27" s="169">
        <v>1.0329999999999999</v>
      </c>
      <c r="J27" s="16"/>
      <c r="K27" s="16"/>
      <c r="M27" s="75"/>
    </row>
    <row r="28" spans="1:13" ht="18" customHeight="1" x14ac:dyDescent="0.25">
      <c r="A28" s="30">
        <v>-14</v>
      </c>
      <c r="B28" s="26" t="s">
        <v>724</v>
      </c>
      <c r="C28" s="32" t="s">
        <v>69</v>
      </c>
      <c r="D28" s="27"/>
      <c r="E28" s="16"/>
      <c r="F28" s="16"/>
      <c r="G28" s="16"/>
      <c r="H28" s="16"/>
      <c r="I28" s="16"/>
      <c r="J28" s="171">
        <v>1</v>
      </c>
      <c r="K28" s="16"/>
      <c r="M28" s="227"/>
    </row>
    <row r="29" spans="1:13" ht="18" customHeight="1" x14ac:dyDescent="0.2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3" ht="17.25" hidden="1" customHeight="1" x14ac:dyDescent="0.25">
      <c r="A49" s="6" t="s">
        <v>336</v>
      </c>
      <c r="J49" s="159"/>
      <c r="M49" s="172"/>
    </row>
    <row r="50" spans="1:13" ht="17.25" hidden="1" customHeight="1" thickBot="1" x14ac:dyDescent="0.3">
      <c r="A50" s="6" t="s">
        <v>155</v>
      </c>
      <c r="J50" s="78"/>
      <c r="M50" s="76"/>
    </row>
    <row r="51" spans="1:13" ht="20.100000000000001" customHeight="1" x14ac:dyDescent="0.25">
      <c r="A51" s="6"/>
      <c r="H51" s="660" t="s">
        <v>665</v>
      </c>
      <c r="I51" s="660"/>
      <c r="J51" s="660"/>
      <c r="K51" s="660"/>
      <c r="M51" s="125"/>
    </row>
    <row r="52" spans="1:13" ht="17.25" customHeight="1" x14ac:dyDescent="0.25">
      <c r="A52" s="6"/>
      <c r="J52" s="79"/>
      <c r="M52" s="77"/>
    </row>
    <row r="53" spans="1:13" x14ac:dyDescent="0.25">
      <c r="A53" s="6"/>
      <c r="B53" s="6"/>
      <c r="C53" s="6"/>
      <c r="D53" s="6"/>
      <c r="E53" s="6"/>
      <c r="F53" s="6"/>
      <c r="G53" s="6"/>
      <c r="H53" s="6"/>
      <c r="I53" s="6"/>
      <c r="J53" s="6"/>
      <c r="K53" s="6"/>
      <c r="L53" s="6"/>
      <c r="M53" s="6"/>
    </row>
    <row r="54" spans="1:13" x14ac:dyDescent="0.25">
      <c r="A54" s="6"/>
      <c r="B54" s="6"/>
      <c r="C54" s="6"/>
      <c r="D54" s="6"/>
      <c r="E54" s="6"/>
      <c r="F54" s="6"/>
      <c r="G54" s="6"/>
      <c r="H54" s="6"/>
      <c r="I54" s="6"/>
      <c r="J54" s="6"/>
      <c r="K54" s="6"/>
      <c r="L54" s="6"/>
      <c r="M54" s="6"/>
    </row>
    <row r="55" spans="1:13" x14ac:dyDescent="0.25">
      <c r="A55" s="6"/>
      <c r="B55" s="6"/>
      <c r="C55" s="6"/>
      <c r="D55" s="6"/>
      <c r="E55" s="6"/>
      <c r="F55" s="6"/>
      <c r="G55" s="6"/>
      <c r="H55" s="6"/>
      <c r="I55" s="6"/>
      <c r="J55" s="6"/>
      <c r="K55" s="6"/>
      <c r="L55" s="6"/>
      <c r="M55" s="6"/>
    </row>
    <row r="56" spans="1:13" x14ac:dyDescent="0.25">
      <c r="A56" s="6"/>
      <c r="B56" s="6"/>
      <c r="C56" s="6"/>
      <c r="D56" s="6"/>
      <c r="E56" s="6"/>
      <c r="F56" s="6"/>
      <c r="G56" s="6"/>
      <c r="H56" s="6"/>
      <c r="I56" s="6"/>
      <c r="J56" s="6"/>
      <c r="K56" s="6"/>
      <c r="L56" s="6"/>
      <c r="M56" s="6"/>
    </row>
    <row r="57" spans="1:13" x14ac:dyDescent="0.25">
      <c r="A57" s="6"/>
      <c r="B57" s="6"/>
      <c r="C57" s="6"/>
      <c r="D57" s="6"/>
      <c r="E57" s="6"/>
      <c r="F57" s="6"/>
      <c r="G57" s="6"/>
      <c r="H57" s="6"/>
      <c r="I57" s="6"/>
      <c r="J57" s="6"/>
      <c r="K57" s="6"/>
      <c r="L57" s="6"/>
      <c r="M57" s="6"/>
    </row>
    <row r="58" spans="1:13" x14ac:dyDescent="0.25">
      <c r="A58" s="6"/>
      <c r="B58" s="6"/>
      <c r="C58" s="6"/>
      <c r="D58" s="6"/>
      <c r="E58" s="6"/>
      <c r="F58" s="6"/>
      <c r="G58" s="6"/>
      <c r="H58" s="6"/>
      <c r="I58" s="6"/>
      <c r="J58" s="6"/>
      <c r="K58" s="6"/>
      <c r="L58" s="6"/>
      <c r="M58" s="6"/>
    </row>
    <row r="59" spans="1:13" x14ac:dyDescent="0.25">
      <c r="A59" s="6"/>
      <c r="B59" s="6"/>
      <c r="C59" s="6"/>
      <c r="D59" s="6"/>
      <c r="E59" s="6"/>
      <c r="F59" s="6"/>
      <c r="G59" s="6"/>
      <c r="H59" s="6"/>
      <c r="I59" s="6"/>
      <c r="J59" s="6"/>
      <c r="K59" s="6"/>
      <c r="L59" s="6"/>
      <c r="M59" s="6"/>
    </row>
    <row r="60" spans="1:13" x14ac:dyDescent="0.25">
      <c r="A60" s="6"/>
      <c r="B60" s="6"/>
      <c r="C60" s="6"/>
      <c r="D60" s="6"/>
      <c r="E60" s="6"/>
      <c r="F60" s="6"/>
      <c r="G60" s="6"/>
      <c r="H60" s="6"/>
      <c r="I60" s="6"/>
      <c r="J60" s="6"/>
      <c r="K60" s="6"/>
      <c r="L60" s="6"/>
      <c r="M60" s="6"/>
    </row>
    <row r="61" spans="1:13" x14ac:dyDescent="0.25">
      <c r="A61" s="6"/>
      <c r="B61" s="6"/>
      <c r="C61" s="6"/>
      <c r="D61" s="6"/>
      <c r="E61" s="6"/>
      <c r="F61" s="6"/>
      <c r="G61" s="6"/>
      <c r="H61" s="6"/>
      <c r="I61" s="6"/>
      <c r="J61" s="6"/>
      <c r="K61" s="6"/>
      <c r="L61" s="6"/>
      <c r="M61" s="6"/>
    </row>
    <row r="62" spans="1:13" x14ac:dyDescent="0.25">
      <c r="A62" s="6"/>
      <c r="B62" s="6"/>
      <c r="C62" s="6"/>
      <c r="D62" s="6"/>
      <c r="E62" s="6"/>
      <c r="F62" s="6"/>
      <c r="G62" s="6"/>
      <c r="H62" s="6"/>
      <c r="I62" s="6"/>
      <c r="J62" s="6"/>
      <c r="K62" s="6"/>
      <c r="L62" s="6"/>
      <c r="M62" s="6"/>
    </row>
    <row r="63" spans="1:13" x14ac:dyDescent="0.25">
      <c r="A63" s="6"/>
      <c r="B63" s="6"/>
      <c r="C63" s="6"/>
      <c r="D63" s="6"/>
      <c r="E63" s="6"/>
      <c r="F63" s="6"/>
      <c r="G63" s="6"/>
      <c r="H63" s="6"/>
      <c r="I63" s="6"/>
      <c r="J63" s="6"/>
      <c r="K63" s="6"/>
      <c r="L63" s="6"/>
      <c r="M63" s="6"/>
    </row>
    <row r="64" spans="1:13" x14ac:dyDescent="0.25">
      <c r="A64" s="6"/>
      <c r="B64" s="6"/>
      <c r="C64" s="6"/>
      <c r="D64" s="6"/>
      <c r="E64" s="6"/>
      <c r="F64" s="6"/>
      <c r="G64" s="6"/>
      <c r="H64" s="6"/>
      <c r="I64" s="6"/>
      <c r="J64" s="6"/>
      <c r="K64" s="6"/>
      <c r="L64" s="6"/>
      <c r="M64" s="6"/>
    </row>
  </sheetData>
  <sheetProtection algorithmName="SHA-512" hashValue="JUqu84pm4Sr6pWm6wT/VkHMTRWHvbHqzCbINGzgLbMOI9r6El3L2Gyn3VUeb4qkUEuNQ2Ly78DxSrSjGiIk5kg==" saltValue="jw8Uy4DxJeqNpsqal2RyQw=="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topLeftCell="A14" zoomScaleNormal="100" zoomScaleSheetLayoutView="100" workbookViewId="0">
      <selection activeCell="I29" sqref="I2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Mutual Automobile Insurance Company</v>
      </c>
      <c r="M1" s="74" t="s">
        <v>308</v>
      </c>
    </row>
    <row r="2" spans="1:13" x14ac:dyDescent="0.25">
      <c r="A2" s="1" t="s">
        <v>30</v>
      </c>
      <c r="B2" s="9"/>
      <c r="H2" s="9" t="s">
        <v>32</v>
      </c>
      <c r="K2" s="8" t="str">
        <f>General_Line</f>
        <v>Auto Liability and Physical Damage</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702</v>
      </c>
      <c r="K7" s="455"/>
      <c r="M7" s="75"/>
    </row>
    <row r="8" spans="1:13" ht="18" customHeight="1" x14ac:dyDescent="0.25">
      <c r="B8" s="7" t="s">
        <v>74</v>
      </c>
      <c r="G8" s="52">
        <f>Completed_Date</f>
        <v>45327.528767013886</v>
      </c>
      <c r="M8" s="75"/>
    </row>
    <row r="9" spans="1:13" ht="5.0999999999999996" customHeight="1" x14ac:dyDescent="0.25">
      <c r="B9" s="7"/>
      <c r="M9" s="75"/>
    </row>
    <row r="10" spans="1:13" ht="18" customHeight="1" x14ac:dyDescent="0.25">
      <c r="B10" s="7" t="s">
        <v>75</v>
      </c>
      <c r="G10" t="str">
        <f>Detailed_LineDesc05</f>
        <v>Private Passenger Auto Physical Damage</v>
      </c>
      <c r="M10" s="226"/>
    </row>
    <row r="11" spans="1:13" ht="18" customHeight="1" x14ac:dyDescent="0.25">
      <c r="B11" s="7" t="s">
        <v>76</v>
      </c>
      <c r="G11" t="str">
        <f>Covg05</f>
        <v>COLL</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3" ht="30" customHeight="1" x14ac:dyDescent="0.25">
      <c r="A15" s="33">
        <v>-1</v>
      </c>
      <c r="B15" s="34" t="s">
        <v>52</v>
      </c>
      <c r="C15" s="35"/>
      <c r="D15" s="166"/>
      <c r="E15" s="167"/>
      <c r="F15" s="167"/>
      <c r="G15" s="112"/>
      <c r="H15" s="112"/>
      <c r="I15" s="112">
        <v>1639585373.2</v>
      </c>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v>1538143842.27</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v>1.3043792044744367</v>
      </c>
      <c r="J17" s="16"/>
      <c r="K17" s="16"/>
      <c r="M17" s="75"/>
    </row>
    <row r="18" spans="1:13" ht="18" customHeight="1" x14ac:dyDescent="0.25">
      <c r="A18" s="30">
        <v>-4</v>
      </c>
      <c r="B18" s="31" t="s">
        <v>128</v>
      </c>
      <c r="C18" s="32" t="s">
        <v>64</v>
      </c>
      <c r="D18" s="168"/>
      <c r="E18" s="169"/>
      <c r="F18" s="169"/>
      <c r="G18" s="169"/>
      <c r="H18" s="169"/>
      <c r="I18" s="169">
        <v>1.0963616403856458</v>
      </c>
      <c r="J18" s="170">
        <v>4.1735007003113701E-2</v>
      </c>
      <c r="K18" s="16"/>
      <c r="M18" s="226" t="str">
        <f>IF(AND(New_Program=FALSE,ISBLANK($J$18)),"← ERROR! Enter Annual Premium Trend as a percentage in the 'Projected' column.","")</f>
        <v/>
      </c>
    </row>
    <row r="19" spans="1:13" ht="30" customHeight="1" x14ac:dyDescent="0.2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v>3392785</v>
      </c>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v>1495332734.0699999</v>
      </c>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v>1650572.81</v>
      </c>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v>0.94673901397282523</v>
      </c>
      <c r="J23" s="16"/>
      <c r="K23" s="16"/>
      <c r="M23" s="75"/>
    </row>
    <row r="24" spans="1:13" ht="18" customHeight="1" x14ac:dyDescent="0.25">
      <c r="A24" s="30">
        <v>-10</v>
      </c>
      <c r="B24" s="31" t="s">
        <v>59</v>
      </c>
      <c r="C24" s="32" t="s">
        <v>66</v>
      </c>
      <c r="D24" s="168"/>
      <c r="E24" s="169"/>
      <c r="F24" s="169"/>
      <c r="G24" s="169"/>
      <c r="H24" s="169"/>
      <c r="I24" s="169">
        <v>1.9366901363584141</v>
      </c>
      <c r="J24" s="16"/>
      <c r="K24" s="16"/>
      <c r="M24" s="75"/>
    </row>
    <row r="25" spans="1:13" ht="18" customHeight="1" x14ac:dyDescent="0.25">
      <c r="A25" s="30">
        <v>-11</v>
      </c>
      <c r="B25" s="31" t="s">
        <v>130</v>
      </c>
      <c r="C25" s="32" t="s">
        <v>67</v>
      </c>
      <c r="D25" s="168"/>
      <c r="E25" s="169"/>
      <c r="F25" s="169"/>
      <c r="G25" s="169"/>
      <c r="H25" s="169"/>
      <c r="I25" s="169">
        <v>1.3361410509814029</v>
      </c>
      <c r="J25" s="170">
        <v>0.13745535272561349</v>
      </c>
      <c r="K25" s="16"/>
      <c r="M25" s="226" t="str">
        <f>IF(AND(New_Program=FALSE,ISBLANK($J$25)),"← ERROR! Enter Annual Loss Trend as a percentage in the 'Projected' column","")</f>
        <v/>
      </c>
    </row>
    <row r="26" spans="1:13" ht="18" customHeight="1" x14ac:dyDescent="0.25">
      <c r="A26" s="30">
        <v>-12</v>
      </c>
      <c r="B26" s="31" t="s">
        <v>129</v>
      </c>
      <c r="C26" s="32" t="s">
        <v>67</v>
      </c>
      <c r="D26" s="168"/>
      <c r="E26" s="169"/>
      <c r="F26" s="169"/>
      <c r="G26" s="169"/>
      <c r="H26" s="169"/>
      <c r="I26" s="169">
        <v>1.3361410509814029</v>
      </c>
      <c r="J26" s="170">
        <v>0.13745535272561349</v>
      </c>
      <c r="K26" s="16"/>
      <c r="M26" s="226" t="str">
        <f>IF(AND(New_Program=FALSE,ISBLANK($J$26)),"← ERROR! Enter Annual DCCE Trend as a percentage in the 'Projected' column","")</f>
        <v/>
      </c>
    </row>
    <row r="27" spans="1:13" ht="18" customHeight="1" x14ac:dyDescent="0.25">
      <c r="A27" s="30">
        <v>-13</v>
      </c>
      <c r="B27" s="31" t="s">
        <v>60</v>
      </c>
      <c r="C27" s="32" t="s">
        <v>68</v>
      </c>
      <c r="D27" s="168"/>
      <c r="E27" s="169"/>
      <c r="F27" s="169"/>
      <c r="G27" s="169"/>
      <c r="H27" s="169"/>
      <c r="I27" s="169">
        <v>1</v>
      </c>
      <c r="J27" s="16"/>
      <c r="K27" s="16"/>
      <c r="M27" s="75"/>
    </row>
    <row r="28" spans="1:13" ht="18" customHeight="1" x14ac:dyDescent="0.25">
      <c r="A28" s="30">
        <v>-14</v>
      </c>
      <c r="B28" s="26" t="s">
        <v>724</v>
      </c>
      <c r="C28" s="32" t="s">
        <v>69</v>
      </c>
      <c r="D28" s="27"/>
      <c r="E28" s="16"/>
      <c r="F28" s="16"/>
      <c r="G28" s="16"/>
      <c r="H28" s="16"/>
      <c r="I28" s="16"/>
      <c r="J28" s="171">
        <v>1</v>
      </c>
      <c r="K28" s="16"/>
      <c r="M28" s="227"/>
    </row>
    <row r="29" spans="1:13" ht="18" customHeight="1" x14ac:dyDescent="0.2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666</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rIhLX3PN+v4uyCaqgKUoAs/YIpkmPN9N6h/u3lfGic55noj9ISm1l8eCiET0ALcuIMx+q7jUs5OH33fQgPmjLw==" saltValue="aYKfJXaei3qD7vL4T0o6Ng=="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topLeftCell="A11" zoomScaleNormal="100" zoomScaleSheetLayoutView="100" workbookViewId="0">
      <selection activeCell="I29" sqref="I2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Mutual Automobile Insurance Company</v>
      </c>
      <c r="M1" s="74" t="s">
        <v>308</v>
      </c>
    </row>
    <row r="2" spans="1:13" x14ac:dyDescent="0.25">
      <c r="A2" s="1" t="s">
        <v>30</v>
      </c>
      <c r="B2" s="9"/>
      <c r="H2" s="9" t="s">
        <v>32</v>
      </c>
      <c r="K2" s="8" t="str">
        <f>General_Line</f>
        <v>Auto Liability and Physical Damage</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702</v>
      </c>
      <c r="K7" s="455"/>
      <c r="M7" s="75"/>
    </row>
    <row r="8" spans="1:13" ht="18" customHeight="1" x14ac:dyDescent="0.25">
      <c r="B8" s="7" t="s">
        <v>74</v>
      </c>
      <c r="G8" s="52">
        <f>Completed_Date</f>
        <v>45327.528767013886</v>
      </c>
      <c r="M8" s="75"/>
    </row>
    <row r="9" spans="1:13" ht="5.0999999999999996" customHeight="1" x14ac:dyDescent="0.25">
      <c r="B9" s="7"/>
      <c r="M9" s="75"/>
    </row>
    <row r="10" spans="1:13" ht="18" customHeight="1" x14ac:dyDescent="0.25">
      <c r="B10" s="7" t="s">
        <v>75</v>
      </c>
      <c r="G10" t="str">
        <f>Detailed_LineDesc06</f>
        <v>Private Passenger Auto Physical Damage</v>
      </c>
      <c r="M10" s="226"/>
    </row>
    <row r="11" spans="1:13" ht="18" customHeight="1" x14ac:dyDescent="0.25">
      <c r="B11" s="7" t="s">
        <v>76</v>
      </c>
      <c r="G11" t="str">
        <f>Covg06</f>
        <v>Misc. Damage</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3" ht="30" customHeight="1" x14ac:dyDescent="0.25">
      <c r="A15" s="33">
        <v>-1</v>
      </c>
      <c r="B15" s="34" t="s">
        <v>52</v>
      </c>
      <c r="C15" s="35"/>
      <c r="D15" s="166"/>
      <c r="E15" s="167"/>
      <c r="F15" s="167"/>
      <c r="G15" s="112"/>
      <c r="H15" s="112"/>
      <c r="I15" s="112">
        <v>102085261</v>
      </c>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v>97668789.640000001</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v>1.2646135120783668</v>
      </c>
      <c r="J17" s="16"/>
      <c r="K17" s="16"/>
      <c r="M17" s="75"/>
    </row>
    <row r="18" spans="1:13" ht="18" customHeight="1" x14ac:dyDescent="0.25">
      <c r="A18" s="30">
        <v>-4</v>
      </c>
      <c r="B18" s="31" t="s">
        <v>128</v>
      </c>
      <c r="C18" s="32" t="s">
        <v>64</v>
      </c>
      <c r="D18" s="168"/>
      <c r="E18" s="169"/>
      <c r="F18" s="169"/>
      <c r="G18" s="169"/>
      <c r="H18" s="169"/>
      <c r="I18" s="169">
        <v>1.0573548056246291</v>
      </c>
      <c r="J18" s="170">
        <v>2.5096557059295099E-2</v>
      </c>
      <c r="K18" s="16"/>
      <c r="M18" s="226" t="str">
        <f>IF(AND(New_Program=FALSE,ISBLANK($J$18)),"← ERROR! Enter Annual Premium Trend as a percentage in the 'Projected' column.","")</f>
        <v/>
      </c>
    </row>
    <row r="19" spans="1:13" ht="30" customHeight="1" x14ac:dyDescent="0.25">
      <c r="A19" s="30">
        <v>-5</v>
      </c>
      <c r="B19" s="31" t="s">
        <v>739</v>
      </c>
      <c r="C19" s="32" t="s">
        <v>65</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v>4369120</v>
      </c>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v>87942331.440000013</v>
      </c>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v>12165.12</v>
      </c>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v>0.99368654706831272</v>
      </c>
      <c r="J23" s="16"/>
      <c r="K23" s="16"/>
      <c r="M23" s="75"/>
    </row>
    <row r="24" spans="1:13" ht="18" customHeight="1" x14ac:dyDescent="0.25">
      <c r="A24" s="30">
        <v>-10</v>
      </c>
      <c r="B24" s="31" t="s">
        <v>59</v>
      </c>
      <c r="C24" s="32" t="s">
        <v>66</v>
      </c>
      <c r="D24" s="168"/>
      <c r="E24" s="169"/>
      <c r="F24" s="169"/>
      <c r="G24" s="169"/>
      <c r="H24" s="169"/>
      <c r="I24" s="169">
        <v>1.2813915324825227</v>
      </c>
      <c r="J24" s="16"/>
      <c r="K24" s="16"/>
      <c r="M24" s="75"/>
    </row>
    <row r="25" spans="1:13" ht="18" customHeight="1" x14ac:dyDescent="0.25">
      <c r="A25" s="30">
        <v>-11</v>
      </c>
      <c r="B25" s="31" t="s">
        <v>130</v>
      </c>
      <c r="C25" s="32" t="s">
        <v>67</v>
      </c>
      <c r="D25" s="168"/>
      <c r="E25" s="169"/>
      <c r="F25" s="169"/>
      <c r="G25" s="169"/>
      <c r="H25" s="169"/>
      <c r="I25" s="169">
        <v>1.2030187355018018</v>
      </c>
      <c r="J25" s="170">
        <v>8.5616956911465314E-2</v>
      </c>
      <c r="K25" s="16"/>
      <c r="M25" s="226" t="str">
        <f>IF(AND(New_Program=FALSE,ISBLANK($J$25)),"← ERROR! Enter Annual Loss Trend as a percentage in the 'Projected' column","")</f>
        <v/>
      </c>
    </row>
    <row r="26" spans="1:13" ht="18" customHeight="1" x14ac:dyDescent="0.25">
      <c r="A26" s="30">
        <v>-12</v>
      </c>
      <c r="B26" s="31" t="s">
        <v>129</v>
      </c>
      <c r="C26" s="32" t="s">
        <v>67</v>
      </c>
      <c r="D26" s="168"/>
      <c r="E26" s="169"/>
      <c r="F26" s="169"/>
      <c r="G26" s="169"/>
      <c r="H26" s="169"/>
      <c r="I26" s="169">
        <v>1.2030187355018018</v>
      </c>
      <c r="J26" s="170">
        <v>8.5616956911465314E-2</v>
      </c>
      <c r="K26" s="16"/>
      <c r="M26" s="226" t="str">
        <f>IF(AND(New_Program=FALSE,ISBLANK($J$26)),"← ERROR! Enter Annual DCCE Trend as a percentage in the 'Projected' column","")</f>
        <v/>
      </c>
    </row>
    <row r="27" spans="1:13" ht="18" customHeight="1" x14ac:dyDescent="0.25">
      <c r="A27" s="30">
        <v>-13</v>
      </c>
      <c r="B27" s="31" t="s">
        <v>60</v>
      </c>
      <c r="C27" s="32" t="s">
        <v>68</v>
      </c>
      <c r="D27" s="168"/>
      <c r="E27" s="169"/>
      <c r="F27" s="169"/>
      <c r="G27" s="169"/>
      <c r="H27" s="169"/>
      <c r="I27" s="169">
        <v>1</v>
      </c>
      <c r="J27" s="16"/>
      <c r="K27" s="16"/>
      <c r="M27" s="75"/>
    </row>
    <row r="28" spans="1:13" ht="18" customHeight="1" x14ac:dyDescent="0.25">
      <c r="A28" s="30">
        <v>-14</v>
      </c>
      <c r="B28" s="26" t="s">
        <v>724</v>
      </c>
      <c r="C28" s="32" t="s">
        <v>69</v>
      </c>
      <c r="D28" s="27"/>
      <c r="E28" s="16"/>
      <c r="F28" s="16"/>
      <c r="G28" s="16"/>
      <c r="H28" s="16"/>
      <c r="I28" s="16"/>
      <c r="J28" s="171">
        <v>1</v>
      </c>
      <c r="K28" s="16"/>
      <c r="M28" s="227"/>
    </row>
    <row r="29" spans="1:13" ht="18" customHeight="1" x14ac:dyDescent="0.25">
      <c r="A29" s="30">
        <v>-15</v>
      </c>
      <c r="B29" s="31" t="s">
        <v>35</v>
      </c>
      <c r="C29" s="32" t="s">
        <v>70</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667</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tefwkWuFJiK8q4mVX5NvmXnZQSEKTi2UVBal5GjVyDFIzcc5iWoS1yixRQoVAY+gRB7DQP476sT8DvQ7i/0zJQ==" saltValue="lyee0ToXPbnc5eZWb33aeQ=="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topLeftCell="A6" zoomScaleNormal="100" zoomScaleSheetLayoutView="100" workbookViewId="0">
      <selection activeCell="I17" sqref="I17"/>
    </sheetView>
  </sheetViews>
  <sheetFormatPr defaultRowHeight="15" x14ac:dyDescent="0.25"/>
  <cols>
    <col min="1" max="1" width="5" customWidth="1"/>
    <col min="2" max="2" width="29.7109375" customWidth="1"/>
    <col min="3" max="3" width="7" bestFit="1" customWidth="1"/>
    <col min="4"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Mutual Automobile Insurance Company</v>
      </c>
      <c r="M1" s="74" t="s">
        <v>308</v>
      </c>
    </row>
    <row r="2" spans="1:13" x14ac:dyDescent="0.25">
      <c r="A2" s="1" t="s">
        <v>30</v>
      </c>
      <c r="B2" s="9"/>
      <c r="H2" s="9" t="s">
        <v>32</v>
      </c>
      <c r="K2" s="8" t="str">
        <f>General_Line</f>
        <v>Auto Liability and Physical Damage</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702</v>
      </c>
      <c r="K7" s="455"/>
      <c r="M7" s="75"/>
    </row>
    <row r="8" spans="1:13" ht="18" customHeight="1" x14ac:dyDescent="0.25">
      <c r="B8" s="7" t="s">
        <v>74</v>
      </c>
      <c r="G8" s="52">
        <f>Completed_Date</f>
        <v>45327.528767013886</v>
      </c>
      <c r="M8" s="75"/>
    </row>
    <row r="9" spans="1:13" ht="5.0999999999999996" customHeight="1" x14ac:dyDescent="0.25">
      <c r="B9" s="7"/>
      <c r="M9" s="75"/>
    </row>
    <row r="10" spans="1:13" ht="18" customHeight="1" x14ac:dyDescent="0.25">
      <c r="B10" s="7" t="s">
        <v>75</v>
      </c>
      <c r="G10" t="str">
        <f>Detailed_LineDesc07</f>
        <v>Private Passenger Auto Liability</v>
      </c>
      <c r="M10" s="226"/>
    </row>
    <row r="11" spans="1:13" ht="18" customHeight="1" x14ac:dyDescent="0.25">
      <c r="B11" s="7" t="s">
        <v>76</v>
      </c>
      <c r="G11" t="str">
        <f>Covg07</f>
        <v>Misc. Liability</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3" ht="30" customHeight="1" x14ac:dyDescent="0.25">
      <c r="A15" s="33">
        <v>-1</v>
      </c>
      <c r="B15" s="34" t="s">
        <v>52</v>
      </c>
      <c r="C15" s="35"/>
      <c r="D15" s="166">
        <v>841894.17</v>
      </c>
      <c r="E15" s="167">
        <v>802149.36</v>
      </c>
      <c r="F15" s="167">
        <v>796108.98</v>
      </c>
      <c r="G15" s="112">
        <v>700049.52</v>
      </c>
      <c r="H15" s="112">
        <v>707554.08</v>
      </c>
      <c r="I15" s="112">
        <v>698424.09</v>
      </c>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v>878012.55999999994</v>
      </c>
      <c r="E16" s="112">
        <v>808317.52</v>
      </c>
      <c r="F16" s="112">
        <v>799667.52</v>
      </c>
      <c r="G16" s="112">
        <v>721474.84000000008</v>
      </c>
      <c r="H16" s="112">
        <v>703292.21</v>
      </c>
      <c r="I16" s="112">
        <v>717695.75</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v>0.58581319271005705</v>
      </c>
      <c r="E17" s="169">
        <v>0.62725584684043367</v>
      </c>
      <c r="F17" s="169">
        <v>0.63313916245933821</v>
      </c>
      <c r="G17" s="169">
        <v>0.7143473787121789</v>
      </c>
      <c r="H17" s="169">
        <v>0.73857486782081205</v>
      </c>
      <c r="I17" s="169">
        <v>0.75885266268737761</v>
      </c>
      <c r="J17" s="16"/>
      <c r="K17" s="16"/>
      <c r="M17" s="75"/>
    </row>
    <row r="18" spans="1:13" ht="18" customHeight="1" x14ac:dyDescent="0.25">
      <c r="A18" s="30">
        <v>-4</v>
      </c>
      <c r="B18" s="31" t="s">
        <v>128</v>
      </c>
      <c r="C18" s="32" t="s">
        <v>64</v>
      </c>
      <c r="D18" s="168">
        <v>1.0392586578875997</v>
      </c>
      <c r="E18" s="169">
        <v>1.0337533756296979</v>
      </c>
      <c r="F18" s="169">
        <v>1.0282772565955125</v>
      </c>
      <c r="G18" s="169">
        <v>1.0228301462982112</v>
      </c>
      <c r="H18" s="169">
        <v>1.0174118910693271</v>
      </c>
      <c r="I18" s="169">
        <v>1.012022338054424</v>
      </c>
      <c r="J18" s="170">
        <v>5.3255277203310102E-3</v>
      </c>
      <c r="K18" s="16"/>
      <c r="M18" s="226" t="str">
        <f>IF(AND(New_Program=FALSE,ISBLANK($J$18)),"← ERROR! Enter Annual Premium Trend as a percentage in the 'Projected' column.","")</f>
        <v/>
      </c>
    </row>
    <row r="19" spans="1:13" ht="30" customHeight="1" x14ac:dyDescent="0.25">
      <c r="A19" s="30">
        <v>-5</v>
      </c>
      <c r="B19" s="31" t="s">
        <v>739</v>
      </c>
      <c r="C19" s="32" t="s">
        <v>65</v>
      </c>
      <c r="D19" s="113">
        <v>0</v>
      </c>
      <c r="E19" s="112">
        <v>0</v>
      </c>
      <c r="F19" s="112">
        <v>0</v>
      </c>
      <c r="G19" s="112">
        <v>0</v>
      </c>
      <c r="H19" s="112">
        <v>0</v>
      </c>
      <c r="I19" s="112">
        <v>0</v>
      </c>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v>227694</v>
      </c>
      <c r="E20" s="112">
        <v>222653</v>
      </c>
      <c r="F20" s="112">
        <v>220369</v>
      </c>
      <c r="G20" s="112">
        <v>222830</v>
      </c>
      <c r="H20" s="112">
        <v>224714</v>
      </c>
      <c r="I20" s="112">
        <v>234979</v>
      </c>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v>531671.41999999993</v>
      </c>
      <c r="E21" s="112">
        <v>474150</v>
      </c>
      <c r="F21" s="112">
        <v>167350</v>
      </c>
      <c r="G21" s="112">
        <v>202050</v>
      </c>
      <c r="H21" s="112">
        <v>352210</v>
      </c>
      <c r="I21" s="112">
        <v>277560</v>
      </c>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v>7982</v>
      </c>
      <c r="E22" s="112">
        <v>-1.1368683772161603E-13</v>
      </c>
      <c r="F22" s="112">
        <v>24.9</v>
      </c>
      <c r="G22" s="112">
        <v>35</v>
      </c>
      <c r="H22" s="112">
        <v>7.75</v>
      </c>
      <c r="I22" s="112">
        <v>0</v>
      </c>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v>1</v>
      </c>
      <c r="E23" s="169">
        <v>1</v>
      </c>
      <c r="F23" s="169">
        <v>1</v>
      </c>
      <c r="G23" s="169">
        <v>0.99973582879565315</v>
      </c>
      <c r="H23" s="169">
        <v>0.99730036113642606</v>
      </c>
      <c r="I23" s="169">
        <v>1.006691525364102</v>
      </c>
      <c r="J23" s="16"/>
      <c r="K23" s="16"/>
      <c r="M23" s="75"/>
    </row>
    <row r="24" spans="1:13" ht="18" customHeight="1" x14ac:dyDescent="0.25">
      <c r="A24" s="30">
        <v>-10</v>
      </c>
      <c r="B24" s="31" t="s">
        <v>59</v>
      </c>
      <c r="C24" s="32" t="s">
        <v>66</v>
      </c>
      <c r="D24" s="168">
        <v>1</v>
      </c>
      <c r="E24" s="169">
        <v>1</v>
      </c>
      <c r="F24" s="169">
        <v>1</v>
      </c>
      <c r="G24" s="169">
        <v>1</v>
      </c>
      <c r="H24" s="169">
        <v>1</v>
      </c>
      <c r="I24" s="169">
        <v>1.9328571428571431</v>
      </c>
      <c r="J24" s="16"/>
      <c r="K24" s="16"/>
      <c r="M24" s="75"/>
    </row>
    <row r="25" spans="1:13" ht="18" customHeight="1" x14ac:dyDescent="0.25">
      <c r="A25" s="30">
        <v>-11</v>
      </c>
      <c r="B25" s="31" t="s">
        <v>130</v>
      </c>
      <c r="C25" s="32" t="s">
        <v>67</v>
      </c>
      <c r="D25" s="168">
        <v>0.89078737169426359</v>
      </c>
      <c r="E25" s="169">
        <v>0.90511084499554595</v>
      </c>
      <c r="F25" s="169">
        <v>0.91966463351450178</v>
      </c>
      <c r="G25" s="169">
        <v>0.93445244061960719</v>
      </c>
      <c r="H25" s="169">
        <v>0.94947802922789171</v>
      </c>
      <c r="I25" s="169">
        <v>0.96474522276245345</v>
      </c>
      <c r="J25" s="170">
        <v>-1.5825104052700701E-2</v>
      </c>
      <c r="K25" s="16"/>
      <c r="M25" s="226" t="str">
        <f>IF(AND(New_Program=FALSE,ISBLANK($J$25)),"← ERROR! Enter Annual Loss Trend as a percentage in the 'Projected' column","")</f>
        <v/>
      </c>
    </row>
    <row r="26" spans="1:13" ht="18" customHeight="1" x14ac:dyDescent="0.25">
      <c r="A26" s="30">
        <v>-12</v>
      </c>
      <c r="B26" s="31" t="s">
        <v>129</v>
      </c>
      <c r="C26" s="32" t="s">
        <v>67</v>
      </c>
      <c r="D26" s="168">
        <v>0.89078737169426359</v>
      </c>
      <c r="E26" s="169">
        <v>0.90511084499554595</v>
      </c>
      <c r="F26" s="169">
        <v>0.91966463351450178</v>
      </c>
      <c r="G26" s="169">
        <v>0.93445244061960719</v>
      </c>
      <c r="H26" s="169">
        <v>0.94947802922789171</v>
      </c>
      <c r="I26" s="169">
        <v>0.96474522276245345</v>
      </c>
      <c r="J26" s="170">
        <v>-1.5825104052700701E-2</v>
      </c>
      <c r="K26" s="16"/>
      <c r="M26" s="226" t="str">
        <f>IF(AND(New_Program=FALSE,ISBLANK($J$26)),"← ERROR! Enter Annual DCCE Trend as a percentage in the 'Projected' column","")</f>
        <v/>
      </c>
    </row>
    <row r="27" spans="1:13" ht="18" customHeight="1" x14ac:dyDescent="0.25">
      <c r="A27" s="30">
        <v>-13</v>
      </c>
      <c r="B27" s="31" t="s">
        <v>60</v>
      </c>
      <c r="C27" s="32" t="s">
        <v>68</v>
      </c>
      <c r="D27" s="168">
        <v>1</v>
      </c>
      <c r="E27" s="169">
        <v>1</v>
      </c>
      <c r="F27" s="169">
        <v>1</v>
      </c>
      <c r="G27" s="169">
        <v>1</v>
      </c>
      <c r="H27" s="169">
        <v>1</v>
      </c>
      <c r="I27" s="169">
        <v>1</v>
      </c>
      <c r="J27" s="16"/>
      <c r="K27" s="16"/>
      <c r="M27" s="75"/>
    </row>
    <row r="28" spans="1:13" ht="18" customHeight="1" x14ac:dyDescent="0.25">
      <c r="A28" s="30">
        <v>-14</v>
      </c>
      <c r="B28" s="26" t="s">
        <v>724</v>
      </c>
      <c r="C28" s="32" t="s">
        <v>69</v>
      </c>
      <c r="D28" s="27"/>
      <c r="E28" s="16"/>
      <c r="F28" s="16"/>
      <c r="G28" s="16"/>
      <c r="H28" s="16"/>
      <c r="I28" s="16"/>
      <c r="J28" s="171">
        <v>0.23593784492248518</v>
      </c>
      <c r="K28" s="16"/>
      <c r="M28" s="227"/>
    </row>
    <row r="29" spans="1:13" ht="18" customHeight="1" x14ac:dyDescent="0.25">
      <c r="A29" s="30">
        <v>-15</v>
      </c>
      <c r="B29" s="31" t="s">
        <v>35</v>
      </c>
      <c r="C29" s="32" t="s">
        <v>70</v>
      </c>
      <c r="D29" s="113">
        <v>0</v>
      </c>
      <c r="E29" s="112">
        <v>0</v>
      </c>
      <c r="F29" s="112">
        <v>0</v>
      </c>
      <c r="G29" s="112">
        <v>0</v>
      </c>
      <c r="H29" s="112">
        <v>0</v>
      </c>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668</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Y9wBSjZJIV30C9qRqRXvXlpbUZthqJKjk/c2TaITFryd+sXsaMtQ6odXKMfgA38L5Ck3PvCh1Frfx0+o2BLGfQ==" saltValue="pq/2vi7QJQ9Owp1syWUCsA=="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57" orientation="portrait" r:id="rId1"/>
  <headerFooter>
    <oddFooter>&amp;CPrior Approval Rate Template&amp;RPage 6.7&amp;L11/9/2023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Mutual Automobile Insurance Company</v>
      </c>
      <c r="M1" s="74" t="s">
        <v>308</v>
      </c>
    </row>
    <row r="2" spans="1:13" x14ac:dyDescent="0.25">
      <c r="A2" s="1" t="s">
        <v>30</v>
      </c>
      <c r="B2" s="9"/>
      <c r="H2" s="9" t="s">
        <v>32</v>
      </c>
      <c r="K2" s="8" t="str">
        <f>General_Line</f>
        <v>Auto Liability and Physical Damage</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702</v>
      </c>
      <c r="K7" s="455"/>
      <c r="M7" s="75"/>
    </row>
    <row r="8" spans="1:13" ht="18" customHeight="1" x14ac:dyDescent="0.25">
      <c r="B8" s="7" t="s">
        <v>74</v>
      </c>
      <c r="G8" s="52">
        <f>Completed_Date</f>
        <v>45327.528767013886</v>
      </c>
      <c r="M8" s="75"/>
    </row>
    <row r="9" spans="1:13" ht="5.0999999999999996" customHeight="1" x14ac:dyDescent="0.25">
      <c r="B9" s="7"/>
      <c r="M9" s="75"/>
    </row>
    <row r="10" spans="1:13" ht="18" customHeight="1" x14ac:dyDescent="0.25">
      <c r="B10" s="7" t="s">
        <v>75</v>
      </c>
      <c r="G10" t="str">
        <f>Detailed_LineDesc08</f>
        <v/>
      </c>
      <c r="M10" s="226"/>
    </row>
    <row r="11" spans="1:13" ht="18" customHeight="1" x14ac:dyDescent="0.25">
      <c r="B11" s="7" t="s">
        <v>76</v>
      </c>
      <c r="G11" t="str">
        <f>Covg08</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669</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sYp2xT+aHAUD+J+UycdUg0CzCP0POpcKJiRV8xr/LrAb2XFcs9zWo4RtaAToOmRGAyYTawFGqrqD67j5E1Gq2Q==" saltValue="nFHfdBhWmJQWPljSOfd9MQ=="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Mutual Automobile Insurance Company</v>
      </c>
      <c r="M1" s="74" t="s">
        <v>308</v>
      </c>
    </row>
    <row r="2" spans="1:13" x14ac:dyDescent="0.25">
      <c r="A2" s="1" t="s">
        <v>30</v>
      </c>
      <c r="B2" s="9"/>
      <c r="H2" s="9" t="s">
        <v>32</v>
      </c>
      <c r="K2" s="8" t="str">
        <f>General_Line</f>
        <v>Auto Liability and Physical Damage</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702</v>
      </c>
      <c r="K7" s="455"/>
      <c r="M7" s="75"/>
    </row>
    <row r="8" spans="1:13" ht="18" customHeight="1" x14ac:dyDescent="0.25">
      <c r="B8" s="7" t="s">
        <v>74</v>
      </c>
      <c r="G8" s="52">
        <f>Completed_Date</f>
        <v>45327.528767013886</v>
      </c>
      <c r="M8" s="75"/>
    </row>
    <row r="9" spans="1:13" ht="5.0999999999999996" customHeight="1" x14ac:dyDescent="0.25">
      <c r="B9" s="7"/>
      <c r="M9" s="75"/>
    </row>
    <row r="10" spans="1:13" ht="18" customHeight="1" x14ac:dyDescent="0.25">
      <c r="B10" s="7" t="s">
        <v>75</v>
      </c>
      <c r="G10" t="str">
        <f>Detailed_LineDesc09</f>
        <v/>
      </c>
      <c r="M10" s="226"/>
    </row>
    <row r="11" spans="1:13" ht="18" customHeight="1" x14ac:dyDescent="0.25">
      <c r="B11" s="7" t="s">
        <v>76</v>
      </c>
      <c r="G11" t="str">
        <f>Covg09</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670</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B3OFGqzoqExrgkwIq/HvbLKX/Y9y9qRc8ucPY8AvKmHEOIw2hggNhYLfR+bjk19zWBO7RQfdlKA68FUx3J7vKg==" saltValue="ZfC7wNpxa+vbOkEApkCFaA=="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29</v>
      </c>
      <c r="B1" s="9"/>
      <c r="H1" s="9" t="s">
        <v>31</v>
      </c>
      <c r="K1" s="8" t="str">
        <f>Co_Name</f>
        <v>State Farm Mutual Automobile Insurance Company</v>
      </c>
      <c r="M1" s="74" t="s">
        <v>308</v>
      </c>
    </row>
    <row r="2" spans="1:13" x14ac:dyDescent="0.25">
      <c r="A2" s="1" t="s">
        <v>30</v>
      </c>
      <c r="B2" s="9"/>
      <c r="H2" s="9" t="s">
        <v>32</v>
      </c>
      <c r="K2" s="8" t="str">
        <f>General_Line</f>
        <v>Auto Liability and Physical Damage</v>
      </c>
      <c r="M2" s="176" t="s">
        <v>111</v>
      </c>
    </row>
    <row r="3" spans="1:13" x14ac:dyDescent="0.25">
      <c r="A3" s="1"/>
      <c r="B3" s="157"/>
      <c r="H3" s="71" t="s">
        <v>140</v>
      </c>
      <c r="I3" s="72"/>
      <c r="J3" s="72"/>
      <c r="K3" s="70" t="str">
        <f>CDI_FileNo</f>
        <v/>
      </c>
      <c r="M3" s="225"/>
    </row>
    <row r="4" spans="1:13" ht="18" customHeight="1" x14ac:dyDescent="0.25">
      <c r="M4" s="75"/>
    </row>
    <row r="5" spans="1:13" ht="23.25" x14ac:dyDescent="0.25">
      <c r="A5" s="4" t="s">
        <v>603</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Laura Campbell</v>
      </c>
      <c r="J7" s="7" t="s">
        <v>702</v>
      </c>
      <c r="K7" s="455"/>
      <c r="M7" s="75"/>
    </row>
    <row r="8" spans="1:13" ht="18" customHeight="1" x14ac:dyDescent="0.25">
      <c r="B8" s="7" t="s">
        <v>74</v>
      </c>
      <c r="G8" s="52">
        <f>Completed_Date</f>
        <v>45327.528767013886</v>
      </c>
      <c r="M8" s="75"/>
    </row>
    <row r="9" spans="1:13" ht="5.0999999999999996" customHeight="1" x14ac:dyDescent="0.25">
      <c r="B9" s="7"/>
      <c r="M9" s="75"/>
    </row>
    <row r="10" spans="1:13" ht="18" customHeight="1" x14ac:dyDescent="0.25">
      <c r="B10" s="7" t="s">
        <v>75</v>
      </c>
      <c r="G10" t="str">
        <f>Detailed_LineDesc10</f>
        <v/>
      </c>
      <c r="M10" s="226"/>
    </row>
    <row r="11" spans="1:13" ht="18" customHeight="1" x14ac:dyDescent="0.25">
      <c r="B11" s="7" t="s">
        <v>76</v>
      </c>
      <c r="G11" t="str">
        <f>Covg10</f>
        <v/>
      </c>
      <c r="M11" s="75"/>
    </row>
    <row r="12" spans="1:13" ht="9.9499999999999993" customHeight="1" x14ac:dyDescent="0.25">
      <c r="B12" s="2"/>
      <c r="G12" s="22"/>
      <c r="I12" s="23"/>
      <c r="J12" s="24"/>
      <c r="M12" s="75"/>
    </row>
    <row r="13" spans="1:13" ht="30" x14ac:dyDescent="0.25">
      <c r="A13" s="28" t="s">
        <v>57</v>
      </c>
      <c r="B13" s="29" t="s">
        <v>62</v>
      </c>
      <c r="C13" s="28" t="s">
        <v>56</v>
      </c>
      <c r="D13" s="165" t="s">
        <v>224</v>
      </c>
      <c r="E13" s="165" t="s">
        <v>225</v>
      </c>
      <c r="F13" s="165" t="s">
        <v>226</v>
      </c>
      <c r="G13" s="165" t="s">
        <v>227</v>
      </c>
      <c r="H13" s="165" t="s">
        <v>228</v>
      </c>
      <c r="I13" s="165" t="s">
        <v>229</v>
      </c>
      <c r="J13" s="28" t="s">
        <v>107</v>
      </c>
      <c r="K13" s="28" t="s">
        <v>108</v>
      </c>
      <c r="M13" s="75"/>
    </row>
    <row r="14" spans="1:13" ht="18" customHeight="1" thickBot="1" x14ac:dyDescent="0.3">
      <c r="A14" s="40" t="s">
        <v>113</v>
      </c>
      <c r="B14" s="39" t="s">
        <v>112</v>
      </c>
      <c r="C14" s="36"/>
      <c r="D14" s="395" t="str">
        <f>LEFT(MstRcntDataYr,4)-5&amp;RIGHT(MstRcntDataYr,1)</f>
        <v>20183</v>
      </c>
      <c r="E14" s="395" t="str">
        <f>LEFT(MstRcntDataYr,4)-4&amp;RIGHT(MstRcntDataYr,1)</f>
        <v>20193</v>
      </c>
      <c r="F14" s="395" t="str">
        <f>LEFT(MstRcntDataYr,4)-3&amp;RIGHT(MstRcntDataYr,1)</f>
        <v>20203</v>
      </c>
      <c r="G14" s="395" t="str">
        <f>LEFT(MstRcntDataYr,4)-2&amp;RIGHT(MstRcntDataYr,1)</f>
        <v>20213</v>
      </c>
      <c r="H14" s="395" t="str">
        <f>LEFT(MstRcntDataYr,4)-1&amp;RIGHT(MstRcntDataYr,1)</f>
        <v>20223</v>
      </c>
      <c r="I14" s="395">
        <f>MstRcntDataYr</f>
        <v>20233</v>
      </c>
      <c r="J14" s="25"/>
      <c r="K14" s="17"/>
      <c r="M14" s="75"/>
    </row>
    <row r="15" spans="1:13" ht="30" customHeight="1" x14ac:dyDescent="0.25">
      <c r="A15" s="33">
        <v>-1</v>
      </c>
      <c r="B15" s="34" t="s">
        <v>52</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53</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34</v>
      </c>
      <c r="C17" s="32" t="s">
        <v>63</v>
      </c>
      <c r="D17" s="168"/>
      <c r="E17" s="169"/>
      <c r="F17" s="169"/>
      <c r="G17" s="169"/>
      <c r="H17" s="169"/>
      <c r="I17" s="169"/>
      <c r="J17" s="16"/>
      <c r="K17" s="16"/>
      <c r="M17" s="75"/>
    </row>
    <row r="18" spans="1:13" ht="18" customHeight="1" x14ac:dyDescent="0.25">
      <c r="A18" s="30">
        <v>-4</v>
      </c>
      <c r="B18" s="31" t="s">
        <v>128</v>
      </c>
      <c r="C18" s="32" t="s">
        <v>64</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739</v>
      </c>
      <c r="C19" s="32" t="s">
        <v>65</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54</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131</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55</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58</v>
      </c>
      <c r="C23" s="32" t="s">
        <v>66</v>
      </c>
      <c r="D23" s="168"/>
      <c r="E23" s="169"/>
      <c r="F23" s="169"/>
      <c r="G23" s="169"/>
      <c r="H23" s="169"/>
      <c r="I23" s="169"/>
      <c r="J23" s="16"/>
      <c r="K23" s="16"/>
      <c r="M23" s="75"/>
    </row>
    <row r="24" spans="1:13" ht="18" customHeight="1" x14ac:dyDescent="0.25">
      <c r="A24" s="30">
        <v>-10</v>
      </c>
      <c r="B24" s="31" t="s">
        <v>59</v>
      </c>
      <c r="C24" s="32" t="s">
        <v>66</v>
      </c>
      <c r="D24" s="168"/>
      <c r="E24" s="169"/>
      <c r="F24" s="169"/>
      <c r="G24" s="169"/>
      <c r="H24" s="169"/>
      <c r="I24" s="169"/>
      <c r="J24" s="16"/>
      <c r="K24" s="16"/>
      <c r="M24" s="75"/>
    </row>
    <row r="25" spans="1:13" ht="18" customHeight="1" x14ac:dyDescent="0.25">
      <c r="A25" s="30">
        <v>-11</v>
      </c>
      <c r="B25" s="31" t="s">
        <v>130</v>
      </c>
      <c r="C25" s="32" t="s">
        <v>67</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129</v>
      </c>
      <c r="C26" s="32" t="s">
        <v>67</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60</v>
      </c>
      <c r="C27" s="32" t="s">
        <v>68</v>
      </c>
      <c r="D27" s="168"/>
      <c r="E27" s="169"/>
      <c r="F27" s="169"/>
      <c r="G27" s="169"/>
      <c r="H27" s="169"/>
      <c r="I27" s="169"/>
      <c r="J27" s="16"/>
      <c r="K27" s="16"/>
      <c r="M27" s="75"/>
    </row>
    <row r="28" spans="1:13" ht="18" customHeight="1" x14ac:dyDescent="0.25">
      <c r="A28" s="30">
        <v>-14</v>
      </c>
      <c r="B28" s="26" t="s">
        <v>724</v>
      </c>
      <c r="C28" s="32" t="s">
        <v>69</v>
      </c>
      <c r="D28" s="27"/>
      <c r="E28" s="16"/>
      <c r="F28" s="16"/>
      <c r="G28" s="16"/>
      <c r="H28" s="16"/>
      <c r="I28" s="16"/>
      <c r="J28" s="171"/>
      <c r="K28" s="16"/>
      <c r="M28" s="227"/>
    </row>
    <row r="29" spans="1:13" ht="18" customHeight="1" x14ac:dyDescent="0.25">
      <c r="A29" s="30">
        <v>-15</v>
      </c>
      <c r="B29" s="31" t="s">
        <v>35</v>
      </c>
      <c r="C29" s="32" t="s">
        <v>70</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712</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160</v>
      </c>
      <c r="C33" s="32" t="s">
        <v>605</v>
      </c>
      <c r="D33" s="27"/>
      <c r="E33" s="16"/>
      <c r="F33" s="16"/>
      <c r="G33" s="16"/>
      <c r="H33" s="16"/>
      <c r="I33" s="16"/>
      <c r="J33" s="69">
        <f>IF(New_Program=FALSE,ExpRatio_Excluded,"")</f>
        <v>1.2466623522765235E-2</v>
      </c>
      <c r="K33" s="69" t="str">
        <f>IF(New_Program=TRUE,ExpRatio_Excluded,"")</f>
        <v/>
      </c>
      <c r="M33" s="75"/>
    </row>
    <row r="34" spans="1:13" ht="30" customHeight="1" x14ac:dyDescent="0.25">
      <c r="A34" s="30">
        <v>-17</v>
      </c>
      <c r="B34" s="31" t="s">
        <v>309</v>
      </c>
      <c r="C34" s="32" t="s">
        <v>606</v>
      </c>
      <c r="D34" s="27"/>
      <c r="E34" s="16"/>
      <c r="F34" s="16"/>
      <c r="G34" s="16"/>
      <c r="H34" s="16"/>
      <c r="I34" s="16"/>
      <c r="J34" s="69">
        <f>IF(New_Program=FALSE,FIT_Inv,"")</f>
        <v>0.19137921840251979</v>
      </c>
      <c r="K34" s="69" t="str">
        <f>IF(New_Program=TRUE,FIT_Inv,"")</f>
        <v/>
      </c>
      <c r="M34" s="75"/>
    </row>
    <row r="35" spans="1:13" ht="18" customHeight="1" x14ac:dyDescent="0.25">
      <c r="A35" s="30">
        <v>-18</v>
      </c>
      <c r="B35" s="26" t="s">
        <v>310</v>
      </c>
      <c r="C35" s="32" t="s">
        <v>606</v>
      </c>
      <c r="D35" s="27"/>
      <c r="E35" s="16"/>
      <c r="F35" s="16"/>
      <c r="G35" s="16"/>
      <c r="H35" s="16"/>
      <c r="I35" s="16"/>
      <c r="J35" s="69">
        <f>IF(New_Program=FALSE,Yield,"")</f>
        <v>0.1033501482576579</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335</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110</v>
      </c>
      <c r="C39" s="32" t="s">
        <v>109</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154</v>
      </c>
      <c r="C40" s="32" t="s">
        <v>109</v>
      </c>
      <c r="D40" s="16"/>
      <c r="E40" s="16"/>
      <c r="F40" s="16"/>
      <c r="G40" s="16"/>
      <c r="H40" s="16"/>
      <c r="I40" s="16"/>
      <c r="J40" s="170"/>
      <c r="K40" s="16"/>
      <c r="M40" s="227" t="str">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707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319</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61</v>
      </c>
      <c r="C45" s="32" t="s">
        <v>71</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320</v>
      </c>
      <c r="C46" s="32" t="s">
        <v>71</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703</v>
      </c>
      <c r="M47" s="226"/>
    </row>
    <row r="48" spans="1:13" ht="17.25" customHeight="1" thickBot="1" x14ac:dyDescent="0.3">
      <c r="A48" s="6" t="s">
        <v>321</v>
      </c>
      <c r="M48" s="226"/>
    </row>
    <row r="49" spans="1:14" ht="17.25" hidden="1" customHeight="1" x14ac:dyDescent="0.25">
      <c r="A49" s="6" t="s">
        <v>336</v>
      </c>
      <c r="J49" s="159"/>
      <c r="M49" s="172"/>
    </row>
    <row r="50" spans="1:14" ht="17.25" hidden="1" customHeight="1" thickBot="1" x14ac:dyDescent="0.3">
      <c r="A50" s="6" t="s">
        <v>155</v>
      </c>
      <c r="J50" s="78"/>
      <c r="M50" s="76"/>
    </row>
    <row r="51" spans="1:14" ht="20.100000000000001" customHeight="1" x14ac:dyDescent="0.25">
      <c r="A51" s="6"/>
      <c r="H51" s="660" t="s">
        <v>671</v>
      </c>
      <c r="I51" s="660"/>
      <c r="J51" s="660"/>
      <c r="K51" s="660"/>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Lzg2L/BcEhD4vgpqG9L1qtTzUNXDP8i3VdoC2rjaQdZSC3fH9NRaF7DInZBuhAz2B/BR3ooW5ESp+BvkVfEIFw==" saltValue="vdEp5F//WuBa1ZLI35507g=="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topLeftCell="A33" zoomScaleNormal="100" zoomScaleSheetLayoutView="100" workbookViewId="0">
      <selection activeCell="H69" sqref="H69"/>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IF('6.1Ratemaking Data'!$K$7="","VARIANCE - NONE","VARIANCE "&amp;'6.1Ratemaking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f>EffDate_Prior01</f>
        <v>45348</v>
      </c>
    </row>
    <row r="10" spans="1:8" ht="15" customHeight="1" x14ac:dyDescent="0.25">
      <c r="A10" s="6" t="s">
        <v>168</v>
      </c>
      <c r="B10" s="52"/>
      <c r="H10" s="161">
        <f>EffDate_Proposed</f>
        <v>45566</v>
      </c>
    </row>
    <row r="11" spans="1:8" ht="15" customHeight="1" x14ac:dyDescent="0.25">
      <c r="A11" s="6" t="s">
        <v>75</v>
      </c>
      <c r="B11" s="52"/>
      <c r="H11" s="23" t="str">
        <f>Detailed_LineDesc01</f>
        <v>Private Passenger Auto Liability</v>
      </c>
    </row>
    <row r="12" spans="1:8" ht="15" customHeight="1" x14ac:dyDescent="0.25">
      <c r="A12" s="6" t="s">
        <v>76</v>
      </c>
      <c r="B12" s="52"/>
      <c r="H12" s="23" t="str">
        <f>Covg01</f>
        <v>BIPD</v>
      </c>
    </row>
    <row r="13" spans="1:8" ht="15" customHeight="1" x14ac:dyDescent="0.25">
      <c r="H13" s="511"/>
    </row>
    <row r="14" spans="1:8" ht="9.9499999999999993" customHeight="1" x14ac:dyDescent="0.25"/>
    <row r="15" spans="1:8" ht="15.75" thickBot="1" x14ac:dyDescent="0.3">
      <c r="A15" s="7" t="s">
        <v>169</v>
      </c>
      <c r="B15" s="228" t="str">
        <f>'6.1Ratemaking Data'!D$14</f>
        <v>20183</v>
      </c>
      <c r="C15" s="228" t="str">
        <f>'6.1Ratemaking Data'!E$14</f>
        <v>20193</v>
      </c>
      <c r="D15" s="228" t="str">
        <f>'6.1Ratemaking Data'!F$14</f>
        <v>20203</v>
      </c>
      <c r="E15" s="228" t="str">
        <f>'6.1Ratemaking Data'!G$14</f>
        <v>20213</v>
      </c>
      <c r="F15" s="228" t="str">
        <f>'6.1Ratemaking Data'!H$14</f>
        <v>20223</v>
      </c>
      <c r="G15" s="228">
        <f>'6.1Ratemaking Data'!I$14</f>
        <v>20233</v>
      </c>
      <c r="H15" s="91" t="s">
        <v>304</v>
      </c>
    </row>
    <row r="16" spans="1:8" x14ac:dyDescent="0.25">
      <c r="A16" s="114" t="s">
        <v>171</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t="str">
        <f>IF(ISBLANK('6.1Ratemaking Data'!H15),"",'6.1Ratemaking Data'!H15)</f>
        <v/>
      </c>
      <c r="G16" s="115">
        <f>IF(ISBLANK('6.1Ratemaking Data'!I15),"",'6.1Ratemaking Data'!I15)</f>
        <v>1823796100.0599999</v>
      </c>
      <c r="H16" s="116">
        <f>IF(New_Program=TRUE,'6.1Ratemaking Data'!$K$15,SUM($B16:$G16))</f>
        <v>1823796100.0599999</v>
      </c>
    </row>
    <row r="17" spans="1:10" x14ac:dyDescent="0.25">
      <c r="A17" s="117" t="s">
        <v>170</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t="str">
        <f>IF(ISBLANK('6.1Ratemaking Data'!H16),"",'6.1Ratemaking Data'!H16)</f>
        <v/>
      </c>
      <c r="G17" s="118">
        <f>IF(ISBLANK('6.1Ratemaking Data'!I16),"",'6.1Ratemaking Data'!I16)</f>
        <v>1812536743.1999998</v>
      </c>
      <c r="H17" s="119">
        <f>IF(New_Program=TRUE,'6.1Ratemaking Data'!$K$16,SUM($B17:$G17))</f>
        <v>1812536743.1999998</v>
      </c>
    </row>
    <row r="18" spans="1:10" x14ac:dyDescent="0.25">
      <c r="A18" s="117" t="s">
        <v>172</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t="str">
        <f>IF(ISBLANK('6.1Ratemaking Data'!H17),"",'6.1Ratemaking Data'!H17)</f>
        <v/>
      </c>
      <c r="G18" s="120">
        <f>IF(ISBLANK('6.1Ratemaking Data'!I17),"",'6.1Ratemaking Data'!I17)</f>
        <v>1.1663094602311874</v>
      </c>
      <c r="H18" s="121"/>
    </row>
    <row r="19" spans="1:10" x14ac:dyDescent="0.25">
      <c r="A19" s="117" t="s">
        <v>173</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t="str">
        <f>IF(ISBLANK('6.1Ratemaking Data'!H18),"",'6.1Ratemaking Data'!H18)</f>
        <v/>
      </c>
      <c r="G19" s="120">
        <f>IF(ISBLANK('6.1Ratemaking Data'!I18),"",'6.1Ratemaking Data'!I18)</f>
        <v>1.0270029581675457</v>
      </c>
      <c r="H19" s="127">
        <f>IF(New_Program=TRUE,0,'6.1Ratemaking Data'!$J$18)</f>
        <v>1.19125340977557E-2</v>
      </c>
    </row>
    <row r="20" spans="1:10" x14ac:dyDescent="0.25">
      <c r="A20" s="117" t="s">
        <v>174</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t="str">
        <f>IF(ISBLANK('6.1Ratemaking Data'!H19),"",'6.1Ratemaking Data'!H19)</f>
        <v/>
      </c>
      <c r="G20" s="118">
        <f>IF(ISBLANK('6.1Ratemaking Data'!I19),"",'6.1Ratemaking Data'!I19)</f>
        <v>0</v>
      </c>
      <c r="H20" s="119">
        <f>IF(New_Program=TRUE,'6.1Ratemaking Data'!$K$19,SUM($B20:$G20))</f>
        <v>0</v>
      </c>
    </row>
    <row r="21" spans="1:10" x14ac:dyDescent="0.25">
      <c r="A21" s="117" t="s">
        <v>175</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t="str">
        <f>IF(ISBLANK('6.1Ratemaking Data'!H20),"",'6.1Ratemaking Data'!H20)</f>
        <v/>
      </c>
      <c r="G21" s="118">
        <f>IF(ISBLANK('6.1Ratemaking Data'!I20),"",'6.1Ratemaking Data'!I20)</f>
        <v>3825861</v>
      </c>
      <c r="H21" s="119">
        <f>IF(New_Program=TRUE,'6.1Ratemaking Data'!$K$20,SUM($B21:$G21))</f>
        <v>3825861</v>
      </c>
      <c r="J21" s="111"/>
    </row>
    <row r="22" spans="1:10" x14ac:dyDescent="0.25">
      <c r="A22" s="117" t="s">
        <v>176</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t="str">
        <f>IF(ISBLANK('6.1Ratemaking Data'!H21),"",'6.1Ratemaking Data'!H21)</f>
        <v/>
      </c>
      <c r="G22" s="118">
        <f>IF(ISBLANK('6.1Ratemaking Data'!I21),"",'6.1Ratemaking Data'!I21)</f>
        <v>764838235.5</v>
      </c>
      <c r="H22" s="119">
        <f>IF(New_Program=TRUE,'6.1Ratemaking Data'!$K$21,SUM($B22:$G22))</f>
        <v>764838235.5</v>
      </c>
      <c r="J22" s="111"/>
    </row>
    <row r="23" spans="1:10" x14ac:dyDescent="0.25">
      <c r="A23" s="117" t="s">
        <v>142</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t="str">
        <f>IF(ISBLANK('6.1Ratemaking Data'!H22),"",'6.1Ratemaking Data'!H22)</f>
        <v/>
      </c>
      <c r="G23" s="118">
        <f>IF(ISBLANK('6.1Ratemaking Data'!I22),"",'6.1Ratemaking Data'!I22)</f>
        <v>4073483.5700000003</v>
      </c>
      <c r="H23" s="119">
        <f>IF(New_Program=TRUE,'6.1Ratemaking Data'!$K$22,SUM($B23:$G23))</f>
        <v>4073483.5700000003</v>
      </c>
      <c r="J23" s="111"/>
    </row>
    <row r="24" spans="1:10" x14ac:dyDescent="0.25">
      <c r="A24" s="117" t="s">
        <v>179</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t="str">
        <f>IF(ISBLANK('6.1Ratemaking Data'!H23),"",'6.1Ratemaking Data'!H23)</f>
        <v/>
      </c>
      <c r="G24" s="120">
        <f>IF(ISBLANK('6.1Ratemaking Data'!I23),"",'6.1Ratemaking Data'!I23)</f>
        <v>1.9536604363777716</v>
      </c>
      <c r="H24" s="121"/>
    </row>
    <row r="25" spans="1:10" x14ac:dyDescent="0.25">
      <c r="A25" s="117" t="s">
        <v>180</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t="str">
        <f>IF(ISBLANK('6.1Ratemaking Data'!H24),"",'6.1Ratemaking Data'!H24)</f>
        <v/>
      </c>
      <c r="G25" s="120">
        <f>IF(ISBLANK('6.1Ratemaking Data'!I24),"",'6.1Ratemaking Data'!I24)</f>
        <v>42.579076492494991</v>
      </c>
      <c r="H25" s="121"/>
    </row>
    <row r="26" spans="1:10" x14ac:dyDescent="0.25">
      <c r="A26" s="117" t="s">
        <v>177</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t="str">
        <f>IF(ISBLANK('6.1Ratemaking Data'!H25),"",'6.1Ratemaking Data'!H25)</f>
        <v/>
      </c>
      <c r="G26" s="120">
        <f>IF(ISBLANK('6.1Ratemaking Data'!I25),"",'6.1Ratemaking Data'!I25)</f>
        <v>1.3763652229719814</v>
      </c>
      <c r="H26" s="127">
        <f>IF(New_Program=TRUE,0,'6.1Ratemaking Data'!$J$25)</f>
        <v>0.15254905257818163</v>
      </c>
    </row>
    <row r="27" spans="1:10" x14ac:dyDescent="0.25">
      <c r="A27" s="117" t="s">
        <v>178</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t="str">
        <f>IF(ISBLANK('6.1Ratemaking Data'!H26),"",'6.1Ratemaking Data'!H26)</f>
        <v/>
      </c>
      <c r="G27" s="120">
        <f>IF(ISBLANK('6.1Ratemaking Data'!I26),"",'6.1Ratemaking Data'!I26)</f>
        <v>1.3763652229719814</v>
      </c>
      <c r="H27" s="127">
        <f>IF(New_Program=TRUE,0,'6.1Ratemaking Data'!$J$26)</f>
        <v>0.15254905257818163</v>
      </c>
    </row>
    <row r="28" spans="1:10" x14ac:dyDescent="0.25">
      <c r="A28" s="117" t="s">
        <v>181</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t="str">
        <f>IF(ISBLANK('6.1Ratemaking Data'!H27),"",'6.1Ratemaking Data'!H27)</f>
        <v/>
      </c>
      <c r="G28" s="120">
        <f>IF(ISBLANK('6.1Ratemaking Data'!I27),"",'6.1Ratemaking Data'!I27)</f>
        <v>1</v>
      </c>
      <c r="H28" s="121"/>
    </row>
    <row r="29" spans="1:10" ht="15.75" thickBot="1" x14ac:dyDescent="0.3">
      <c r="A29" s="133" t="s">
        <v>186</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t="str">
        <f>IF(ISBLANK('6.1Ratemaking Data'!H29),"",'6.1Ratemaking Data'!H29)</f>
        <v/>
      </c>
      <c r="G29" s="134">
        <f>IF(ISBLANK('6.1Ratemaking Data'!I29),"",'6.1Ratemaking Data'!I29)</f>
        <v>0</v>
      </c>
      <c r="H29" s="135">
        <f>IF(New_Program=TRUE,'6.1Ratemaking Data'!$K$29,SUM($B29:$G29))</f>
        <v>0</v>
      </c>
    </row>
    <row r="30" spans="1:10" ht="15.75" thickTop="1" x14ac:dyDescent="0.25">
      <c r="A30" s="117" t="s">
        <v>182</v>
      </c>
      <c r="B30" s="122"/>
      <c r="C30" s="122"/>
      <c r="D30" s="122"/>
      <c r="E30" s="122"/>
      <c r="F30" s="122"/>
      <c r="G30" s="122"/>
      <c r="H30" s="127">
        <f>IF(New_Program=TRUE,100%,'6.1Ratemaking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f ca="1">EffStd_Final01</f>
        <v>0.29208037473960702</v>
      </c>
    </row>
    <row r="38" spans="1:9" x14ac:dyDescent="0.25">
      <c r="A38" s="117" t="s">
        <v>189</v>
      </c>
      <c r="B38" s="77"/>
      <c r="C38" s="77"/>
      <c r="D38" s="77"/>
      <c r="E38" s="77"/>
      <c r="F38" s="577" t="s">
        <v>315</v>
      </c>
      <c r="G38" s="578">
        <f>update_leverage</f>
        <v>2022</v>
      </c>
      <c r="H38" s="162">
        <f ca="1">LevFact_Final01</f>
        <v>0.77049999999999996</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1/LevFact_Final01</f>
        <v>1.2978585334198574</v>
      </c>
    </row>
    <row r="41" spans="1:9" x14ac:dyDescent="0.25">
      <c r="A41" s="117" t="s">
        <v>196</v>
      </c>
      <c r="B41" s="77"/>
      <c r="C41" s="77"/>
      <c r="D41" s="77"/>
      <c r="E41" s="77"/>
      <c r="F41" s="577" t="s">
        <v>315</v>
      </c>
      <c r="G41" s="578">
        <f>update_reserveratios</f>
        <v>2022</v>
      </c>
      <c r="H41" s="163">
        <f ca="1">ResRatio_UPR01</f>
        <v>0.32</v>
      </c>
    </row>
    <row r="42" spans="1:9" x14ac:dyDescent="0.25">
      <c r="A42" s="117" t="s">
        <v>192</v>
      </c>
      <c r="B42" s="77"/>
      <c r="C42" s="77"/>
      <c r="D42" s="77"/>
      <c r="E42" s="77"/>
      <c r="F42" s="577" t="s">
        <v>315</v>
      </c>
      <c r="G42" s="578">
        <f>update_reserveratios</f>
        <v>2022</v>
      </c>
      <c r="H42" s="163">
        <f ca="1">ResRatio_Loss01</f>
        <v>1.1599999999999999</v>
      </c>
    </row>
    <row r="43" spans="1:9" x14ac:dyDescent="0.25">
      <c r="A43" s="117" t="s">
        <v>193</v>
      </c>
      <c r="B43" s="77"/>
      <c r="C43" s="77"/>
      <c r="D43" s="77"/>
      <c r="E43" s="77"/>
      <c r="F43" s="574" t="s">
        <v>315</v>
      </c>
      <c r="G43" s="574"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'6.1Ratemaking Data'!D$14</f>
        <v>20183</v>
      </c>
      <c r="C47" s="228" t="str">
        <f>'6.1Ratemaking Data'!E$14</f>
        <v>20193</v>
      </c>
      <c r="D47" s="228" t="str">
        <f>'6.1Ratemaking Data'!F$14</f>
        <v>20203</v>
      </c>
      <c r="E47" s="228" t="str">
        <f>'6.1Ratemaking Data'!G$14</f>
        <v>20213</v>
      </c>
      <c r="F47" s="228" t="str">
        <f>'6.1Ratemaking Data'!H$14</f>
        <v>20223</v>
      </c>
      <c r="G47" s="228">
        <f>'6.1Ratemaking Data'!I$14</f>
        <v>20233</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2171062430.38061</v>
      </c>
      <c r="H48" s="116">
        <f>IF(New_Program=TRUE,(Prem_Earned+Misc_Fees),SUM($B48:$G48))</f>
        <v>2171062430.38061</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2056611989.1289589</v>
      </c>
      <c r="H49" s="119">
        <f>IF(New_Program=TRUE,Losses,SUM($B49:$G49))</f>
        <v>2056611989.1289589</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238723898.04062331</v>
      </c>
      <c r="H50" s="119">
        <f>IF(New_Program=TRUE,DCCE,SUM($B50:$G50))</f>
        <v>238723898.04062331</v>
      </c>
    </row>
    <row r="51" spans="1:9" x14ac:dyDescent="0.25">
      <c r="A51" s="117" t="s">
        <v>200</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t="str">
        <f t="shared" si="6"/>
        <v/>
      </c>
      <c r="G51" s="126">
        <f t="shared" si="6"/>
        <v>1.0572408490193375</v>
      </c>
      <c r="H51" s="127">
        <f t="shared" si="6"/>
        <v>1.0572408490193375</v>
      </c>
    </row>
    <row r="52" spans="1:9" x14ac:dyDescent="0.25">
      <c r="A52" s="117" t="s">
        <v>213</v>
      </c>
      <c r="B52" s="407" t="str">
        <f t="shared" ref="B52:H52" si="7">IF(ISERROR(Prem_Adjusted/Exposures_Earned),"",Prem_Adjusted/Exposures_Earned)</f>
        <v/>
      </c>
      <c r="C52" s="407" t="str">
        <f t="shared" si="7"/>
        <v/>
      </c>
      <c r="D52" s="407" t="str">
        <f t="shared" si="7"/>
        <v/>
      </c>
      <c r="E52" s="407" t="str">
        <f t="shared" si="7"/>
        <v/>
      </c>
      <c r="F52" s="407" t="str">
        <f t="shared" si="7"/>
        <v/>
      </c>
      <c r="G52" s="407">
        <f t="shared" si="7"/>
        <v>567.47028456616954</v>
      </c>
      <c r="H52" s="130">
        <f t="shared" si="7"/>
        <v>567.47028456616954</v>
      </c>
    </row>
    <row r="53" spans="1:9" x14ac:dyDescent="0.25">
      <c r="A53" s="117" t="s">
        <v>201</v>
      </c>
      <c r="B53" s="407" t="str">
        <f t="shared" ref="B53:H53" si="8">IF(ISERROR((Losses_Adjusted+DCCE_Adjusted)/Exposures_Earned),"",(Losses_Adjusted+DCCE_Adjusted)/Exposures_Earned)</f>
        <v/>
      </c>
      <c r="C53" s="407" t="str">
        <f t="shared" si="8"/>
        <v/>
      </c>
      <c r="D53" s="407" t="str">
        <f t="shared" si="8"/>
        <v/>
      </c>
      <c r="E53" s="407" t="str">
        <f t="shared" si="8"/>
        <v/>
      </c>
      <c r="F53" s="407" t="str">
        <f t="shared" si="8"/>
        <v/>
      </c>
      <c r="G53" s="407">
        <f t="shared" si="8"/>
        <v>599.95276544798219</v>
      </c>
      <c r="H53" s="130">
        <f t="shared" si="8"/>
        <v>599.95276544798219</v>
      </c>
    </row>
    <row r="54" spans="1:9" x14ac:dyDescent="0.25">
      <c r="A54" s="117" t="s">
        <v>202</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t="str">
        <f t="shared" ca="1" si="9"/>
        <v/>
      </c>
      <c r="G54" s="407">
        <f t="shared" ca="1" si="9"/>
        <v>492.11568396340442</v>
      </c>
      <c r="H54" s="130">
        <f t="shared" ca="1" si="9"/>
        <v>492.11568396340442</v>
      </c>
    </row>
    <row r="55" spans="1:9" x14ac:dyDescent="0.25">
      <c r="A55" s="117" t="s">
        <v>212</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t="str">
        <f t="shared" ca="1" si="10"/>
        <v/>
      </c>
      <c r="G55" s="407">
        <f t="shared" ca="1" si="10"/>
        <v>599.95276544798219</v>
      </c>
      <c r="H55" s="130">
        <f t="shared" ca="1" si="10"/>
        <v>599.95276544798219</v>
      </c>
    </row>
    <row r="56" spans="1:9" ht="15.75" thickBot="1" x14ac:dyDescent="0.3">
      <c r="A56" s="133" t="s">
        <v>214</v>
      </c>
      <c r="B56" s="202" t="str">
        <f t="shared" ref="B56:H56" si="11">IF(ISERROR(Anc_Income/Exposures_Earned),"",Anc_Income/Exposures_Earned)</f>
        <v/>
      </c>
      <c r="C56" s="202" t="str">
        <f t="shared" si="11"/>
        <v/>
      </c>
      <c r="D56" s="202" t="str">
        <f t="shared" si="11"/>
        <v/>
      </c>
      <c r="E56" s="202" t="str">
        <f t="shared" si="11"/>
        <v/>
      </c>
      <c r="F56" s="202" t="str">
        <f t="shared" si="11"/>
        <v/>
      </c>
      <c r="G56" s="202">
        <f t="shared" si="11"/>
        <v>0</v>
      </c>
      <c r="H56" s="203">
        <f t="shared" si="11"/>
        <v>0</v>
      </c>
    </row>
    <row r="57" spans="1:9" ht="15.75" thickTop="1" x14ac:dyDescent="0.25">
      <c r="A57" s="117" t="s">
        <v>215</v>
      </c>
      <c r="B57" s="77"/>
      <c r="C57" s="77"/>
      <c r="D57" s="77"/>
      <c r="E57" s="77"/>
      <c r="F57" s="77"/>
      <c r="G57" s="77"/>
      <c r="H57" s="127">
        <f ca="1">Yield*((1-FIT_Inv)/(1-FIT_UW))*ResRatio_Loss01</f>
        <v>0.12271196213708156</v>
      </c>
    </row>
    <row r="58" spans="1:9" x14ac:dyDescent="0.25">
      <c r="A58" s="117" t="s">
        <v>216</v>
      </c>
      <c r="B58" s="77"/>
      <c r="C58" s="77"/>
      <c r="D58" s="77"/>
      <c r="E58" s="77"/>
      <c r="F58" s="77"/>
      <c r="G58" s="77"/>
      <c r="H58" s="127">
        <f ca="1">Yield*((1-FIT_Inv)/(1-FIT_UW))*(ResRatio_UPR01+SurplusRatio)</f>
        <v>0.1711470647380792</v>
      </c>
    </row>
    <row r="59" spans="1:9" x14ac:dyDescent="0.25">
      <c r="A59" s="117" t="s">
        <v>204</v>
      </c>
      <c r="B59" s="128"/>
      <c r="C59" s="128"/>
      <c r="D59" s="128"/>
      <c r="E59" s="128"/>
      <c r="F59" s="128"/>
      <c r="G59" s="128"/>
      <c r="H59" s="127">
        <f>(1+Loss_AnnualTrend)/(1+Prem_AnnualTrend)-1</f>
        <v>0.1389809037258547</v>
      </c>
    </row>
    <row r="60" spans="1:9" x14ac:dyDescent="0.25">
      <c r="A60" s="117" t="s">
        <v>203</v>
      </c>
      <c r="B60" s="128"/>
      <c r="C60" s="128"/>
      <c r="D60" s="128"/>
      <c r="E60" s="128"/>
      <c r="F60" s="128"/>
      <c r="G60" s="128"/>
      <c r="H60" s="127">
        <f>IF(New_Program=TRUE,0,(1+Net_AnnualTrend)^MIN(4,((EffDate_Proposed-EffDate_Prior01)/365.25))-1)</f>
        <v>8.076661795104223E-2</v>
      </c>
    </row>
    <row r="61" spans="1:9" x14ac:dyDescent="0.25">
      <c r="A61" s="117" t="s">
        <v>205</v>
      </c>
      <c r="B61" s="128"/>
      <c r="C61" s="128"/>
      <c r="D61" s="128"/>
      <c r="E61" s="128"/>
      <c r="F61" s="128"/>
      <c r="G61" s="128"/>
      <c r="H61" s="127">
        <f ca="1">(ROR_Max)/(LevFact_Final01*(1-FIT_UW))</f>
        <v>0.17512875906652758</v>
      </c>
    </row>
    <row r="62" spans="1:9" x14ac:dyDescent="0.25">
      <c r="A62" s="117" t="s">
        <v>206</v>
      </c>
      <c r="B62" s="77"/>
      <c r="C62" s="77"/>
      <c r="D62" s="77"/>
      <c r="E62" s="77"/>
      <c r="F62" s="77"/>
      <c r="G62" s="77"/>
      <c r="H62" s="127">
        <f ca="1">(ROR_Min)/(LevFact_Final01*(1-FIT_UW))</f>
        <v>-9.8571534183786627E-2</v>
      </c>
    </row>
    <row r="63" spans="1:9" x14ac:dyDescent="0.25">
      <c r="A63" s="117" t="s">
        <v>207</v>
      </c>
      <c r="B63" s="77"/>
      <c r="C63" s="77"/>
      <c r="D63" s="77"/>
      <c r="E63" s="77"/>
      <c r="F63" s="77"/>
      <c r="G63" s="77"/>
      <c r="H63" s="127">
        <f ca="1">1-CredLossDCCE_perExp/Max_Premium-EffStd_Final01</f>
        <v>-9.4482665151253031E-2</v>
      </c>
      <c r="I63" s="204"/>
    </row>
    <row r="64" spans="1:9" x14ac:dyDescent="0.25">
      <c r="A64" s="117" t="s">
        <v>209</v>
      </c>
      <c r="B64" s="77"/>
      <c r="C64" s="77"/>
      <c r="D64" s="77"/>
      <c r="E64" s="77"/>
      <c r="F64" s="77"/>
      <c r="G64" s="77"/>
      <c r="H64" s="129">
        <f ca="1">1-EffStd_Final01-Min_Profit+InvInc_Variable</f>
        <v>0.97763822418225876</v>
      </c>
      <c r="I64" s="204"/>
    </row>
    <row r="65" spans="1:9" x14ac:dyDescent="0.25">
      <c r="A65" s="117" t="s">
        <v>208</v>
      </c>
      <c r="B65" s="77"/>
      <c r="C65" s="77"/>
      <c r="D65" s="77"/>
      <c r="E65" s="77"/>
      <c r="F65" s="77"/>
      <c r="G65" s="77"/>
      <c r="H65" s="129">
        <f ca="1">1-EffStd_Final01-Max_Profit+InvInc_Variable</f>
        <v>0.70393793093194457</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538.3703003741897</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747.69572895934311</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-5.1280190317325162E-2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0.31759450546552537</v>
      </c>
      <c r="I69" s="396" t="str">
        <f>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7" t="s">
        <v>231</v>
      </c>
      <c r="B71" s="228" t="str">
        <f>'6.1Ratemaking Data'!D$14</f>
        <v>20183</v>
      </c>
      <c r="C71" s="228" t="str">
        <f>'6.1Ratemaking Data'!E$14</f>
        <v>20193</v>
      </c>
      <c r="D71" s="228" t="str">
        <f>'6.1Ratemaking Data'!F$14</f>
        <v>20203</v>
      </c>
      <c r="E71" s="228" t="str">
        <f>'6.1Ratemaking Data'!G$14</f>
        <v>20213</v>
      </c>
      <c r="F71" s="228" t="str">
        <f>'6.1Ratemaking Data'!H$14</f>
        <v>20223</v>
      </c>
      <c r="G71" s="228">
        <f>'6.1Ratemaking Data'!I$14</f>
        <v>20233</v>
      </c>
    </row>
    <row r="72" spans="1:9" hidden="1" x14ac:dyDescent="0.25">
      <c r="A72" s="114" t="s">
        <v>230</v>
      </c>
      <c r="B72" s="125"/>
      <c r="C72" s="125"/>
      <c r="D72" s="125"/>
      <c r="E72" s="125"/>
      <c r="F72" s="125"/>
      <c r="G72" s="125"/>
      <c r="H72" s="131" t="str">
        <f>IF(ISBLANK('6.1Ratemaking Data'!J44),"",'6.1Ratemaking Data'!J44)</f>
        <v/>
      </c>
    </row>
    <row r="73" spans="1:9" hidden="1" x14ac:dyDescent="0.25">
      <c r="A73" s="117" t="s">
        <v>217</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25">
      <c r="A74" s="117" t="s">
        <v>218</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25">
      <c r="A75" s="117" t="s">
        <v>219</v>
      </c>
      <c r="B75" s="483" t="str">
        <f t="shared" ref="B75:H75" si="12">IF(ISERROR(Rein_Prem/Exposures_Earned),"",Rein_Prem/Exposures_Earned)</f>
        <v/>
      </c>
      <c r="C75" s="483" t="str">
        <f t="shared" si="12"/>
        <v/>
      </c>
      <c r="D75" s="483" t="str">
        <f t="shared" si="12"/>
        <v/>
      </c>
      <c r="E75" s="483" t="str">
        <f t="shared" si="12"/>
        <v/>
      </c>
      <c r="F75" s="483" t="str">
        <f t="shared" si="12"/>
        <v/>
      </c>
      <c r="G75" s="483" t="str">
        <f t="shared" si="12"/>
        <v/>
      </c>
      <c r="H75" s="482" t="str">
        <f t="shared" ca="1" si="12"/>
        <v/>
      </c>
    </row>
    <row r="76" spans="1:9" hidden="1" x14ac:dyDescent="0.25">
      <c r="A76" s="117" t="s">
        <v>220</v>
      </c>
      <c r="B76" s="483" t="str">
        <f t="shared" ref="B76:H76" si="13">IF(ISERROR(Rein_Recov/Exposures_Earned),"",Rein_Recov/Exposures_Earned)</f>
        <v/>
      </c>
      <c r="C76" s="483" t="str">
        <f t="shared" si="13"/>
        <v/>
      </c>
      <c r="D76" s="483" t="str">
        <f t="shared" si="13"/>
        <v/>
      </c>
      <c r="E76" s="483" t="str">
        <f t="shared" si="13"/>
        <v/>
      </c>
      <c r="F76" s="483" t="str">
        <f t="shared" si="13"/>
        <v/>
      </c>
      <c r="G76" s="483" t="str">
        <f t="shared" si="13"/>
        <v/>
      </c>
      <c r="H76" s="482">
        <f t="shared" si="13"/>
        <v>0</v>
      </c>
    </row>
    <row r="77" spans="1:9" hidden="1" x14ac:dyDescent="0.25">
      <c r="A77" s="117" t="s">
        <v>221</v>
      </c>
      <c r="B77" s="483" t="str">
        <f t="shared" ref="B77:H77" ca="1" si="14">IF(ISERROR((TCRLP_perExp*(1+Comp_Trend)*Max_Denom+Anc_Inc_perExp-ReinPrem_perExp*Max_Denom/(1-Comm_Rate-PremTaxRate))/(1-InvInc_Fixed)),"",(TCRLP_perExp*(1+Comp_Trend)*Max_Denom+Anc_Inc_perExp-ReinPrem_perExp*Max_Denom/(1-Comm_Rate-PremTaxRate))/(1-InvInc_Fixed))</f>
        <v/>
      </c>
      <c r="C77" s="483" t="str">
        <f t="shared" ca="1" si="14"/>
        <v/>
      </c>
      <c r="D77" s="483" t="str">
        <f t="shared" ca="1" si="14"/>
        <v/>
      </c>
      <c r="E77" s="483" t="str">
        <f t="shared" ca="1" si="14"/>
        <v/>
      </c>
      <c r="F77" s="483" t="str">
        <f t="shared" ca="1" si="14"/>
        <v/>
      </c>
      <c r="G77" s="483" t="str">
        <f t="shared" ca="1" si="14"/>
        <v/>
      </c>
      <c r="H77" s="482" t="str">
        <f t="shared" ca="1" si="14"/>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25" x14ac:dyDescent="0.25">
      <c r="F80" s="661" t="s">
        <v>598</v>
      </c>
      <c r="G80" s="661"/>
      <c r="H80" s="661"/>
    </row>
    <row r="81" spans="1:1" x14ac:dyDescent="0.25">
      <c r="A81" s="132"/>
    </row>
  </sheetData>
  <sheetProtection algorithmName="SHA-512" hashValue="Mp7XNX0jDhUnHKdEL8W8VRvuL9DBvPoQHrdyCDCiKu2PL4TbN+STDJZYv4xe5VrZK4W5N7uULSMg12NHA80XxQ==" saltValue="Xk3sHasW7vslcOYQ4M3wcw=="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3"/>
  <pageSetup scale="72" orientation="portrait" r:id="rId1"/>
  <headerFooter>
    <oddFooter>&amp;CPrior Approval Rate Template&amp;RPage 7.1&amp;L11/9/2023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43"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IF('6.2Ratemaking Data'!$K$7="","VARIANCE - NONE","VARIANCE "&amp;'6.2Ratemaking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f>EffDate_Prior02</f>
        <v>45348</v>
      </c>
    </row>
    <row r="10" spans="1:8" ht="15" customHeight="1" x14ac:dyDescent="0.25">
      <c r="A10" s="6" t="s">
        <v>168</v>
      </c>
      <c r="B10" s="52"/>
      <c r="H10" s="161">
        <f>EffDate_Proposed</f>
        <v>45566</v>
      </c>
    </row>
    <row r="11" spans="1:8" ht="15" customHeight="1" x14ac:dyDescent="0.25">
      <c r="A11" s="6" t="s">
        <v>75</v>
      </c>
      <c r="B11" s="52"/>
      <c r="H11" s="23" t="str">
        <f>Detailed_LineDesc02</f>
        <v>Private Passenger Auto Liability</v>
      </c>
    </row>
    <row r="12" spans="1:8" ht="15" customHeight="1" x14ac:dyDescent="0.25">
      <c r="A12" s="6" t="s">
        <v>76</v>
      </c>
      <c r="B12" s="52"/>
      <c r="H12" s="23" t="str">
        <f>Covg02</f>
        <v>MPC</v>
      </c>
    </row>
    <row r="13" spans="1:8" ht="15" customHeight="1" x14ac:dyDescent="0.25">
      <c r="H13" s="511"/>
    </row>
    <row r="14" spans="1:8" ht="9.9499999999999993" customHeight="1" x14ac:dyDescent="0.25"/>
    <row r="15" spans="1:8" ht="15.75" thickBot="1" x14ac:dyDescent="0.3">
      <c r="A15" s="7" t="s">
        <v>169</v>
      </c>
      <c r="B15" s="228" t="str">
        <f>'6.2Ratemaking Data'!D$14</f>
        <v>20183</v>
      </c>
      <c r="C15" s="228" t="str">
        <f>'6.2Ratemaking Data'!E$14</f>
        <v>20193</v>
      </c>
      <c r="D15" s="228" t="str">
        <f>'6.2Ratemaking Data'!F$14</f>
        <v>20203</v>
      </c>
      <c r="E15" s="228" t="str">
        <f>'6.2Ratemaking Data'!G$14</f>
        <v>20213</v>
      </c>
      <c r="F15" s="228" t="str">
        <f>'6.2Ratemaking Data'!H$14</f>
        <v>20223</v>
      </c>
      <c r="G15" s="228">
        <f>'6.2Ratemaking Data'!I$14</f>
        <v>20233</v>
      </c>
      <c r="H15" s="91" t="s">
        <v>304</v>
      </c>
    </row>
    <row r="16" spans="1:8" x14ac:dyDescent="0.25">
      <c r="A16" s="114" t="s">
        <v>171</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f>IF(ISBLANK('6.2Ratemaking Data'!I15),"",'6.2Ratemaking Data'!I15)</f>
        <v>75287307.330000013</v>
      </c>
      <c r="H16" s="116">
        <f>IF(New_Program=TRUE,'6.2Ratemaking Data'!$K$15,SUM($B16:$G16))</f>
        <v>75287307.330000013</v>
      </c>
    </row>
    <row r="17" spans="1:10" x14ac:dyDescent="0.25">
      <c r="A17" s="117" t="s">
        <v>170</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f>IF(ISBLANK('6.2Ratemaking Data'!I16),"",'6.2Ratemaking Data'!I16)</f>
        <v>74112276.879999995</v>
      </c>
      <c r="H17" s="119">
        <f>IF(New_Program=TRUE,'6.2Ratemaking Data'!$K$16,SUM($B17:$G17))</f>
        <v>74112276.879999995</v>
      </c>
    </row>
    <row r="18" spans="1:10" x14ac:dyDescent="0.25">
      <c r="A18" s="117" t="s">
        <v>172</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f>IF(ISBLANK('6.2Ratemaking Data'!I17),"",'6.2Ratemaking Data'!I17)</f>
        <v>1.2146863770339111</v>
      </c>
      <c r="H18" s="121"/>
    </row>
    <row r="19" spans="1:10" x14ac:dyDescent="0.25">
      <c r="A19" s="117" t="s">
        <v>173</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f>IF(ISBLANK('6.2Ratemaking Data'!I18),"",'6.2Ratemaking Data'!I18)</f>
        <v>0.97186626681962995</v>
      </c>
      <c r="H19" s="127">
        <f>IF(New_Program=TRUE,0,'6.2Ratemaking Data'!$J$18)</f>
        <v>-1.26030499465726E-2</v>
      </c>
    </row>
    <row r="20" spans="1:10" x14ac:dyDescent="0.25">
      <c r="A20" s="117" t="s">
        <v>174</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f>IF(ISBLANK('6.2Ratemaking Data'!I19),"",'6.2Ratemaking Data'!I19)</f>
        <v>0</v>
      </c>
      <c r="H20" s="119">
        <f>IF(New_Program=TRUE,'6.2Ratemaking Data'!$K$19,SUM($B20:$G20))</f>
        <v>0</v>
      </c>
    </row>
    <row r="21" spans="1:10" x14ac:dyDescent="0.25">
      <c r="A21" s="117" t="s">
        <v>175</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f>IF(ISBLANK('6.2Ratemaking Data'!I20),"",'6.2Ratemaking Data'!I20)</f>
        <v>2149286</v>
      </c>
      <c r="H21" s="119">
        <f>IF(New_Program=TRUE,'6.2Ratemaking Data'!$K$20,SUM($B21:$G21))</f>
        <v>2149286</v>
      </c>
      <c r="J21" s="111"/>
    </row>
    <row r="22" spans="1:10" x14ac:dyDescent="0.25">
      <c r="A22" s="117" t="s">
        <v>176</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f>IF(ISBLANK('6.2Ratemaking Data'!I21),"",'6.2Ratemaking Data'!I21)</f>
        <v>51271701.909999996</v>
      </c>
      <c r="H22" s="119">
        <f>IF(New_Program=TRUE,'6.2Ratemaking Data'!$K$21,SUM($B22:$G22))</f>
        <v>51271701.909999996</v>
      </c>
      <c r="J22" s="111"/>
    </row>
    <row r="23" spans="1:10" x14ac:dyDescent="0.25">
      <c r="A23" s="117" t="s">
        <v>142</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f>IF(ISBLANK('6.2Ratemaking Data'!I22),"",'6.2Ratemaking Data'!I22)</f>
        <v>119137.74</v>
      </c>
      <c r="H23" s="119">
        <f>IF(New_Program=TRUE,'6.2Ratemaking Data'!$K$22,SUM($B23:$G23))</f>
        <v>119137.74</v>
      </c>
      <c r="J23" s="111"/>
    </row>
    <row r="24" spans="1:10" x14ac:dyDescent="0.25">
      <c r="A24" s="117" t="s">
        <v>179</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f>IF(ISBLANK('6.2Ratemaking Data'!I23),"",'6.2Ratemaking Data'!I23)</f>
        <v>1.4774098695028071</v>
      </c>
      <c r="H24" s="121"/>
    </row>
    <row r="25" spans="1:10" x14ac:dyDescent="0.25">
      <c r="A25" s="117" t="s">
        <v>180</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f>IF(ISBLANK('6.2Ratemaking Data'!I24),"",'6.2Ratemaking Data'!I24)</f>
        <v>3.4854513638366451</v>
      </c>
      <c r="H25" s="121"/>
    </row>
    <row r="26" spans="1:10" x14ac:dyDescent="0.25">
      <c r="A26" s="117" t="s">
        <v>177</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f>IF(ISBLANK('6.2Ratemaking Data'!I25),"",'6.2Ratemaking Data'!I25)</f>
        <v>1.1155417291619325</v>
      </c>
      <c r="H26" s="127">
        <f>IF(New_Program=TRUE,0,'6.2Ratemaking Data'!$J$25)</f>
        <v>4.979574740499082E-2</v>
      </c>
    </row>
    <row r="27" spans="1:10" x14ac:dyDescent="0.25">
      <c r="A27" s="117" t="s">
        <v>178</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f>IF(ISBLANK('6.2Ratemaking Data'!I26),"",'6.2Ratemaking Data'!I26)</f>
        <v>1.1155417291619325</v>
      </c>
      <c r="H27" s="127">
        <f>IF(New_Program=TRUE,0,'6.2Ratemaking Data'!$J$26)</f>
        <v>4.979574740499082E-2</v>
      </c>
    </row>
    <row r="28" spans="1:10" x14ac:dyDescent="0.25">
      <c r="A28" s="117" t="s">
        <v>181</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f>IF(ISBLANK('6.2Ratemaking Data'!I27),"",'6.2Ratemaking Data'!I27)</f>
        <v>1</v>
      </c>
      <c r="H28" s="121"/>
    </row>
    <row r="29" spans="1:10" ht="15.75" thickBot="1" x14ac:dyDescent="0.3">
      <c r="A29" s="133" t="s">
        <v>186</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f>IF(ISBLANK('6.2Ratemaking Data'!I29),"",'6.2Ratemaking Data'!I29)</f>
        <v>0</v>
      </c>
      <c r="H29" s="135">
        <f>IF(New_Program=TRUE,'6.2Ratemaking Data'!$K$29,SUM($B29:$G29))</f>
        <v>0</v>
      </c>
    </row>
    <row r="30" spans="1:10" ht="15.75" thickTop="1" x14ac:dyDescent="0.25">
      <c r="A30" s="117" t="s">
        <v>182</v>
      </c>
      <c r="B30" s="122"/>
      <c r="C30" s="122"/>
      <c r="D30" s="122"/>
      <c r="E30" s="122"/>
      <c r="F30" s="122"/>
      <c r="G30" s="122"/>
      <c r="H30" s="127">
        <f>IF(New_Program=TRUE,100%,'6.2Ratemaking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f ca="1">EffStd_Final02</f>
        <v>0.29208037473960702</v>
      </c>
    </row>
    <row r="38" spans="1:9" x14ac:dyDescent="0.25">
      <c r="A38" s="117" t="s">
        <v>189</v>
      </c>
      <c r="B38" s="77"/>
      <c r="C38" s="77"/>
      <c r="D38" s="77"/>
      <c r="E38" s="77"/>
      <c r="F38" s="577" t="s">
        <v>315</v>
      </c>
      <c r="G38" s="578">
        <f>update_leverage</f>
        <v>2022</v>
      </c>
      <c r="H38" s="162">
        <f ca="1">LevFact_Final02</f>
        <v>0.77049999999999996</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1/LevFact_Final02</f>
        <v>1.2978585334198574</v>
      </c>
    </row>
    <row r="41" spans="1:9" x14ac:dyDescent="0.25">
      <c r="A41" s="117" t="s">
        <v>196</v>
      </c>
      <c r="B41" s="77"/>
      <c r="C41" s="77"/>
      <c r="D41" s="77"/>
      <c r="E41" s="77"/>
      <c r="F41" s="577" t="s">
        <v>315</v>
      </c>
      <c r="G41" s="578">
        <f>update_reserveratios</f>
        <v>2022</v>
      </c>
      <c r="H41" s="163">
        <f ca="1">ResRatio_UPR02</f>
        <v>0.32</v>
      </c>
    </row>
    <row r="42" spans="1:9" x14ac:dyDescent="0.25">
      <c r="A42" s="117" t="s">
        <v>192</v>
      </c>
      <c r="B42" s="77"/>
      <c r="C42" s="77"/>
      <c r="D42" s="77"/>
      <c r="E42" s="77"/>
      <c r="F42" s="577" t="s">
        <v>315</v>
      </c>
      <c r="G42" s="578">
        <f>update_reserveratios</f>
        <v>2022</v>
      </c>
      <c r="H42" s="163">
        <f ca="1">ResRatio_Loss02</f>
        <v>1.1599999999999999</v>
      </c>
    </row>
    <row r="43" spans="1:9" x14ac:dyDescent="0.25">
      <c r="A43" s="117" t="s">
        <v>193</v>
      </c>
      <c r="B43" s="77"/>
      <c r="C43" s="77"/>
      <c r="D43" s="77"/>
      <c r="E43" s="77"/>
      <c r="F43" s="575" t="s">
        <v>315</v>
      </c>
      <c r="G43" s="575"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'6.2Ratemaking Data'!D$14</f>
        <v>20183</v>
      </c>
      <c r="C47" s="228" t="str">
        <f>'6.2Ratemaking Data'!E$14</f>
        <v>20193</v>
      </c>
      <c r="D47" s="228" t="str">
        <f>'6.2Ratemaking Data'!F$14</f>
        <v>20203</v>
      </c>
      <c r="E47" s="228" t="str">
        <f>'6.2Ratemaking Data'!G$14</f>
        <v>20213</v>
      </c>
      <c r="F47" s="228" t="str">
        <f>'6.2Ratemaking Data'!H$14</f>
        <v>20223</v>
      </c>
      <c r="G47" s="228">
        <f>'6.2Ratemaking Data'!I$14</f>
        <v>20233</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87490485.165137172</v>
      </c>
      <c r="H48" s="116">
        <f>IF(New_Program=TRUE,(Prem_Earned+Misc_Fees),SUM($B48:$G48))</f>
        <v>87490485.165137172</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84501525.662053496</v>
      </c>
      <c r="H49" s="119">
        <f>IF(New_Program=TRUE,Losses,SUM($B49:$G49))</f>
        <v>84501525.662053496</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463227.36256320152</v>
      </c>
      <c r="H50" s="119">
        <f>IF(New_Program=TRUE,DCCE,SUM($B50:$G50))</f>
        <v>463227.36256320152</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f t="shared" si="3"/>
        <v>0.97113135061769085</v>
      </c>
      <c r="H51" s="127">
        <f t="shared" si="3"/>
        <v>0.97113135061769085</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40.706767347452676</v>
      </c>
      <c r="H52" s="130">
        <f t="shared" si="4"/>
        <v>40.706767347452676</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39.531617953411832</v>
      </c>
      <c r="H53" s="130">
        <f t="shared" si="5"/>
        <v>39.531617953411832</v>
      </c>
    </row>
    <row r="54" spans="1:9" x14ac:dyDescent="0.25">
      <c r="A54" s="117" t="s">
        <v>202</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33.879953026277533</v>
      </c>
      <c r="H54" s="130">
        <f t="shared" ca="1" si="6"/>
        <v>33.879953026277533</v>
      </c>
    </row>
    <row r="55" spans="1:9" x14ac:dyDescent="0.25">
      <c r="A55" s="117" t="s">
        <v>212</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39.531617953411832</v>
      </c>
      <c r="H55" s="130">
        <f t="shared" ca="1" si="7"/>
        <v>39.531617953411832</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215</v>
      </c>
      <c r="B57" s="77"/>
      <c r="C57" s="77"/>
      <c r="D57" s="77"/>
      <c r="E57" s="77"/>
      <c r="F57" s="77"/>
      <c r="G57" s="77"/>
      <c r="H57" s="127">
        <f ca="1">Yield*((1-FIT_Inv)/(1-FIT_UW))*ResRatio_Loss02</f>
        <v>0.12271196213708156</v>
      </c>
    </row>
    <row r="58" spans="1:9" x14ac:dyDescent="0.25">
      <c r="A58" s="117" t="s">
        <v>216</v>
      </c>
      <c r="B58" s="77"/>
      <c r="C58" s="77"/>
      <c r="D58" s="77"/>
      <c r="E58" s="77"/>
      <c r="F58" s="77"/>
      <c r="G58" s="77"/>
      <c r="H58" s="127">
        <f ca="1">Yield*((1-FIT_Inv)/(1-FIT_UW))*(ResRatio_UPR02+SurplusRatio)</f>
        <v>0.1711470647380792</v>
      </c>
    </row>
    <row r="59" spans="1:9" x14ac:dyDescent="0.25">
      <c r="A59" s="117" t="s">
        <v>204</v>
      </c>
      <c r="B59" s="128"/>
      <c r="C59" s="128"/>
      <c r="D59" s="128"/>
      <c r="E59" s="128"/>
      <c r="F59" s="128"/>
      <c r="G59" s="128"/>
      <c r="H59" s="127">
        <f>(1+Loss_AnnualTrend)/(1+Prem_AnnualTrend)-1</f>
        <v>6.3195250246810053E-2</v>
      </c>
    </row>
    <row r="60" spans="1:9" x14ac:dyDescent="0.25">
      <c r="A60" s="117" t="s">
        <v>203</v>
      </c>
      <c r="B60" s="128"/>
      <c r="C60" s="128"/>
      <c r="D60" s="128"/>
      <c r="E60" s="128"/>
      <c r="F60" s="128"/>
      <c r="G60" s="128"/>
      <c r="H60" s="127">
        <f>IF(New_Program=TRUE,0,(1+Net_AnnualTrend)^MIN(4,((EffDate_Proposed-EffDate_Prior02)/365.25))-1)</f>
        <v>3.7251388304106348E-2</v>
      </c>
    </row>
    <row r="61" spans="1:9" x14ac:dyDescent="0.25">
      <c r="A61" s="117" t="s">
        <v>205</v>
      </c>
      <c r="B61" s="128"/>
      <c r="C61" s="128"/>
      <c r="D61" s="128"/>
      <c r="E61" s="128"/>
      <c r="F61" s="128"/>
      <c r="G61" s="128"/>
      <c r="H61" s="127">
        <f ca="1">(ROR_Max)/(LevFact_Final02*(1-FIT_UW))</f>
        <v>0.17512875906652758</v>
      </c>
    </row>
    <row r="62" spans="1:9" x14ac:dyDescent="0.25">
      <c r="A62" s="117" t="s">
        <v>206</v>
      </c>
      <c r="B62" s="77"/>
      <c r="C62" s="77"/>
      <c r="D62" s="77"/>
      <c r="E62" s="77"/>
      <c r="F62" s="77"/>
      <c r="G62" s="77"/>
      <c r="H62" s="127">
        <f ca="1">(ROR_Min)/(LevFact_Final02*(1-FIT_UW))</f>
        <v>-9.8571534183786627E-2</v>
      </c>
    </row>
    <row r="63" spans="1:9" x14ac:dyDescent="0.25">
      <c r="A63" s="117" t="s">
        <v>207</v>
      </c>
      <c r="B63" s="77"/>
      <c r="C63" s="77"/>
      <c r="D63" s="77"/>
      <c r="E63" s="77"/>
      <c r="F63" s="77"/>
      <c r="G63" s="77"/>
      <c r="H63" s="127">
        <f ca="1">1-CredLossDCCE_perExp/Max_Premium-EffStd_Final02</f>
        <v>-9.4482665151253031E-2</v>
      </c>
      <c r="I63" s="204"/>
    </row>
    <row r="64" spans="1:9" x14ac:dyDescent="0.25">
      <c r="A64" s="117" t="s">
        <v>209</v>
      </c>
      <c r="B64" s="77"/>
      <c r="C64" s="77"/>
      <c r="D64" s="77"/>
      <c r="E64" s="77"/>
      <c r="F64" s="77"/>
      <c r="G64" s="77"/>
      <c r="H64" s="129">
        <f ca="1">1-EffStd_Final02-Min_Profit+InvInc_Variable</f>
        <v>0.97763822418225876</v>
      </c>
      <c r="I64" s="204"/>
    </row>
    <row r="65" spans="1:9" x14ac:dyDescent="0.25">
      <c r="A65" s="117" t="s">
        <v>208</v>
      </c>
      <c r="B65" s="77"/>
      <c r="C65" s="77"/>
      <c r="D65" s="77"/>
      <c r="E65" s="77"/>
      <c r="F65" s="77"/>
      <c r="G65" s="77"/>
      <c r="H65" s="129">
        <f ca="1">1-EffStd_Final02-Max_Profit+InvInc_Variable</f>
        <v>0.70393793093194457</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35.473874374034054</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49.266581645886681</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-0.12855093426489153</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0.21027988357247082</v>
      </c>
      <c r="I69" s="396" t="str">
        <f>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7" t="s">
        <v>231</v>
      </c>
      <c r="B71" s="228" t="str">
        <f>'6.2Ratemaking Data'!D$14</f>
        <v>20183</v>
      </c>
      <c r="C71" s="228" t="str">
        <f>'6.2Ratemaking Data'!E$14</f>
        <v>20193</v>
      </c>
      <c r="D71" s="228" t="str">
        <f>'6.2Ratemaking Data'!F$14</f>
        <v>20203</v>
      </c>
      <c r="E71" s="228" t="str">
        <f>'6.2Ratemaking Data'!G$14</f>
        <v>20213</v>
      </c>
      <c r="F71" s="228" t="str">
        <f>'6.2Ratemaking Data'!H$14</f>
        <v>20223</v>
      </c>
      <c r="G71" s="228">
        <f>'6.2Ratemaking Data'!I$14</f>
        <v>20233</v>
      </c>
    </row>
    <row r="72" spans="1:9" hidden="1" x14ac:dyDescent="0.25">
      <c r="A72" s="114" t="s">
        <v>230</v>
      </c>
      <c r="B72" s="125"/>
      <c r="C72" s="125"/>
      <c r="D72" s="125"/>
      <c r="E72" s="125"/>
      <c r="F72" s="125"/>
      <c r="G72" s="125"/>
      <c r="H72" s="131" t="str">
        <f>IF(ISBLANK('6.2Ratemaking Data'!J44),"",'6.2Ratemaking Data'!J44)</f>
        <v/>
      </c>
    </row>
    <row r="73" spans="1:9" hidden="1" x14ac:dyDescent="0.25">
      <c r="A73" s="117" t="s">
        <v>217</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 ca="1">IF(RIGHT(Detailed_LineCode02,1)="R",IF(New_Program=TRUE,'6.2Ratemaking Data'!$K$45,SUM($B73:$G73)),"")</f>
        <v/>
      </c>
    </row>
    <row r="74" spans="1:9" hidden="1" x14ac:dyDescent="0.25">
      <c r="A74" s="117" t="s">
        <v>218</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221</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IF(AND('6.2Ratemaking Data'!Error30="",'6.2Ratemaking Data'!Error31="",'6.2Ratemaking Data'!Error32=""),"","See Column M of Page '6.2Ratemaking Data' for errors that must be corrected.")</f>
        <v/>
      </c>
    </row>
    <row r="80" spans="1:9" ht="26.25" x14ac:dyDescent="0.25">
      <c r="F80" s="662" t="s">
        <v>609</v>
      </c>
      <c r="G80" s="662"/>
      <c r="H80" s="662"/>
    </row>
    <row r="81" spans="1:1" x14ac:dyDescent="0.25">
      <c r="A81" s="132"/>
    </row>
  </sheetData>
  <sheetProtection algorithmName="SHA-512" hashValue="e8paGHTFngUaMVU4ypszuZMTVsDxHTXgr34wejwsPBoq18Nj9RYaQr28IUmjGWms2yrCFdWg06HG9LLPYOE0yg==" saltValue="unzXruNFRwQP0UKlWBtMhg=="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3"/>
  <pageSetup scale="72" orientation="portrait" r:id="rId1"/>
  <headerFooter>
    <oddFooter>&amp;CPrior Approval Rate Template&amp;RPage 7.2&amp;L11/9/2023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topLeftCell="A43" zoomScaleNormal="100" zoomScaleSheetLayoutView="100" workbookViewId="0">
      <selection activeCell="Q86" sqref="Q86"/>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IF('6.3Ratemaking Data'!$K$7="","VARIANCE - NONE","VARIANCE "&amp;'6.3Ratemaking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f>EffDate_Prior03</f>
        <v>45348</v>
      </c>
    </row>
    <row r="10" spans="1:8" ht="15" customHeight="1" x14ac:dyDescent="0.25">
      <c r="A10" s="6" t="s">
        <v>168</v>
      </c>
      <c r="B10" s="52"/>
      <c r="H10" s="161">
        <f>EffDate_Proposed</f>
        <v>45566</v>
      </c>
    </row>
    <row r="11" spans="1:8" ht="15" customHeight="1" x14ac:dyDescent="0.25">
      <c r="A11" s="6" t="s">
        <v>75</v>
      </c>
      <c r="B11" s="52"/>
      <c r="H11" s="23" t="str">
        <f>Detailed_LineDesc03</f>
        <v>Private Passenger Auto Liability</v>
      </c>
    </row>
    <row r="12" spans="1:8" ht="15" customHeight="1" x14ac:dyDescent="0.25">
      <c r="A12" s="6" t="s">
        <v>76</v>
      </c>
      <c r="B12" s="52"/>
      <c r="H12" s="23" t="str">
        <f>Covg03</f>
        <v>UM</v>
      </c>
    </row>
    <row r="13" spans="1:8" ht="15" customHeight="1" x14ac:dyDescent="0.25">
      <c r="H13" s="511"/>
    </row>
    <row r="14" spans="1:8" ht="9.9499999999999993" customHeight="1" x14ac:dyDescent="0.25"/>
    <row r="15" spans="1:8" ht="15.75" thickBot="1" x14ac:dyDescent="0.3">
      <c r="A15" s="7" t="s">
        <v>169</v>
      </c>
      <c r="B15" s="228" t="str">
        <f>'6.3Ratemaking Data'!D$14</f>
        <v>20183</v>
      </c>
      <c r="C15" s="228" t="str">
        <f>'6.3Ratemaking Data'!E$14</f>
        <v>20193</v>
      </c>
      <c r="D15" s="228" t="str">
        <f>'6.3Ratemaking Data'!F$14</f>
        <v>20203</v>
      </c>
      <c r="E15" s="228" t="str">
        <f>'6.3Ratemaking Data'!G$14</f>
        <v>20213</v>
      </c>
      <c r="F15" s="228" t="str">
        <f>'6.3Ratemaking Data'!H$14</f>
        <v>20223</v>
      </c>
      <c r="G15" s="228">
        <f>'6.3Ratemaking Data'!I$14</f>
        <v>20233</v>
      </c>
      <c r="H15" s="91" t="s">
        <v>304</v>
      </c>
    </row>
    <row r="16" spans="1:8" x14ac:dyDescent="0.25">
      <c r="A16" s="114" t="s">
        <v>171</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f>IF(ISBLANK('6.3Ratemaking Data'!I15),"",'6.3Ratemaking Data'!I15)</f>
        <v>366808633.5</v>
      </c>
      <c r="H16" s="116">
        <f>IF(New_Program=TRUE,'6.3Ratemaking Data'!$K$15,SUM($B16:$G16))</f>
        <v>366808633.5</v>
      </c>
    </row>
    <row r="17" spans="1:10" x14ac:dyDescent="0.25">
      <c r="A17" s="117" t="s">
        <v>170</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f>IF(ISBLANK('6.3Ratemaking Data'!I16),"",'6.3Ratemaking Data'!I16)</f>
        <v>352588755.75999999</v>
      </c>
      <c r="H17" s="119">
        <f>IF(New_Program=TRUE,'6.3Ratemaking Data'!$K$16,SUM($B17:$G17))</f>
        <v>352588755.75999999</v>
      </c>
    </row>
    <row r="18" spans="1:10" x14ac:dyDescent="0.25">
      <c r="A18" s="117" t="s">
        <v>172</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f>IF(ISBLANK('6.3Ratemaking Data'!I17),"",'6.3Ratemaking Data'!I17)</f>
        <v>1.2275831615470976</v>
      </c>
      <c r="H18" s="121"/>
    </row>
    <row r="19" spans="1:10" x14ac:dyDescent="0.25">
      <c r="A19" s="117" t="s">
        <v>173</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f>IF(ISBLANK('6.3Ratemaking Data'!I18),"",'6.3Ratemaking Data'!I18)</f>
        <v>0.98860388593055637</v>
      </c>
      <c r="H19" s="127">
        <f>IF(New_Program=TRUE,0,'6.3Ratemaking Data'!$J$18)</f>
        <v>-5.0810685335475102E-3</v>
      </c>
    </row>
    <row r="20" spans="1:10" x14ac:dyDescent="0.25">
      <c r="A20" s="117" t="s">
        <v>174</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f>IF(ISBLANK('6.3Ratemaking Data'!I19),"",'6.3Ratemaking Data'!I19)</f>
        <v>0</v>
      </c>
      <c r="H20" s="119">
        <f>IF(New_Program=TRUE,'6.3Ratemaking Data'!$K$19,SUM($B20:$G20))</f>
        <v>0</v>
      </c>
    </row>
    <row r="21" spans="1:10" x14ac:dyDescent="0.25">
      <c r="A21" s="117" t="s">
        <v>175</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f>IF(ISBLANK('6.3Ratemaking Data'!I20),"",'6.3Ratemaking Data'!I20)</f>
        <v>3764581</v>
      </c>
      <c r="H21" s="119">
        <f>IF(New_Program=TRUE,'6.3Ratemaking Data'!$K$20,SUM($B21:$G21))</f>
        <v>3764581</v>
      </c>
      <c r="J21" s="111"/>
    </row>
    <row r="22" spans="1:10" x14ac:dyDescent="0.25">
      <c r="A22" s="117" t="s">
        <v>176</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f>IF(ISBLANK('6.3Ratemaking Data'!I21),"",'6.3Ratemaking Data'!I21)</f>
        <v>171024639.69</v>
      </c>
      <c r="H22" s="119">
        <f>IF(New_Program=TRUE,'6.3Ratemaking Data'!$K$21,SUM($B22:$G22))</f>
        <v>171024639.69</v>
      </c>
      <c r="J22" s="111"/>
    </row>
    <row r="23" spans="1:10" x14ac:dyDescent="0.25">
      <c r="A23" s="117" t="s">
        <v>142</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f>IF(ISBLANK('6.3Ratemaking Data'!I22),"",'6.3Ratemaking Data'!I22)</f>
        <v>606088.36</v>
      </c>
      <c r="H23" s="119">
        <f>IF(New_Program=TRUE,'6.3Ratemaking Data'!$K$22,SUM($B23:$G23))</f>
        <v>606088.36</v>
      </c>
      <c r="J23" s="111"/>
    </row>
    <row r="24" spans="1:10" x14ac:dyDescent="0.25">
      <c r="A24" s="117" t="s">
        <v>179</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f>IF(ISBLANK('6.3Ratemaking Data'!I23),"",'6.3Ratemaking Data'!I23)</f>
        <v>2.1855614896636979</v>
      </c>
      <c r="H24" s="121"/>
    </row>
    <row r="25" spans="1:10" x14ac:dyDescent="0.25">
      <c r="A25" s="117" t="s">
        <v>180</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f>IF(ISBLANK('6.3Ratemaking Data'!I24),"",'6.3Ratemaking Data'!I24)</f>
        <v>45.317689420485273</v>
      </c>
      <c r="H25" s="121"/>
    </row>
    <row r="26" spans="1:10" x14ac:dyDescent="0.25">
      <c r="A26" s="117" t="s">
        <v>177</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f>IF(ISBLANK('6.3Ratemaking Data'!I25),"",'6.3Ratemaking Data'!I25)</f>
        <v>1.2267264768791839</v>
      </c>
      <c r="H26" s="127">
        <f>IF(New_Program=TRUE,0,'6.3Ratemaking Data'!$J$25)</f>
        <v>9.5073928765989191E-2</v>
      </c>
    </row>
    <row r="27" spans="1:10" x14ac:dyDescent="0.25">
      <c r="A27" s="117" t="s">
        <v>178</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f>IF(ISBLANK('6.3Ratemaking Data'!I26),"",'6.3Ratemaking Data'!I26)</f>
        <v>1.2267264768791839</v>
      </c>
      <c r="H27" s="127">
        <f>IF(New_Program=TRUE,0,'6.3Ratemaking Data'!$J$26)</f>
        <v>9.5073928765989191E-2</v>
      </c>
    </row>
    <row r="28" spans="1:10" x14ac:dyDescent="0.25">
      <c r="A28" s="117" t="s">
        <v>181</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f>IF(ISBLANK('6.3Ratemaking Data'!I27),"",'6.3Ratemaking Data'!I27)</f>
        <v>1</v>
      </c>
      <c r="H28" s="121"/>
    </row>
    <row r="29" spans="1:10" ht="15.75" thickBot="1" x14ac:dyDescent="0.3">
      <c r="A29" s="133" t="s">
        <v>186</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f>IF(ISBLANK('6.3Ratemaking Data'!I29),"",'6.3Ratemaking Data'!I29)</f>
        <v>0</v>
      </c>
      <c r="H29" s="135">
        <f>IF(New_Program=TRUE,'6.3Ratemaking Data'!$K$29,SUM($B29:$G29))</f>
        <v>0</v>
      </c>
    </row>
    <row r="30" spans="1:10" ht="15.75" thickTop="1" x14ac:dyDescent="0.25">
      <c r="A30" s="117" t="s">
        <v>182</v>
      </c>
      <c r="B30" s="122"/>
      <c r="C30" s="122"/>
      <c r="D30" s="122"/>
      <c r="E30" s="122"/>
      <c r="F30" s="122"/>
      <c r="G30" s="122"/>
      <c r="H30" s="127">
        <f>IF(New_Program=TRUE,100%,'6.3Ratemaking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f ca="1">EffStd_Final03</f>
        <v>0.29208037473960702</v>
      </c>
    </row>
    <row r="38" spans="1:9" x14ac:dyDescent="0.25">
      <c r="A38" s="117" t="s">
        <v>189</v>
      </c>
      <c r="B38" s="77"/>
      <c r="C38" s="77"/>
      <c r="D38" s="77"/>
      <c r="E38" s="77"/>
      <c r="F38" s="577" t="s">
        <v>315</v>
      </c>
      <c r="G38" s="578">
        <f>update_leverage</f>
        <v>2022</v>
      </c>
      <c r="H38" s="162">
        <f ca="1">LevFact_Final03</f>
        <v>0.77049999999999996</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1/LevFact_Final03</f>
        <v>1.2978585334198574</v>
      </c>
    </row>
    <row r="41" spans="1:9" x14ac:dyDescent="0.25">
      <c r="A41" s="117" t="s">
        <v>196</v>
      </c>
      <c r="B41" s="77"/>
      <c r="C41" s="77"/>
      <c r="D41" s="77"/>
      <c r="E41" s="77"/>
      <c r="F41" s="577" t="s">
        <v>315</v>
      </c>
      <c r="G41" s="578">
        <f>update_reserveratios</f>
        <v>2022</v>
      </c>
      <c r="H41" s="163">
        <f ca="1">ResRatio_UPR03</f>
        <v>0.32</v>
      </c>
    </row>
    <row r="42" spans="1:9" x14ac:dyDescent="0.25">
      <c r="A42" s="117" t="s">
        <v>192</v>
      </c>
      <c r="B42" s="77"/>
      <c r="C42" s="77"/>
      <c r="D42" s="77"/>
      <c r="E42" s="77"/>
      <c r="F42" s="577" t="s">
        <v>315</v>
      </c>
      <c r="G42" s="578">
        <f>update_reserveratios</f>
        <v>2022</v>
      </c>
      <c r="H42" s="163">
        <f ca="1">ResRatio_Loss03</f>
        <v>1.1599999999999999</v>
      </c>
    </row>
    <row r="43" spans="1:9" x14ac:dyDescent="0.25">
      <c r="A43" s="117" t="s">
        <v>193</v>
      </c>
      <c r="B43" s="77"/>
      <c r="C43" s="77"/>
      <c r="D43" s="77"/>
      <c r="E43" s="77"/>
      <c r="F43" s="575" t="s">
        <v>315</v>
      </c>
      <c r="G43" s="575"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'6.3Ratemaking Data'!D$14</f>
        <v>20183</v>
      </c>
      <c r="C47" s="228" t="str">
        <f>'6.3Ratemaking Data'!E$14</f>
        <v>20193</v>
      </c>
      <c r="D47" s="228" t="str">
        <f>'6.3Ratemaking Data'!F$14</f>
        <v>20203</v>
      </c>
      <c r="E47" s="228" t="str">
        <f>'6.3Ratemaking Data'!G$14</f>
        <v>20213</v>
      </c>
      <c r="F47" s="228" t="str">
        <f>'6.3Ratemaking Data'!H$14</f>
        <v>20223</v>
      </c>
      <c r="G47" s="228">
        <f>'6.3Ratemaking Data'!I$14</f>
        <v>20233</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427899416.45443994</v>
      </c>
      <c r="H48" s="116">
        <f>IF(New_Program=TRUE,(Prem_Earned+Misc_Fees),SUM($B48:$G48))</f>
        <v>427899416.45443994</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458531792.1347788</v>
      </c>
      <c r="H49" s="119">
        <f>IF(New_Program=TRUE,Losses,SUM($B49:$G49))</f>
        <v>458531792.1347788</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33693912.292058684</v>
      </c>
      <c r="H50" s="119">
        <f>IF(New_Program=TRUE,DCCE,SUM($B50:$G50))</f>
        <v>33693912.292058684</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f t="shared" si="3"/>
        <v>1.1503303942440561</v>
      </c>
      <c r="H51" s="127">
        <f t="shared" si="3"/>
        <v>1.1503303942440561</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113.66455296205339</v>
      </c>
      <c r="H52" s="130">
        <f t="shared" si="4"/>
        <v>113.66455296205339</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130.7517900204133</v>
      </c>
      <c r="H53" s="130">
        <f t="shared" si="5"/>
        <v>130.7517900204133</v>
      </c>
    </row>
    <row r="54" spans="1:9" x14ac:dyDescent="0.25">
      <c r="A54" s="117" t="s">
        <v>202</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96.578287524519084</v>
      </c>
      <c r="H54" s="130">
        <f t="shared" ca="1" si="6"/>
        <v>96.578287524519084</v>
      </c>
    </row>
    <row r="55" spans="1:9" x14ac:dyDescent="0.25">
      <c r="A55" s="117" t="s">
        <v>212</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130.7517900204133</v>
      </c>
      <c r="H55" s="130">
        <f t="shared" ca="1" si="7"/>
        <v>130.7517900204133</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215</v>
      </c>
      <c r="B57" s="77"/>
      <c r="C57" s="77"/>
      <c r="D57" s="77"/>
      <c r="E57" s="77"/>
      <c r="F57" s="77"/>
      <c r="G57" s="77"/>
      <c r="H57" s="127">
        <f ca="1">Yield*((1-FIT_Inv)/(1-FIT_UW))*ResRatio_Loss03</f>
        <v>0.12271196213708156</v>
      </c>
    </row>
    <row r="58" spans="1:9" x14ac:dyDescent="0.25">
      <c r="A58" s="117" t="s">
        <v>216</v>
      </c>
      <c r="B58" s="77"/>
      <c r="C58" s="77"/>
      <c r="D58" s="77"/>
      <c r="E58" s="77"/>
      <c r="F58" s="77"/>
      <c r="G58" s="77"/>
      <c r="H58" s="127">
        <f ca="1">Yield*((1-FIT_Inv)/(1-FIT_UW))*(ResRatio_UPR03+SurplusRatio)</f>
        <v>0.1711470647380792</v>
      </c>
    </row>
    <row r="59" spans="1:9" x14ac:dyDescent="0.25">
      <c r="A59" s="117" t="s">
        <v>204</v>
      </c>
      <c r="B59" s="128"/>
      <c r="C59" s="128"/>
      <c r="D59" s="128"/>
      <c r="E59" s="128"/>
      <c r="F59" s="128"/>
      <c r="G59" s="128"/>
      <c r="H59" s="127">
        <f>(1+Loss_AnnualTrend)/(1+Prem_AnnualTrend)-1</f>
        <v>0.10066649063749744</v>
      </c>
    </row>
    <row r="60" spans="1:9" x14ac:dyDescent="0.25">
      <c r="A60" s="117" t="s">
        <v>203</v>
      </c>
      <c r="B60" s="128"/>
      <c r="C60" s="128"/>
      <c r="D60" s="128"/>
      <c r="E60" s="128"/>
      <c r="F60" s="128"/>
      <c r="G60" s="128"/>
      <c r="H60" s="127">
        <f>IF(New_Program=TRUE,0,(1+Net_AnnualTrend)^MIN(4,((EffDate_Proposed-EffDate_Prior03)/365.25))-1)</f>
        <v>5.8917906955132882E-2</v>
      </c>
    </row>
    <row r="61" spans="1:9" x14ac:dyDescent="0.25">
      <c r="A61" s="117" t="s">
        <v>205</v>
      </c>
      <c r="B61" s="128"/>
      <c r="C61" s="128"/>
      <c r="D61" s="128"/>
      <c r="E61" s="128"/>
      <c r="F61" s="128"/>
      <c r="G61" s="128"/>
      <c r="H61" s="127">
        <f ca="1">(ROR_Max)/(LevFact_Final03*(1-FIT_UW))</f>
        <v>0.17512875906652758</v>
      </c>
    </row>
    <row r="62" spans="1:9" x14ac:dyDescent="0.25">
      <c r="A62" s="117" t="s">
        <v>206</v>
      </c>
      <c r="B62" s="77"/>
      <c r="C62" s="77"/>
      <c r="D62" s="77"/>
      <c r="E62" s="77"/>
      <c r="F62" s="77"/>
      <c r="G62" s="77"/>
      <c r="H62" s="127">
        <f ca="1">(ROR_Min)/(LevFact_Final03*(1-FIT_UW))</f>
        <v>-9.8571534183786627E-2</v>
      </c>
    </row>
    <row r="63" spans="1:9" x14ac:dyDescent="0.25">
      <c r="A63" s="117" t="s">
        <v>207</v>
      </c>
      <c r="B63" s="77"/>
      <c r="C63" s="77"/>
      <c r="D63" s="77"/>
      <c r="E63" s="77"/>
      <c r="F63" s="77"/>
      <c r="G63" s="77"/>
      <c r="H63" s="127">
        <f ca="1">1-CredLossDCCE_perExp/Max_Premium-EffStd_Final03</f>
        <v>-9.4482665151253031E-2</v>
      </c>
      <c r="I63" s="204"/>
    </row>
    <row r="64" spans="1:9" x14ac:dyDescent="0.25">
      <c r="A64" s="117" t="s">
        <v>209</v>
      </c>
      <c r="B64" s="77"/>
      <c r="C64" s="77"/>
      <c r="D64" s="77"/>
      <c r="E64" s="77"/>
      <c r="F64" s="77"/>
      <c r="G64" s="77"/>
      <c r="H64" s="129">
        <f ca="1">1-EffStd_Final03-Min_Profit+InvInc_Variable</f>
        <v>0.97763822418225876</v>
      </c>
      <c r="I64" s="204"/>
    </row>
    <row r="65" spans="1:9" x14ac:dyDescent="0.25">
      <c r="A65" s="117" t="s">
        <v>208</v>
      </c>
      <c r="B65" s="77"/>
      <c r="C65" s="77"/>
      <c r="D65" s="77"/>
      <c r="E65" s="77"/>
      <c r="F65" s="77"/>
      <c r="G65" s="77"/>
      <c r="H65" s="129">
        <f ca="1">1-EffStd_Final03-Max_Profit+InvInc_Variable</f>
        <v>0.70393793093194457</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117.33070421834094</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162.95041973688211</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3.2254129900211578E-2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0.43360806417179748</v>
      </c>
      <c r="I69" s="396" t="str">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7" t="s">
        <v>231</v>
      </c>
      <c r="B71" s="228" t="str">
        <f>'6.3Ratemaking Data'!D$14</f>
        <v>20183</v>
      </c>
      <c r="C71" s="228" t="str">
        <f>'6.3Ratemaking Data'!E$14</f>
        <v>20193</v>
      </c>
      <c r="D71" s="228" t="str">
        <f>'6.3Ratemaking Data'!F$14</f>
        <v>20203</v>
      </c>
      <c r="E71" s="228" t="str">
        <f>'6.3Ratemaking Data'!G$14</f>
        <v>20213</v>
      </c>
      <c r="F71" s="228" t="str">
        <f>'6.3Ratemaking Data'!H$14</f>
        <v>20223</v>
      </c>
      <c r="G71" s="228">
        <f>'6.3Ratemaking Data'!I$14</f>
        <v>20233</v>
      </c>
    </row>
    <row r="72" spans="1:9" hidden="1" x14ac:dyDescent="0.25">
      <c r="A72" s="114" t="s">
        <v>230</v>
      </c>
      <c r="B72" s="125"/>
      <c r="C72" s="125"/>
      <c r="D72" s="125"/>
      <c r="E72" s="125"/>
      <c r="F72" s="125"/>
      <c r="G72" s="125"/>
      <c r="H72" s="131" t="str">
        <f>IF(ISBLANK('6.3Ratemaking Data'!J44),"",'6.3Ratemaking Data'!J44)</f>
        <v/>
      </c>
    </row>
    <row r="73" spans="1:9" hidden="1" x14ac:dyDescent="0.25">
      <c r="A73" s="117" t="s">
        <v>217</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 ca="1">IF(RIGHT(Detailed_LineCode03,1)="R",IF(New_Program=TRUE,'6.3Ratemaking Data'!$K$45,SUM($B73:$G73)),"")</f>
        <v/>
      </c>
    </row>
    <row r="74" spans="1:9" hidden="1" x14ac:dyDescent="0.25">
      <c r="A74" s="117" t="s">
        <v>218</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221</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IF(AND('6.3Ratemaking Data'!Error30="",'6.3Ratemaking Data'!Error31="",'6.3Ratemaking Data'!Error32=""),"","See Column M of Page '6.3Ratemaking Data' for errors that must be corrected.")</f>
        <v/>
      </c>
    </row>
    <row r="80" spans="1:9" ht="26.25" x14ac:dyDescent="0.25">
      <c r="F80" s="662" t="s">
        <v>619</v>
      </c>
      <c r="G80" s="662"/>
      <c r="H80" s="662"/>
    </row>
    <row r="81" spans="1:1" x14ac:dyDescent="0.25">
      <c r="A81" s="132"/>
    </row>
  </sheetData>
  <sheetProtection algorithmName="SHA-512" hashValue="WQPM7TqUcvll1XgzaMMJP2RRpOBuBho6t0wviI1m1Cp6qDMUpRJ7puWXOgvolkp10jnZVbr0fdRrzVEeyHOdrA==" saltValue="ki3Sv+BWoL8aX3W4OBFAmg=="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2" orientation="portrait" r:id="rId1"/>
  <headerFooter>
    <oddFooter>&amp;CPrior Approval Rate Template&amp;RPage 7.3&amp;L11/9/2023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topLeftCell="A43"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IF('6.4Ratemaking Data'!$K$7="","VARIANCE - NONE","VARIANCE "&amp;'6.4Ratemaking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f>EffDate_Prior04</f>
        <v>45348</v>
      </c>
    </row>
    <row r="10" spans="1:8" ht="15" customHeight="1" x14ac:dyDescent="0.25">
      <c r="A10" s="6" t="s">
        <v>168</v>
      </c>
      <c r="B10" s="52"/>
      <c r="H10" s="161">
        <f>EffDate_Proposed</f>
        <v>45566</v>
      </c>
    </row>
    <row r="11" spans="1:8" ht="15" customHeight="1" x14ac:dyDescent="0.25">
      <c r="A11" s="6" t="s">
        <v>75</v>
      </c>
      <c r="B11" s="52"/>
      <c r="H11" s="23" t="str">
        <f>Detailed_LineDesc04</f>
        <v>Private Passenger Auto Physical Damage</v>
      </c>
    </row>
    <row r="12" spans="1:8" ht="15" customHeight="1" x14ac:dyDescent="0.25">
      <c r="A12" s="6" t="s">
        <v>76</v>
      </c>
      <c r="B12" s="52"/>
      <c r="H12" s="23" t="str">
        <f>Covg04</f>
        <v>COMP</v>
      </c>
    </row>
    <row r="13" spans="1:8" ht="15" customHeight="1" x14ac:dyDescent="0.25">
      <c r="H13" s="511"/>
    </row>
    <row r="14" spans="1:8" ht="9.9499999999999993" customHeight="1" x14ac:dyDescent="0.25"/>
    <row r="15" spans="1:8" ht="15.75" thickBot="1" x14ac:dyDescent="0.3">
      <c r="A15" s="7" t="s">
        <v>169</v>
      </c>
      <c r="B15" s="228" t="str">
        <f>'6.4Ratemaking Data'!D$14</f>
        <v>20183</v>
      </c>
      <c r="C15" s="228" t="str">
        <f>'6.4Ratemaking Data'!E$14</f>
        <v>20193</v>
      </c>
      <c r="D15" s="228" t="str">
        <f>'6.4Ratemaking Data'!F$14</f>
        <v>20203</v>
      </c>
      <c r="E15" s="228" t="str">
        <f>'6.4Ratemaking Data'!G$14</f>
        <v>20213</v>
      </c>
      <c r="F15" s="228" t="str">
        <f>'6.4Ratemaking Data'!H$14</f>
        <v>20223</v>
      </c>
      <c r="G15" s="228">
        <f>'6.4Ratemaking Data'!I$14</f>
        <v>20233</v>
      </c>
      <c r="H15" s="91" t="s">
        <v>304</v>
      </c>
    </row>
    <row r="16" spans="1:8" x14ac:dyDescent="0.25">
      <c r="A16" s="114" t="s">
        <v>171</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f>IF(ISBLANK('6.4Ratemaking Data'!I15),"",'6.4Ratemaking Data'!I15)</f>
        <v>484009003.63999999</v>
      </c>
      <c r="H16" s="116">
        <f>IF(New_Program=TRUE,'6.4Ratemaking Data'!$K$15,SUM($B16:$G16))</f>
        <v>484009003.63999999</v>
      </c>
    </row>
    <row r="17" spans="1:10" x14ac:dyDescent="0.25">
      <c r="A17" s="117" t="s">
        <v>170</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f>IF(ISBLANK('6.4Ratemaking Data'!I16),"",'6.4Ratemaking Data'!I16)</f>
        <v>424260692.04999995</v>
      </c>
      <c r="H17" s="119">
        <f>IF(New_Program=TRUE,'6.4Ratemaking Data'!$K$16,SUM($B17:$G17))</f>
        <v>424260692.04999995</v>
      </c>
    </row>
    <row r="18" spans="1:10" x14ac:dyDescent="0.25">
      <c r="A18" s="117" t="s">
        <v>172</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f>IF(ISBLANK('6.4Ratemaking Data'!I17),"",'6.4Ratemaking Data'!I17)</f>
        <v>1.7203051062435748</v>
      </c>
      <c r="H18" s="121"/>
    </row>
    <row r="19" spans="1:10" x14ac:dyDescent="0.25">
      <c r="A19" s="117" t="s">
        <v>173</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f>IF(ISBLANK('6.4Ratemaking Data'!I18),"",'6.4Ratemaking Data'!I18)</f>
        <v>1.1006159451988577</v>
      </c>
      <c r="H19" s="127">
        <f>IF(New_Program=TRUE,0,'6.4Ratemaking Data'!$J$18)</f>
        <v>4.3529666578276102E-2</v>
      </c>
    </row>
    <row r="20" spans="1:10" x14ac:dyDescent="0.25">
      <c r="A20" s="117" t="s">
        <v>174</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f>IF(ISBLANK('6.4Ratemaking Data'!I19),"",'6.4Ratemaking Data'!I19)</f>
        <v>0</v>
      </c>
      <c r="H20" s="119">
        <f>IF(New_Program=TRUE,'6.4Ratemaking Data'!$K$19,SUM($B20:$G20))</f>
        <v>0</v>
      </c>
    </row>
    <row r="21" spans="1:10" x14ac:dyDescent="0.25">
      <c r="A21" s="117" t="s">
        <v>175</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f>IF(ISBLANK('6.4Ratemaking Data'!I20),"",'6.4Ratemaking Data'!I20)</f>
        <v>3511140</v>
      </c>
      <c r="H21" s="119">
        <f>IF(New_Program=TRUE,'6.4Ratemaking Data'!$K$20,SUM($B21:$G21))</f>
        <v>3511140</v>
      </c>
      <c r="J21" s="111"/>
    </row>
    <row r="22" spans="1:10" x14ac:dyDescent="0.25">
      <c r="A22" s="117" t="s">
        <v>176</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f>IF(ISBLANK('6.4Ratemaking Data'!I21),"",'6.4Ratemaking Data'!I21)</f>
        <v>474826873.52999997</v>
      </c>
      <c r="H22" s="119">
        <f>IF(New_Program=TRUE,'6.4Ratemaking Data'!$K$21,SUM($B22:$G22))</f>
        <v>474826873.52999997</v>
      </c>
      <c r="J22" s="111"/>
    </row>
    <row r="23" spans="1:10" x14ac:dyDescent="0.25">
      <c r="A23" s="117" t="s">
        <v>142</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f>IF(ISBLANK('6.4Ratemaking Data'!I22),"",'6.4Ratemaking Data'!I22)</f>
        <v>1268084.0500000003</v>
      </c>
      <c r="H23" s="119">
        <f>IF(New_Program=TRUE,'6.4Ratemaking Data'!$K$22,SUM($B23:$G23))</f>
        <v>1268084.0500000003</v>
      </c>
      <c r="J23" s="111"/>
    </row>
    <row r="24" spans="1:10" x14ac:dyDescent="0.25">
      <c r="A24" s="117" t="s">
        <v>179</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f>IF(ISBLANK('6.4Ratemaking Data'!I23),"",'6.4Ratemaking Data'!I23)</f>
        <v>1.0152124719389071</v>
      </c>
      <c r="H24" s="121"/>
    </row>
    <row r="25" spans="1:10" x14ac:dyDescent="0.25">
      <c r="A25" s="117" t="s">
        <v>180</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f>IF(ISBLANK('6.4Ratemaking Data'!I24),"",'6.4Ratemaking Data'!I24)</f>
        <v>1.8169725444806955</v>
      </c>
      <c r="H25" s="121"/>
    </row>
    <row r="26" spans="1:10" x14ac:dyDescent="0.25">
      <c r="A26" s="117" t="s">
        <v>177</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f>IF(ISBLANK('6.4Ratemaking Data'!I25),"",'6.4Ratemaking Data'!I25)</f>
        <v>1.4147934081207791</v>
      </c>
      <c r="H26" s="127">
        <f>IF(New_Program=TRUE,0,'6.4Ratemaking Data'!$J$25)</f>
        <v>0.16674158955202456</v>
      </c>
    </row>
    <row r="27" spans="1:10" x14ac:dyDescent="0.25">
      <c r="A27" s="117" t="s">
        <v>178</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f>IF(ISBLANK('6.4Ratemaking Data'!I26),"",'6.4Ratemaking Data'!I26)</f>
        <v>1.4147934081207791</v>
      </c>
      <c r="H27" s="127">
        <f>IF(New_Program=TRUE,0,'6.4Ratemaking Data'!$J$26)</f>
        <v>0.16674158955202456</v>
      </c>
    </row>
    <row r="28" spans="1:10" x14ac:dyDescent="0.25">
      <c r="A28" s="117" t="s">
        <v>181</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f>IF(ISBLANK('6.4Ratemaking Data'!I27),"",'6.4Ratemaking Data'!I27)</f>
        <v>1.0329999999999999</v>
      </c>
      <c r="H28" s="121"/>
    </row>
    <row r="29" spans="1:10" ht="15.75" thickBot="1" x14ac:dyDescent="0.3">
      <c r="A29" s="133" t="s">
        <v>186</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f>IF(ISBLANK('6.4Ratemaking Data'!I29),"",'6.4Ratemaking Data'!I29)</f>
        <v>0</v>
      </c>
      <c r="H29" s="135">
        <f>IF(New_Program=TRUE,'6.4Ratemaking Data'!$K$29,SUM($B29:$G29))</f>
        <v>0</v>
      </c>
    </row>
    <row r="30" spans="1:10" ht="15.75" thickTop="1" x14ac:dyDescent="0.25">
      <c r="A30" s="117" t="s">
        <v>182</v>
      </c>
      <c r="B30" s="122"/>
      <c r="C30" s="122"/>
      <c r="D30" s="122"/>
      <c r="E30" s="122"/>
      <c r="F30" s="122"/>
      <c r="G30" s="122"/>
      <c r="H30" s="127">
        <f>IF(New_Program=TRUE,100%,'6.4Ratemaking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f ca="1">EffStd_Final04</f>
        <v>0.30039060239709503</v>
      </c>
    </row>
    <row r="38" spans="1:9" x14ac:dyDescent="0.25">
      <c r="A38" s="117" t="s">
        <v>189</v>
      </c>
      <c r="B38" s="77"/>
      <c r="C38" s="77"/>
      <c r="D38" s="77"/>
      <c r="E38" s="77"/>
      <c r="F38" s="577" t="s">
        <v>315</v>
      </c>
      <c r="G38" s="578">
        <f>update_leverage</f>
        <v>2022</v>
      </c>
      <c r="H38" s="162">
        <f ca="1">LevFact_Final04</f>
        <v>1.2808999999999999</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1/LevFact_Final04</f>
        <v>0.78070106956046537</v>
      </c>
    </row>
    <row r="41" spans="1:9" x14ac:dyDescent="0.25">
      <c r="A41" s="117" t="s">
        <v>196</v>
      </c>
      <c r="B41" s="77"/>
      <c r="C41" s="77"/>
      <c r="D41" s="77"/>
      <c r="E41" s="77"/>
      <c r="F41" s="577" t="s">
        <v>315</v>
      </c>
      <c r="G41" s="578">
        <f>update_reserveratios</f>
        <v>2022</v>
      </c>
      <c r="H41" s="163">
        <f ca="1">ResRatio_UPR04</f>
        <v>0.32</v>
      </c>
    </row>
    <row r="42" spans="1:9" x14ac:dyDescent="0.25">
      <c r="A42" s="117" t="s">
        <v>192</v>
      </c>
      <c r="B42" s="77"/>
      <c r="C42" s="77"/>
      <c r="D42" s="77"/>
      <c r="E42" s="77"/>
      <c r="F42" s="577" t="s">
        <v>315</v>
      </c>
      <c r="G42" s="578">
        <f>update_reserveratios</f>
        <v>2022</v>
      </c>
      <c r="H42" s="163">
        <f ca="1">ResRatio_Loss04</f>
        <v>0.1</v>
      </c>
    </row>
    <row r="43" spans="1:9" x14ac:dyDescent="0.25">
      <c r="A43" s="117" t="s">
        <v>193</v>
      </c>
      <c r="B43" s="77"/>
      <c r="C43" s="77"/>
      <c r="D43" s="77"/>
      <c r="E43" s="77"/>
      <c r="F43" s="575" t="s">
        <v>315</v>
      </c>
      <c r="G43" s="575"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'6.4Ratemaking Data'!D$14</f>
        <v>20183</v>
      </c>
      <c r="C47" s="228" t="str">
        <f>'6.4Ratemaking Data'!E$14</f>
        <v>20193</v>
      </c>
      <c r="D47" s="228" t="str">
        <f>'6.4Ratemaking Data'!F$14</f>
        <v>20203</v>
      </c>
      <c r="E47" s="228" t="str">
        <f>'6.4Ratemaking Data'!G$14</f>
        <v>20213</v>
      </c>
      <c r="F47" s="228" t="str">
        <f>'6.4Ratemaking Data'!H$14</f>
        <v>20223</v>
      </c>
      <c r="G47" s="228">
        <f>'6.4Ratemaking Data'!I$14</f>
        <v>20233</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803293170.83251536</v>
      </c>
      <c r="H48" s="116">
        <f>IF(New_Program=TRUE,(Prem_Earned+Misc_Fees),SUM($B48:$G48))</f>
        <v>803293170.83251536</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704507440.45466816</v>
      </c>
      <c r="H49" s="119">
        <f>IF(New_Program=TRUE,Losses,SUM($B49:$G49))</f>
        <v>704507440.45466816</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3367361.5925084935</v>
      </c>
      <c r="H50" s="119">
        <f>IF(New_Program=TRUE,DCCE,SUM($B50:$G50))</f>
        <v>3367361.5925084935</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f t="shared" si="3"/>
        <v>0.88121600898654562</v>
      </c>
      <c r="H51" s="127">
        <f t="shared" si="3"/>
        <v>0.88121600898654562</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228.78414726627688</v>
      </c>
      <c r="H52" s="130">
        <f t="shared" si="4"/>
        <v>228.78414726627688</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201.60825317337861</v>
      </c>
      <c r="H53" s="130">
        <f t="shared" si="5"/>
        <v>201.60825317337861</v>
      </c>
    </row>
    <row r="54" spans="1:9" x14ac:dyDescent="0.25">
      <c r="A54" s="117" t="s">
        <v>202</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175.65567162954665</v>
      </c>
      <c r="H54" s="130">
        <f t="shared" ca="1" si="6"/>
        <v>175.65567162954665</v>
      </c>
    </row>
    <row r="55" spans="1:9" x14ac:dyDescent="0.25">
      <c r="A55" s="117" t="s">
        <v>212</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201.60825317337861</v>
      </c>
      <c r="H55" s="130">
        <f t="shared" ca="1" si="7"/>
        <v>201.60825317337861</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215</v>
      </c>
      <c r="B57" s="77"/>
      <c r="C57" s="77"/>
      <c r="D57" s="77"/>
      <c r="E57" s="77"/>
      <c r="F57" s="77"/>
      <c r="G57" s="77"/>
      <c r="H57" s="127">
        <f ca="1">Yield*((1-FIT_Inv)/(1-FIT_UW))*ResRatio_Loss04</f>
        <v>1.0578617425610481E-2</v>
      </c>
    </row>
    <row r="58" spans="1:9" x14ac:dyDescent="0.25">
      <c r="A58" s="117" t="s">
        <v>216</v>
      </c>
      <c r="B58" s="77"/>
      <c r="C58" s="77"/>
      <c r="D58" s="77"/>
      <c r="E58" s="77"/>
      <c r="F58" s="77"/>
      <c r="G58" s="77"/>
      <c r="H58" s="127">
        <f ca="1">Yield*((1-FIT_Inv)/(1-FIT_UW))*(ResRatio_UPR04+SurplusRatio)</f>
        <v>0.11643895514840431</v>
      </c>
    </row>
    <row r="59" spans="1:9" x14ac:dyDescent="0.25">
      <c r="A59" s="117" t="s">
        <v>204</v>
      </c>
      <c r="B59" s="128"/>
      <c r="C59" s="128"/>
      <c r="D59" s="128"/>
      <c r="E59" s="128"/>
      <c r="F59" s="128"/>
      <c r="G59" s="128"/>
      <c r="H59" s="127">
        <f>(1+Loss_AnnualTrend)/(1+Prem_AnnualTrend)-1</f>
        <v>0.11807227616035032</v>
      </c>
    </row>
    <row r="60" spans="1:9" x14ac:dyDescent="0.25">
      <c r="A60" s="117" t="s">
        <v>203</v>
      </c>
      <c r="B60" s="128"/>
      <c r="C60" s="128"/>
      <c r="D60" s="128"/>
      <c r="E60" s="128"/>
      <c r="F60" s="128"/>
      <c r="G60" s="128"/>
      <c r="H60" s="127">
        <f>IF(New_Program=TRUE,0,(1+Net_AnnualTrend)^MIN(4,((EffDate_Proposed-EffDate_Prior04)/365.25))-1)</f>
        <v>6.8880904485789873E-2</v>
      </c>
    </row>
    <row r="61" spans="1:9" x14ac:dyDescent="0.25">
      <c r="A61" s="117" t="s">
        <v>205</v>
      </c>
      <c r="B61" s="128"/>
      <c r="C61" s="128"/>
      <c r="D61" s="128"/>
      <c r="E61" s="128"/>
      <c r="F61" s="128"/>
      <c r="G61" s="128"/>
      <c r="H61" s="127">
        <f ca="1">(ROR_Max)/(LevFact_Final04*(1-FIT_UW))</f>
        <v>0.10534523293056405</v>
      </c>
    </row>
    <row r="62" spans="1:9" x14ac:dyDescent="0.25">
      <c r="A62" s="117" t="s">
        <v>206</v>
      </c>
      <c r="B62" s="77"/>
      <c r="C62" s="77"/>
      <c r="D62" s="77"/>
      <c r="E62" s="77"/>
      <c r="F62" s="77"/>
      <c r="G62" s="77"/>
      <c r="H62" s="127">
        <f ca="1">(ROR_Min)/(LevFact_Final04*(1-FIT_UW))</f>
        <v>-5.9293752118516348E-2</v>
      </c>
    </row>
    <row r="63" spans="1:9" x14ac:dyDescent="0.25">
      <c r="A63" s="117" t="s">
        <v>207</v>
      </c>
      <c r="B63" s="77"/>
      <c r="C63" s="77"/>
      <c r="D63" s="77"/>
      <c r="E63" s="77"/>
      <c r="F63" s="77"/>
      <c r="G63" s="77"/>
      <c r="H63" s="127">
        <f ca="1">1-CredLossDCCE_perExp/Max_Premium-EffStd_Final04</f>
        <v>-1.8692361725922924E-2</v>
      </c>
      <c r="I63" s="204"/>
    </row>
    <row r="64" spans="1:9" x14ac:dyDescent="0.25">
      <c r="A64" s="117" t="s">
        <v>209</v>
      </c>
      <c r="B64" s="77"/>
      <c r="C64" s="77"/>
      <c r="D64" s="77"/>
      <c r="E64" s="77"/>
      <c r="F64" s="77"/>
      <c r="G64" s="77"/>
      <c r="H64" s="129">
        <f ca="1">1-EffStd_Final04-Min_Profit+InvInc_Variable</f>
        <v>0.87534210486982567</v>
      </c>
      <c r="I64" s="204"/>
    </row>
    <row r="65" spans="1:9" x14ac:dyDescent="0.25">
      <c r="A65" s="117" t="s">
        <v>208</v>
      </c>
      <c r="B65" s="77"/>
      <c r="C65" s="77"/>
      <c r="D65" s="77"/>
      <c r="E65" s="77"/>
      <c r="F65" s="77"/>
      <c r="G65" s="77"/>
      <c r="H65" s="129">
        <f ca="1">1-EffStd_Final04-Max_Profit+InvInc_Variable</f>
        <v>0.71070311982074519</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227.88292198382976</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280.67347817964253</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-3.9391946217243725E-3</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0.22680474820212432</v>
      </c>
      <c r="I69" s="396" t="str">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
      </c>
    </row>
    <row r="70" spans="1:9" ht="5.0999999999999996" hidden="1" customHeight="1" x14ac:dyDescent="0.25"/>
    <row r="71" spans="1:9" ht="15.75" hidden="1" thickBot="1" x14ac:dyDescent="0.3">
      <c r="A71" s="7" t="s">
        <v>231</v>
      </c>
      <c r="B71" s="228" t="str">
        <f>'6.4Ratemaking Data'!D$14</f>
        <v>20183</v>
      </c>
      <c r="C71" s="228" t="str">
        <f>'6.4Ratemaking Data'!E$14</f>
        <v>20193</v>
      </c>
      <c r="D71" s="228" t="str">
        <f>'6.4Ratemaking Data'!F$14</f>
        <v>20203</v>
      </c>
      <c r="E71" s="228" t="str">
        <f>'6.4Ratemaking Data'!G$14</f>
        <v>20213</v>
      </c>
      <c r="F71" s="228" t="str">
        <f>'6.4Ratemaking Data'!H$14</f>
        <v>20223</v>
      </c>
      <c r="G71" s="228">
        <f>'6.4Ratemaking Data'!I$14</f>
        <v>20233</v>
      </c>
    </row>
    <row r="72" spans="1:9" hidden="1" x14ac:dyDescent="0.25">
      <c r="A72" s="114" t="s">
        <v>230</v>
      </c>
      <c r="B72" s="125"/>
      <c r="C72" s="125"/>
      <c r="D72" s="125"/>
      <c r="E72" s="125"/>
      <c r="F72" s="125"/>
      <c r="G72" s="125"/>
      <c r="H72" s="131" t="str">
        <f>IF(ISBLANK('6.4Ratemaking Data'!J44),"",'6.4Ratemaking Data'!J44)</f>
        <v/>
      </c>
    </row>
    <row r="73" spans="1:9" hidden="1" x14ac:dyDescent="0.25">
      <c r="A73" s="117" t="s">
        <v>217</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 ca="1">IF(RIGHT(Detailed_LineCode04,1)="R",IF(New_Program=TRUE,'6.4Ratemaking Data'!$K$45,SUM($B73:$G73)),"")</f>
        <v/>
      </c>
    </row>
    <row r="74" spans="1:9" hidden="1" x14ac:dyDescent="0.25">
      <c r="A74" s="117" t="s">
        <v>218</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221</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IF(AND('6.4Ratemaking Data'!Error30="",'6.4Ratemaking Data'!Error31="",'6.4Ratemaking Data'!Error32=""),"","See Column M of Page '6.4Ratemaking Data' for errors that must be corrected.")</f>
        <v/>
      </c>
    </row>
    <row r="80" spans="1:9" ht="26.25" x14ac:dyDescent="0.25">
      <c r="F80" s="662" t="s">
        <v>618</v>
      </c>
      <c r="G80" s="662"/>
      <c r="H80" s="662"/>
    </row>
    <row r="81" spans="1:1" x14ac:dyDescent="0.25">
      <c r="A81" s="132"/>
    </row>
  </sheetData>
  <sheetProtection algorithmName="SHA-512" hashValue="vb3/YU7Fc1a4tGw3nLeaDayvzbDOnE8gHc790ZJ14O1TVE4VaoIQxBEc1cfq4sgMnyCYWny14OgkaoCeUQ54oA==" saltValue="0Qi469skVio1tRjvRTkXXw=="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topLeftCell="A47"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IF('6.5Ratemaking Data'!$K$7="","VARIANCE - NONE","VARIANCE "&amp;'6.5Ratemaking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f>EffDate_Prior05</f>
        <v>45348</v>
      </c>
    </row>
    <row r="10" spans="1:8" ht="15" customHeight="1" x14ac:dyDescent="0.25">
      <c r="A10" s="6" t="s">
        <v>168</v>
      </c>
      <c r="B10" s="52"/>
      <c r="H10" s="161">
        <f>EffDate_Proposed</f>
        <v>45566</v>
      </c>
    </row>
    <row r="11" spans="1:8" ht="15" customHeight="1" x14ac:dyDescent="0.25">
      <c r="A11" s="6" t="s">
        <v>75</v>
      </c>
      <c r="B11" s="52"/>
      <c r="H11" s="23" t="str">
        <f>Detailed_LineDesc05</f>
        <v>Private Passenger Auto Physical Damage</v>
      </c>
    </row>
    <row r="12" spans="1:8" ht="15" customHeight="1" x14ac:dyDescent="0.25">
      <c r="A12" s="6" t="s">
        <v>76</v>
      </c>
      <c r="B12" s="52"/>
      <c r="H12" s="23" t="str">
        <f>Covg05</f>
        <v>COLL</v>
      </c>
    </row>
    <row r="13" spans="1:8" ht="15" customHeight="1" x14ac:dyDescent="0.25">
      <c r="H13" s="511"/>
    </row>
    <row r="14" spans="1:8" ht="9.9499999999999993" customHeight="1" x14ac:dyDescent="0.25"/>
    <row r="15" spans="1:8" ht="15.75" thickBot="1" x14ac:dyDescent="0.3">
      <c r="A15" s="7" t="s">
        <v>169</v>
      </c>
      <c r="B15" s="228" t="str">
        <f>'6.5Ratemaking Data'!D$14</f>
        <v>20183</v>
      </c>
      <c r="C15" s="228" t="str">
        <f>'6.5Ratemaking Data'!E$14</f>
        <v>20193</v>
      </c>
      <c r="D15" s="228" t="str">
        <f>'6.5Ratemaking Data'!F$14</f>
        <v>20203</v>
      </c>
      <c r="E15" s="228" t="str">
        <f>'6.5Ratemaking Data'!G$14</f>
        <v>20213</v>
      </c>
      <c r="F15" s="228" t="str">
        <f>'6.5Ratemaking Data'!H$14</f>
        <v>20223</v>
      </c>
      <c r="G15" s="228">
        <f>'6.5Ratemaking Data'!I$14</f>
        <v>20233</v>
      </c>
      <c r="H15" s="91" t="s">
        <v>304</v>
      </c>
    </row>
    <row r="16" spans="1:8" x14ac:dyDescent="0.25">
      <c r="A16" s="114" t="s">
        <v>171</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f>IF(ISBLANK('6.5Ratemaking Data'!I15),"",'6.5Ratemaking Data'!I15)</f>
        <v>1639585373.2</v>
      </c>
      <c r="H16" s="116">
        <f>IF(New_Program=TRUE,'6.5Ratemaking Data'!$K$15,SUM($B16:$G16))</f>
        <v>1639585373.2</v>
      </c>
    </row>
    <row r="17" spans="1:10" x14ac:dyDescent="0.25">
      <c r="A17" s="117" t="s">
        <v>170</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f>IF(ISBLANK('6.5Ratemaking Data'!I16),"",'6.5Ratemaking Data'!I16)</f>
        <v>1538143842.27</v>
      </c>
      <c r="H17" s="119">
        <f>IF(New_Program=TRUE,'6.5Ratemaking Data'!$K$16,SUM($B17:$G17))</f>
        <v>1538143842.27</v>
      </c>
    </row>
    <row r="18" spans="1:10" x14ac:dyDescent="0.25">
      <c r="A18" s="117" t="s">
        <v>172</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f>IF(ISBLANK('6.5Ratemaking Data'!I17),"",'6.5Ratemaking Data'!I17)</f>
        <v>1.3043792044744367</v>
      </c>
      <c r="H18" s="121"/>
    </row>
    <row r="19" spans="1:10" x14ac:dyDescent="0.25">
      <c r="A19" s="117" t="s">
        <v>173</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f>IF(ISBLANK('6.5Ratemaking Data'!I18),"",'6.5Ratemaking Data'!I18)</f>
        <v>1.0963616403856458</v>
      </c>
      <c r="H19" s="127">
        <f>IF(New_Program=TRUE,0,'6.5Ratemaking Data'!$J$18)</f>
        <v>4.1735007003113701E-2</v>
      </c>
    </row>
    <row r="20" spans="1:10" x14ac:dyDescent="0.25">
      <c r="A20" s="117" t="s">
        <v>174</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f>IF(ISBLANK('6.5Ratemaking Data'!I19),"",'6.5Ratemaking Data'!I19)</f>
        <v>0</v>
      </c>
      <c r="H20" s="119">
        <f>IF(New_Program=TRUE,'6.5Ratemaking Data'!$K$19,SUM($B20:$G20))</f>
        <v>0</v>
      </c>
    </row>
    <row r="21" spans="1:10" x14ac:dyDescent="0.25">
      <c r="A21" s="117" t="s">
        <v>175</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f>IF(ISBLANK('6.5Ratemaking Data'!I20),"",'6.5Ratemaking Data'!I20)</f>
        <v>3392785</v>
      </c>
      <c r="H21" s="119">
        <f>IF(New_Program=TRUE,'6.5Ratemaking Data'!$K$20,SUM($B21:$G21))</f>
        <v>3392785</v>
      </c>
      <c r="J21" s="111"/>
    </row>
    <row r="22" spans="1:10" x14ac:dyDescent="0.25">
      <c r="A22" s="117" t="s">
        <v>176</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f>IF(ISBLANK('6.5Ratemaking Data'!I21),"",'6.5Ratemaking Data'!I21)</f>
        <v>1495332734.0699999</v>
      </c>
      <c r="H22" s="119">
        <f>IF(New_Program=TRUE,'6.5Ratemaking Data'!$K$21,SUM($B22:$G22))</f>
        <v>1495332734.0699999</v>
      </c>
      <c r="J22" s="111"/>
    </row>
    <row r="23" spans="1:10" x14ac:dyDescent="0.25">
      <c r="A23" s="117" t="s">
        <v>142</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f>IF(ISBLANK('6.5Ratemaking Data'!I22),"",'6.5Ratemaking Data'!I22)</f>
        <v>1650572.81</v>
      </c>
      <c r="H23" s="119">
        <f>IF(New_Program=TRUE,'6.5Ratemaking Data'!$K$22,SUM($B23:$G23))</f>
        <v>1650572.81</v>
      </c>
      <c r="J23" s="111"/>
    </row>
    <row r="24" spans="1:10" x14ac:dyDescent="0.25">
      <c r="A24" s="117" t="s">
        <v>179</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f>IF(ISBLANK('6.5Ratemaking Data'!I23),"",'6.5Ratemaking Data'!I23)</f>
        <v>0.94673901397282523</v>
      </c>
      <c r="H24" s="121"/>
    </row>
    <row r="25" spans="1:10" x14ac:dyDescent="0.25">
      <c r="A25" s="117" t="s">
        <v>180</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f>IF(ISBLANK('6.5Ratemaking Data'!I24),"",'6.5Ratemaking Data'!I24)</f>
        <v>1.9366901363584141</v>
      </c>
      <c r="H25" s="121"/>
    </row>
    <row r="26" spans="1:10" x14ac:dyDescent="0.25">
      <c r="A26" s="117" t="s">
        <v>177</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f>IF(ISBLANK('6.5Ratemaking Data'!I25),"",'6.5Ratemaking Data'!I25)</f>
        <v>1.3361410509814029</v>
      </c>
      <c r="H26" s="127">
        <f>IF(New_Program=TRUE,0,'6.5Ratemaking Data'!$J$25)</f>
        <v>0.13745535272561349</v>
      </c>
    </row>
    <row r="27" spans="1:10" x14ac:dyDescent="0.25">
      <c r="A27" s="117" t="s">
        <v>178</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f>IF(ISBLANK('6.5Ratemaking Data'!I26),"",'6.5Ratemaking Data'!I26)</f>
        <v>1.3361410509814029</v>
      </c>
      <c r="H27" s="127">
        <f>IF(New_Program=TRUE,0,'6.5Ratemaking Data'!$J$26)</f>
        <v>0.13745535272561349</v>
      </c>
    </row>
    <row r="28" spans="1:10" x14ac:dyDescent="0.25">
      <c r="A28" s="117" t="s">
        <v>181</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f>IF(ISBLANK('6.5Ratemaking Data'!I27),"",'6.5Ratemaking Data'!I27)</f>
        <v>1</v>
      </c>
      <c r="H28" s="121"/>
    </row>
    <row r="29" spans="1:10" ht="15.75" thickBot="1" x14ac:dyDescent="0.3">
      <c r="A29" s="133" t="s">
        <v>186</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f>IF(ISBLANK('6.5Ratemaking Data'!I29),"",'6.5Ratemaking Data'!I29)</f>
        <v>0</v>
      </c>
      <c r="H29" s="135">
        <f>IF(New_Program=TRUE,'6.5Ratemaking Data'!$K$29,SUM($B29:$G29))</f>
        <v>0</v>
      </c>
    </row>
    <row r="30" spans="1:10" ht="15.75" thickTop="1" x14ac:dyDescent="0.25">
      <c r="A30" s="117" t="s">
        <v>182</v>
      </c>
      <c r="B30" s="122"/>
      <c r="C30" s="122"/>
      <c r="D30" s="122"/>
      <c r="E30" s="122"/>
      <c r="F30" s="122"/>
      <c r="G30" s="122"/>
      <c r="H30" s="127">
        <f>IF(New_Program=TRUE,100%,'6.5Ratemaking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f ca="1">EffStd_Final05</f>
        <v>0.30039060239709503</v>
      </c>
    </row>
    <row r="38" spans="1:9" x14ac:dyDescent="0.25">
      <c r="A38" s="117" t="s">
        <v>189</v>
      </c>
      <c r="B38" s="77"/>
      <c r="C38" s="77"/>
      <c r="D38" s="77"/>
      <c r="E38" s="77"/>
      <c r="F38" s="577" t="s">
        <v>315</v>
      </c>
      <c r="G38" s="578">
        <f>update_leverage</f>
        <v>2022</v>
      </c>
      <c r="H38" s="162">
        <f ca="1">LevFact_Final05</f>
        <v>1.2808999999999999</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1/LevFact_Final05</f>
        <v>0.78070106956046537</v>
      </c>
    </row>
    <row r="41" spans="1:9" x14ac:dyDescent="0.25">
      <c r="A41" s="117" t="s">
        <v>196</v>
      </c>
      <c r="B41" s="77"/>
      <c r="C41" s="77"/>
      <c r="D41" s="77"/>
      <c r="E41" s="77"/>
      <c r="F41" s="577" t="s">
        <v>315</v>
      </c>
      <c r="G41" s="578">
        <f>update_reserveratios</f>
        <v>2022</v>
      </c>
      <c r="H41" s="163">
        <f ca="1">ResRatio_UPR05</f>
        <v>0.32</v>
      </c>
    </row>
    <row r="42" spans="1:9" x14ac:dyDescent="0.25">
      <c r="A42" s="117" t="s">
        <v>192</v>
      </c>
      <c r="B42" s="77"/>
      <c r="C42" s="77"/>
      <c r="D42" s="77"/>
      <c r="E42" s="77"/>
      <c r="F42" s="577" t="s">
        <v>315</v>
      </c>
      <c r="G42" s="578">
        <f>update_reserveratios</f>
        <v>2022</v>
      </c>
      <c r="H42" s="163">
        <f ca="1">ResRatio_Loss05</f>
        <v>0.1</v>
      </c>
    </row>
    <row r="43" spans="1:9" x14ac:dyDescent="0.25">
      <c r="A43" s="117" t="s">
        <v>193</v>
      </c>
      <c r="B43" s="77"/>
      <c r="C43" s="77"/>
      <c r="D43" s="77"/>
      <c r="E43" s="77"/>
      <c r="F43" s="575" t="s">
        <v>315</v>
      </c>
      <c r="G43" s="575"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'6.5Ratemaking Data'!D$14</f>
        <v>20183</v>
      </c>
      <c r="C47" s="228" t="str">
        <f>'6.5Ratemaking Data'!E$14</f>
        <v>20193</v>
      </c>
      <c r="D47" s="228" t="str">
        <f>'6.5Ratemaking Data'!F$14</f>
        <v>20203</v>
      </c>
      <c r="E47" s="228" t="str">
        <f>'6.5Ratemaking Data'!G$14</f>
        <v>20213</v>
      </c>
      <c r="F47" s="228" t="str">
        <f>'6.5Ratemaking Data'!H$14</f>
        <v>20223</v>
      </c>
      <c r="G47" s="228">
        <f>'6.5Ratemaking Data'!I$14</f>
        <v>20233</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2199655401.4828205</v>
      </c>
      <c r="H48" s="116">
        <f>IF(New_Program=TRUE,(Prem_Earned+Misc_Fees),SUM($B48:$G48))</f>
        <v>2199655401.4828205</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1891561308.2959092</v>
      </c>
      <c r="H49" s="119">
        <f>IF(New_Program=TRUE,Losses,SUM($B49:$G49))</f>
        <v>1891561308.2959092</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4271172.72585472</v>
      </c>
      <c r="H50" s="119">
        <f>IF(New_Program=TRUE,DCCE,SUM($B50:$G50))</f>
        <v>4271172.72585472</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f t="shared" si="3"/>
        <v>0.861877037532222</v>
      </c>
      <c r="H51" s="127">
        <f t="shared" si="3"/>
        <v>0.861877037532222</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648.33327236557</v>
      </c>
      <c r="H52" s="130">
        <f t="shared" si="4"/>
        <v>648.33327236557</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558.7835601200087</v>
      </c>
      <c r="H53" s="130">
        <f t="shared" si="5"/>
        <v>558.7835601200087</v>
      </c>
    </row>
    <row r="54" spans="1:9" x14ac:dyDescent="0.25">
      <c r="A54" s="117" t="s">
        <v>202</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490.78502016501346</v>
      </c>
      <c r="H54" s="130">
        <f t="shared" ca="1" si="6"/>
        <v>490.78502016501346</v>
      </c>
    </row>
    <row r="55" spans="1:9" x14ac:dyDescent="0.25">
      <c r="A55" s="117" t="s">
        <v>212</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558.7835601200087</v>
      </c>
      <c r="H55" s="130">
        <f t="shared" ca="1" si="7"/>
        <v>558.7835601200087</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215</v>
      </c>
      <c r="B57" s="77"/>
      <c r="C57" s="77"/>
      <c r="D57" s="77"/>
      <c r="E57" s="77"/>
      <c r="F57" s="77"/>
      <c r="G57" s="77"/>
      <c r="H57" s="127">
        <f ca="1">Yield*((1-FIT_Inv)/(1-FIT_UW))*ResRatio_Loss05</f>
        <v>1.0578617425610481E-2</v>
      </c>
    </row>
    <row r="58" spans="1:9" x14ac:dyDescent="0.25">
      <c r="A58" s="117" t="s">
        <v>216</v>
      </c>
      <c r="B58" s="77"/>
      <c r="C58" s="77"/>
      <c r="D58" s="77"/>
      <c r="E58" s="77"/>
      <c r="F58" s="77"/>
      <c r="G58" s="77"/>
      <c r="H58" s="127">
        <f ca="1">Yield*((1-FIT_Inv)/(1-FIT_UW))*(ResRatio_UPR05+SurplusRatio)</f>
        <v>0.11643895514840431</v>
      </c>
    </row>
    <row r="59" spans="1:9" x14ac:dyDescent="0.25">
      <c r="A59" s="117" t="s">
        <v>204</v>
      </c>
      <c r="B59" s="128"/>
      <c r="C59" s="128"/>
      <c r="D59" s="128"/>
      <c r="E59" s="128"/>
      <c r="F59" s="128"/>
      <c r="G59" s="128"/>
      <c r="H59" s="127">
        <f>(1+Loss_AnnualTrend)/(1+Prem_AnnualTrend)-1</f>
        <v>9.1885503586819128E-2</v>
      </c>
    </row>
    <row r="60" spans="1:9" x14ac:dyDescent="0.25">
      <c r="A60" s="117" t="s">
        <v>203</v>
      </c>
      <c r="B60" s="128"/>
      <c r="C60" s="128"/>
      <c r="D60" s="128"/>
      <c r="E60" s="128"/>
      <c r="F60" s="128"/>
      <c r="G60" s="128"/>
      <c r="H60" s="127">
        <f>IF(New_Program=TRUE,0,(1+Net_AnnualTrend)^MIN(4,((EffDate_Proposed-EffDate_Prior05)/365.25))-1)</f>
        <v>5.3867613533414183E-2</v>
      </c>
    </row>
    <row r="61" spans="1:9" x14ac:dyDescent="0.25">
      <c r="A61" s="117" t="s">
        <v>205</v>
      </c>
      <c r="B61" s="128"/>
      <c r="C61" s="128"/>
      <c r="D61" s="128"/>
      <c r="E61" s="128"/>
      <c r="F61" s="128"/>
      <c r="G61" s="128"/>
      <c r="H61" s="127">
        <f ca="1">(ROR_Max)/(LevFact_Final05*(1-FIT_UW))</f>
        <v>0.10534523293056405</v>
      </c>
    </row>
    <row r="62" spans="1:9" x14ac:dyDescent="0.25">
      <c r="A62" s="117" t="s">
        <v>206</v>
      </c>
      <c r="B62" s="77"/>
      <c r="C62" s="77"/>
      <c r="D62" s="77"/>
      <c r="E62" s="77"/>
      <c r="F62" s="77"/>
      <c r="G62" s="77"/>
      <c r="H62" s="127">
        <f ca="1">(ROR_Min)/(LevFact_Final05*(1-FIT_UW))</f>
        <v>-5.9293752118516348E-2</v>
      </c>
    </row>
    <row r="63" spans="1:9" x14ac:dyDescent="0.25">
      <c r="A63" s="117" t="s">
        <v>207</v>
      </c>
      <c r="B63" s="77"/>
      <c r="C63" s="77"/>
      <c r="D63" s="77"/>
      <c r="E63" s="77"/>
      <c r="F63" s="77"/>
      <c r="G63" s="77"/>
      <c r="H63" s="127">
        <f ca="1">1-CredLossDCCE_perExp/Max_Premium-EffStd_Final05</f>
        <v>-1.8692361725922813E-2</v>
      </c>
      <c r="I63" s="204"/>
    </row>
    <row r="64" spans="1:9" x14ac:dyDescent="0.25">
      <c r="A64" s="117" t="s">
        <v>209</v>
      </c>
      <c r="B64" s="77"/>
      <c r="C64" s="77"/>
      <c r="D64" s="77"/>
      <c r="E64" s="77"/>
      <c r="F64" s="77"/>
      <c r="G64" s="77"/>
      <c r="H64" s="129">
        <f ca="1">1-EffStd_Final05-Min_Profit+InvInc_Variable</f>
        <v>0.87534210486982567</v>
      </c>
      <c r="I64" s="204"/>
    </row>
    <row r="65" spans="1:9" x14ac:dyDescent="0.25">
      <c r="A65" s="117" t="s">
        <v>208</v>
      </c>
      <c r="B65" s="77"/>
      <c r="C65" s="77"/>
      <c r="D65" s="77"/>
      <c r="E65" s="77"/>
      <c r="F65" s="77"/>
      <c r="G65" s="77"/>
      <c r="H65" s="129">
        <f ca="1">1-EffStd_Final05-Max_Profit+InvInc_Variable</f>
        <v>0.71070311982074519</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631.60723051931507</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777.92314004928664</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-2.5798524553933062E-2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0.19988156278156574</v>
      </c>
      <c r="I69" s="396" t="str">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
      </c>
    </row>
    <row r="70" spans="1:9" ht="5.0999999999999996" hidden="1" customHeight="1" x14ac:dyDescent="0.25"/>
    <row r="71" spans="1:9" ht="15.75" hidden="1" thickBot="1" x14ac:dyDescent="0.3">
      <c r="A71" s="7" t="s">
        <v>231</v>
      </c>
      <c r="B71" s="228" t="str">
        <f>'6.5Ratemaking Data'!D$14</f>
        <v>20183</v>
      </c>
      <c r="C71" s="228" t="str">
        <f>'6.5Ratemaking Data'!E$14</f>
        <v>20193</v>
      </c>
      <c r="D71" s="228" t="str">
        <f>'6.5Ratemaking Data'!F$14</f>
        <v>20203</v>
      </c>
      <c r="E71" s="228" t="str">
        <f>'6.5Ratemaking Data'!G$14</f>
        <v>20213</v>
      </c>
      <c r="F71" s="228" t="str">
        <f>'6.5Ratemaking Data'!H$14</f>
        <v>20223</v>
      </c>
      <c r="G71" s="228">
        <f>'6.5Ratemaking Data'!I$14</f>
        <v>20233</v>
      </c>
    </row>
    <row r="72" spans="1:9" hidden="1" x14ac:dyDescent="0.25">
      <c r="A72" s="114" t="s">
        <v>230</v>
      </c>
      <c r="B72" s="125"/>
      <c r="C72" s="125"/>
      <c r="D72" s="125"/>
      <c r="E72" s="125"/>
      <c r="F72" s="125"/>
      <c r="G72" s="125"/>
      <c r="H72" s="131" t="str">
        <f>IF(ISBLANK('6.5Ratemaking Data'!J44),"",'6.5Ratemaking Data'!J44)</f>
        <v/>
      </c>
    </row>
    <row r="73" spans="1:9" hidden="1" x14ac:dyDescent="0.25">
      <c r="A73" s="117" t="s">
        <v>217</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 ca="1">IF(RIGHT(Detailed_LineCode05,1)="R",IF(New_Program=TRUE,'6.5Ratemaking Data'!$K$45,SUM($B73:$G73)),"")</f>
        <v/>
      </c>
    </row>
    <row r="74" spans="1:9" hidden="1" x14ac:dyDescent="0.25">
      <c r="A74" s="117" t="s">
        <v>218</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221</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IF(AND('6.5Ratemaking Data'!Error30="",'6.5Ratemaking Data'!Error31="",'6.5Ratemaking Data'!Error32=""),"","See Column M of Page '6.5Ratemaking Data' for errors that must be corrected.")</f>
        <v/>
      </c>
    </row>
    <row r="80" spans="1:9" ht="26.25" x14ac:dyDescent="0.25">
      <c r="F80" s="662" t="s">
        <v>617</v>
      </c>
      <c r="G80" s="662"/>
      <c r="H80" s="662"/>
    </row>
    <row r="81" spans="1:1" x14ac:dyDescent="0.25">
      <c r="A81" s="132"/>
    </row>
  </sheetData>
  <sheetProtection algorithmName="SHA-512" hashValue="EJOpt6n8b6hpxnUR58moEfkvJUSGt7TDBYrPI6hJqicR/WvsRifiSwo7egZvjU5rT4qxCP32hs3WIrjI/Ykx6g==" saltValue="BykbOftYmnhwxBGqUcjABg=="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topLeftCell="A53"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IF('6.6Ratemaking Data'!$K$7="","VARIANCE - NONE","VARIANCE "&amp;'6.6Ratemaking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f>EffDate_Prior06</f>
        <v>45348</v>
      </c>
    </row>
    <row r="10" spans="1:8" ht="15" customHeight="1" x14ac:dyDescent="0.25">
      <c r="A10" s="6" t="s">
        <v>168</v>
      </c>
      <c r="B10" s="52"/>
      <c r="H10" s="161">
        <f>EffDate_Proposed</f>
        <v>45566</v>
      </c>
    </row>
    <row r="11" spans="1:8" ht="15" customHeight="1" x14ac:dyDescent="0.25">
      <c r="A11" s="6" t="s">
        <v>75</v>
      </c>
      <c r="B11" s="52"/>
      <c r="H11" s="23" t="str">
        <f>Detailed_LineDesc06</f>
        <v>Private Passenger Auto Physical Damage</v>
      </c>
    </row>
    <row r="12" spans="1:8" ht="15" customHeight="1" x14ac:dyDescent="0.25">
      <c r="A12" s="6" t="s">
        <v>76</v>
      </c>
      <c r="B12" s="52"/>
      <c r="H12" s="23" t="str">
        <f>Covg06</f>
        <v>Misc. Damage</v>
      </c>
    </row>
    <row r="13" spans="1:8" ht="15" customHeight="1" x14ac:dyDescent="0.25">
      <c r="H13" s="511"/>
    </row>
    <row r="14" spans="1:8" ht="9.9499999999999993" customHeight="1" x14ac:dyDescent="0.25"/>
    <row r="15" spans="1:8" ht="15.75" thickBot="1" x14ac:dyDescent="0.3">
      <c r="A15" s="7" t="s">
        <v>169</v>
      </c>
      <c r="B15" s="228" t="str">
        <f>'6.6Ratemaking Data'!D$14</f>
        <v>20183</v>
      </c>
      <c r="C15" s="228" t="str">
        <f>'6.6Ratemaking Data'!E$14</f>
        <v>20193</v>
      </c>
      <c r="D15" s="228" t="str">
        <f>'6.6Ratemaking Data'!F$14</f>
        <v>20203</v>
      </c>
      <c r="E15" s="228" t="str">
        <f>'6.6Ratemaking Data'!G$14</f>
        <v>20213</v>
      </c>
      <c r="F15" s="228" t="str">
        <f>'6.6Ratemaking Data'!H$14</f>
        <v>20223</v>
      </c>
      <c r="G15" s="228">
        <f>'6.6Ratemaking Data'!I$14</f>
        <v>20233</v>
      </c>
      <c r="H15" s="91" t="s">
        <v>304</v>
      </c>
    </row>
    <row r="16" spans="1:8" x14ac:dyDescent="0.25">
      <c r="A16" s="114" t="s">
        <v>171</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f>IF(ISBLANK('6.6Ratemaking Data'!I15),"",'6.6Ratemaking Data'!I15)</f>
        <v>102085261</v>
      </c>
      <c r="H16" s="116">
        <f>IF(New_Program=TRUE,'6.6Ratemaking Data'!$K$15,SUM($B16:$G16))</f>
        <v>102085261</v>
      </c>
    </row>
    <row r="17" spans="1:10" x14ac:dyDescent="0.25">
      <c r="A17" s="117" t="s">
        <v>170</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f>IF(ISBLANK('6.6Ratemaking Data'!I16),"",'6.6Ratemaking Data'!I16)</f>
        <v>97668789.640000001</v>
      </c>
      <c r="H17" s="119">
        <f>IF(New_Program=TRUE,'6.6Ratemaking Data'!$K$16,SUM($B17:$G17))</f>
        <v>97668789.640000001</v>
      </c>
    </row>
    <row r="18" spans="1:10" x14ac:dyDescent="0.25">
      <c r="A18" s="117" t="s">
        <v>172</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f>IF(ISBLANK('6.6Ratemaking Data'!I17),"",'6.6Ratemaking Data'!I17)</f>
        <v>1.2646135120783668</v>
      </c>
      <c r="H18" s="121"/>
    </row>
    <row r="19" spans="1:10" x14ac:dyDescent="0.25">
      <c r="A19" s="117" t="s">
        <v>173</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f>IF(ISBLANK('6.6Ratemaking Data'!I18),"",'6.6Ratemaking Data'!I18)</f>
        <v>1.0573548056246291</v>
      </c>
      <c r="H19" s="127">
        <f>IF(New_Program=TRUE,0,'6.6Ratemaking Data'!$J$18)</f>
        <v>2.5096557059295099E-2</v>
      </c>
    </row>
    <row r="20" spans="1:10" x14ac:dyDescent="0.25">
      <c r="A20" s="117" t="s">
        <v>174</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f>IF(ISBLANK('6.6Ratemaking Data'!I19),"",'6.6Ratemaking Data'!I19)</f>
        <v>0</v>
      </c>
      <c r="H20" s="119">
        <f>IF(New_Program=TRUE,'6.6Ratemaking Data'!$K$19,SUM($B20:$G20))</f>
        <v>0</v>
      </c>
    </row>
    <row r="21" spans="1:10" x14ac:dyDescent="0.25">
      <c r="A21" s="117" t="s">
        <v>175</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f>IF(ISBLANK('6.6Ratemaking Data'!I20),"",'6.6Ratemaking Data'!I20)</f>
        <v>4369120</v>
      </c>
      <c r="H21" s="119">
        <f>IF(New_Program=TRUE,'6.6Ratemaking Data'!$K$20,SUM($B21:$G21))</f>
        <v>4369120</v>
      </c>
      <c r="J21" s="111"/>
    </row>
    <row r="22" spans="1:10" x14ac:dyDescent="0.25">
      <c r="A22" s="117" t="s">
        <v>176</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f>IF(ISBLANK('6.6Ratemaking Data'!I21),"",'6.6Ratemaking Data'!I21)</f>
        <v>87942331.440000013</v>
      </c>
      <c r="H22" s="119">
        <f>IF(New_Program=TRUE,'6.6Ratemaking Data'!$K$21,SUM($B22:$G22))</f>
        <v>87942331.440000013</v>
      </c>
      <c r="J22" s="111"/>
    </row>
    <row r="23" spans="1:10" x14ac:dyDescent="0.25">
      <c r="A23" s="117" t="s">
        <v>142</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f>IF(ISBLANK('6.6Ratemaking Data'!I22),"",'6.6Ratemaking Data'!I22)</f>
        <v>12165.12</v>
      </c>
      <c r="H23" s="119">
        <f>IF(New_Program=TRUE,'6.6Ratemaking Data'!$K$22,SUM($B23:$G23))</f>
        <v>12165.12</v>
      </c>
      <c r="J23" s="111"/>
    </row>
    <row r="24" spans="1:10" x14ac:dyDescent="0.25">
      <c r="A24" s="117" t="s">
        <v>179</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f>IF(ISBLANK('6.6Ratemaking Data'!I23),"",'6.6Ratemaking Data'!I23)</f>
        <v>0.99368654706831272</v>
      </c>
      <c r="H24" s="121"/>
    </row>
    <row r="25" spans="1:10" x14ac:dyDescent="0.25">
      <c r="A25" s="117" t="s">
        <v>180</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f>IF(ISBLANK('6.6Ratemaking Data'!I24),"",'6.6Ratemaking Data'!I24)</f>
        <v>1.2813915324825227</v>
      </c>
      <c r="H25" s="121"/>
    </row>
    <row r="26" spans="1:10" x14ac:dyDescent="0.25">
      <c r="A26" s="117" t="s">
        <v>177</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f>IF(ISBLANK('6.6Ratemaking Data'!I25),"",'6.6Ratemaking Data'!I25)</f>
        <v>1.2030187355018018</v>
      </c>
      <c r="H26" s="127">
        <f>IF(New_Program=TRUE,0,'6.6Ratemaking Data'!$J$25)</f>
        <v>8.5616956911465314E-2</v>
      </c>
    </row>
    <row r="27" spans="1:10" x14ac:dyDescent="0.25">
      <c r="A27" s="117" t="s">
        <v>178</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f>IF(ISBLANK('6.6Ratemaking Data'!I26),"",'6.6Ratemaking Data'!I26)</f>
        <v>1.2030187355018018</v>
      </c>
      <c r="H27" s="127">
        <f>IF(New_Program=TRUE,0,'6.6Ratemaking Data'!$J$26)</f>
        <v>8.5616956911465314E-2</v>
      </c>
    </row>
    <row r="28" spans="1:10" x14ac:dyDescent="0.25">
      <c r="A28" s="117" t="s">
        <v>181</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f>IF(ISBLANK('6.6Ratemaking Data'!I27),"",'6.6Ratemaking Data'!I27)</f>
        <v>1</v>
      </c>
      <c r="H28" s="121"/>
    </row>
    <row r="29" spans="1:10" ht="15.75" thickBot="1" x14ac:dyDescent="0.3">
      <c r="A29" s="133" t="s">
        <v>186</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f>IF(ISBLANK('6.6Ratemaking Data'!I29),"",'6.6Ratemaking Data'!I29)</f>
        <v>0</v>
      </c>
      <c r="H29" s="135">
        <f>IF(New_Program=TRUE,'6.6Ratemaking Data'!$K$29,SUM($B29:$G29))</f>
        <v>0</v>
      </c>
    </row>
    <row r="30" spans="1:10" ht="15.75" thickTop="1" x14ac:dyDescent="0.25">
      <c r="A30" s="117" t="s">
        <v>182</v>
      </c>
      <c r="B30" s="122"/>
      <c r="C30" s="122"/>
      <c r="D30" s="122"/>
      <c r="E30" s="122"/>
      <c r="F30" s="122"/>
      <c r="G30" s="122"/>
      <c r="H30" s="127">
        <f>IF(New_Program=TRUE,100%,'6.6Ratemaking Data'!$J$28)</f>
        <v>1</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f ca="1">EffStd_Final06</f>
        <v>0.30039060239709503</v>
      </c>
    </row>
    <row r="38" spans="1:9" x14ac:dyDescent="0.25">
      <c r="A38" s="117" t="s">
        <v>189</v>
      </c>
      <c r="B38" s="77"/>
      <c r="C38" s="77"/>
      <c r="D38" s="77"/>
      <c r="E38" s="77"/>
      <c r="F38" s="577" t="s">
        <v>315</v>
      </c>
      <c r="G38" s="578">
        <f>update_leverage</f>
        <v>2022</v>
      </c>
      <c r="H38" s="162">
        <f ca="1">LevFact_Final06</f>
        <v>1.2808999999999999</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1/LevFact_Final06</f>
        <v>0.78070106956046537</v>
      </c>
    </row>
    <row r="41" spans="1:9" x14ac:dyDescent="0.25">
      <c r="A41" s="117" t="s">
        <v>196</v>
      </c>
      <c r="B41" s="77"/>
      <c r="C41" s="77"/>
      <c r="D41" s="77"/>
      <c r="E41" s="77"/>
      <c r="F41" s="577" t="s">
        <v>315</v>
      </c>
      <c r="G41" s="578">
        <f>update_reserveratios</f>
        <v>2022</v>
      </c>
      <c r="H41" s="163">
        <f ca="1">ResRatio_UPR06</f>
        <v>0.32</v>
      </c>
    </row>
    <row r="42" spans="1:9" x14ac:dyDescent="0.25">
      <c r="A42" s="117" t="s">
        <v>192</v>
      </c>
      <c r="B42" s="77"/>
      <c r="C42" s="77"/>
      <c r="D42" s="77"/>
      <c r="E42" s="77"/>
      <c r="F42" s="577" t="s">
        <v>315</v>
      </c>
      <c r="G42" s="578">
        <f>update_reserveratios</f>
        <v>2022</v>
      </c>
      <c r="H42" s="163">
        <f ca="1">ResRatio_Loss06</f>
        <v>0.1</v>
      </c>
    </row>
    <row r="43" spans="1:9" x14ac:dyDescent="0.25">
      <c r="A43" s="117" t="s">
        <v>193</v>
      </c>
      <c r="B43" s="77"/>
      <c r="C43" s="77"/>
      <c r="D43" s="77"/>
      <c r="E43" s="77"/>
      <c r="F43" s="575" t="s">
        <v>315</v>
      </c>
      <c r="G43" s="575"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'6.6Ratemaking Data'!D$14</f>
        <v>20183</v>
      </c>
      <c r="C47" s="228" t="str">
        <f>'6.6Ratemaking Data'!E$14</f>
        <v>20193</v>
      </c>
      <c r="D47" s="228" t="str">
        <f>'6.6Ratemaking Data'!F$14</f>
        <v>20203</v>
      </c>
      <c r="E47" s="228" t="str">
        <f>'6.6Ratemaking Data'!G$14</f>
        <v>20213</v>
      </c>
      <c r="F47" s="228" t="str">
        <f>'6.6Ratemaking Data'!H$14</f>
        <v>20223</v>
      </c>
      <c r="G47" s="228">
        <f>'6.6Ratemaking Data'!I$14</f>
        <v>20233</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130597350.74234541</v>
      </c>
      <c r="H48" s="116">
        <f>IF(New_Program=TRUE,(Prem_Earned+Misc_Fees),SUM($B48:$G48))</f>
        <v>130597350.74234541</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105128332.58009829</v>
      </c>
      <c r="H49" s="119">
        <f>IF(New_Program=TRUE,Losses,SUM($B49:$G49))</f>
        <v>105128332.58009829</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18752.995011120442</v>
      </c>
      <c r="H50" s="119">
        <f>IF(New_Program=TRUE,DCCE,SUM($B50:$G50))</f>
        <v>18752.995011120442</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f t="shared" si="3"/>
        <v>0.8051241849656916</v>
      </c>
      <c r="H51" s="127">
        <f t="shared" si="3"/>
        <v>0.8051241849656916</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29.890996526152957</v>
      </c>
      <c r="H52" s="130">
        <f t="shared" si="4"/>
        <v>29.890996526152957</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24.065964215931221</v>
      </c>
      <c r="H53" s="130">
        <f t="shared" si="5"/>
        <v>24.065964215931221</v>
      </c>
    </row>
    <row r="54" spans="1:9" x14ac:dyDescent="0.25">
      <c r="A54" s="117" t="s">
        <v>202</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22.218564399230971</v>
      </c>
      <c r="H54" s="130">
        <f t="shared" ca="1" si="6"/>
        <v>22.218564399230971</v>
      </c>
    </row>
    <row r="55" spans="1:9" x14ac:dyDescent="0.25">
      <c r="A55" s="117" t="s">
        <v>212</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24.065964215931221</v>
      </c>
      <c r="H55" s="130">
        <f t="shared" ca="1" si="7"/>
        <v>24.065964215931221</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215</v>
      </c>
      <c r="B57" s="77"/>
      <c r="C57" s="77"/>
      <c r="D57" s="77"/>
      <c r="E57" s="77"/>
      <c r="F57" s="77"/>
      <c r="G57" s="77"/>
      <c r="H57" s="127">
        <f ca="1">Yield*((1-FIT_Inv)/(1-FIT_UW))*ResRatio_Loss06</f>
        <v>1.0578617425610481E-2</v>
      </c>
    </row>
    <row r="58" spans="1:9" x14ac:dyDescent="0.25">
      <c r="A58" s="117" t="s">
        <v>216</v>
      </c>
      <c r="B58" s="77"/>
      <c r="C58" s="77"/>
      <c r="D58" s="77"/>
      <c r="E58" s="77"/>
      <c r="F58" s="77"/>
      <c r="G58" s="77"/>
      <c r="H58" s="127">
        <f ca="1">Yield*((1-FIT_Inv)/(1-FIT_UW))*(ResRatio_UPR06+SurplusRatio)</f>
        <v>0.11643895514840431</v>
      </c>
    </row>
    <row r="59" spans="1:9" x14ac:dyDescent="0.25">
      <c r="A59" s="117" t="s">
        <v>204</v>
      </c>
      <c r="B59" s="128"/>
      <c r="C59" s="128"/>
      <c r="D59" s="128"/>
      <c r="E59" s="128"/>
      <c r="F59" s="128"/>
      <c r="G59" s="128"/>
      <c r="H59" s="127">
        <f>(1+Loss_AnnualTrend)/(1+Prem_AnnualTrend)-1</f>
        <v>5.9038730971632258E-2</v>
      </c>
    </row>
    <row r="60" spans="1:9" x14ac:dyDescent="0.25">
      <c r="A60" s="117" t="s">
        <v>203</v>
      </c>
      <c r="B60" s="128"/>
      <c r="C60" s="128"/>
      <c r="D60" s="128"/>
      <c r="E60" s="128"/>
      <c r="F60" s="128"/>
      <c r="G60" s="128"/>
      <c r="H60" s="127">
        <f>IF(New_Program=TRUE,0,(1+Net_AnnualTrend)^MIN(4,((EffDate_Proposed-EffDate_Prior06)/365.25))-1)</f>
        <v>3.4829189412368455E-2</v>
      </c>
    </row>
    <row r="61" spans="1:9" x14ac:dyDescent="0.25">
      <c r="A61" s="117" t="s">
        <v>205</v>
      </c>
      <c r="B61" s="128"/>
      <c r="C61" s="128"/>
      <c r="D61" s="128"/>
      <c r="E61" s="128"/>
      <c r="F61" s="128"/>
      <c r="G61" s="128"/>
      <c r="H61" s="127">
        <f ca="1">(ROR_Max)/(LevFact_Final06*(1-FIT_UW))</f>
        <v>0.10534523293056405</v>
      </c>
    </row>
    <row r="62" spans="1:9" x14ac:dyDescent="0.25">
      <c r="A62" s="117" t="s">
        <v>206</v>
      </c>
      <c r="B62" s="77"/>
      <c r="C62" s="77"/>
      <c r="D62" s="77"/>
      <c r="E62" s="77"/>
      <c r="F62" s="77"/>
      <c r="G62" s="77"/>
      <c r="H62" s="127">
        <f ca="1">(ROR_Min)/(LevFact_Final06*(1-FIT_UW))</f>
        <v>-5.9293752118516348E-2</v>
      </c>
    </row>
    <row r="63" spans="1:9" x14ac:dyDescent="0.25">
      <c r="A63" s="117" t="s">
        <v>207</v>
      </c>
      <c r="B63" s="77"/>
      <c r="C63" s="77"/>
      <c r="D63" s="77"/>
      <c r="E63" s="77"/>
      <c r="F63" s="77"/>
      <c r="G63" s="77"/>
      <c r="H63" s="127">
        <f ca="1">1-CredLossDCCE_perExp/Max_Premium-EffStd_Final06</f>
        <v>-1.8692361725922813E-2</v>
      </c>
      <c r="I63" s="204"/>
    </row>
    <row r="64" spans="1:9" x14ac:dyDescent="0.25">
      <c r="A64" s="117" t="s">
        <v>209</v>
      </c>
      <c r="B64" s="77"/>
      <c r="C64" s="77"/>
      <c r="D64" s="77"/>
      <c r="E64" s="77"/>
      <c r="F64" s="77"/>
      <c r="G64" s="77"/>
      <c r="H64" s="129">
        <f ca="1">1-EffStd_Final06-Min_Profit+InvInc_Variable</f>
        <v>0.87534210486982567</v>
      </c>
      <c r="I64" s="204"/>
    </row>
    <row r="65" spans="1:9" x14ac:dyDescent="0.25">
      <c r="A65" s="117" t="s">
        <v>208</v>
      </c>
      <c r="B65" s="77"/>
      <c r="C65" s="77"/>
      <c r="D65" s="77"/>
      <c r="E65" s="77"/>
      <c r="F65" s="77"/>
      <c r="G65" s="77"/>
      <c r="H65" s="129">
        <f ca="1">1-EffStd_Final06-Max_Profit+InvInc_Variable</f>
        <v>0.71070311982074519</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27.202369742117572</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33.503975040264635</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-8.9947713241443336E-2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0.12087179866855635</v>
      </c>
      <c r="I69" s="396" t="str">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
      </c>
    </row>
    <row r="70" spans="1:9" ht="5.0999999999999996" hidden="1" customHeight="1" x14ac:dyDescent="0.25"/>
    <row r="71" spans="1:9" ht="15.75" hidden="1" thickBot="1" x14ac:dyDescent="0.3">
      <c r="A71" s="7" t="s">
        <v>231</v>
      </c>
      <c r="B71" s="228" t="str">
        <f>'6.6Ratemaking Data'!D$14</f>
        <v>20183</v>
      </c>
      <c r="C71" s="228" t="str">
        <f>'6.6Ratemaking Data'!E$14</f>
        <v>20193</v>
      </c>
      <c r="D71" s="228" t="str">
        <f>'6.6Ratemaking Data'!F$14</f>
        <v>20203</v>
      </c>
      <c r="E71" s="228" t="str">
        <f>'6.6Ratemaking Data'!G$14</f>
        <v>20213</v>
      </c>
      <c r="F71" s="228" t="str">
        <f>'6.6Ratemaking Data'!H$14</f>
        <v>20223</v>
      </c>
      <c r="G71" s="228">
        <f>'6.6Ratemaking Data'!I$14</f>
        <v>20233</v>
      </c>
    </row>
    <row r="72" spans="1:9" hidden="1" x14ac:dyDescent="0.25">
      <c r="A72" s="114" t="s">
        <v>230</v>
      </c>
      <c r="B72" s="125"/>
      <c r="C72" s="125"/>
      <c r="D72" s="125"/>
      <c r="E72" s="125"/>
      <c r="F72" s="125"/>
      <c r="G72" s="125"/>
      <c r="H72" s="131" t="str">
        <f>IF(ISBLANK('6.6Ratemaking Data'!J44),"",'6.6Ratemaking Data'!J44)</f>
        <v/>
      </c>
    </row>
    <row r="73" spans="1:9" hidden="1" x14ac:dyDescent="0.25">
      <c r="A73" s="117" t="s">
        <v>217</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 ca="1">IF(RIGHT(Detailed_LineCode06,1)="R",IF(New_Program=TRUE,'6.6Ratemaking Data'!$K$45,SUM($B73:$G73)),"")</f>
        <v/>
      </c>
    </row>
    <row r="74" spans="1:9" hidden="1" x14ac:dyDescent="0.25">
      <c r="A74" s="117" t="s">
        <v>218</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221</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IF(AND('6.6Ratemaking Data'!Error30="",'6.6Ratemaking Data'!Error31="",'6.6Ratemaking Data'!Error32=""),"","See Column M of Page '6.6Ratemaking Data' for errors that must be corrected.")</f>
        <v/>
      </c>
    </row>
    <row r="80" spans="1:9" ht="26.25" x14ac:dyDescent="0.25">
      <c r="F80" s="662" t="s">
        <v>616</v>
      </c>
      <c r="G80" s="662"/>
      <c r="H80" s="662"/>
    </row>
    <row r="81" spans="1:1" x14ac:dyDescent="0.25">
      <c r="A81" s="132"/>
    </row>
  </sheetData>
  <sheetProtection algorithmName="SHA-512" hashValue="97aU7q9d7uUpslKa+sVXNziwnyj6CebM83VVZqDAx114hK5eWwM4qJBGQ7ef8/Est0A+GvGC/OoBx3IdIUUJKw==" saltValue="5Hd3+fpDkUtxFrVJxVWKdw=="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topLeftCell="A50" zoomScaleNormal="100" zoomScaleSheetLayoutView="100" workbookViewId="0">
      <selection activeCell="H69" sqref="H69"/>
    </sheetView>
  </sheetViews>
  <sheetFormatPr defaultColWidth="9.140625" defaultRowHeight="15" x14ac:dyDescent="0.25"/>
  <cols>
    <col min="1" max="1" width="28.28515625" style="6" customWidth="1"/>
    <col min="2" max="4" width="15.7109375" style="6"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IF('6.7Ratemaking Data'!$K$7="","VARIANCE - NONE","VARIANCE "&amp;'6.7Ratemaking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f>EffDate_Prior07</f>
        <v>45348</v>
      </c>
    </row>
    <row r="10" spans="1:8" ht="15" customHeight="1" x14ac:dyDescent="0.25">
      <c r="A10" s="6" t="s">
        <v>168</v>
      </c>
      <c r="B10" s="52"/>
      <c r="H10" s="161">
        <f>EffDate_Proposed</f>
        <v>45566</v>
      </c>
    </row>
    <row r="11" spans="1:8" ht="15" customHeight="1" x14ac:dyDescent="0.25">
      <c r="A11" s="6" t="s">
        <v>75</v>
      </c>
      <c r="B11" s="52"/>
      <c r="H11" s="23" t="str">
        <f>Detailed_LineDesc07</f>
        <v>Private Passenger Auto Liability</v>
      </c>
    </row>
    <row r="12" spans="1:8" ht="15" customHeight="1" x14ac:dyDescent="0.25">
      <c r="A12" s="6" t="s">
        <v>76</v>
      </c>
      <c r="B12" s="52"/>
      <c r="H12" s="23" t="str">
        <f>Covg07</f>
        <v>Misc. Liability</v>
      </c>
    </row>
    <row r="13" spans="1:8" ht="15" customHeight="1" x14ac:dyDescent="0.25">
      <c r="H13" s="511"/>
    </row>
    <row r="14" spans="1:8" ht="9.9499999999999993" customHeight="1" x14ac:dyDescent="0.25"/>
    <row r="15" spans="1:8" ht="15.75" thickBot="1" x14ac:dyDescent="0.3">
      <c r="A15" s="7" t="s">
        <v>169</v>
      </c>
      <c r="B15" s="228" t="str">
        <f>'6.7Ratemaking Data'!D$14</f>
        <v>20183</v>
      </c>
      <c r="C15" s="228" t="str">
        <f>'6.7Ratemaking Data'!E$14</f>
        <v>20193</v>
      </c>
      <c r="D15" s="228" t="str">
        <f>'6.7Ratemaking Data'!F$14</f>
        <v>20203</v>
      </c>
      <c r="E15" s="228" t="str">
        <f>'6.7Ratemaking Data'!G$14</f>
        <v>20213</v>
      </c>
      <c r="F15" s="228" t="str">
        <f>'6.7Ratemaking Data'!H$14</f>
        <v>20223</v>
      </c>
      <c r="G15" s="228">
        <f>'6.7Ratemaking Data'!I$14</f>
        <v>20233</v>
      </c>
      <c r="H15" s="91" t="s">
        <v>304</v>
      </c>
    </row>
    <row r="16" spans="1:8" x14ac:dyDescent="0.25">
      <c r="A16" s="114" t="s">
        <v>171</v>
      </c>
      <c r="B16" s="115">
        <f>IF(ISBLANK('6.7Ratemaking Data'!D15),"",'6.7Ratemaking Data'!D15)</f>
        <v>841894.17</v>
      </c>
      <c r="C16" s="115">
        <f>IF(ISBLANK('6.7Ratemaking Data'!E15),"",'6.7Ratemaking Data'!E15)</f>
        <v>802149.36</v>
      </c>
      <c r="D16" s="115">
        <f>IF(ISBLANK('6.7Ratemaking Data'!F15),"",'6.7Ratemaking Data'!F15)</f>
        <v>796108.98</v>
      </c>
      <c r="E16" s="115">
        <f>IF(ISBLANK('6.7Ratemaking Data'!G15),"",'6.7Ratemaking Data'!G15)</f>
        <v>700049.52</v>
      </c>
      <c r="F16" s="115">
        <f>IF(ISBLANK('6.7Ratemaking Data'!H15),"",'6.7Ratemaking Data'!H15)</f>
        <v>707554.08</v>
      </c>
      <c r="G16" s="115">
        <f>IF(ISBLANK('6.7Ratemaking Data'!I15),"",'6.7Ratemaking Data'!I15)</f>
        <v>698424.09</v>
      </c>
      <c r="H16" s="116">
        <f>IF(New_Program=TRUE,'6.7Ratemaking Data'!$K$15,SUM($B16:$G16))</f>
        <v>4546180.2</v>
      </c>
    </row>
    <row r="17" spans="1:10" x14ac:dyDescent="0.25">
      <c r="A17" s="117" t="s">
        <v>170</v>
      </c>
      <c r="B17" s="118">
        <f>IF(ISBLANK('6.7Ratemaking Data'!D16),"",'6.7Ratemaking Data'!D16)</f>
        <v>878012.55999999994</v>
      </c>
      <c r="C17" s="118">
        <f>IF(ISBLANK('6.7Ratemaking Data'!E16),"",'6.7Ratemaking Data'!E16)</f>
        <v>808317.52</v>
      </c>
      <c r="D17" s="118">
        <f>IF(ISBLANK('6.7Ratemaking Data'!F16),"",'6.7Ratemaking Data'!F16)</f>
        <v>799667.52</v>
      </c>
      <c r="E17" s="118">
        <f>IF(ISBLANK('6.7Ratemaking Data'!G16),"",'6.7Ratemaking Data'!G16)</f>
        <v>721474.84000000008</v>
      </c>
      <c r="F17" s="118">
        <f>IF(ISBLANK('6.7Ratemaking Data'!H16),"",'6.7Ratemaking Data'!H16)</f>
        <v>703292.21</v>
      </c>
      <c r="G17" s="118">
        <f>IF(ISBLANK('6.7Ratemaking Data'!I16),"",'6.7Ratemaking Data'!I16)</f>
        <v>717695.75</v>
      </c>
      <c r="H17" s="119">
        <f>IF(New_Program=TRUE,'6.7Ratemaking Data'!$K$16,SUM($B17:$G17))</f>
        <v>4628460.4000000004</v>
      </c>
    </row>
    <row r="18" spans="1:10" x14ac:dyDescent="0.25">
      <c r="A18" s="117" t="s">
        <v>172</v>
      </c>
      <c r="B18" s="120">
        <f>IF(ISBLANK('6.7Ratemaking Data'!D17),"",'6.7Ratemaking Data'!D17)</f>
        <v>0.58581319271005705</v>
      </c>
      <c r="C18" s="120">
        <f>IF(ISBLANK('6.7Ratemaking Data'!E17),"",'6.7Ratemaking Data'!E17)</f>
        <v>0.62725584684043367</v>
      </c>
      <c r="D18" s="120">
        <f>IF(ISBLANK('6.7Ratemaking Data'!F17),"",'6.7Ratemaking Data'!F17)</f>
        <v>0.63313916245933821</v>
      </c>
      <c r="E18" s="120">
        <f>IF(ISBLANK('6.7Ratemaking Data'!G17),"",'6.7Ratemaking Data'!G17)</f>
        <v>0.7143473787121789</v>
      </c>
      <c r="F18" s="120">
        <f>IF(ISBLANK('6.7Ratemaking Data'!H17),"",'6.7Ratemaking Data'!H17)</f>
        <v>0.73857486782081205</v>
      </c>
      <c r="G18" s="120">
        <f>IF(ISBLANK('6.7Ratemaking Data'!I17),"",'6.7Ratemaking Data'!I17)</f>
        <v>0.75885266268737761</v>
      </c>
      <c r="H18" s="121"/>
    </row>
    <row r="19" spans="1:10" x14ac:dyDescent="0.25">
      <c r="A19" s="117" t="s">
        <v>173</v>
      </c>
      <c r="B19" s="120">
        <f>IF(ISBLANK('6.7Ratemaking Data'!D18),"",'6.7Ratemaking Data'!D18)</f>
        <v>1.0392586578875997</v>
      </c>
      <c r="C19" s="120">
        <f>IF(ISBLANK('6.7Ratemaking Data'!E18),"",'6.7Ratemaking Data'!E18)</f>
        <v>1.0337533756296979</v>
      </c>
      <c r="D19" s="120">
        <f>IF(ISBLANK('6.7Ratemaking Data'!F18),"",'6.7Ratemaking Data'!F18)</f>
        <v>1.0282772565955125</v>
      </c>
      <c r="E19" s="120">
        <f>IF(ISBLANK('6.7Ratemaking Data'!G18),"",'6.7Ratemaking Data'!G18)</f>
        <v>1.0228301462982112</v>
      </c>
      <c r="F19" s="120">
        <f>IF(ISBLANK('6.7Ratemaking Data'!H18),"",'6.7Ratemaking Data'!H18)</f>
        <v>1.0174118910693271</v>
      </c>
      <c r="G19" s="120">
        <f>IF(ISBLANK('6.7Ratemaking Data'!I18),"",'6.7Ratemaking Data'!I18)</f>
        <v>1.012022338054424</v>
      </c>
      <c r="H19" s="127">
        <f>IF(New_Program=TRUE,0,'6.7Ratemaking Data'!$J$18)</f>
        <v>5.3255277203310102E-3</v>
      </c>
    </row>
    <row r="20" spans="1:10" x14ac:dyDescent="0.25">
      <c r="A20" s="117" t="s">
        <v>174</v>
      </c>
      <c r="B20" s="118">
        <f>IF(ISBLANK('6.7Ratemaking Data'!D19),"",'6.7Ratemaking Data'!D19)</f>
        <v>0</v>
      </c>
      <c r="C20" s="118">
        <f>IF(ISBLANK('6.7Ratemaking Data'!E19),"",'6.7Ratemaking Data'!E19)</f>
        <v>0</v>
      </c>
      <c r="D20" s="118">
        <f>IF(ISBLANK('6.7Ratemaking Data'!F19),"",'6.7Ratemaking Data'!F19)</f>
        <v>0</v>
      </c>
      <c r="E20" s="118">
        <f>IF(ISBLANK('6.7Ratemaking Data'!G19),"",'6.7Ratemaking Data'!G19)</f>
        <v>0</v>
      </c>
      <c r="F20" s="118">
        <f>IF(ISBLANK('6.7Ratemaking Data'!H19),"",'6.7Ratemaking Data'!H19)</f>
        <v>0</v>
      </c>
      <c r="G20" s="118">
        <f>IF(ISBLANK('6.7Ratemaking Data'!I19),"",'6.7Ratemaking Data'!I19)</f>
        <v>0</v>
      </c>
      <c r="H20" s="119">
        <f>IF(New_Program=TRUE,'6.7Ratemaking Data'!$K$19,SUM($B20:$G20))</f>
        <v>0</v>
      </c>
    </row>
    <row r="21" spans="1:10" x14ac:dyDescent="0.25">
      <c r="A21" s="117" t="s">
        <v>175</v>
      </c>
      <c r="B21" s="118">
        <f>IF(ISBLANK('6.7Ratemaking Data'!D20),"",'6.7Ratemaking Data'!D20)</f>
        <v>227694</v>
      </c>
      <c r="C21" s="118">
        <f>IF(ISBLANK('6.7Ratemaking Data'!E20),"",'6.7Ratemaking Data'!E20)</f>
        <v>222653</v>
      </c>
      <c r="D21" s="118">
        <f>IF(ISBLANK('6.7Ratemaking Data'!F20),"",'6.7Ratemaking Data'!F20)</f>
        <v>220369</v>
      </c>
      <c r="E21" s="118">
        <f>IF(ISBLANK('6.7Ratemaking Data'!G20),"",'6.7Ratemaking Data'!G20)</f>
        <v>222830</v>
      </c>
      <c r="F21" s="118">
        <f>IF(ISBLANK('6.7Ratemaking Data'!H20),"",'6.7Ratemaking Data'!H20)</f>
        <v>224714</v>
      </c>
      <c r="G21" s="118">
        <f>IF(ISBLANK('6.7Ratemaking Data'!I20),"",'6.7Ratemaking Data'!I20)</f>
        <v>234979</v>
      </c>
      <c r="H21" s="119">
        <f>IF(New_Program=TRUE,'6.7Ratemaking Data'!$K$20,SUM($B21:$G21))</f>
        <v>1353239</v>
      </c>
      <c r="J21" s="111"/>
    </row>
    <row r="22" spans="1:10" x14ac:dyDescent="0.25">
      <c r="A22" s="117" t="s">
        <v>176</v>
      </c>
      <c r="B22" s="118">
        <f>IF(ISBLANK('6.7Ratemaking Data'!D21),"",'6.7Ratemaking Data'!D21)</f>
        <v>531671.41999999993</v>
      </c>
      <c r="C22" s="118">
        <f>IF(ISBLANK('6.7Ratemaking Data'!E21),"",'6.7Ratemaking Data'!E21)</f>
        <v>474150</v>
      </c>
      <c r="D22" s="118">
        <f>IF(ISBLANK('6.7Ratemaking Data'!F21),"",'6.7Ratemaking Data'!F21)</f>
        <v>167350</v>
      </c>
      <c r="E22" s="118">
        <f>IF(ISBLANK('6.7Ratemaking Data'!G21),"",'6.7Ratemaking Data'!G21)</f>
        <v>202050</v>
      </c>
      <c r="F22" s="118">
        <f>IF(ISBLANK('6.7Ratemaking Data'!H21),"",'6.7Ratemaking Data'!H21)</f>
        <v>352210</v>
      </c>
      <c r="G22" s="118">
        <f>IF(ISBLANK('6.7Ratemaking Data'!I21),"",'6.7Ratemaking Data'!I21)</f>
        <v>277560</v>
      </c>
      <c r="H22" s="119">
        <f>IF(New_Program=TRUE,'6.7Ratemaking Data'!$K$21,SUM($B22:$G22))</f>
        <v>2004991.42</v>
      </c>
      <c r="J22" s="111"/>
    </row>
    <row r="23" spans="1:10" x14ac:dyDescent="0.25">
      <c r="A23" s="117" t="s">
        <v>142</v>
      </c>
      <c r="B23" s="118">
        <f>IF(ISBLANK('6.7Ratemaking Data'!D22),"",'6.7Ratemaking Data'!D22)</f>
        <v>7982</v>
      </c>
      <c r="C23" s="118">
        <f>IF(ISBLANK('6.7Ratemaking Data'!E22),"",'6.7Ratemaking Data'!E22)</f>
        <v>-1.1368683772161603E-13</v>
      </c>
      <c r="D23" s="118">
        <f>IF(ISBLANK('6.7Ratemaking Data'!F22),"",'6.7Ratemaking Data'!F22)</f>
        <v>24.9</v>
      </c>
      <c r="E23" s="118">
        <f>IF(ISBLANK('6.7Ratemaking Data'!G22),"",'6.7Ratemaking Data'!G22)</f>
        <v>35</v>
      </c>
      <c r="F23" s="118">
        <f>IF(ISBLANK('6.7Ratemaking Data'!H22),"",'6.7Ratemaking Data'!H22)</f>
        <v>7.75</v>
      </c>
      <c r="G23" s="118">
        <f>IF(ISBLANK('6.7Ratemaking Data'!I22),"",'6.7Ratemaking Data'!I22)</f>
        <v>0</v>
      </c>
      <c r="H23" s="119">
        <f>IF(New_Program=TRUE,'6.7Ratemaking Data'!$K$22,SUM($B23:$G23))</f>
        <v>8049.65</v>
      </c>
      <c r="J23" s="111"/>
    </row>
    <row r="24" spans="1:10" x14ac:dyDescent="0.25">
      <c r="A24" s="117" t="s">
        <v>179</v>
      </c>
      <c r="B24" s="120">
        <f>IF(ISBLANK('6.7Ratemaking Data'!D23),"",'6.7Ratemaking Data'!D23)</f>
        <v>1</v>
      </c>
      <c r="C24" s="120">
        <f>IF(ISBLANK('6.7Ratemaking Data'!E23),"",'6.7Ratemaking Data'!E23)</f>
        <v>1</v>
      </c>
      <c r="D24" s="120">
        <f>IF(ISBLANK('6.7Ratemaking Data'!F23),"",'6.7Ratemaking Data'!F23)</f>
        <v>1</v>
      </c>
      <c r="E24" s="120">
        <f>IF(ISBLANK('6.7Ratemaking Data'!G23),"",'6.7Ratemaking Data'!G23)</f>
        <v>0.99973582879565315</v>
      </c>
      <c r="F24" s="120">
        <f>IF(ISBLANK('6.7Ratemaking Data'!H23),"",'6.7Ratemaking Data'!H23)</f>
        <v>0.99730036113642606</v>
      </c>
      <c r="G24" s="120">
        <f>IF(ISBLANK('6.7Ratemaking Data'!I23),"",'6.7Ratemaking Data'!I23)</f>
        <v>1.006691525364102</v>
      </c>
      <c r="H24" s="121"/>
    </row>
    <row r="25" spans="1:10" x14ac:dyDescent="0.25">
      <c r="A25" s="117" t="s">
        <v>180</v>
      </c>
      <c r="B25" s="120">
        <f>IF(ISBLANK('6.7Ratemaking Data'!D24),"",'6.7Ratemaking Data'!D24)</f>
        <v>1</v>
      </c>
      <c r="C25" s="120">
        <f>IF(ISBLANK('6.7Ratemaking Data'!E24),"",'6.7Ratemaking Data'!E24)</f>
        <v>1</v>
      </c>
      <c r="D25" s="120">
        <f>IF(ISBLANK('6.7Ratemaking Data'!F24),"",'6.7Ratemaking Data'!F24)</f>
        <v>1</v>
      </c>
      <c r="E25" s="120">
        <f>IF(ISBLANK('6.7Ratemaking Data'!G24),"",'6.7Ratemaking Data'!G24)</f>
        <v>1</v>
      </c>
      <c r="F25" s="120">
        <f>IF(ISBLANK('6.7Ratemaking Data'!H24),"",'6.7Ratemaking Data'!H24)</f>
        <v>1</v>
      </c>
      <c r="G25" s="120">
        <f>IF(ISBLANK('6.7Ratemaking Data'!I24),"",'6.7Ratemaking Data'!I24)</f>
        <v>1.9328571428571431</v>
      </c>
      <c r="H25" s="121"/>
    </row>
    <row r="26" spans="1:10" x14ac:dyDescent="0.25">
      <c r="A26" s="117" t="s">
        <v>177</v>
      </c>
      <c r="B26" s="120">
        <f>IF(ISBLANK('6.7Ratemaking Data'!D25),"",'6.7Ratemaking Data'!D25)</f>
        <v>0.89078737169426359</v>
      </c>
      <c r="C26" s="120">
        <f>IF(ISBLANK('6.7Ratemaking Data'!E25),"",'6.7Ratemaking Data'!E25)</f>
        <v>0.90511084499554595</v>
      </c>
      <c r="D26" s="120">
        <f>IF(ISBLANK('6.7Ratemaking Data'!F25),"",'6.7Ratemaking Data'!F25)</f>
        <v>0.91966463351450178</v>
      </c>
      <c r="E26" s="120">
        <f>IF(ISBLANK('6.7Ratemaking Data'!G25),"",'6.7Ratemaking Data'!G25)</f>
        <v>0.93445244061960719</v>
      </c>
      <c r="F26" s="120">
        <f>IF(ISBLANK('6.7Ratemaking Data'!H25),"",'6.7Ratemaking Data'!H25)</f>
        <v>0.94947802922789171</v>
      </c>
      <c r="G26" s="120">
        <f>IF(ISBLANK('6.7Ratemaking Data'!I25),"",'6.7Ratemaking Data'!I25)</f>
        <v>0.96474522276245345</v>
      </c>
      <c r="H26" s="127">
        <f>IF(New_Program=TRUE,0,'6.7Ratemaking Data'!$J$25)</f>
        <v>-1.5825104052700701E-2</v>
      </c>
    </row>
    <row r="27" spans="1:10" x14ac:dyDescent="0.25">
      <c r="A27" s="117" t="s">
        <v>178</v>
      </c>
      <c r="B27" s="120">
        <f>IF(ISBLANK('6.7Ratemaking Data'!D26),"",'6.7Ratemaking Data'!D26)</f>
        <v>0.89078737169426359</v>
      </c>
      <c r="C27" s="120">
        <f>IF(ISBLANK('6.7Ratemaking Data'!E26),"",'6.7Ratemaking Data'!E26)</f>
        <v>0.90511084499554595</v>
      </c>
      <c r="D27" s="120">
        <f>IF(ISBLANK('6.7Ratemaking Data'!F26),"",'6.7Ratemaking Data'!F26)</f>
        <v>0.91966463351450178</v>
      </c>
      <c r="E27" s="120">
        <f>IF(ISBLANK('6.7Ratemaking Data'!G26),"",'6.7Ratemaking Data'!G26)</f>
        <v>0.93445244061960719</v>
      </c>
      <c r="F27" s="120">
        <f>IF(ISBLANK('6.7Ratemaking Data'!H26),"",'6.7Ratemaking Data'!H26)</f>
        <v>0.94947802922789171</v>
      </c>
      <c r="G27" s="120">
        <f>IF(ISBLANK('6.7Ratemaking Data'!I26),"",'6.7Ratemaking Data'!I26)</f>
        <v>0.96474522276245345</v>
      </c>
      <c r="H27" s="127">
        <f>IF(New_Program=TRUE,0,'6.7Ratemaking Data'!$J$26)</f>
        <v>-1.5825104052700701E-2</v>
      </c>
    </row>
    <row r="28" spans="1:10" x14ac:dyDescent="0.25">
      <c r="A28" s="117" t="s">
        <v>181</v>
      </c>
      <c r="B28" s="120">
        <f>IF(ISBLANK('6.7Ratemaking Data'!D27),"",'6.7Ratemaking Data'!D27)</f>
        <v>1</v>
      </c>
      <c r="C28" s="120">
        <f>IF(ISBLANK('6.7Ratemaking Data'!E27),"",'6.7Ratemaking Data'!E27)</f>
        <v>1</v>
      </c>
      <c r="D28" s="120">
        <f>IF(ISBLANK('6.7Ratemaking Data'!F27),"",'6.7Ratemaking Data'!F27)</f>
        <v>1</v>
      </c>
      <c r="E28" s="120">
        <f>IF(ISBLANK('6.7Ratemaking Data'!G27),"",'6.7Ratemaking Data'!G27)</f>
        <v>1</v>
      </c>
      <c r="F28" s="120">
        <f>IF(ISBLANK('6.7Ratemaking Data'!H27),"",'6.7Ratemaking Data'!H27)</f>
        <v>1</v>
      </c>
      <c r="G28" s="120">
        <f>IF(ISBLANK('6.7Ratemaking Data'!I27),"",'6.7Ratemaking Data'!I27)</f>
        <v>1</v>
      </c>
      <c r="H28" s="121"/>
    </row>
    <row r="29" spans="1:10" ht="15.75" thickBot="1" x14ac:dyDescent="0.3">
      <c r="A29" s="133" t="s">
        <v>186</v>
      </c>
      <c r="B29" s="134">
        <f>IF(ISBLANK('6.7Ratemaking Data'!D29),"",'6.7Ratemaking Data'!D29)</f>
        <v>0</v>
      </c>
      <c r="C29" s="134">
        <f>IF(ISBLANK('6.7Ratemaking Data'!E29),"",'6.7Ratemaking Data'!E29)</f>
        <v>0</v>
      </c>
      <c r="D29" s="134">
        <f>IF(ISBLANK('6.7Ratemaking Data'!F29),"",'6.7Ratemaking Data'!F29)</f>
        <v>0</v>
      </c>
      <c r="E29" s="134">
        <f>IF(ISBLANK('6.7Ratemaking Data'!G29),"",'6.7Ratemaking Data'!G29)</f>
        <v>0</v>
      </c>
      <c r="F29" s="134">
        <f>IF(ISBLANK('6.7Ratemaking Data'!H29),"",'6.7Ratemaking Data'!H29)</f>
        <v>0</v>
      </c>
      <c r="G29" s="134">
        <f>IF(ISBLANK('6.7Ratemaking Data'!I29),"",'6.7Ratemaking Data'!I29)</f>
        <v>0</v>
      </c>
      <c r="H29" s="135">
        <f>IF(New_Program=TRUE,'6.7Ratemaking Data'!$K$29,SUM($B29:$G29))</f>
        <v>0</v>
      </c>
    </row>
    <row r="30" spans="1:10" ht="15.75" thickTop="1" x14ac:dyDescent="0.25">
      <c r="A30" s="117" t="s">
        <v>182</v>
      </c>
      <c r="B30" s="122"/>
      <c r="C30" s="122"/>
      <c r="D30" s="122"/>
      <c r="E30" s="122"/>
      <c r="F30" s="122"/>
      <c r="G30" s="122"/>
      <c r="H30" s="127">
        <f>IF(New_Program=TRUE,100%,'6.7Ratemaking Data'!$J$28)</f>
        <v>0.23593784492248518</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f ca="1">EffStd_Final07</f>
        <v>0.29208037473960702</v>
      </c>
    </row>
    <row r="38" spans="1:9" x14ac:dyDescent="0.25">
      <c r="A38" s="117" t="s">
        <v>189</v>
      </c>
      <c r="B38" s="77"/>
      <c r="C38" s="77"/>
      <c r="D38" s="77"/>
      <c r="E38" s="77"/>
      <c r="F38" s="577" t="s">
        <v>315</v>
      </c>
      <c r="G38" s="578">
        <f>update_leverage</f>
        <v>2022</v>
      </c>
      <c r="H38" s="162">
        <f ca="1">LevFact_Final07</f>
        <v>0.77049999999999996</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f ca="1">1/LevFact_Final07</f>
        <v>1.2978585334198574</v>
      </c>
    </row>
    <row r="41" spans="1:9" x14ac:dyDescent="0.25">
      <c r="A41" s="117" t="s">
        <v>196</v>
      </c>
      <c r="B41" s="77"/>
      <c r="C41" s="77"/>
      <c r="D41" s="77"/>
      <c r="E41" s="77"/>
      <c r="F41" s="577" t="s">
        <v>315</v>
      </c>
      <c r="G41" s="578">
        <f>update_reserveratios</f>
        <v>2022</v>
      </c>
      <c r="H41" s="163">
        <f ca="1">ResRatio_UPR07</f>
        <v>0.32</v>
      </c>
    </row>
    <row r="42" spans="1:9" x14ac:dyDescent="0.25">
      <c r="A42" s="117" t="s">
        <v>192</v>
      </c>
      <c r="B42" s="77"/>
      <c r="C42" s="77"/>
      <c r="D42" s="77"/>
      <c r="E42" s="77"/>
      <c r="F42" s="577" t="s">
        <v>315</v>
      </c>
      <c r="G42" s="578">
        <f>update_reserveratios</f>
        <v>2022</v>
      </c>
      <c r="H42" s="163">
        <f ca="1">ResRatio_Loss07</f>
        <v>1.1599999999999999</v>
      </c>
    </row>
    <row r="43" spans="1:9" x14ac:dyDescent="0.25">
      <c r="A43" s="117" t="s">
        <v>193</v>
      </c>
      <c r="B43" s="77"/>
      <c r="C43" s="77"/>
      <c r="D43" s="77"/>
      <c r="E43" s="77"/>
      <c r="F43" s="575" t="s">
        <v>315</v>
      </c>
      <c r="G43" s="575"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'6.7Ratemaking Data'!D$14</f>
        <v>20183</v>
      </c>
      <c r="C47" s="228" t="str">
        <f>'6.7Ratemaking Data'!E$14</f>
        <v>20193</v>
      </c>
      <c r="D47" s="228" t="str">
        <f>'6.7Ratemaking Data'!F$14</f>
        <v>20203</v>
      </c>
      <c r="E47" s="228" t="str">
        <f>'6.7Ratemaking Data'!G$14</f>
        <v>20213</v>
      </c>
      <c r="F47" s="228" t="str">
        <f>'6.7Ratemaking Data'!H$14</f>
        <v>20223</v>
      </c>
      <c r="G47" s="228">
        <f>'6.7Ratemaking Data'!I$14</f>
        <v>20233</v>
      </c>
    </row>
    <row r="48" spans="1:9" x14ac:dyDescent="0.25">
      <c r="A48" s="114" t="s">
        <v>197</v>
      </c>
      <c r="B48" s="115">
        <f t="shared" ref="B48:G48" si="0">IF(ISERROR(Prem_Earned*Prem_Adj*Prem_Trend+Misc_Fees),"",Prem_Earned*Prem_Adj*Prem_Trend+Misc_Fees)</f>
        <v>534544.0843439931</v>
      </c>
      <c r="C48" s="115">
        <f t="shared" si="0"/>
        <v>524135.59084688046</v>
      </c>
      <c r="D48" s="115">
        <f t="shared" si="0"/>
        <v>520617.62216950895</v>
      </c>
      <c r="E48" s="115">
        <f t="shared" si="0"/>
        <v>527149.94513566524</v>
      </c>
      <c r="F48" s="115">
        <f t="shared" si="0"/>
        <v>528478.27841337817</v>
      </c>
      <c r="G48" s="115">
        <f t="shared" si="0"/>
        <v>551173.00072783954</v>
      </c>
      <c r="H48" s="116">
        <f>IF(New_Program=TRUE,(Prem_Earned+Misc_Fees),SUM($B48:$G48))</f>
        <v>3186098.5216372656</v>
      </c>
    </row>
    <row r="49" spans="1:9" x14ac:dyDescent="0.25">
      <c r="A49" s="117" t="s">
        <v>198</v>
      </c>
      <c r="B49" s="118">
        <f t="shared" ref="B49:G49" si="1">IF(ISERROR(Losses*Loss_Devt*CAT_Adj*Loss_Trend),"",Losses*Loss_Devt*CAT_Adj*Loss_Trend)</f>
        <v>473606.18682675686</v>
      </c>
      <c r="C49" s="118">
        <f t="shared" si="1"/>
        <v>429158.30715463811</v>
      </c>
      <c r="D49" s="118">
        <f t="shared" si="1"/>
        <v>153905.87641865187</v>
      </c>
      <c r="E49" s="118">
        <f t="shared" si="1"/>
        <v>188756.23848823836</v>
      </c>
      <c r="F49" s="118">
        <f t="shared" si="1"/>
        <v>333512.85517101001</v>
      </c>
      <c r="G49" s="118">
        <f t="shared" si="1"/>
        <v>269566.50511999737</v>
      </c>
      <c r="H49" s="119">
        <f>IF(New_Program=TRUE,Losses,SUM($B49:$G49))</f>
        <v>1848505.9691792924</v>
      </c>
    </row>
    <row r="50" spans="1:9" x14ac:dyDescent="0.25">
      <c r="A50" s="117" t="s">
        <v>199</v>
      </c>
      <c r="B50" s="118">
        <f t="shared" ref="B50:G50" si="2">IF(ISERROR(DCCE*DCCE_Devt*CAT_Adj*DCCE_Trend),"",DCCE*DCCE_Devt*CAT_Adj*DCCE_Trend)</f>
        <v>7110.2648008636115</v>
      </c>
      <c r="C50" s="118">
        <f t="shared" si="2"/>
        <v>-1.0289918975508339E-13</v>
      </c>
      <c r="D50" s="118">
        <f t="shared" si="2"/>
        <v>22.899649374511093</v>
      </c>
      <c r="E50" s="118">
        <f t="shared" si="2"/>
        <v>32.705835421686253</v>
      </c>
      <c r="F50" s="118">
        <f t="shared" si="2"/>
        <v>7.3584547265161611</v>
      </c>
      <c r="G50" s="118">
        <f t="shared" si="2"/>
        <v>0</v>
      </c>
      <c r="H50" s="119">
        <f>IF(New_Program=TRUE,DCCE,SUM($B50:$G50))</f>
        <v>7173.2287403863247</v>
      </c>
    </row>
    <row r="51" spans="1:9" x14ac:dyDescent="0.25">
      <c r="A51" s="117" t="s">
        <v>200</v>
      </c>
      <c r="B51" s="126">
        <f t="shared" ref="B51:H51" si="3">IF(ISERROR((B49+B50)/B48),"",(B49+B50)/B48)</f>
        <v>0.89930178951950923</v>
      </c>
      <c r="C51" s="126">
        <f t="shared" si="3"/>
        <v>0.81879253126317697</v>
      </c>
      <c r="D51" s="126">
        <f t="shared" si="3"/>
        <v>0.29566570456562147</v>
      </c>
      <c r="E51" s="126">
        <f t="shared" si="3"/>
        <v>0.35813139328900823</v>
      </c>
      <c r="F51" s="126">
        <f t="shared" si="3"/>
        <v>0.631095405902105</v>
      </c>
      <c r="G51" s="126">
        <f t="shared" si="3"/>
        <v>0.48907784808767335</v>
      </c>
      <c r="H51" s="127">
        <f t="shared" si="3"/>
        <v>0.58242994851461349</v>
      </c>
    </row>
    <row r="52" spans="1:9" x14ac:dyDescent="0.25">
      <c r="A52" s="117" t="s">
        <v>213</v>
      </c>
      <c r="B52" s="407">
        <f t="shared" ref="B52:H52" si="4">IF(ISERROR(Prem_Adjusted/Exposures_Earned),"",Prem_Adjusted/Exposures_Earned)</f>
        <v>2.3476423811957852</v>
      </c>
      <c r="C52" s="407">
        <f t="shared" si="4"/>
        <v>2.3540468390135345</v>
      </c>
      <c r="D52" s="407">
        <f t="shared" si="4"/>
        <v>2.362481211828837</v>
      </c>
      <c r="E52" s="407">
        <f t="shared" si="4"/>
        <v>2.3657045511630628</v>
      </c>
      <c r="F52" s="407">
        <f t="shared" si="4"/>
        <v>2.3517817243846766</v>
      </c>
      <c r="G52" s="407">
        <f t="shared" si="4"/>
        <v>2.3456266335623162</v>
      </c>
      <c r="H52" s="130">
        <f t="shared" si="4"/>
        <v>2.3544241051560482</v>
      </c>
    </row>
    <row r="53" spans="1:9" x14ac:dyDescent="0.25">
      <c r="A53" s="117" t="s">
        <v>201</v>
      </c>
      <c r="B53" s="407">
        <f t="shared" ref="B53:H53" si="5">IF(ISERROR((Losses_Adjusted+DCCE_Adjusted)/Exposures_Earned),"",(Losses_Adjusted+DCCE_Adjusted)/Exposures_Earned)</f>
        <v>2.1112389945612113</v>
      </c>
      <c r="C53" s="407">
        <f t="shared" si="5"/>
        <v>1.9274759700279722</v>
      </c>
      <c r="D53" s="407">
        <f t="shared" si="5"/>
        <v>0.69850467201841626</v>
      </c>
      <c r="E53" s="407">
        <f t="shared" si="5"/>
        <v>0.84723306701817547</v>
      </c>
      <c r="F53" s="407">
        <f t="shared" si="5"/>
        <v>1.4841986419436997</v>
      </c>
      <c r="G53" s="407">
        <f t="shared" si="5"/>
        <v>1.1471940263597911</v>
      </c>
      <c r="H53" s="130">
        <f t="shared" si="5"/>
        <v>1.3712871103476023</v>
      </c>
    </row>
    <row r="54" spans="1:9" x14ac:dyDescent="0.25">
      <c r="A54" s="117" t="s">
        <v>202</v>
      </c>
      <c r="B54" s="407">
        <f t="shared" ref="B54:H54" ca="1" si="6">IF(ISERROR((TCRLP_perExp*(1+Comp_Trend)*Max_Denom+Anc_Inc_perExp)/(1-InvInc_Fixed)),"",(TCRLP_perExp*(1+Comp_Trend)*Max_Denom+Anc_Inc_perExp)/(1-InvInc_Fixed))</f>
        <v>1.8599981793182381</v>
      </c>
      <c r="C54" s="407">
        <f t="shared" ca="1" si="6"/>
        <v>1.8650723251830215</v>
      </c>
      <c r="D54" s="407">
        <f t="shared" ca="1" si="6"/>
        <v>1.8717547390829457</v>
      </c>
      <c r="E54" s="407">
        <f t="shared" ca="1" si="6"/>
        <v>1.8743085374557329</v>
      </c>
      <c r="F54" s="407">
        <f t="shared" ca="1" si="6"/>
        <v>1.8632777123751385</v>
      </c>
      <c r="G54" s="407">
        <f t="shared" ca="1" si="6"/>
        <v>1.8584011358510355</v>
      </c>
      <c r="H54" s="130">
        <f t="shared" ca="1" si="6"/>
        <v>1.8653712268998308</v>
      </c>
    </row>
    <row r="55" spans="1:9" x14ac:dyDescent="0.25">
      <c r="A55" s="117" t="s">
        <v>212</v>
      </c>
      <c r="B55" s="407">
        <f t="shared" ref="B55:H55" ca="1" si="7">IF(ISERROR(Credibility*LossDCCE_perExp+(1-Credibility)*CompLossDCCE_perExp),"",Credibility*LossDCCE_perExp+(1-Credibility)*CompLossDCCE_perExp)</f>
        <v>1.9192753958232334</v>
      </c>
      <c r="C55" s="407">
        <f t="shared" ca="1" si="7"/>
        <v>1.8797957066630475</v>
      </c>
      <c r="D55" s="407">
        <f t="shared" ca="1" si="7"/>
        <v>1.5949406467045795</v>
      </c>
      <c r="E55" s="407">
        <f t="shared" ca="1" si="7"/>
        <v>1.631982564387948</v>
      </c>
      <c r="F55" s="407">
        <f t="shared" ca="1" si="7"/>
        <v>1.7738386134423259</v>
      </c>
      <c r="G55" s="407">
        <f t="shared" ca="1" si="7"/>
        <v>1.6906004631441212</v>
      </c>
      <c r="H55" s="130">
        <f t="shared" ca="1" si="7"/>
        <v>1.7487980852300682</v>
      </c>
    </row>
    <row r="56" spans="1:9" ht="15.75" thickBot="1" x14ac:dyDescent="0.3">
      <c r="A56" s="133" t="s">
        <v>214</v>
      </c>
      <c r="B56" s="202">
        <f t="shared" ref="B56:H56" si="8">IF(ISERROR(Anc_Income/Exposures_Earned),"",Anc_Income/Exposures_Earned)</f>
        <v>0</v>
      </c>
      <c r="C56" s="202">
        <f t="shared" si="8"/>
        <v>0</v>
      </c>
      <c r="D56" s="202">
        <f t="shared" si="8"/>
        <v>0</v>
      </c>
      <c r="E56" s="202">
        <f t="shared" si="8"/>
        <v>0</v>
      </c>
      <c r="F56" s="202">
        <f t="shared" si="8"/>
        <v>0</v>
      </c>
      <c r="G56" s="202">
        <f t="shared" si="8"/>
        <v>0</v>
      </c>
      <c r="H56" s="203">
        <f t="shared" si="8"/>
        <v>0</v>
      </c>
    </row>
    <row r="57" spans="1:9" ht="15.75" thickTop="1" x14ac:dyDescent="0.25">
      <c r="A57" s="117" t="s">
        <v>215</v>
      </c>
      <c r="B57" s="77"/>
      <c r="C57" s="77"/>
      <c r="D57" s="77"/>
      <c r="E57" s="77"/>
      <c r="F57" s="77"/>
      <c r="G57" s="77"/>
      <c r="H57" s="127">
        <f ca="1">Yield*((1-FIT_Inv)/(1-FIT_UW))*ResRatio_Loss07</f>
        <v>0.12271196213708156</v>
      </c>
    </row>
    <row r="58" spans="1:9" x14ac:dyDescent="0.25">
      <c r="A58" s="117" t="s">
        <v>216</v>
      </c>
      <c r="B58" s="77"/>
      <c r="C58" s="77"/>
      <c r="D58" s="77"/>
      <c r="E58" s="77"/>
      <c r="F58" s="77"/>
      <c r="G58" s="77"/>
      <c r="H58" s="127">
        <f ca="1">Yield*((1-FIT_Inv)/(1-FIT_UW))*(ResRatio_UPR07+SurplusRatio)</f>
        <v>0.1711470647380792</v>
      </c>
    </row>
    <row r="59" spans="1:9" x14ac:dyDescent="0.25">
      <c r="A59" s="117" t="s">
        <v>204</v>
      </c>
      <c r="B59" s="128"/>
      <c r="C59" s="128"/>
      <c r="D59" s="128"/>
      <c r="E59" s="128"/>
      <c r="F59" s="128"/>
      <c r="G59" s="128"/>
      <c r="H59" s="127">
        <f>(1+Loss_AnnualTrend)/(1+Prem_AnnualTrend)-1</f>
        <v>-2.1038590177842931E-2</v>
      </c>
    </row>
    <row r="60" spans="1:9" x14ac:dyDescent="0.25">
      <c r="A60" s="117" t="s">
        <v>203</v>
      </c>
      <c r="B60" s="128"/>
      <c r="C60" s="128"/>
      <c r="D60" s="128"/>
      <c r="E60" s="128"/>
      <c r="F60" s="128"/>
      <c r="G60" s="128"/>
      <c r="H60" s="127">
        <f>IF(New_Program=TRUE,0,(1+Net_AnnualTrend)^MIN(4,((EffDate_Proposed-EffDate_Prior07)/365.25))-1)</f>
        <v>-1.261069607051879E-2</v>
      </c>
    </row>
    <row r="61" spans="1:9" x14ac:dyDescent="0.25">
      <c r="A61" s="117" t="s">
        <v>205</v>
      </c>
      <c r="B61" s="128"/>
      <c r="C61" s="128"/>
      <c r="D61" s="128"/>
      <c r="E61" s="128"/>
      <c r="F61" s="128"/>
      <c r="G61" s="128"/>
      <c r="H61" s="127">
        <f ca="1">(ROR_Max)/(LevFact_Final07*(1-FIT_UW))</f>
        <v>0.17512875906652758</v>
      </c>
    </row>
    <row r="62" spans="1:9" x14ac:dyDescent="0.25">
      <c r="A62" s="117" t="s">
        <v>206</v>
      </c>
      <c r="B62" s="77"/>
      <c r="C62" s="77"/>
      <c r="D62" s="77"/>
      <c r="E62" s="77"/>
      <c r="F62" s="77"/>
      <c r="G62" s="77"/>
      <c r="H62" s="127">
        <f ca="1">(ROR_Min)/(LevFact_Final07*(1-FIT_UW))</f>
        <v>-9.8571534183786627E-2</v>
      </c>
    </row>
    <row r="63" spans="1:9" x14ac:dyDescent="0.25">
      <c r="A63" s="117" t="s">
        <v>207</v>
      </c>
      <c r="B63" s="77"/>
      <c r="C63" s="77"/>
      <c r="D63" s="77"/>
      <c r="E63" s="77"/>
      <c r="F63" s="77"/>
      <c r="G63" s="77"/>
      <c r="H63" s="127">
        <f ca="1">1-CredLossDCCE_perExp/Max_Premium-EffStd_Final07</f>
        <v>-9.4482665151253142E-2</v>
      </c>
      <c r="I63" s="204"/>
    </row>
    <row r="64" spans="1:9" x14ac:dyDescent="0.25">
      <c r="A64" s="117" t="s">
        <v>209</v>
      </c>
      <c r="B64" s="77"/>
      <c r="C64" s="77"/>
      <c r="D64" s="77"/>
      <c r="E64" s="77"/>
      <c r="F64" s="77"/>
      <c r="G64" s="77"/>
      <c r="H64" s="129">
        <f ca="1">1-EffStd_Final07-Min_Profit+InvInc_Variable</f>
        <v>0.97763822418225876</v>
      </c>
      <c r="I64" s="204"/>
    </row>
    <row r="65" spans="1:9" x14ac:dyDescent="0.25">
      <c r="A65" s="117" t="s">
        <v>208</v>
      </c>
      <c r="B65" s="77"/>
      <c r="C65" s="77"/>
      <c r="D65" s="77"/>
      <c r="E65" s="77"/>
      <c r="F65" s="77"/>
      <c r="G65" s="77"/>
      <c r="H65" s="129">
        <f ca="1">1-EffStd_Final07-Max_Profit+InvInc_Variable</f>
        <v>0.70393793093194457</v>
      </c>
      <c r="I65" s="398" t="str">
        <f>IF(AND(Error35="",Error36=""),"","See Column H of Page '3.2YieldFIT' for errors that must be corrected.")</f>
        <v/>
      </c>
    </row>
    <row r="66" spans="1:9" x14ac:dyDescent="0.25">
      <c r="A66" s="117" t="s">
        <v>211</v>
      </c>
      <c r="B66" s="77"/>
      <c r="C66" s="77"/>
      <c r="D66" s="77"/>
      <c r="E66" s="77"/>
      <c r="F66" s="77"/>
      <c r="G66" s="77"/>
      <c r="H66" s="482">
        <f ca="1">(CredLossDCCE_perExp*(1-InvInc_Fixed)-Anc_Inc_perExp)/Min_Denom</f>
        <v>1.5692917920565042</v>
      </c>
      <c r="I66" s="398" t="str">
        <f>IF(Error38="","","See Column F of Page '4.2Excluded Exp' for errors that must be corrected.")</f>
        <v/>
      </c>
    </row>
    <row r="67" spans="1:9" ht="15.75" thickBot="1" x14ac:dyDescent="0.3">
      <c r="A67" s="117" t="s">
        <v>210</v>
      </c>
      <c r="B67" s="77"/>
      <c r="C67" s="77"/>
      <c r="D67" s="77"/>
      <c r="E67" s="77"/>
      <c r="F67" s="77"/>
      <c r="G67" s="77"/>
      <c r="H67" s="482">
        <f ca="1">(CredLossDCCE_perExp*(1-InvInc_Fixed)-Anc_Inc_perExp)/Max_Denom</f>
        <v>2.1794530077087702</v>
      </c>
      <c r="I67" s="396" t="str">
        <f>IF(Error34="","","See Column I of Page '2.Summary' for errors that must be corrected.")</f>
        <v/>
      </c>
    </row>
    <row r="68" spans="1:9" x14ac:dyDescent="0.25">
      <c r="A68" s="82" t="s">
        <v>233</v>
      </c>
      <c r="B68" s="77"/>
      <c r="C68" s="77"/>
      <c r="D68" s="77"/>
      <c r="E68" s="77"/>
      <c r="F68" s="77"/>
      <c r="G68" s="77"/>
      <c r="H68" s="232">
        <f ca="1">IF(AND(I65="",I66="",I67="",I68="",I69=""),(Min_Premium-Prem_Current)/Prem_Current,"Error")</f>
        <v>-0.33347106469907062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f ca="1">IF(AND(I65="",I66="",I67="",I68="",I69=""),(Max_Premium-Prem_Current)/Prem_Current, "Error")</f>
        <v>-7.4315879226729692E-2</v>
      </c>
      <c r="I69" s="396" t="str">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
      </c>
    </row>
    <row r="70" spans="1:9" ht="5.0999999999999996" hidden="1" customHeight="1" x14ac:dyDescent="0.25"/>
    <row r="71" spans="1:9" ht="15.75" hidden="1" thickBot="1" x14ac:dyDescent="0.3">
      <c r="A71" s="7" t="s">
        <v>231</v>
      </c>
      <c r="B71" s="228" t="str">
        <f>'6.7Ratemaking Data'!D$14</f>
        <v>20183</v>
      </c>
      <c r="C71" s="228" t="str">
        <f>'6.7Ratemaking Data'!E$14</f>
        <v>20193</v>
      </c>
      <c r="D71" s="228" t="str">
        <f>'6.7Ratemaking Data'!F$14</f>
        <v>20203</v>
      </c>
      <c r="E71" s="228" t="str">
        <f>'6.7Ratemaking Data'!G$14</f>
        <v>20213</v>
      </c>
      <c r="F71" s="228" t="str">
        <f>'6.7Ratemaking Data'!H$14</f>
        <v>20223</v>
      </c>
      <c r="G71" s="228">
        <f>'6.7Ratemaking Data'!I$14</f>
        <v>20233</v>
      </c>
    </row>
    <row r="72" spans="1:9" hidden="1" x14ac:dyDescent="0.25">
      <c r="A72" s="114" t="s">
        <v>230</v>
      </c>
      <c r="B72" s="125"/>
      <c r="C72" s="125"/>
      <c r="D72" s="125"/>
      <c r="E72" s="125"/>
      <c r="F72" s="125"/>
      <c r="G72" s="125"/>
      <c r="H72" s="131" t="str">
        <f>IF(ISBLANK('6.7Ratemaking Data'!J44),"",'6.7Ratemaking Data'!J44)</f>
        <v/>
      </c>
    </row>
    <row r="73" spans="1:9" hidden="1" x14ac:dyDescent="0.25">
      <c r="A73" s="117" t="s">
        <v>217</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 ca="1">IF(RIGHT(Detailed_LineCode07,1)="R",IF(New_Program=TRUE,'6.7Ratemaking Data'!$K$45,SUM($B73:$G73)),"")</f>
        <v/>
      </c>
    </row>
    <row r="74" spans="1:9" hidden="1" x14ac:dyDescent="0.25">
      <c r="A74" s="117" t="s">
        <v>218</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221</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222</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 ca="1">IF(I79="",IF($H$73=0,NA(),(ReinMax_Premium-Prem_Current)/Prem_Current),"Error")</f>
        <v>#VALUE!</v>
      </c>
      <c r="I79" s="396" t="str">
        <f>IF(AND('6.7Ratemaking Data'!Error30="",'6.7Ratemaking Data'!Error31="",'6.7Ratemaking Data'!Error32=""),"","See Column M of Page '6.7Ratemaking Data' for errors that must be corrected.")</f>
        <v/>
      </c>
    </row>
    <row r="80" spans="1:9" ht="26.25" x14ac:dyDescent="0.25">
      <c r="F80" s="662" t="s">
        <v>615</v>
      </c>
      <c r="G80" s="662"/>
      <c r="H80" s="662"/>
    </row>
    <row r="81" spans="1:1" x14ac:dyDescent="0.25">
      <c r="A81" s="132"/>
    </row>
  </sheetData>
  <sheetProtection algorithmName="SHA-512" hashValue="LjTaDn2K+od1rLOHZe35zeGLLRdu6yW7nmmxNkrcdlZof09vNo8MIbWdyF2mTrCCqDdgvQ6MsYFxTFvni1LDMg==" saltValue="82hzH9J0cyywY4rjzoz0fQ=="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66" orientation="portrait" r:id="rId1"/>
  <headerFooter>
    <oddFooter>&amp;CPrior Approval Rate Template&amp;RPage 7.7&amp;L11/9/2023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IF('6.8Ratemaking Data'!$K$7="","VARIANCE - NONE","VARIANCE "&amp;'6.8Ratemaking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t="str">
        <f>EffDate_Prior08</f>
        <v/>
      </c>
    </row>
    <row r="10" spans="1:8" ht="15" customHeight="1" x14ac:dyDescent="0.25">
      <c r="A10" s="6" t="s">
        <v>168</v>
      </c>
      <c r="B10" s="52"/>
      <c r="H10" s="161">
        <f>EffDate_Proposed</f>
        <v>45566</v>
      </c>
    </row>
    <row r="11" spans="1:8" ht="15" customHeight="1" x14ac:dyDescent="0.25">
      <c r="A11" s="6" t="s">
        <v>75</v>
      </c>
      <c r="B11" s="52"/>
      <c r="H11" s="23" t="str">
        <f>Detailed_LineDesc08</f>
        <v/>
      </c>
    </row>
    <row r="12" spans="1:8" ht="15" customHeight="1" x14ac:dyDescent="0.25">
      <c r="A12" s="6" t="s">
        <v>76</v>
      </c>
      <c r="B12" s="52"/>
      <c r="H12" s="23" t="str">
        <f>Covg08</f>
        <v/>
      </c>
    </row>
    <row r="13" spans="1:8" ht="15" customHeight="1" x14ac:dyDescent="0.25">
      <c r="H13" s="511"/>
    </row>
    <row r="14" spans="1:8" ht="9.9499999999999993" customHeight="1" x14ac:dyDescent="0.25"/>
    <row r="15" spans="1:8" ht="15.75" thickBot="1" x14ac:dyDescent="0.3">
      <c r="A15" s="7" t="s">
        <v>169</v>
      </c>
      <c r="B15" s="228" t="str">
        <f>'6.8Ratemaking Data'!D$14</f>
        <v>20183</v>
      </c>
      <c r="C15" s="228" t="str">
        <f>'6.8Ratemaking Data'!E$14</f>
        <v>20193</v>
      </c>
      <c r="D15" s="228" t="str">
        <f>'6.8Ratemaking Data'!F$14</f>
        <v>20203</v>
      </c>
      <c r="E15" s="228" t="str">
        <f>'6.8Ratemaking Data'!G$14</f>
        <v>20213</v>
      </c>
      <c r="F15" s="228" t="str">
        <f>'6.8Ratemaking Data'!H$14</f>
        <v>20223</v>
      </c>
      <c r="G15" s="228">
        <f>'6.8Ratemaking Data'!I$14</f>
        <v>20233</v>
      </c>
      <c r="H15" s="91" t="s">
        <v>304</v>
      </c>
    </row>
    <row r="16" spans="1:8" x14ac:dyDescent="0.25">
      <c r="A16" s="114" t="s">
        <v>171</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25">
      <c r="A17" s="117" t="s">
        <v>170</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25">
      <c r="A18" s="117" t="s">
        <v>172</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25">
      <c r="A19" s="117" t="s">
        <v>173</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25">
      <c r="A20" s="117" t="s">
        <v>174</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25">
      <c r="A21" s="117" t="s">
        <v>175</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25">
      <c r="A22" s="117" t="s">
        <v>176</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25">
      <c r="A23" s="117" t="s">
        <v>142</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25">
      <c r="A24" s="117" t="s">
        <v>179</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25">
      <c r="A25" s="117" t="s">
        <v>180</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25">
      <c r="A26" s="117" t="s">
        <v>177</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25">
      <c r="A27" s="117" t="s">
        <v>178</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25">
      <c r="A28" s="117" t="s">
        <v>181</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75" thickBot="1" x14ac:dyDescent="0.3">
      <c r="A29" s="133" t="s">
        <v>186</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75" thickTop="1" x14ac:dyDescent="0.25">
      <c r="A30" s="117" t="s">
        <v>182</v>
      </c>
      <c r="B30" s="122"/>
      <c r="C30" s="122"/>
      <c r="D30" s="122"/>
      <c r="E30" s="122"/>
      <c r="F30" s="122"/>
      <c r="G30" s="122"/>
      <c r="H30" s="127">
        <f>IF(New_Program=TRUE,100%,'6.8Ratemaking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t="str">
        <f>EffStd_Final08</f>
        <v/>
      </c>
    </row>
    <row r="38" spans="1:9" x14ac:dyDescent="0.25">
      <c r="A38" s="117" t="s">
        <v>189</v>
      </c>
      <c r="B38" s="77"/>
      <c r="C38" s="77"/>
      <c r="D38" s="77"/>
      <c r="E38" s="77"/>
      <c r="F38" s="577" t="s">
        <v>315</v>
      </c>
      <c r="G38" s="578">
        <f>update_leverage</f>
        <v>2022</v>
      </c>
      <c r="H38" s="162" t="str">
        <f>LevFact_Final08</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1/LevFact_Final08</f>
        <v>#VALUE!</v>
      </c>
    </row>
    <row r="41" spans="1:9" x14ac:dyDescent="0.25">
      <c r="A41" s="117" t="s">
        <v>196</v>
      </c>
      <c r="B41" s="77"/>
      <c r="C41" s="77"/>
      <c r="D41" s="77"/>
      <c r="E41" s="77"/>
      <c r="F41" s="577" t="s">
        <v>315</v>
      </c>
      <c r="G41" s="578">
        <f>update_reserveratios</f>
        <v>2022</v>
      </c>
      <c r="H41" s="163" t="str">
        <f>ResRatio_UPR08</f>
        <v/>
      </c>
    </row>
    <row r="42" spans="1:9" x14ac:dyDescent="0.25">
      <c r="A42" s="117" t="s">
        <v>192</v>
      </c>
      <c r="B42" s="77"/>
      <c r="C42" s="77"/>
      <c r="D42" s="77"/>
      <c r="E42" s="77"/>
      <c r="F42" s="577" t="s">
        <v>315</v>
      </c>
      <c r="G42" s="578">
        <f>update_reserveratios</f>
        <v>2022</v>
      </c>
      <c r="H42" s="163" t="str">
        <f>ResRatio_Loss08</f>
        <v/>
      </c>
    </row>
    <row r="43" spans="1:9" x14ac:dyDescent="0.25">
      <c r="A43" s="117" t="s">
        <v>193</v>
      </c>
      <c r="B43" s="77"/>
      <c r="C43" s="77"/>
      <c r="D43" s="77"/>
      <c r="E43" s="77"/>
      <c r="F43" s="575" t="s">
        <v>315</v>
      </c>
      <c r="G43" s="575"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'6.8Ratemaking Data'!D$14</f>
        <v>20183</v>
      </c>
      <c r="C47" s="228" t="str">
        <f>'6.8Ratemaking Data'!E$14</f>
        <v>20193</v>
      </c>
      <c r="D47" s="228" t="str">
        <f>'6.8Ratemaking Data'!F$14</f>
        <v>20203</v>
      </c>
      <c r="E47" s="228" t="str">
        <f>'6.8Ratemaking Data'!G$14</f>
        <v>20213</v>
      </c>
      <c r="F47" s="228" t="str">
        <f>'6.8Ratemaking Data'!H$14</f>
        <v>20223</v>
      </c>
      <c r="G47" s="228">
        <f>'6.8Ratemaking Data'!I$14</f>
        <v>20233</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Yield*((1-FIT_Inv)/(1-FIT_UW))*ResRatio_Loss08</f>
        <v>#VALUE!</v>
      </c>
    </row>
    <row r="58" spans="1:9" x14ac:dyDescent="0.25">
      <c r="A58" s="117" t="s">
        <v>216</v>
      </c>
      <c r="B58" s="77"/>
      <c r="C58" s="77"/>
      <c r="D58" s="77"/>
      <c r="E58" s="77"/>
      <c r="F58" s="77"/>
      <c r="G58" s="77"/>
      <c r="H58" s="127" t="e">
        <f>Yield*((1-FIT_Inv)/(1-FIT_UW))*(ResRatio_UPR08+SurplusRatio)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IF(New_Program=TRUE,0,(1+Net_AnnualTrend)^MIN(4,((EffDate_Proposed-EffDate_Prior08)/365.25))-1)</f>
        <v>#VALUE!</v>
      </c>
    </row>
    <row r="61" spans="1:9" x14ac:dyDescent="0.25">
      <c r="A61" s="117" t="s">
        <v>205</v>
      </c>
      <c r="B61" s="128"/>
      <c r="C61" s="128"/>
      <c r="D61" s="128"/>
      <c r="E61" s="128"/>
      <c r="F61" s="128"/>
      <c r="G61" s="128"/>
      <c r="H61" s="127" t="e">
        <f>(ROR_Max)/(LevFact_Final08*(1-FIT_UW))</f>
        <v>#VALUE!</v>
      </c>
    </row>
    <row r="62" spans="1:9" x14ac:dyDescent="0.25">
      <c r="A62" s="117" t="s">
        <v>206</v>
      </c>
      <c r="B62" s="77"/>
      <c r="C62" s="77"/>
      <c r="D62" s="77"/>
      <c r="E62" s="77"/>
      <c r="F62" s="77"/>
      <c r="G62" s="77"/>
      <c r="H62" s="127" t="e">
        <f>(ROR_Min)/(LevFact_Final08*(1-FIT_UW))</f>
        <v>#VALUE!</v>
      </c>
    </row>
    <row r="63" spans="1:9" x14ac:dyDescent="0.25">
      <c r="A63" s="117" t="s">
        <v>207</v>
      </c>
      <c r="B63" s="77"/>
      <c r="C63" s="77"/>
      <c r="D63" s="77"/>
      <c r="E63" s="77"/>
      <c r="F63" s="77"/>
      <c r="G63" s="77"/>
      <c r="H63" s="127" t="e">
        <f>1-CredLossDCCE_perExp/Max_Premium-EffStd_Final08</f>
        <v>#VALUE!</v>
      </c>
      <c r="I63" s="204"/>
    </row>
    <row r="64" spans="1:9" x14ac:dyDescent="0.25">
      <c r="A64" s="117" t="s">
        <v>209</v>
      </c>
      <c r="B64" s="77"/>
      <c r="C64" s="77"/>
      <c r="D64" s="77"/>
      <c r="E64" s="77"/>
      <c r="F64" s="77"/>
      <c r="G64" s="77"/>
      <c r="H64" s="129" t="e">
        <f>1-EffStd_Final08-Min_Profit+InvInc_Variable</f>
        <v>#VALUE!</v>
      </c>
      <c r="I64" s="204"/>
    </row>
    <row r="65" spans="1:9" x14ac:dyDescent="0.25">
      <c r="A65" s="117" t="s">
        <v>208</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See Column M of Page '6.8Ratemaking Data' for errors that must be corrected.</v>
      </c>
    </row>
    <row r="70" spans="1:9" ht="5.0999999999999996" hidden="1" customHeight="1" x14ac:dyDescent="0.25"/>
    <row r="71" spans="1:9" ht="15.75" hidden="1" thickBot="1" x14ac:dyDescent="0.3">
      <c r="A71" s="7" t="s">
        <v>231</v>
      </c>
      <c r="B71" s="228" t="str">
        <f>'6.8Ratemaking Data'!D$14</f>
        <v>20183</v>
      </c>
      <c r="C71" s="228" t="str">
        <f>'6.8Ratemaking Data'!E$14</f>
        <v>20193</v>
      </c>
      <c r="D71" s="228" t="str">
        <f>'6.8Ratemaking Data'!F$14</f>
        <v>20203</v>
      </c>
      <c r="E71" s="228" t="str">
        <f>'6.8Ratemaking Data'!G$14</f>
        <v>20213</v>
      </c>
      <c r="F71" s="228" t="str">
        <f>'6.8Ratemaking Data'!H$14</f>
        <v>20223</v>
      </c>
      <c r="G71" s="228">
        <f>'6.8Ratemaking Data'!I$14</f>
        <v>20233</v>
      </c>
    </row>
    <row r="72" spans="1:9" hidden="1" x14ac:dyDescent="0.25">
      <c r="A72" s="114" t="s">
        <v>230</v>
      </c>
      <c r="B72" s="125"/>
      <c r="C72" s="125"/>
      <c r="D72" s="125"/>
      <c r="E72" s="125"/>
      <c r="F72" s="125"/>
      <c r="G72" s="125"/>
      <c r="H72" s="131" t="str">
        <f>IF(ISBLANK('6.8Ratemaking Data'!J44),"",'6.8Ratemaking Data'!J44)</f>
        <v/>
      </c>
    </row>
    <row r="73" spans="1:9" hidden="1" x14ac:dyDescent="0.25">
      <c r="A73" s="117" t="s">
        <v>217</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25">
      <c r="A74" s="117" t="s">
        <v>218</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25" x14ac:dyDescent="0.25">
      <c r="F80" s="662" t="s">
        <v>614</v>
      </c>
      <c r="G80" s="662"/>
      <c r="H80" s="662"/>
    </row>
    <row r="81" spans="1:1" x14ac:dyDescent="0.25">
      <c r="A81" s="132"/>
    </row>
  </sheetData>
  <sheetProtection algorithmName="SHA-512" hashValue="LLuccUaJcH+GJ6kyw0CyRx292ZVw6PuLyb5igSZucuJV59bq7R3q5ViNWNGuudR//dYHorRjYTzA7k04L1wCPw==" saltValue="hO6p11FCvHaymMBIFkXhCA=="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IF('6.9Ratemaking Data'!$K$7="","VARIANCE - NONE","VARIANCE "&amp;'6.9Ratemaking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t="str">
        <f>EffDate_Prior09</f>
        <v/>
      </c>
    </row>
    <row r="10" spans="1:8" ht="15" customHeight="1" x14ac:dyDescent="0.25">
      <c r="A10" s="6" t="s">
        <v>168</v>
      </c>
      <c r="B10" s="52"/>
      <c r="H10" s="161">
        <f>EffDate_Proposed</f>
        <v>45566</v>
      </c>
    </row>
    <row r="11" spans="1:8" ht="15" customHeight="1" x14ac:dyDescent="0.25">
      <c r="A11" s="6" t="s">
        <v>75</v>
      </c>
      <c r="B11" s="52"/>
      <c r="H11" s="23" t="str">
        <f>Detailed_LineDesc09</f>
        <v/>
      </c>
    </row>
    <row r="12" spans="1:8" ht="15" customHeight="1" x14ac:dyDescent="0.25">
      <c r="A12" s="6" t="s">
        <v>76</v>
      </c>
      <c r="B12" s="52"/>
      <c r="H12" s="23" t="str">
        <f>Covg09</f>
        <v/>
      </c>
    </row>
    <row r="13" spans="1:8" ht="15" customHeight="1" x14ac:dyDescent="0.25">
      <c r="H13" s="511"/>
    </row>
    <row r="14" spans="1:8" ht="9.9499999999999993" customHeight="1" x14ac:dyDescent="0.25"/>
    <row r="15" spans="1:8" ht="15.75" thickBot="1" x14ac:dyDescent="0.3">
      <c r="A15" s="7" t="s">
        <v>169</v>
      </c>
      <c r="B15" s="228" t="str">
        <f>'6.9Ratemaking Data'!D$14</f>
        <v>20183</v>
      </c>
      <c r="C15" s="228" t="str">
        <f>'6.9Ratemaking Data'!E$14</f>
        <v>20193</v>
      </c>
      <c r="D15" s="228" t="str">
        <f>'6.9Ratemaking Data'!F$14</f>
        <v>20203</v>
      </c>
      <c r="E15" s="228" t="str">
        <f>'6.9Ratemaking Data'!G$14</f>
        <v>20213</v>
      </c>
      <c r="F15" s="228" t="str">
        <f>'6.9Ratemaking Data'!H$14</f>
        <v>20223</v>
      </c>
      <c r="G15" s="228">
        <f>'6.9Ratemaking Data'!I$14</f>
        <v>20233</v>
      </c>
      <c r="H15" s="91" t="s">
        <v>304</v>
      </c>
    </row>
    <row r="16" spans="1:8" x14ac:dyDescent="0.25">
      <c r="A16" s="114" t="s">
        <v>171</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25">
      <c r="A17" s="117" t="s">
        <v>170</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25">
      <c r="A18" s="117" t="s">
        <v>172</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25">
      <c r="A19" s="117" t="s">
        <v>173</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25">
      <c r="A20" s="117" t="s">
        <v>174</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25">
      <c r="A21" s="117" t="s">
        <v>175</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25">
      <c r="A22" s="117" t="s">
        <v>176</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25">
      <c r="A23" s="117" t="s">
        <v>142</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25">
      <c r="A24" s="117" t="s">
        <v>179</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25">
      <c r="A25" s="117" t="s">
        <v>180</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25">
      <c r="A26" s="117" t="s">
        <v>177</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25">
      <c r="A27" s="117" t="s">
        <v>178</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25">
      <c r="A28" s="117" t="s">
        <v>181</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75" thickBot="1" x14ac:dyDescent="0.3">
      <c r="A29" s="133" t="s">
        <v>186</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75" thickTop="1" x14ac:dyDescent="0.25">
      <c r="A30" s="117" t="s">
        <v>182</v>
      </c>
      <c r="B30" s="122"/>
      <c r="C30" s="122"/>
      <c r="D30" s="122"/>
      <c r="E30" s="122"/>
      <c r="F30" s="122"/>
      <c r="G30" s="122"/>
      <c r="H30" s="127">
        <f>IF(New_Program=TRUE,100%,'6.9Ratemaking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t="str">
        <f>EffStd_Final09</f>
        <v/>
      </c>
    </row>
    <row r="38" spans="1:9" x14ac:dyDescent="0.25">
      <c r="A38" s="117" t="s">
        <v>189</v>
      </c>
      <c r="B38" s="77"/>
      <c r="C38" s="77"/>
      <c r="D38" s="77"/>
      <c r="E38" s="77"/>
      <c r="F38" s="577" t="s">
        <v>315</v>
      </c>
      <c r="G38" s="578">
        <f>update_leverage</f>
        <v>2022</v>
      </c>
      <c r="H38" s="162" t="str">
        <f>LevFact_Final09</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1/LevFact_Final09</f>
        <v>#VALUE!</v>
      </c>
    </row>
    <row r="41" spans="1:9" x14ac:dyDescent="0.25">
      <c r="A41" s="117" t="s">
        <v>196</v>
      </c>
      <c r="B41" s="77"/>
      <c r="C41" s="77"/>
      <c r="D41" s="77"/>
      <c r="E41" s="77"/>
      <c r="F41" s="577" t="s">
        <v>315</v>
      </c>
      <c r="G41" s="578">
        <f>update_reserveratios</f>
        <v>2022</v>
      </c>
      <c r="H41" s="163" t="str">
        <f>ResRatio_UPR09</f>
        <v/>
      </c>
    </row>
    <row r="42" spans="1:9" x14ac:dyDescent="0.25">
      <c r="A42" s="117" t="s">
        <v>192</v>
      </c>
      <c r="B42" s="77"/>
      <c r="C42" s="77"/>
      <c r="D42" s="77"/>
      <c r="E42" s="77"/>
      <c r="F42" s="577" t="s">
        <v>315</v>
      </c>
      <c r="G42" s="578">
        <f>update_reserveratios</f>
        <v>2022</v>
      </c>
      <c r="H42" s="163" t="str">
        <f>ResRatio_Loss09</f>
        <v/>
      </c>
    </row>
    <row r="43" spans="1:9" x14ac:dyDescent="0.25">
      <c r="A43" s="117" t="s">
        <v>193</v>
      </c>
      <c r="B43" s="77"/>
      <c r="C43" s="77"/>
      <c r="D43" s="77"/>
      <c r="E43" s="77"/>
      <c r="F43" s="575" t="s">
        <v>315</v>
      </c>
      <c r="G43" s="575"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'6.9Ratemaking Data'!D$14</f>
        <v>20183</v>
      </c>
      <c r="C47" s="228" t="str">
        <f>'6.9Ratemaking Data'!E$14</f>
        <v>20193</v>
      </c>
      <c r="D47" s="228" t="str">
        <f>'6.9Ratemaking Data'!F$14</f>
        <v>20203</v>
      </c>
      <c r="E47" s="228" t="str">
        <f>'6.9Ratemaking Data'!G$14</f>
        <v>20213</v>
      </c>
      <c r="F47" s="228" t="str">
        <f>'6.9Ratemaking Data'!H$14</f>
        <v>20223</v>
      </c>
      <c r="G47" s="228">
        <f>'6.9Ratemaking Data'!I$14</f>
        <v>20233</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Yield*((1-FIT_Inv)/(1-FIT_UW))*ResRatio_Loss09</f>
        <v>#VALUE!</v>
      </c>
    </row>
    <row r="58" spans="1:9" x14ac:dyDescent="0.25">
      <c r="A58" s="117" t="s">
        <v>216</v>
      </c>
      <c r="B58" s="77"/>
      <c r="C58" s="77"/>
      <c r="D58" s="77"/>
      <c r="E58" s="77"/>
      <c r="F58" s="77"/>
      <c r="G58" s="77"/>
      <c r="H58" s="127" t="e">
        <f>Yield*((1-FIT_Inv)/(1-FIT_UW))*(ResRatio_UPR09+SurplusRatio)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IF(New_Program=TRUE,0,(1+Net_AnnualTrend)^MIN(4,((EffDate_Proposed-EffDate_Prior09)/365.25))-1)</f>
        <v>#VALUE!</v>
      </c>
    </row>
    <row r="61" spans="1:9" x14ac:dyDescent="0.25">
      <c r="A61" s="117" t="s">
        <v>205</v>
      </c>
      <c r="B61" s="128"/>
      <c r="C61" s="128"/>
      <c r="D61" s="128"/>
      <c r="E61" s="128"/>
      <c r="F61" s="128"/>
      <c r="G61" s="128"/>
      <c r="H61" s="127" t="e">
        <f>(ROR_Max)/(LevFact_Final09*(1-FIT_UW))</f>
        <v>#VALUE!</v>
      </c>
    </row>
    <row r="62" spans="1:9" x14ac:dyDescent="0.25">
      <c r="A62" s="117" t="s">
        <v>206</v>
      </c>
      <c r="B62" s="77"/>
      <c r="C62" s="77"/>
      <c r="D62" s="77"/>
      <c r="E62" s="77"/>
      <c r="F62" s="77"/>
      <c r="G62" s="77"/>
      <c r="H62" s="127" t="e">
        <f>(ROR_Min)/(LevFact_Final09*(1-FIT_UW))</f>
        <v>#VALUE!</v>
      </c>
    </row>
    <row r="63" spans="1:9" x14ac:dyDescent="0.25">
      <c r="A63" s="117" t="s">
        <v>207</v>
      </c>
      <c r="B63" s="77"/>
      <c r="C63" s="77"/>
      <c r="D63" s="77"/>
      <c r="E63" s="77"/>
      <c r="F63" s="77"/>
      <c r="G63" s="77"/>
      <c r="H63" s="127" t="e">
        <f>1-CredLossDCCE_perExp/Max_Premium-EffStd_Final09</f>
        <v>#VALUE!</v>
      </c>
      <c r="I63" s="204"/>
    </row>
    <row r="64" spans="1:9" x14ac:dyDescent="0.25">
      <c r="A64" s="117" t="s">
        <v>209</v>
      </c>
      <c r="B64" s="77"/>
      <c r="C64" s="77"/>
      <c r="D64" s="77"/>
      <c r="E64" s="77"/>
      <c r="F64" s="77"/>
      <c r="G64" s="77"/>
      <c r="H64" s="129" t="e">
        <f>1-EffStd_Final09-Min_Profit+InvInc_Variable</f>
        <v>#VALUE!</v>
      </c>
      <c r="I64" s="204"/>
    </row>
    <row r="65" spans="1:9" x14ac:dyDescent="0.25">
      <c r="A65" s="117" t="s">
        <v>208</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See Column M of Page '6.9Ratemaking Data' for errors that must be corrected.</v>
      </c>
    </row>
    <row r="70" spans="1:9" ht="5.0999999999999996" hidden="1" customHeight="1" x14ac:dyDescent="0.25"/>
    <row r="71" spans="1:9" ht="15.75" hidden="1" thickBot="1" x14ac:dyDescent="0.3">
      <c r="A71" s="7" t="s">
        <v>231</v>
      </c>
      <c r="B71" s="228" t="str">
        <f>'6.9Ratemaking Data'!D$14</f>
        <v>20183</v>
      </c>
      <c r="C71" s="228" t="str">
        <f>'6.9Ratemaking Data'!E$14</f>
        <v>20193</v>
      </c>
      <c r="D71" s="228" t="str">
        <f>'6.9Ratemaking Data'!F$14</f>
        <v>20203</v>
      </c>
      <c r="E71" s="228" t="str">
        <f>'6.9Ratemaking Data'!G$14</f>
        <v>20213</v>
      </c>
      <c r="F71" s="228" t="str">
        <f>'6.9Ratemaking Data'!H$14</f>
        <v>20223</v>
      </c>
      <c r="G71" s="228">
        <f>'6.9Ratemaking Data'!I$14</f>
        <v>20233</v>
      </c>
    </row>
    <row r="72" spans="1:9" hidden="1" x14ac:dyDescent="0.25">
      <c r="A72" s="114" t="s">
        <v>230</v>
      </c>
      <c r="B72" s="125"/>
      <c r="C72" s="125"/>
      <c r="D72" s="125"/>
      <c r="E72" s="125"/>
      <c r="F72" s="125"/>
      <c r="G72" s="125"/>
      <c r="H72" s="131" t="str">
        <f>IF(ISBLANK('6.9Ratemaking Data'!J44),"",'6.9Ratemaking Data'!J44)</f>
        <v/>
      </c>
    </row>
    <row r="73" spans="1:9" hidden="1" x14ac:dyDescent="0.25">
      <c r="A73" s="117" t="s">
        <v>217</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25">
      <c r="A74" s="117" t="s">
        <v>218</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222</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25" x14ac:dyDescent="0.25">
      <c r="F80" s="662" t="s">
        <v>613</v>
      </c>
      <c r="G80" s="662"/>
      <c r="H80" s="662"/>
    </row>
    <row r="81" spans="1:1" x14ac:dyDescent="0.25">
      <c r="A81" s="132"/>
    </row>
  </sheetData>
  <sheetProtection algorithmName="SHA-512" hashValue="vDSxkDh/uK+XvxWr7pI9KUuSiEN6SlF9FFS5cRAfB7ND26ohCTyW8eSLob6G57xHQ1Cmkd8xYAmnJoxez1i/gA==" saltValue="Vh5z86WY0oZnjsTFOgpkDg=="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29</v>
      </c>
      <c r="E1" s="109" t="s">
        <v>31</v>
      </c>
      <c r="H1" s="110" t="str">
        <f>Co_Name</f>
        <v>State Farm Mutual Automobile Insurance Company</v>
      </c>
    </row>
    <row r="2" spans="1:8" x14ac:dyDescent="0.25">
      <c r="A2" s="7" t="s">
        <v>30</v>
      </c>
      <c r="E2" s="109" t="s">
        <v>32</v>
      </c>
      <c r="H2" s="110" t="str">
        <f>General_Line</f>
        <v>Auto Liability and Physical Damage</v>
      </c>
    </row>
    <row r="3" spans="1:8" x14ac:dyDescent="0.25">
      <c r="E3" s="154" t="s">
        <v>140</v>
      </c>
      <c r="F3" s="77"/>
      <c r="G3" s="77"/>
      <c r="H3" s="160" t="str">
        <f>CDI_FileNo</f>
        <v/>
      </c>
    </row>
    <row r="4" spans="1:8" ht="18" customHeight="1" x14ac:dyDescent="0.25">
      <c r="A4" s="510" t="str">
        <f>IF('6.10Ratemaking Data'!$K$7="","VARIANCE - NONE","VARIANCE "&amp;'6.10Ratemaking Data'!$K$7)</f>
        <v>VARIANCE - NONE</v>
      </c>
    </row>
    <row r="5" spans="1:8" ht="23.25" x14ac:dyDescent="0.25">
      <c r="A5" s="4" t="s">
        <v>661</v>
      </c>
      <c r="B5" s="5"/>
      <c r="C5" s="5"/>
      <c r="D5" s="5"/>
      <c r="E5" s="5"/>
      <c r="F5" s="5"/>
      <c r="G5" s="5"/>
      <c r="H5" s="5"/>
    </row>
    <row r="6" spans="1:8" ht="9.9499999999999993" customHeight="1" x14ac:dyDescent="0.25"/>
    <row r="7" spans="1:8" ht="15" customHeight="1" x14ac:dyDescent="0.25">
      <c r="A7" s="6" t="s">
        <v>1</v>
      </c>
      <c r="H7" s="23" t="str">
        <f>Completed_By</f>
        <v>Laura Campbell</v>
      </c>
    </row>
    <row r="8" spans="1:8" ht="15" customHeight="1" x14ac:dyDescent="0.25">
      <c r="A8" s="6" t="s">
        <v>74</v>
      </c>
      <c r="H8" s="161">
        <f>Completed_Date</f>
        <v>45327.528767013886</v>
      </c>
    </row>
    <row r="9" spans="1:8" ht="15" customHeight="1" x14ac:dyDescent="0.25">
      <c r="A9" s="6" t="s">
        <v>167</v>
      </c>
      <c r="H9" s="161" t="str">
        <f>EffDate_Prior10</f>
        <v/>
      </c>
    </row>
    <row r="10" spans="1:8" ht="15" customHeight="1" x14ac:dyDescent="0.25">
      <c r="A10" s="6" t="s">
        <v>168</v>
      </c>
      <c r="B10" s="52"/>
      <c r="H10" s="161">
        <f>EffDate_Proposed</f>
        <v>45566</v>
      </c>
    </row>
    <row r="11" spans="1:8" ht="15" customHeight="1" x14ac:dyDescent="0.25">
      <c r="A11" s="6" t="s">
        <v>75</v>
      </c>
      <c r="B11" s="52"/>
      <c r="H11" s="23" t="str">
        <f>Detailed_LineDesc10</f>
        <v/>
      </c>
    </row>
    <row r="12" spans="1:8" ht="15" customHeight="1" x14ac:dyDescent="0.25">
      <c r="A12" s="6" t="s">
        <v>76</v>
      </c>
      <c r="B12" s="52"/>
      <c r="H12" s="23" t="str">
        <f>Covg10</f>
        <v/>
      </c>
    </row>
    <row r="13" spans="1:8" ht="15" customHeight="1" x14ac:dyDescent="0.25">
      <c r="H13" s="511"/>
    </row>
    <row r="14" spans="1:8" ht="9.9499999999999993" customHeight="1" x14ac:dyDescent="0.25"/>
    <row r="15" spans="1:8" ht="15.75" thickBot="1" x14ac:dyDescent="0.3">
      <c r="A15" s="7" t="s">
        <v>169</v>
      </c>
      <c r="B15" s="228" t="str">
        <f>'6.10Ratemaking Data'!D$14</f>
        <v>20183</v>
      </c>
      <c r="C15" s="228" t="str">
        <f>'6.10Ratemaking Data'!E$14</f>
        <v>20193</v>
      </c>
      <c r="D15" s="228" t="str">
        <f>'6.10Ratemaking Data'!F$14</f>
        <v>20203</v>
      </c>
      <c r="E15" s="228" t="str">
        <f>'6.10Ratemaking Data'!G$14</f>
        <v>20213</v>
      </c>
      <c r="F15" s="228" t="str">
        <f>'6.10Ratemaking Data'!H$14</f>
        <v>20223</v>
      </c>
      <c r="G15" s="228">
        <f>'6.10Ratemaking Data'!I$14</f>
        <v>20233</v>
      </c>
      <c r="H15" s="91" t="s">
        <v>304</v>
      </c>
    </row>
    <row r="16" spans="1:8" x14ac:dyDescent="0.25">
      <c r="A16" s="114" t="s">
        <v>171</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25">
      <c r="A17" s="117" t="s">
        <v>170</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25">
      <c r="A18" s="117" t="s">
        <v>172</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25">
      <c r="A19" s="117" t="s">
        <v>173</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25">
      <c r="A20" s="117" t="s">
        <v>174</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25">
      <c r="A21" s="117" t="s">
        <v>175</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25">
      <c r="A22" s="117" t="s">
        <v>176</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25">
      <c r="A23" s="117" t="s">
        <v>142</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25">
      <c r="A24" s="117" t="s">
        <v>179</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25">
      <c r="A25" s="117" t="s">
        <v>180</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25">
      <c r="A26" s="117" t="s">
        <v>177</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25">
      <c r="A27" s="117" t="s">
        <v>178</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25">
      <c r="A28" s="117" t="s">
        <v>181</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75" thickBot="1" x14ac:dyDescent="0.3">
      <c r="A29" s="133" t="s">
        <v>186</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75" thickTop="1" x14ac:dyDescent="0.25">
      <c r="A30" s="117" t="s">
        <v>182</v>
      </c>
      <c r="B30" s="122"/>
      <c r="C30" s="122"/>
      <c r="D30" s="122"/>
      <c r="E30" s="122"/>
      <c r="F30" s="122"/>
      <c r="G30" s="122"/>
      <c r="H30" s="127">
        <f>IF(New_Program=TRUE,100%,'6.10Ratemaking Data'!$J$28)</f>
        <v>0</v>
      </c>
    </row>
    <row r="31" spans="1:10" x14ac:dyDescent="0.25">
      <c r="A31" s="117" t="s">
        <v>183</v>
      </c>
      <c r="B31" s="122"/>
      <c r="C31" s="122"/>
      <c r="D31" s="122"/>
      <c r="E31" s="122"/>
      <c r="F31" s="122"/>
      <c r="G31" s="122"/>
      <c r="H31" s="127">
        <f>ExpRatio_Excluded</f>
        <v>1.2466623522765235E-2</v>
      </c>
    </row>
    <row r="32" spans="1:10" x14ac:dyDescent="0.25">
      <c r="A32" s="117" t="s">
        <v>164</v>
      </c>
      <c r="B32" s="122"/>
      <c r="C32" s="122"/>
      <c r="D32" s="122"/>
      <c r="E32" s="122"/>
      <c r="F32" s="122"/>
      <c r="G32" s="122"/>
      <c r="H32" s="127">
        <f>FIT_Inv</f>
        <v>0.19137921840251979</v>
      </c>
    </row>
    <row r="33" spans="1:9" ht="15.75" thickBot="1" x14ac:dyDescent="0.3">
      <c r="A33" s="85" t="s">
        <v>163</v>
      </c>
      <c r="B33" s="123"/>
      <c r="C33" s="123"/>
      <c r="D33" s="123"/>
      <c r="E33" s="123"/>
      <c r="F33" s="123"/>
      <c r="G33" s="123"/>
      <c r="H33" s="124">
        <f>Yield</f>
        <v>0.1033501482576579</v>
      </c>
    </row>
    <row r="34" spans="1:9" ht="5.0999999999999996" customHeight="1" x14ac:dyDescent="0.25"/>
    <row r="35" spans="1:9" ht="15.75" thickBot="1" x14ac:dyDescent="0.3">
      <c r="A35" s="7" t="s">
        <v>187</v>
      </c>
      <c r="E35" s="80"/>
      <c r="F35" s="80"/>
      <c r="G35" s="80"/>
    </row>
    <row r="36" spans="1:9" x14ac:dyDescent="0.25">
      <c r="A36" s="114" t="s">
        <v>165</v>
      </c>
      <c r="B36" s="125"/>
      <c r="C36" s="125"/>
      <c r="D36" s="125"/>
      <c r="E36" s="125"/>
      <c r="F36" s="125"/>
      <c r="G36" s="125"/>
      <c r="H36" s="131">
        <f>FIT_UW</f>
        <v>0.21</v>
      </c>
      <c r="I36" s="77"/>
    </row>
    <row r="37" spans="1:9" x14ac:dyDescent="0.25">
      <c r="A37" s="117" t="s">
        <v>188</v>
      </c>
      <c r="B37" s="77"/>
      <c r="C37" s="77"/>
      <c r="D37" s="77"/>
      <c r="E37" s="77"/>
      <c r="F37" s="577" t="s">
        <v>315</v>
      </c>
      <c r="G37" s="578">
        <f>update_effstd</f>
        <v>2021</v>
      </c>
      <c r="H37" s="127" t="str">
        <f>EffStd_Final10</f>
        <v/>
      </c>
    </row>
    <row r="38" spans="1:9" x14ac:dyDescent="0.25">
      <c r="A38" s="117" t="s">
        <v>189</v>
      </c>
      <c r="B38" s="77"/>
      <c r="C38" s="77"/>
      <c r="D38" s="77"/>
      <c r="E38" s="77"/>
      <c r="F38" s="577" t="s">
        <v>315</v>
      </c>
      <c r="G38" s="578">
        <f>update_leverage</f>
        <v>2022</v>
      </c>
      <c r="H38" s="162" t="str">
        <f>LevFact_Final10</f>
        <v/>
      </c>
    </row>
    <row r="39" spans="1:9" x14ac:dyDescent="0.25">
      <c r="A39" s="117" t="s">
        <v>190</v>
      </c>
      <c r="B39" s="77"/>
      <c r="C39" s="77"/>
      <c r="D39" s="77"/>
      <c r="E39" s="77"/>
      <c r="F39" s="577"/>
      <c r="G39" s="577"/>
      <c r="H39" s="127">
        <f>PremTaxRate</f>
        <v>2.35E-2</v>
      </c>
    </row>
    <row r="40" spans="1:9" x14ac:dyDescent="0.25">
      <c r="A40" s="117" t="s">
        <v>191</v>
      </c>
      <c r="B40" s="77"/>
      <c r="C40" s="77"/>
      <c r="D40" s="77"/>
      <c r="E40" s="77"/>
      <c r="F40" s="577"/>
      <c r="G40" s="579"/>
      <c r="H40" s="163" t="e">
        <f>1/LevFact_Final10</f>
        <v>#VALUE!</v>
      </c>
    </row>
    <row r="41" spans="1:9" x14ac:dyDescent="0.25">
      <c r="A41" s="117" t="s">
        <v>196</v>
      </c>
      <c r="B41" s="77"/>
      <c r="C41" s="77"/>
      <c r="D41" s="77"/>
      <c r="E41" s="77"/>
      <c r="F41" s="577" t="s">
        <v>315</v>
      </c>
      <c r="G41" s="578">
        <f>update_reserveratios</f>
        <v>2022</v>
      </c>
      <c r="H41" s="163" t="str">
        <f>ResRatio_UPR10</f>
        <v/>
      </c>
    </row>
    <row r="42" spans="1:9" x14ac:dyDescent="0.25">
      <c r="A42" s="117" t="s">
        <v>192</v>
      </c>
      <c r="B42" s="77"/>
      <c r="C42" s="77"/>
      <c r="D42" s="77"/>
      <c r="E42" s="77"/>
      <c r="F42" s="577" t="s">
        <v>315</v>
      </c>
      <c r="G42" s="578">
        <f>update_reserveratios</f>
        <v>2022</v>
      </c>
      <c r="H42" s="163" t="str">
        <f>ResRatio_Loss10</f>
        <v/>
      </c>
    </row>
    <row r="43" spans="1:9" x14ac:dyDescent="0.25">
      <c r="A43" s="117" t="s">
        <v>193</v>
      </c>
      <c r="B43" s="77"/>
      <c r="C43" s="77"/>
      <c r="D43" s="77"/>
      <c r="E43" s="77"/>
      <c r="F43" s="575" t="s">
        <v>315</v>
      </c>
      <c r="G43" s="575" t="str">
        <f>ROR_RiskFree_Date</f>
        <v>February 2024</v>
      </c>
      <c r="H43" s="576">
        <f>ROR_RiskFree</f>
        <v>4.6599999999999996E-2</v>
      </c>
      <c r="I43" s="15" t="s">
        <v>728</v>
      </c>
    </row>
    <row r="44" spans="1:9" x14ac:dyDescent="0.25">
      <c r="A44" s="117" t="s">
        <v>195</v>
      </c>
      <c r="B44" s="77"/>
      <c r="C44" s="77"/>
      <c r="D44" s="77"/>
      <c r="E44" s="77"/>
      <c r="F44" s="77"/>
      <c r="G44" s="77"/>
      <c r="H44" s="229">
        <f>ROR_Min</f>
        <v>-0.06</v>
      </c>
      <c r="I44" s="15"/>
    </row>
    <row r="45" spans="1:9" ht="15.75" thickBot="1" x14ac:dyDescent="0.3">
      <c r="A45" s="85" t="s">
        <v>194</v>
      </c>
      <c r="B45" s="123"/>
      <c r="C45" s="123"/>
      <c r="D45" s="123"/>
      <c r="E45" s="123"/>
      <c r="F45" s="123"/>
      <c r="G45" s="123"/>
      <c r="H45" s="230">
        <f>ROR_Max</f>
        <v>0.1066</v>
      </c>
    </row>
    <row r="46" spans="1:9" ht="5.0999999999999996" customHeight="1" x14ac:dyDescent="0.25"/>
    <row r="47" spans="1:9" ht="15.75" thickBot="1" x14ac:dyDescent="0.3">
      <c r="A47" s="7" t="s">
        <v>232</v>
      </c>
      <c r="B47" s="228" t="str">
        <f>'6.10Ratemaking Data'!D$14</f>
        <v>20183</v>
      </c>
      <c r="C47" s="228" t="str">
        <f>'6.10Ratemaking Data'!E$14</f>
        <v>20193</v>
      </c>
      <c r="D47" s="228" t="str">
        <f>'6.10Ratemaking Data'!F$14</f>
        <v>20203</v>
      </c>
      <c r="E47" s="228" t="str">
        <f>'6.10Ratemaking Data'!G$14</f>
        <v>20213</v>
      </c>
      <c r="F47" s="228" t="str">
        <f>'6.10Ratemaking Data'!H$14</f>
        <v>20223</v>
      </c>
      <c r="G47" s="228">
        <f>'6.10Ratemaking Data'!I$14</f>
        <v>20233</v>
      </c>
    </row>
    <row r="48" spans="1:9" x14ac:dyDescent="0.25">
      <c r="A48" s="114" t="s">
        <v>197</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198</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199</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200</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213</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201</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202</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212</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214</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215</v>
      </c>
      <c r="B57" s="77"/>
      <c r="C57" s="77"/>
      <c r="D57" s="77"/>
      <c r="E57" s="77"/>
      <c r="F57" s="77"/>
      <c r="G57" s="77"/>
      <c r="H57" s="127" t="e">
        <f>Yield*((1-FIT_Inv)/(1-FIT_UW))*ResRatio_Loss10</f>
        <v>#VALUE!</v>
      </c>
    </row>
    <row r="58" spans="1:9" x14ac:dyDescent="0.25">
      <c r="A58" s="117" t="s">
        <v>216</v>
      </c>
      <c r="B58" s="77"/>
      <c r="C58" s="77"/>
      <c r="D58" s="77"/>
      <c r="E58" s="77"/>
      <c r="F58" s="77"/>
      <c r="G58" s="77"/>
      <c r="H58" s="127" t="e">
        <f>Yield*((1-FIT_Inv)/(1-FIT_UW))*(ResRatio_UPR10+SurplusRatio)</f>
        <v>#VALUE!</v>
      </c>
    </row>
    <row r="59" spans="1:9" x14ac:dyDescent="0.25">
      <c r="A59" s="117" t="s">
        <v>204</v>
      </c>
      <c r="B59" s="128"/>
      <c r="C59" s="128"/>
      <c r="D59" s="128"/>
      <c r="E59" s="128"/>
      <c r="F59" s="128"/>
      <c r="G59" s="128"/>
      <c r="H59" s="127">
        <f>(1+Loss_AnnualTrend)/(1+Prem_AnnualTrend)-1</f>
        <v>0</v>
      </c>
    </row>
    <row r="60" spans="1:9" x14ac:dyDescent="0.25">
      <c r="A60" s="117" t="s">
        <v>203</v>
      </c>
      <c r="B60" s="128"/>
      <c r="C60" s="128"/>
      <c r="D60" s="128"/>
      <c r="E60" s="128"/>
      <c r="F60" s="128"/>
      <c r="G60" s="128"/>
      <c r="H60" s="127" t="e">
        <f>IF(New_Program=TRUE,0,(1+Net_AnnualTrend)^MIN(4,((EffDate_Proposed-EffDate_Prior10)/365.25))-1)</f>
        <v>#VALUE!</v>
      </c>
    </row>
    <row r="61" spans="1:9" x14ac:dyDescent="0.25">
      <c r="A61" s="117" t="s">
        <v>205</v>
      </c>
      <c r="B61" s="128"/>
      <c r="C61" s="128"/>
      <c r="D61" s="128"/>
      <c r="E61" s="128"/>
      <c r="F61" s="128"/>
      <c r="G61" s="128"/>
      <c r="H61" s="127" t="e">
        <f>(ROR_Max)/(LevFact_Final10*(1-FIT_UW))</f>
        <v>#VALUE!</v>
      </c>
    </row>
    <row r="62" spans="1:9" x14ac:dyDescent="0.25">
      <c r="A62" s="117" t="s">
        <v>206</v>
      </c>
      <c r="B62" s="77"/>
      <c r="C62" s="77"/>
      <c r="D62" s="77"/>
      <c r="E62" s="77"/>
      <c r="F62" s="77"/>
      <c r="G62" s="77"/>
      <c r="H62" s="127" t="e">
        <f>(ROR_Min)/(LevFact_Final10*(1-FIT_UW))</f>
        <v>#VALUE!</v>
      </c>
    </row>
    <row r="63" spans="1:9" x14ac:dyDescent="0.25">
      <c r="A63" s="117" t="s">
        <v>207</v>
      </c>
      <c r="B63" s="77"/>
      <c r="C63" s="77"/>
      <c r="D63" s="77"/>
      <c r="E63" s="77"/>
      <c r="F63" s="77"/>
      <c r="G63" s="77"/>
      <c r="H63" s="127" t="e">
        <f>1-CredLossDCCE_perExp/Max_Premium-EffStd_Final10</f>
        <v>#VALUE!</v>
      </c>
      <c r="I63" s="204"/>
    </row>
    <row r="64" spans="1:9" x14ac:dyDescent="0.25">
      <c r="A64" s="117" t="s">
        <v>209</v>
      </c>
      <c r="B64" s="77"/>
      <c r="C64" s="77"/>
      <c r="D64" s="77"/>
      <c r="E64" s="77"/>
      <c r="F64" s="77"/>
      <c r="G64" s="77"/>
      <c r="H64" s="129" t="e">
        <f>1-EffStd_Final10-Min_Profit+InvInc_Variable</f>
        <v>#VALUE!</v>
      </c>
      <c r="I64" s="204"/>
    </row>
    <row r="65" spans="1:9" x14ac:dyDescent="0.25">
      <c r="A65" s="117" t="s">
        <v>208</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25">
      <c r="A66" s="117" t="s">
        <v>211</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210</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233</v>
      </c>
      <c r="B68" s="77"/>
      <c r="C68" s="77"/>
      <c r="D68" s="77"/>
      <c r="E68" s="77"/>
      <c r="F68" s="77"/>
      <c r="G68" s="77"/>
      <c r="H68" s="232" t="str">
        <f>IF(AND(I65="",I66="",I67="",I68="",I69=""),(Min_Premium-Prem_Current)/Prem_Current,"Error")</f>
        <v>Error</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234</v>
      </c>
      <c r="B69" s="123"/>
      <c r="C69" s="123"/>
      <c r="D69" s="123"/>
      <c r="E69" s="123"/>
      <c r="F69" s="123"/>
      <c r="G69" s="123"/>
      <c r="H69" s="231" t="str">
        <f>IF(AND(I65="",I66="",I67="",I68="",I69=""),(Max_Premium-Prem_Current)/Prem_Current, "Error")</f>
        <v>Error</v>
      </c>
      <c r="I69" s="396" t="str">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See Column M of Page '6.10Ratemaking Data' for errors that must be corrected.</v>
      </c>
    </row>
    <row r="70" spans="1:9" ht="5.0999999999999996" hidden="1" customHeight="1" x14ac:dyDescent="0.25"/>
    <row r="71" spans="1:9" ht="15.75" hidden="1" thickBot="1" x14ac:dyDescent="0.3">
      <c r="A71" s="7" t="s">
        <v>231</v>
      </c>
      <c r="B71" s="228" t="str">
        <f>'6.10Ratemaking Data'!D$14</f>
        <v>20183</v>
      </c>
      <c r="C71" s="228" t="str">
        <f>'6.10Ratemaking Data'!E$14</f>
        <v>20193</v>
      </c>
      <c r="D71" s="228" t="str">
        <f>'6.10Ratemaking Data'!F$14</f>
        <v>20203</v>
      </c>
      <c r="E71" s="228" t="str">
        <f>'6.10Ratemaking Data'!G$14</f>
        <v>20213</v>
      </c>
      <c r="F71" s="228" t="str">
        <f>'6.10Ratemaking Data'!H$14</f>
        <v>20223</v>
      </c>
      <c r="G71" s="228">
        <f>'6.10Ratemaking Data'!I$14</f>
        <v>20233</v>
      </c>
    </row>
    <row r="72" spans="1:9" hidden="1" x14ac:dyDescent="0.25">
      <c r="A72" s="114" t="s">
        <v>230</v>
      </c>
      <c r="B72" s="125"/>
      <c r="C72" s="125"/>
      <c r="D72" s="125"/>
      <c r="E72" s="125"/>
      <c r="F72" s="125"/>
      <c r="G72" s="125"/>
      <c r="H72" s="131" t="str">
        <f>IF(ISBLANK('6.10Ratemaking Data'!J44),"",'6.10Ratemaking Data'!J44)</f>
        <v/>
      </c>
    </row>
    <row r="73" spans="1:9" hidden="1" x14ac:dyDescent="0.25">
      <c r="A73" s="117" t="s">
        <v>217</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25">
      <c r="A74" s="117" t="s">
        <v>218</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25">
      <c r="A75" s="117" t="s">
        <v>219</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220</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221</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444" t="s">
        <v>651</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223</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25" x14ac:dyDescent="0.25">
      <c r="F80" s="661" t="s">
        <v>612</v>
      </c>
      <c r="G80" s="661"/>
      <c r="H80" s="661"/>
    </row>
    <row r="81" spans="1:1" x14ac:dyDescent="0.25">
      <c r="A81" s="132"/>
    </row>
  </sheetData>
  <sheetProtection algorithmName="SHA-512" hashValue="Z0/oZQG8SgXWO0mEUmD6y8NY+rN5LbBjgd3MJcb7ZZTfuxU0zP8WpKl+ZE4bJ8Rt7z0QR4iE9gRlMuGIbreiEA==" saltValue="H2VOfe0Uv4k9ZX+9p1uCjw=="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7.10&amp;L11/9/2023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Detailed_LineDesc01</f>
        <v>Private Passenger Auto Liability</v>
      </c>
      <c r="F7" s="6" t="s">
        <v>1</v>
      </c>
      <c r="H7" s="13" t="str">
        <f>Completed_By</f>
        <v>Laura Campbell</v>
      </c>
      <c r="I7" s="216"/>
    </row>
    <row r="8" spans="1:16" x14ac:dyDescent="0.25">
      <c r="A8" s="6" t="s">
        <v>76</v>
      </c>
      <c r="D8" s="6" t="str">
        <f>Covg01</f>
        <v>BIPD</v>
      </c>
      <c r="F8" s="6" t="s">
        <v>74</v>
      </c>
      <c r="H8" s="52">
        <f>Completed_Date</f>
        <v>45327.528767013886</v>
      </c>
      <c r="I8" s="217"/>
      <c r="J8" s="156"/>
    </row>
    <row r="9" spans="1:16" x14ac:dyDescent="0.25">
      <c r="A9" s="6" t="s">
        <v>167</v>
      </c>
      <c r="D9" s="52">
        <f>EffDate_Prior01</f>
        <v>45348</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"&amp;Detailed_LineCode01&amp;" Industry P&amp;C"</f>
        <v>Total 2022 Line 19.2 Industry P&amp;C</v>
      </c>
      <c r="N20" s="153" t="s">
        <v>254</v>
      </c>
    </row>
    <row r="21" spans="1:16" ht="17.25" x14ac:dyDescent="0.25">
      <c r="A21" s="137"/>
      <c r="B21" s="137"/>
      <c r="I21" s="214"/>
      <c r="K21" s="117"/>
      <c r="L21" s="6" t="s">
        <v>287</v>
      </c>
      <c r="M21" s="14">
        <f ca="1">VLOOKUP(Detailed_LineCode01,Table_IncdLossDCCE,2,FALSE)</f>
        <v>110934749</v>
      </c>
      <c r="N21" s="148" t="e">
        <f>VLOOKUP($G$17,$L$16:$N$18,3,FALSE)</f>
        <v>#N/A</v>
      </c>
    </row>
    <row r="22" spans="1:16" ht="18" customHeight="1" thickBot="1" x14ac:dyDescent="0.3">
      <c r="A22" s="137"/>
      <c r="B22" s="81" t="s">
        <v>252</v>
      </c>
      <c r="C22" s="6" t="s">
        <v>297</v>
      </c>
      <c r="G22" s="593" t="e">
        <f>IF(ISBLANK($G$15),NA(),'7.1Rate Change Calculation'!Projected '7.1Rate Change Calculation'!Max_Premium/(('7.1Rate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VLOOKUP(Detailed_LineCode01,Table_IncdLossDCCE,3,FALSE)</f>
        <v>4913766</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ht="15" customHeight="1"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41" t="s">
        <v>730</v>
      </c>
      <c r="D37" s="641"/>
      <c r="E37" s="641"/>
      <c r="G37" s="190"/>
      <c r="I37" s="214"/>
      <c r="O37" s="11"/>
    </row>
    <row r="38" spans="1:16" x14ac:dyDescent="0.25">
      <c r="B38" s="81"/>
      <c r="C38" s="6" t="s">
        <v>731</v>
      </c>
      <c r="D38" s="164"/>
      <c r="E38" s="164"/>
      <c r="G38" s="598"/>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IF(OR(ISBLANK(Curr_LCM),ISBLANK(LossCost_PctChg_Co)),NA(),(1+'7.1Rate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urQbWmMBkg0T127QvrUJ5YH/rThsmRPNA4V21XI78gmy3IM/OOTDE6+rObj4X8W4vP4rT5EVh+8Eyqmivhs9ng==" saltValue="zxclqQQDV4sRXnYCBDqwKQ=="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Detailed_LineDesc02</f>
        <v>Private Passenger Auto Liability</v>
      </c>
      <c r="F7" s="6" t="s">
        <v>1</v>
      </c>
      <c r="H7" s="13" t="str">
        <f>Completed_By</f>
        <v>Laura Campbell</v>
      </c>
      <c r="I7" s="216"/>
    </row>
    <row r="8" spans="1:16" x14ac:dyDescent="0.25">
      <c r="A8" s="6" t="s">
        <v>76</v>
      </c>
      <c r="D8" s="6" t="str">
        <f>Covg02</f>
        <v>MPC</v>
      </c>
      <c r="F8" s="6" t="s">
        <v>74</v>
      </c>
      <c r="H8" s="52">
        <f>Completed_Date</f>
        <v>45327.528767013886</v>
      </c>
      <c r="I8" s="217"/>
      <c r="J8" s="156"/>
    </row>
    <row r="9" spans="1:16" x14ac:dyDescent="0.25">
      <c r="A9" s="6" t="s">
        <v>167</v>
      </c>
      <c r="D9" s="52">
        <f>EffDate_Prior02</f>
        <v>45348</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"&amp;Detailed_LineCode02&amp;" Industry P&amp;C"</f>
        <v>Total 2022 Line 19.2 Industry P&amp;C</v>
      </c>
      <c r="N20" s="153" t="s">
        <v>254</v>
      </c>
    </row>
    <row r="21" spans="1:16" ht="17.25" x14ac:dyDescent="0.25">
      <c r="A21" s="137"/>
      <c r="B21" s="137"/>
      <c r="I21" s="214"/>
      <c r="K21" s="117"/>
      <c r="L21" s="6" t="s">
        <v>287</v>
      </c>
      <c r="M21" s="14">
        <f ca="1">VLOOKUP(Detailed_LineCode02,Table_IncdLossDCCE,2,FALSE)</f>
        <v>110934749</v>
      </c>
      <c r="N21" s="148" t="e">
        <f>VLOOKUP($G$17,$L$16:$N$18,3,FALSE)</f>
        <v>#N/A</v>
      </c>
    </row>
    <row r="22" spans="1:16" ht="18" customHeight="1" thickBot="1" x14ac:dyDescent="0.3">
      <c r="A22" s="137"/>
      <c r="B22" s="81" t="s">
        <v>252</v>
      </c>
      <c r="C22" s="6" t="s">
        <v>297</v>
      </c>
      <c r="G22" s="593" t="e">
        <f>IF(ISBLANK($G$15),NA(),'7.2Rate Change Calculation'!Projected '7.2Rate Change Calculation'!Max_Premium/(('7.2Rate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VLOOKUP(Detailed_LineCode02,Table_IncdLossDCCE,3,FALSE)</f>
        <v>4913766</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IF(OR(ISBLANK(Curr_LCM),ISBLANK(LossCost_PctChg_Co)),NA(),(1+'7.2Rate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6AyHnlOAUHXUq+nvJYcHzj8oyB4vU/j+7+O+IxIFIs9Qvcw0sISRLn5TqOrCXTsw0llRWqacxwbxlx2RZe7ekw==" saltValue="H8F6hSgsudWHkW0PNE3/P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Detailed_LineDesc03</f>
        <v>Private Passenger Auto Liability</v>
      </c>
      <c r="F7" s="6" t="s">
        <v>1</v>
      </c>
      <c r="H7" s="13" t="str">
        <f>Completed_By</f>
        <v>Laura Campbell</v>
      </c>
      <c r="I7" s="216"/>
    </row>
    <row r="8" spans="1:16" x14ac:dyDescent="0.25">
      <c r="A8" s="6" t="s">
        <v>76</v>
      </c>
      <c r="D8" s="6" t="str">
        <f>Covg03</f>
        <v>UM</v>
      </c>
      <c r="F8" s="6" t="s">
        <v>74</v>
      </c>
      <c r="H8" s="52">
        <f>Completed_Date</f>
        <v>45327.528767013886</v>
      </c>
      <c r="I8" s="217"/>
      <c r="J8" s="156"/>
    </row>
    <row r="9" spans="1:16" x14ac:dyDescent="0.25">
      <c r="A9" s="6" t="s">
        <v>167</v>
      </c>
      <c r="D9" s="52">
        <f>EffDate_Prior03</f>
        <v>45348</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"&amp;Detailed_LineCode03&amp;" Industry P&amp;C"</f>
        <v>Total 2022 Line 19.2 Industry P&amp;C</v>
      </c>
      <c r="N20" s="153" t="s">
        <v>254</v>
      </c>
    </row>
    <row r="21" spans="1:16" ht="17.25" x14ac:dyDescent="0.25">
      <c r="A21" s="137"/>
      <c r="B21" s="137"/>
      <c r="I21" s="214"/>
      <c r="K21" s="117"/>
      <c r="L21" s="6" t="s">
        <v>287</v>
      </c>
      <c r="M21" s="14">
        <f ca="1">VLOOKUP(Detailed_LineCode03,Table_IncdLossDCCE,2,FALSE)</f>
        <v>110934749</v>
      </c>
      <c r="N21" s="148" t="e">
        <f>VLOOKUP($G$17,$L$16:$N$18,3,FALSE)</f>
        <v>#N/A</v>
      </c>
    </row>
    <row r="22" spans="1:16" ht="18" customHeight="1" thickBot="1" x14ac:dyDescent="0.3">
      <c r="A22" s="137"/>
      <c r="B22" s="81" t="s">
        <v>252</v>
      </c>
      <c r="C22" s="6" t="s">
        <v>297</v>
      </c>
      <c r="G22" s="593" t="e">
        <f>IF(ISBLANK($G$15),NA(),'7.3Rate Change Calculation'!Projected '7.3Rate Change Calculation'!Max_Premium/(('7.3Rate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VLOOKUP(Detailed_LineCode03,Table_IncdLossDCCE,3,FALSE)</f>
        <v>4913766</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IF(OR(ISBLANK(Curr_LCM),ISBLANK(LossCost_PctChg_Co)),NA(),(1+'7.3Rate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ztQhtoJ2b1KAhbiiss2gR8dMqkqUyiUkmHyP1xLy+5ffiVkegrwDQcStfNIPPJjsFkrVgdUMVhJHTliw1hwzgg==" saltValue="RtgursTFTDav3Hrzd54em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Detailed_LineDesc04</f>
        <v>Private Passenger Auto Physical Damage</v>
      </c>
      <c r="F7" s="6" t="s">
        <v>1</v>
      </c>
      <c r="H7" s="13" t="str">
        <f>Completed_By</f>
        <v>Laura Campbell</v>
      </c>
      <c r="I7" s="216"/>
    </row>
    <row r="8" spans="1:16" x14ac:dyDescent="0.25">
      <c r="A8" s="6" t="s">
        <v>76</v>
      </c>
      <c r="D8" s="6" t="str">
        <f>Covg04</f>
        <v>COMP</v>
      </c>
      <c r="F8" s="6" t="s">
        <v>74</v>
      </c>
      <c r="H8" s="52">
        <f>Completed_Date</f>
        <v>45327.528767013886</v>
      </c>
      <c r="I8" s="217"/>
      <c r="J8" s="156"/>
    </row>
    <row r="9" spans="1:16" x14ac:dyDescent="0.25">
      <c r="A9" s="6" t="s">
        <v>167</v>
      </c>
      <c r="D9" s="52">
        <f>EffDate_Prior04</f>
        <v>45348</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"&amp;Detailed_LineCode04&amp;" Industry P&amp;C"</f>
        <v>Total 2022 Line 21.1 Industry P&amp;C</v>
      </c>
      <c r="N20" s="153" t="s">
        <v>254</v>
      </c>
    </row>
    <row r="21" spans="1:16" ht="17.25" x14ac:dyDescent="0.25">
      <c r="A21" s="137"/>
      <c r="B21" s="137"/>
      <c r="I21" s="214"/>
      <c r="K21" s="117"/>
      <c r="L21" s="6" t="s">
        <v>287</v>
      </c>
      <c r="M21" s="14">
        <f ca="1">VLOOKUP(Detailed_LineCode04,Table_IncdLossDCCE,2,FALSE)</f>
        <v>94168636</v>
      </c>
      <c r="N21" s="148" t="e">
        <f>VLOOKUP($G$17,$L$16:$N$18,3,FALSE)</f>
        <v>#N/A</v>
      </c>
    </row>
    <row r="22" spans="1:16" ht="18" customHeight="1" thickBot="1" x14ac:dyDescent="0.3">
      <c r="A22" s="137"/>
      <c r="B22" s="81" t="s">
        <v>252</v>
      </c>
      <c r="C22" s="6" t="s">
        <v>297</v>
      </c>
      <c r="G22" s="593" t="e">
        <f>IF(ISBLANK($G$15),NA(),'7.4Rate Change Calculation'!Projected '7.4Rate Change Calculation'!Max_Premium/(('7.4Rate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VLOOKUP(Detailed_LineCode04,Table_IncdLossDCCE,3,FALSE)</f>
        <v>362329</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IF(OR(ISBLANK(Curr_LCM),ISBLANK(LossCost_PctChg_Co)),NA(),(1+'7.4Rate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ZIXaM0+UdUMbSaAGG8GJnH1zIiifp6l4jcZs687Vz3hRXFReFTAmjao2WCj316mVsF3+nmFtpcp/1CgsLwTcsw==" saltValue="6qYdHubldJpDXswxxv5kV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Detailed_LineDesc05</f>
        <v>Private Passenger Auto Physical Damage</v>
      </c>
      <c r="F7" s="6" t="s">
        <v>1</v>
      </c>
      <c r="H7" s="13" t="str">
        <f>Completed_By</f>
        <v>Laura Campbell</v>
      </c>
      <c r="I7" s="216"/>
    </row>
    <row r="8" spans="1:16" x14ac:dyDescent="0.25">
      <c r="A8" s="6" t="s">
        <v>76</v>
      </c>
      <c r="D8" s="6" t="str">
        <f>Covg05</f>
        <v>COLL</v>
      </c>
      <c r="F8" s="6" t="s">
        <v>74</v>
      </c>
      <c r="H8" s="52">
        <f>Completed_Date</f>
        <v>45327.528767013886</v>
      </c>
      <c r="I8" s="217"/>
      <c r="J8" s="156"/>
    </row>
    <row r="9" spans="1:16" x14ac:dyDescent="0.25">
      <c r="A9" s="6" t="s">
        <v>167</v>
      </c>
      <c r="D9" s="52">
        <f>EffDate_Prior05</f>
        <v>45348</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"&amp;Detailed_LineCode05&amp;" Industry P&amp;C"</f>
        <v>Total 2022 Line 21.1 Industry P&amp;C</v>
      </c>
      <c r="N20" s="153" t="s">
        <v>254</v>
      </c>
    </row>
    <row r="21" spans="1:16" ht="17.25" x14ac:dyDescent="0.25">
      <c r="A21" s="137"/>
      <c r="B21" s="137"/>
      <c r="I21" s="214"/>
      <c r="K21" s="117"/>
      <c r="L21" s="6" t="s">
        <v>287</v>
      </c>
      <c r="M21" s="14">
        <f ca="1">VLOOKUP(Detailed_LineCode05,Table_IncdLossDCCE,2,FALSE)</f>
        <v>94168636</v>
      </c>
      <c r="N21" s="148" t="e">
        <f>VLOOKUP($G$17,$L$16:$N$18,3,FALSE)</f>
        <v>#N/A</v>
      </c>
    </row>
    <row r="22" spans="1:16" ht="18" customHeight="1" thickBot="1" x14ac:dyDescent="0.3">
      <c r="A22" s="137"/>
      <c r="B22" s="81" t="s">
        <v>252</v>
      </c>
      <c r="C22" s="6" t="s">
        <v>297</v>
      </c>
      <c r="G22" s="593" t="e">
        <f>IF(ISBLANK($G$15),NA(),'7.5Rate Change Calculation'!Projected '7.5Rate Change Calculation'!Max_Premium/(('7.5Rate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VLOOKUP(Detailed_LineCode05,Table_IncdLossDCCE,3,FALSE)</f>
        <v>362329</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IF(OR(ISBLANK(Curr_LCM),ISBLANK(LossCost_PctChg_Co)),NA(),(1+'7.5Rate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SIWS3T2+KA9kdsOdDNET7Ae8vGvPCtkwNtpmUkMpzjDU6zRTQBA8gbK9cq5Bzx0+WgjvQqrKwIoI8Pdu7wtwkA==" saltValue="VTT0NfZ1rJ4qpEw234f8U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Detailed_LineDesc06</f>
        <v>Private Passenger Auto Physical Damage</v>
      </c>
      <c r="F7" s="6" t="s">
        <v>1</v>
      </c>
      <c r="H7" s="13" t="str">
        <f>Completed_By</f>
        <v>Laura Campbell</v>
      </c>
      <c r="I7" s="216"/>
    </row>
    <row r="8" spans="1:16" x14ac:dyDescent="0.25">
      <c r="A8" s="6" t="s">
        <v>76</v>
      </c>
      <c r="D8" s="6" t="str">
        <f>Covg06</f>
        <v>Misc. Damage</v>
      </c>
      <c r="F8" s="6" t="s">
        <v>74</v>
      </c>
      <c r="H8" s="52">
        <f>Completed_Date</f>
        <v>45327.528767013886</v>
      </c>
      <c r="I8" s="217"/>
      <c r="J8" s="156"/>
    </row>
    <row r="9" spans="1:16" x14ac:dyDescent="0.25">
      <c r="A9" s="6" t="s">
        <v>167</v>
      </c>
      <c r="D9" s="52">
        <f>EffDate_Prior06</f>
        <v>45348</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"&amp;Detailed_LineCode06&amp;" Industry P&amp;C"</f>
        <v>Total 2022 Line 21.1 Industry P&amp;C</v>
      </c>
      <c r="N20" s="153" t="s">
        <v>254</v>
      </c>
    </row>
    <row r="21" spans="1:16" ht="17.25" x14ac:dyDescent="0.25">
      <c r="A21" s="137"/>
      <c r="B21" s="137"/>
      <c r="I21" s="214"/>
      <c r="K21" s="117"/>
      <c r="L21" s="6" t="s">
        <v>287</v>
      </c>
      <c r="M21" s="14">
        <f ca="1">VLOOKUP(Detailed_LineCode06,Table_IncdLossDCCE,2,FALSE)</f>
        <v>94168636</v>
      </c>
      <c r="N21" s="148" t="e">
        <f>VLOOKUP($G$17,$L$16:$N$18,3,FALSE)</f>
        <v>#N/A</v>
      </c>
    </row>
    <row r="22" spans="1:16" ht="18" customHeight="1" thickBot="1" x14ac:dyDescent="0.3">
      <c r="A22" s="137"/>
      <c r="B22" s="81" t="s">
        <v>252</v>
      </c>
      <c r="C22" s="6" t="s">
        <v>297</v>
      </c>
      <c r="G22" s="593" t="e">
        <f>IF(ISBLANK($G$15),NA(),'7.6Rate Change Calculation'!Projected '7.6Rate Change Calculation'!Max_Premium/(('7.6Rate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VLOOKUP(Detailed_LineCode06,Table_IncdLossDCCE,3,FALSE)</f>
        <v>362329</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IF(OR(ISBLANK(Curr_LCM),ISBLANK(LossCost_PctChg_Co)),NA(),(1+'7.6Rate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R9HBg8EIaNV95G0r0p958P+oDCH8XOk9jzRs4wL/GAt6T+aHTKGOZVCSydRQ7KwoM2JHRPnQbJdsb6ugXXBIdg==" saltValue="Lb3QFVaJ3Qcu4VqMyXoK8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Detailed_LineDesc07</f>
        <v>Private Passenger Auto Liability</v>
      </c>
      <c r="F7" s="6" t="s">
        <v>1</v>
      </c>
      <c r="H7" s="13" t="str">
        <f>Completed_By</f>
        <v>Laura Campbell</v>
      </c>
      <c r="I7" s="216"/>
    </row>
    <row r="8" spans="1:16" x14ac:dyDescent="0.25">
      <c r="A8" s="6" t="s">
        <v>76</v>
      </c>
      <c r="D8" s="6" t="str">
        <f>Covg07</f>
        <v>Misc. Liability</v>
      </c>
      <c r="F8" s="6" t="s">
        <v>74</v>
      </c>
      <c r="H8" s="52">
        <f>Completed_Date</f>
        <v>45327.528767013886</v>
      </c>
      <c r="I8" s="217"/>
      <c r="J8" s="156"/>
    </row>
    <row r="9" spans="1:16" x14ac:dyDescent="0.25">
      <c r="A9" s="6" t="s">
        <v>167</v>
      </c>
      <c r="D9" s="52">
        <f>EffDate_Prior07</f>
        <v>45348</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 ca="1">"Total "&amp;'Incurred Loss &amp; DCCE'!$B$5&amp;" Line "&amp;Detailed_LineCode07&amp;" Industry P&amp;C"</f>
        <v>Total 2022 Line 19.2 Industry P&amp;C</v>
      </c>
      <c r="N20" s="153" t="s">
        <v>254</v>
      </c>
    </row>
    <row r="21" spans="1:16" ht="17.25" x14ac:dyDescent="0.25">
      <c r="A21" s="137"/>
      <c r="B21" s="137"/>
      <c r="I21" s="214"/>
      <c r="K21" s="117"/>
      <c r="L21" s="6" t="s">
        <v>287</v>
      </c>
      <c r="M21" s="14">
        <f ca="1">VLOOKUP(Detailed_LineCode07,Table_IncdLossDCCE,2,FALSE)</f>
        <v>110934749</v>
      </c>
      <c r="N21" s="148" t="e">
        <f>VLOOKUP($G$17,$L$16:$N$18,3,FALSE)</f>
        <v>#N/A</v>
      </c>
    </row>
    <row r="22" spans="1:16" ht="18" customHeight="1" thickBot="1" x14ac:dyDescent="0.3">
      <c r="A22" s="137"/>
      <c r="B22" s="81" t="s">
        <v>252</v>
      </c>
      <c r="C22" s="6" t="s">
        <v>297</v>
      </c>
      <c r="G22" s="593" t="e">
        <f>IF(ISBLANK($G$15),NA(),'7.7Rate Change Calculation'!Projected '7.7Rate Change Calculation'!Max_Premium/(('7.7Rate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f ca="1">VLOOKUP(Detailed_LineCode07,Table_IncdLossDCCE,3,FALSE)</f>
        <v>4913766</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IF(OR(ISBLANK(Curr_LCM),ISBLANK(LossCost_PctChg_Co)),NA(),(1+'7.7Rate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n5QrLusKFCFxp1f69HFC/aYMj13+HZS+Bw2TkneN620Odlc2CB0o0O+FBEKr6KLebtsMOgFI2Tfx1GKAivBpJw==" saltValue="Yk0d7SLz9ST+NiXnuBDq6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Detailed_LineDesc08</f>
        <v/>
      </c>
      <c r="F7" s="6" t="s">
        <v>1</v>
      </c>
      <c r="H7" s="13" t="str">
        <f>Completed_By</f>
        <v>Laura Campbell</v>
      </c>
      <c r="I7" s="216"/>
    </row>
    <row r="8" spans="1:16" x14ac:dyDescent="0.25">
      <c r="A8" s="6" t="s">
        <v>76</v>
      </c>
      <c r="D8" s="6" t="str">
        <f>Covg08</f>
        <v/>
      </c>
      <c r="F8" s="6" t="s">
        <v>74</v>
      </c>
      <c r="H8" s="52">
        <f>Completed_Date</f>
        <v>45327.528767013886</v>
      </c>
      <c r="I8" s="217"/>
      <c r="J8" s="156"/>
    </row>
    <row r="9" spans="1:16" x14ac:dyDescent="0.25">
      <c r="A9" s="6" t="s">
        <v>167</v>
      </c>
      <c r="D9" s="52" t="str">
        <f>EffDate_Prior08</f>
        <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"&amp;Detailed_LineCode08&amp;" Industry P&amp;C"</f>
        <v>Total 2022 Line  Industry P&amp;C</v>
      </c>
      <c r="N20" s="153" t="s">
        <v>254</v>
      </c>
    </row>
    <row r="21" spans="1:16" ht="17.25" x14ac:dyDescent="0.25">
      <c r="A21" s="137"/>
      <c r="B21" s="137"/>
      <c r="I21" s="214"/>
      <c r="K21" s="117"/>
      <c r="L21" s="6" t="s">
        <v>287</v>
      </c>
      <c r="M21" s="14" t="e">
        <f>VLOOKUP(Detailed_LineCode08,Table_IncdLossDCCE,2,FALSE)</f>
        <v>#N/A</v>
      </c>
      <c r="N21" s="148" t="e">
        <f>VLOOKUP($G$17,$L$16:$N$18,3,FALSE)</f>
        <v>#N/A</v>
      </c>
    </row>
    <row r="22" spans="1:16" ht="18" customHeight="1" thickBot="1" x14ac:dyDescent="0.3">
      <c r="A22" s="137"/>
      <c r="B22" s="81" t="s">
        <v>252</v>
      </c>
      <c r="C22" s="6" t="s">
        <v>297</v>
      </c>
      <c r="G22" s="593" t="e">
        <f>IF(ISBLANK($G$15),NA(),'7.8Rate Change Calculation'!Projected '7.8Rate Change Calculation'!Max_Premium/(('7.8Rate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VLOOKUP(Detailed_LineCode08,Table_IncdLossDCCE,3,FALSE)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IF(OR(ISBLANK(Curr_LCM),ISBLANK(LossCost_PctChg_Co)),NA(),(1+'7.8Rate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KTzGh53GFDc6/M4O5tsuXtBbTEJJmg8HO68rKgjKI9RhknSXW7mM1SbTjIzwxDm5FQ+PeugRWAjf3Sx2Tu+hmQ==" saltValue="mr4hCsijRYNtqG1bF6ETt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Detailed_LineDesc09</f>
        <v/>
      </c>
      <c r="F7" s="6" t="s">
        <v>1</v>
      </c>
      <c r="H7" s="13" t="str">
        <f>Completed_By</f>
        <v>Laura Campbell</v>
      </c>
      <c r="I7" s="216"/>
    </row>
    <row r="8" spans="1:16" x14ac:dyDescent="0.25">
      <c r="A8" s="6" t="s">
        <v>76</v>
      </c>
      <c r="D8" s="6" t="str">
        <f>Covg09</f>
        <v/>
      </c>
      <c r="F8" s="6" t="s">
        <v>74</v>
      </c>
      <c r="H8" s="52">
        <f>Completed_Date</f>
        <v>45327.528767013886</v>
      </c>
      <c r="I8" s="217"/>
      <c r="J8" s="156"/>
    </row>
    <row r="9" spans="1:16" x14ac:dyDescent="0.25">
      <c r="A9" s="6" t="s">
        <v>167</v>
      </c>
      <c r="D9" s="52" t="str">
        <f>EffDate_Prior09</f>
        <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"&amp;Detailed_LineCode09&amp;" Industry P&amp;C"</f>
        <v>Total 2022 Line  Industry P&amp;C</v>
      </c>
      <c r="N20" s="153" t="s">
        <v>254</v>
      </c>
    </row>
    <row r="21" spans="1:16" ht="17.25" x14ac:dyDescent="0.25">
      <c r="A21" s="137"/>
      <c r="B21" s="137"/>
      <c r="I21" s="214"/>
      <c r="K21" s="117"/>
      <c r="L21" s="6" t="s">
        <v>287</v>
      </c>
      <c r="M21" s="14" t="e">
        <f>VLOOKUP(Detailed_LineCode09,Table_IncdLossDCCE,2,FALSE)</f>
        <v>#N/A</v>
      </c>
      <c r="N21" s="148" t="e">
        <f>VLOOKUP($G$17,$L$16:$N$18,3,FALSE)</f>
        <v>#N/A</v>
      </c>
    </row>
    <row r="22" spans="1:16" ht="18" customHeight="1" thickBot="1" x14ac:dyDescent="0.3">
      <c r="A22" s="137"/>
      <c r="B22" s="81" t="s">
        <v>252</v>
      </c>
      <c r="C22" s="6" t="s">
        <v>297</v>
      </c>
      <c r="G22" s="593" t="e">
        <f>IF(ISBLANK($G$15),NA(),'7.9Rate Change Calculation'!Projected '7.9Rate Change Calculation'!Max_Premium/(('7.9Rate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VLOOKUP(Detailed_LineCode09,Table_IncdLossDCCE,3,FALSE)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IF(OR(ISBLANK(Curr_LCM),ISBLANK(LossCost_PctChg_Co)),NA(),(1+'7.9Rate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zcCTbTlL5QP4d5l2Np7En7Azk131E/rE5ZHHb4//JBEmcpD58CYW6zvIUW1CAR96SwVICPVPVQ5ZL4JDMYFCVA==" saltValue="c0JI9kt4LINp57Uuoh5Ic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29</v>
      </c>
      <c r="B1" s="7"/>
      <c r="C1" s="7"/>
      <c r="E1" s="109" t="s">
        <v>31</v>
      </c>
      <c r="F1" s="109"/>
      <c r="G1" s="109"/>
      <c r="H1" s="110" t="str">
        <f>Co_Name</f>
        <v>State Farm Mutual Automobile Insurance Company</v>
      </c>
      <c r="I1" s="74" t="s">
        <v>708</v>
      </c>
      <c r="J1" s="7"/>
    </row>
    <row r="2" spans="1:16" x14ac:dyDescent="0.25">
      <c r="A2" s="7" t="s">
        <v>30</v>
      </c>
      <c r="B2" s="7"/>
      <c r="C2" s="7"/>
      <c r="E2" s="109" t="s">
        <v>32</v>
      </c>
      <c r="F2" s="109"/>
      <c r="G2" s="109"/>
      <c r="H2" s="110" t="str">
        <f>General_Line</f>
        <v>Auto Liability and Physical Damage</v>
      </c>
      <c r="I2" s="176" t="s">
        <v>111</v>
      </c>
      <c r="J2" s="7"/>
    </row>
    <row r="3" spans="1:16" x14ac:dyDescent="0.25">
      <c r="B3" s="156"/>
      <c r="E3" s="201" t="s">
        <v>138</v>
      </c>
      <c r="F3" s="201"/>
      <c r="G3" s="201"/>
      <c r="H3" s="160" t="str">
        <f>CDI_FileNo</f>
        <v/>
      </c>
      <c r="I3" s="75"/>
    </row>
    <row r="4" spans="1:16" ht="18" customHeight="1" x14ac:dyDescent="0.25">
      <c r="I4" s="214"/>
    </row>
    <row r="5" spans="1:16" ht="23.25" x14ac:dyDescent="0.25">
      <c r="A5" s="4" t="s">
        <v>673</v>
      </c>
      <c r="B5" s="4"/>
      <c r="C5" s="4"/>
      <c r="D5" s="5"/>
      <c r="E5" s="5"/>
      <c r="F5" s="5"/>
      <c r="G5" s="5"/>
      <c r="H5" s="5"/>
      <c r="I5" s="214"/>
    </row>
    <row r="6" spans="1:16" x14ac:dyDescent="0.25">
      <c r="I6" s="214"/>
    </row>
    <row r="7" spans="1:16" x14ac:dyDescent="0.25">
      <c r="A7" s="6" t="s">
        <v>75</v>
      </c>
      <c r="D7" s="6" t="str">
        <f>Detailed_LineDesc10</f>
        <v/>
      </c>
      <c r="F7" s="6" t="s">
        <v>1</v>
      </c>
      <c r="H7" s="13" t="str">
        <f>Completed_By</f>
        <v>Laura Campbell</v>
      </c>
      <c r="I7" s="216"/>
    </row>
    <row r="8" spans="1:16" x14ac:dyDescent="0.25">
      <c r="A8" s="6" t="s">
        <v>76</v>
      </c>
      <c r="D8" s="6" t="str">
        <f>Covg10</f>
        <v/>
      </c>
      <c r="F8" s="6" t="s">
        <v>74</v>
      </c>
      <c r="H8" s="52">
        <f>Completed_Date</f>
        <v>45327.528767013886</v>
      </c>
      <c r="I8" s="217"/>
      <c r="J8" s="156"/>
    </row>
    <row r="9" spans="1:16" x14ac:dyDescent="0.25">
      <c r="A9" s="6" t="s">
        <v>167</v>
      </c>
      <c r="D9" s="52" t="str">
        <f>EffDate_Prior10</f>
        <v/>
      </c>
      <c r="F9" s="6" t="s">
        <v>168</v>
      </c>
      <c r="H9" s="52">
        <f>EffDate_Proposed</f>
        <v>45566</v>
      </c>
      <c r="I9" s="217"/>
      <c r="J9" s="156"/>
    </row>
    <row r="10" spans="1:16" x14ac:dyDescent="0.25">
      <c r="I10" s="214"/>
    </row>
    <row r="11" spans="1:16" ht="18" customHeight="1" x14ac:dyDescent="0.25">
      <c r="A11" s="138" t="s">
        <v>161</v>
      </c>
      <c r="B11" s="136" t="s">
        <v>294</v>
      </c>
      <c r="C11" s="136"/>
      <c r="I11" s="214"/>
      <c r="K11" s="7" t="s">
        <v>316</v>
      </c>
    </row>
    <row r="12" spans="1:16" ht="5.0999999999999996" customHeight="1" thickBot="1" x14ac:dyDescent="0.3">
      <c r="A12" s="136"/>
      <c r="B12" s="136"/>
      <c r="C12" s="136"/>
      <c r="I12" s="214"/>
    </row>
    <row r="13" spans="1:16" ht="18" customHeight="1" x14ac:dyDescent="0.25">
      <c r="A13" s="137"/>
      <c r="B13" s="81" t="s">
        <v>235</v>
      </c>
      <c r="C13" s="6" t="s">
        <v>333</v>
      </c>
      <c r="G13" s="189"/>
      <c r="I13" s="214"/>
      <c r="K13" s="114"/>
      <c r="L13" s="142" t="s">
        <v>245</v>
      </c>
      <c r="M13" s="142" t="s">
        <v>246</v>
      </c>
      <c r="N13" s="143" t="s">
        <v>249</v>
      </c>
    </row>
    <row r="14" spans="1:16" ht="15" customHeight="1" x14ac:dyDescent="0.25">
      <c r="A14" s="137"/>
      <c r="B14" s="81"/>
      <c r="I14" s="214"/>
      <c r="K14" s="117"/>
      <c r="L14" s="151" t="s">
        <v>250</v>
      </c>
      <c r="M14" s="151" t="s">
        <v>251</v>
      </c>
      <c r="N14" s="152" t="s">
        <v>253</v>
      </c>
    </row>
    <row r="15" spans="1:16" ht="18" customHeight="1" x14ac:dyDescent="0.25">
      <c r="A15" s="137"/>
      <c r="B15" s="81" t="s">
        <v>237</v>
      </c>
      <c r="C15" s="6" t="s">
        <v>301</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238</v>
      </c>
      <c r="M16" s="13" t="s">
        <v>245</v>
      </c>
      <c r="N16" s="130" t="str">
        <f>IF($G$17="AOE/(Loss+DCCE)",$G$15,"")</f>
        <v/>
      </c>
      <c r="P16" s="11"/>
    </row>
    <row r="17" spans="1:16" ht="18" customHeight="1" x14ac:dyDescent="0.25">
      <c r="A17" s="137"/>
      <c r="B17" s="81" t="s">
        <v>236</v>
      </c>
      <c r="C17" s="6" t="s">
        <v>295</v>
      </c>
      <c r="G17" s="517"/>
      <c r="I17" s="215" t="str">
        <f>IF(AND($G$17="(Loss+DCCE+AOE)/Loss",$G$15&lt;1),"← ERROR! AOE or LAE load must be ≥ 1.00 for selected load basis.","")</f>
        <v/>
      </c>
      <c r="K17" s="117">
        <v>2</v>
      </c>
      <c r="L17" s="13" t="s">
        <v>239</v>
      </c>
      <c r="M17" s="13" t="s">
        <v>248</v>
      </c>
      <c r="N17" s="130" t="str">
        <f>IF($G$17="(DCCE+AOE)/Loss",($G$15*$M$21-$M$22)/($M$21+$M$22),"")</f>
        <v/>
      </c>
      <c r="P17" s="11"/>
    </row>
    <row r="18" spans="1:16" ht="18" customHeight="1" x14ac:dyDescent="0.25">
      <c r="A18" s="137"/>
      <c r="B18" s="81"/>
      <c r="I18" s="214"/>
      <c r="K18" s="117">
        <v>3</v>
      </c>
      <c r="L18" s="13" t="s">
        <v>240</v>
      </c>
      <c r="M18" s="13" t="s">
        <v>247</v>
      </c>
      <c r="N18" s="130" t="str">
        <f>IF($G$17="(Loss+DCCE+AOE)/Loss",(($G$15-1)*M21-M22)/(M21+M22),"")</f>
        <v/>
      </c>
      <c r="P18" s="11"/>
    </row>
    <row r="19" spans="1:16" ht="18" customHeight="1" x14ac:dyDescent="0.25">
      <c r="A19" s="137"/>
      <c r="B19" s="81" t="s">
        <v>241</v>
      </c>
      <c r="C19" s="6" t="s">
        <v>296</v>
      </c>
      <c r="G19" s="593" t="e">
        <f>$N$21</f>
        <v>#N/A</v>
      </c>
      <c r="I19" s="214"/>
      <c r="K19" s="117"/>
      <c r="N19" s="144"/>
      <c r="P19" s="11"/>
    </row>
    <row r="20" spans="1:16" ht="18" customHeight="1" x14ac:dyDescent="0.25">
      <c r="A20" s="137"/>
      <c r="B20" s="137"/>
      <c r="C20" s="6" t="s">
        <v>244</v>
      </c>
      <c r="I20" s="214"/>
      <c r="K20" s="117"/>
      <c r="L20" s="140"/>
      <c r="M20" s="141" t="str">
        <f>"Total "&amp;'Incurred Loss &amp; DCCE'!$B$5&amp;" Line "&amp;Detailed_LineCode10&amp;" Industry P&amp;C"</f>
        <v>Total 2022 Line  Industry P&amp;C</v>
      </c>
      <c r="N20" s="153" t="s">
        <v>254</v>
      </c>
    </row>
    <row r="21" spans="1:16" ht="17.25" x14ac:dyDescent="0.25">
      <c r="A21" s="137"/>
      <c r="B21" s="137"/>
      <c r="I21" s="214"/>
      <c r="K21" s="117"/>
      <c r="L21" s="6" t="s">
        <v>287</v>
      </c>
      <c r="M21" s="14" t="e">
        <f>VLOOKUP(Detailed_LineCode10,Table_IncdLossDCCE,2,FALSE)</f>
        <v>#N/A</v>
      </c>
      <c r="N21" s="148" t="e">
        <f>VLOOKUP($G$17,$L$16:$N$18,3,FALSE)</f>
        <v>#N/A</v>
      </c>
    </row>
    <row r="22" spans="1:16" ht="18" customHeight="1" thickBot="1" x14ac:dyDescent="0.3">
      <c r="A22" s="137"/>
      <c r="B22" s="81" t="s">
        <v>252</v>
      </c>
      <c r="C22" s="6" t="s">
        <v>297</v>
      </c>
      <c r="G22" s="593" t="e">
        <f>IF(ISBLANK($G$15),NA(),'7.10Rate Change Calculation'!Projected '7.10Rate Change Calculation'!Max_Premium/(('7.10Rate Change Calculation'!CredLossDCCE_perExp)*(1+AOE_Load)))</f>
        <v>#N/A</v>
      </c>
      <c r="I22" s="521" t="str">
        <f>IF(ISERROR(MAX_LCM),IF(ISBLANK($G$42),"",IF(ISERROR(Max_EffStdBasedLCM),"",IF($G$42&gt;$G$22,"← WARNING! Proposed Company LCM exceeds Maximum Permitted LCM, based on efficiency standard.",""))),"")</f>
        <v/>
      </c>
      <c r="K22" s="85"/>
      <c r="L22" s="145" t="s">
        <v>288</v>
      </c>
      <c r="M22" s="146" t="e">
        <f>VLOOKUP(Detailed_LineCode10,Table_IncdLossDCCE,3,FALSE)</f>
        <v>#N/A</v>
      </c>
      <c r="N22" s="147"/>
    </row>
    <row r="23" spans="1:16" ht="17.25" x14ac:dyDescent="0.25">
      <c r="A23" s="137"/>
      <c r="B23" s="137"/>
      <c r="I23" s="214"/>
      <c r="K23" s="6" t="s">
        <v>289</v>
      </c>
      <c r="L23" s="149" t="str">
        <f>'Incurred Loss &amp; DCCE'!$B$2&amp;", "&amp;'Incurred Loss &amp; DCCE'!$B$4&amp;" Edition"</f>
        <v>Best's Aggregates and Averages, Property &amp; Casualty, 2023 Edition</v>
      </c>
    </row>
    <row r="24" spans="1:16" ht="18" customHeight="1" x14ac:dyDescent="0.25">
      <c r="A24" s="138" t="s">
        <v>162</v>
      </c>
      <c r="B24" s="139" t="s">
        <v>298</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242</v>
      </c>
      <c r="C26" s="6" t="s">
        <v>332</v>
      </c>
      <c r="G26" s="189"/>
      <c r="I26" s="214"/>
      <c r="O26" s="11"/>
    </row>
    <row r="27" spans="1:16" x14ac:dyDescent="0.25">
      <c r="I27" s="214"/>
      <c r="O27" s="11"/>
    </row>
    <row r="28" spans="1:16" ht="18" customHeight="1" x14ac:dyDescent="0.25">
      <c r="B28" s="81" t="s">
        <v>243</v>
      </c>
      <c r="C28" s="6" t="s">
        <v>340</v>
      </c>
      <c r="G28" s="192"/>
      <c r="I28" s="214"/>
      <c r="O28" s="11"/>
    </row>
    <row r="29" spans="1:16" x14ac:dyDescent="0.25">
      <c r="I29" s="214"/>
      <c r="O29" s="11"/>
    </row>
    <row r="30" spans="1:16" ht="49.5" customHeight="1" x14ac:dyDescent="0.25">
      <c r="B30" s="81" t="s">
        <v>280</v>
      </c>
      <c r="C30" s="641" t="s">
        <v>334</v>
      </c>
      <c r="D30" s="641"/>
      <c r="E30" s="641"/>
      <c r="G30" s="205"/>
      <c r="I30" s="214"/>
      <c r="O30" s="11"/>
    </row>
    <row r="31" spans="1:16" x14ac:dyDescent="0.25">
      <c r="I31" s="214"/>
      <c r="O31" s="11"/>
    </row>
    <row r="32" spans="1:16" ht="18" customHeight="1" x14ac:dyDescent="0.25">
      <c r="B32" s="81" t="s">
        <v>299</v>
      </c>
      <c r="C32" s="12" t="s">
        <v>302</v>
      </c>
      <c r="G32" s="190"/>
      <c r="I32" s="214"/>
      <c r="O32" s="11"/>
    </row>
    <row r="33" spans="1:16" x14ac:dyDescent="0.25">
      <c r="B33" s="81"/>
      <c r="C33" s="12"/>
      <c r="I33" s="214"/>
      <c r="O33" s="11"/>
    </row>
    <row r="34" spans="1:16" ht="18" customHeight="1" x14ac:dyDescent="0.25">
      <c r="B34" s="81" t="s">
        <v>300</v>
      </c>
      <c r="C34" s="12" t="s">
        <v>303</v>
      </c>
      <c r="G34" s="190"/>
      <c r="I34" s="214"/>
      <c r="O34" s="11"/>
    </row>
    <row r="35" spans="1:16" ht="18" customHeight="1" x14ac:dyDescent="0.25">
      <c r="C35" s="12" t="s">
        <v>341</v>
      </c>
      <c r="I35" s="214"/>
      <c r="O35" s="11"/>
    </row>
    <row r="36" spans="1:16" ht="18" customHeight="1" x14ac:dyDescent="0.25">
      <c r="C36" s="12"/>
      <c r="I36" s="214"/>
      <c r="O36" s="11"/>
    </row>
    <row r="37" spans="1:16" ht="18" customHeight="1" x14ac:dyDescent="0.25">
      <c r="B37" s="81">
        <v>2.4</v>
      </c>
      <c r="C37" s="6" t="s">
        <v>730</v>
      </c>
      <c r="G37" s="190"/>
      <c r="I37" s="214"/>
      <c r="O37" s="11"/>
    </row>
    <row r="38" spans="1:16" x14ac:dyDescent="0.25">
      <c r="B38" s="81"/>
      <c r="C38" s="6" t="s">
        <v>731</v>
      </c>
      <c r="G38" s="597"/>
      <c r="I38" s="214"/>
      <c r="O38" s="11"/>
    </row>
    <row r="39" spans="1:16" x14ac:dyDescent="0.25">
      <c r="B39" s="81"/>
      <c r="C39" s="596"/>
      <c r="D39" s="596"/>
      <c r="E39" s="596"/>
      <c r="G39" s="597"/>
      <c r="I39" s="214"/>
      <c r="O39" s="11"/>
    </row>
    <row r="40" spans="1:16" ht="18" customHeight="1" x14ac:dyDescent="0.25">
      <c r="B40" s="81" t="s">
        <v>729</v>
      </c>
      <c r="C40" s="6" t="s">
        <v>293</v>
      </c>
      <c r="G40" s="593" t="e">
        <f>IF(OR(ISBLANK(Curr_LCM),ISBLANK(LossCost_PctChg_Co)),NA(),(1+'7.10Rate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434</v>
      </c>
      <c r="B42" s="139" t="s">
        <v>339</v>
      </c>
      <c r="G42" s="191"/>
      <c r="I42" s="214"/>
      <c r="O42" s="11"/>
    </row>
    <row r="43" spans="1:16" ht="15.75" thickBot="1" x14ac:dyDescent="0.3">
      <c r="I43" s="401"/>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kUYYsLPBM+s+ZTt3KG5mlFTAQrHXMPu9LSnZ9Oo3MSge8swFc5Vx/7jFGjq9r4P0ChJP+8dAkyjhQPM/kqN2hg==" saltValue="kBYXWPCqeDtoV5jd+eSc+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8.10&amp;L11/9/2023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7"/>
  <sheetViews>
    <sheetView view="pageBreakPreview" zoomScaleNormal="100" zoomScaleSheetLayoutView="100" workbookViewId="0"/>
  </sheetViews>
  <sheetFormatPr defaultColWidth="9.140625" defaultRowHeight="15" x14ac:dyDescent="0.25"/>
  <cols>
    <col min="1" max="1" width="17.28515625" customWidth="1"/>
    <col min="2" max="4" width="15.7109375" customWidth="1"/>
    <col min="5" max="5" width="54.7109375" bestFit="1" customWidth="1"/>
  </cols>
  <sheetData>
    <row r="1" spans="1:8" ht="18.75" x14ac:dyDescent="0.25">
      <c r="A1" s="67" t="s">
        <v>124</v>
      </c>
      <c r="B1" s="57"/>
      <c r="C1" s="65"/>
      <c r="D1" s="65"/>
      <c r="E1" s="6"/>
      <c r="F1" s="6"/>
    </row>
    <row r="2" spans="1:8" x14ac:dyDescent="0.25">
      <c r="A2" s="56" t="s">
        <v>121</v>
      </c>
      <c r="B2" s="448" t="s">
        <v>119</v>
      </c>
      <c r="C2" s="65"/>
      <c r="D2" s="65"/>
      <c r="E2" s="6"/>
      <c r="F2" s="6"/>
    </row>
    <row r="3" spans="1:8" x14ac:dyDescent="0.25">
      <c r="A3" s="56"/>
      <c r="B3" s="448" t="s">
        <v>311</v>
      </c>
      <c r="C3" s="65"/>
      <c r="D3" s="65"/>
      <c r="E3" s="6"/>
      <c r="F3" s="6"/>
    </row>
    <row r="4" spans="1:8" x14ac:dyDescent="0.25">
      <c r="A4" s="56" t="s">
        <v>125</v>
      </c>
      <c r="B4" s="449">
        <v>2021</v>
      </c>
      <c r="C4" s="65"/>
      <c r="D4" s="65"/>
      <c r="E4" s="6"/>
      <c r="F4" s="6"/>
    </row>
    <row r="5" spans="1:8" x14ac:dyDescent="0.25">
      <c r="A5" s="56" t="s">
        <v>120</v>
      </c>
      <c r="B5" s="448" t="s">
        <v>292</v>
      </c>
      <c r="C5" s="65"/>
      <c r="D5" s="65"/>
      <c r="E5" s="6"/>
      <c r="F5" s="6"/>
    </row>
    <row r="6" spans="1:8" x14ac:dyDescent="0.25">
      <c r="A6" s="56" t="s">
        <v>126</v>
      </c>
      <c r="B6" s="450">
        <v>44957</v>
      </c>
      <c r="C6" s="65"/>
      <c r="D6" s="65"/>
      <c r="E6" s="6"/>
      <c r="F6" s="6"/>
    </row>
    <row r="7" spans="1:8" x14ac:dyDescent="0.25">
      <c r="A7" s="56"/>
      <c r="B7" s="59"/>
      <c r="C7" s="65"/>
      <c r="D7" s="65"/>
      <c r="E7" s="6"/>
      <c r="F7" s="6"/>
    </row>
    <row r="8" spans="1:8" x14ac:dyDescent="0.25">
      <c r="A8" s="60"/>
      <c r="B8" s="60">
        <v>1</v>
      </c>
      <c r="C8" s="60">
        <v>2</v>
      </c>
      <c r="D8" s="60">
        <v>3</v>
      </c>
      <c r="E8" s="60">
        <v>4</v>
      </c>
      <c r="F8" s="65"/>
      <c r="G8" s="43"/>
      <c r="H8" s="43"/>
    </row>
    <row r="9" spans="1:8" ht="15.75" thickBot="1" x14ac:dyDescent="0.3">
      <c r="A9" s="60" t="s">
        <v>57</v>
      </c>
      <c r="B9" s="60" t="s">
        <v>115</v>
      </c>
      <c r="C9" s="60" t="s">
        <v>116</v>
      </c>
      <c r="D9" s="60" t="s">
        <v>123</v>
      </c>
      <c r="E9" s="60" t="s">
        <v>117</v>
      </c>
      <c r="F9" s="177"/>
      <c r="G9" s="45"/>
      <c r="H9" s="45"/>
    </row>
    <row r="10" spans="1:8" x14ac:dyDescent="0.25">
      <c r="A10" s="61" t="s">
        <v>748</v>
      </c>
      <c r="B10" s="606">
        <v>0.31173606994217029</v>
      </c>
      <c r="C10" s="607">
        <v>0.31173606994217029</v>
      </c>
      <c r="D10" s="607">
        <v>0.33287794807795329</v>
      </c>
      <c r="E10" s="62" t="s">
        <v>746</v>
      </c>
      <c r="F10" s="509"/>
      <c r="G10" s="509"/>
      <c r="H10" s="509"/>
    </row>
    <row r="11" spans="1:8" x14ac:dyDescent="0.25">
      <c r="A11" s="61" t="s">
        <v>749</v>
      </c>
      <c r="B11" s="618">
        <v>0.29464608638262674</v>
      </c>
      <c r="C11" s="619">
        <v>0.29464608638262674</v>
      </c>
      <c r="D11" s="619">
        <v>0.29464608638262674</v>
      </c>
      <c r="E11" s="62" t="s">
        <v>747</v>
      </c>
      <c r="F11" s="509"/>
      <c r="G11" s="509"/>
      <c r="H11" s="509"/>
    </row>
    <row r="12" spans="1:8" x14ac:dyDescent="0.25">
      <c r="A12" s="61">
        <v>2.1</v>
      </c>
      <c r="B12" s="608">
        <v>0.31963569545191101</v>
      </c>
      <c r="C12" s="609">
        <v>0.29673010786384696</v>
      </c>
      <c r="D12" s="609">
        <v>0.31963569545191101</v>
      </c>
      <c r="E12" s="62" t="s">
        <v>9</v>
      </c>
      <c r="F12" s="509"/>
      <c r="G12" s="509"/>
      <c r="H12" s="509"/>
    </row>
    <row r="13" spans="1:8" x14ac:dyDescent="0.25">
      <c r="A13" s="61">
        <v>3</v>
      </c>
      <c r="B13" s="608">
        <v>0.38200978867657071</v>
      </c>
      <c r="C13" s="609">
        <v>0.38200978867657071</v>
      </c>
      <c r="D13" s="609">
        <v>0.38580395666616818</v>
      </c>
      <c r="E13" s="62" t="s">
        <v>42</v>
      </c>
      <c r="F13" s="509"/>
      <c r="G13" s="509"/>
      <c r="H13" s="509"/>
    </row>
    <row r="14" spans="1:8" x14ac:dyDescent="0.25">
      <c r="A14" s="61">
        <v>4</v>
      </c>
      <c r="B14" s="608">
        <v>0.33828285605081881</v>
      </c>
      <c r="C14" s="609">
        <v>0.29748021883020959</v>
      </c>
      <c r="D14" s="609">
        <v>0.3586385969036277</v>
      </c>
      <c r="E14" s="62" t="s">
        <v>43</v>
      </c>
      <c r="F14" s="509"/>
      <c r="G14" s="509"/>
      <c r="H14" s="509"/>
    </row>
    <row r="15" spans="1:8" x14ac:dyDescent="0.25">
      <c r="A15" s="61">
        <v>5</v>
      </c>
      <c r="B15" s="608">
        <v>0.37094759878162864</v>
      </c>
      <c r="C15" s="609">
        <v>0.32783377889063708</v>
      </c>
      <c r="D15" s="609">
        <v>0.3651284994061898</v>
      </c>
      <c r="E15" s="62" t="s">
        <v>122</v>
      </c>
      <c r="F15" s="509"/>
      <c r="G15" s="509"/>
      <c r="H15" s="509"/>
    </row>
    <row r="16" spans="1:8" x14ac:dyDescent="0.25">
      <c r="A16" s="61">
        <v>5.0999999999999996</v>
      </c>
      <c r="B16" s="610">
        <v>0.36695748004517065</v>
      </c>
      <c r="C16" s="611">
        <v>0.32607222341942449</v>
      </c>
      <c r="D16" s="611">
        <v>0.35233989945984945</v>
      </c>
      <c r="E16" s="62" t="s">
        <v>41</v>
      </c>
      <c r="F16" s="509"/>
      <c r="G16" s="509"/>
      <c r="H16" s="509"/>
    </row>
    <row r="17" spans="1:8" x14ac:dyDescent="0.25">
      <c r="A17" s="61">
        <v>5.2</v>
      </c>
      <c r="B17" s="610">
        <v>0.38237164905715981</v>
      </c>
      <c r="C17" s="611">
        <v>0.33330433607625648</v>
      </c>
      <c r="D17" s="611">
        <v>0.3845232515630202</v>
      </c>
      <c r="E17" s="62" t="s">
        <v>40</v>
      </c>
      <c r="F17" s="509"/>
      <c r="G17" s="509"/>
      <c r="H17" s="509"/>
    </row>
    <row r="18" spans="1:8" x14ac:dyDescent="0.25">
      <c r="A18" s="61">
        <v>9</v>
      </c>
      <c r="B18" s="608">
        <v>0.28602541580823354</v>
      </c>
      <c r="C18" s="609">
        <v>0.26988310340303773</v>
      </c>
      <c r="D18" s="609">
        <v>0.28602541580823354</v>
      </c>
      <c r="E18" s="62" t="s">
        <v>18</v>
      </c>
      <c r="F18" s="509"/>
      <c r="G18" s="509"/>
      <c r="H18" s="509"/>
    </row>
    <row r="19" spans="1:8" x14ac:dyDescent="0.25">
      <c r="A19" s="61">
        <v>11</v>
      </c>
      <c r="B19" s="608">
        <v>0.39995125852740349</v>
      </c>
      <c r="C19" s="609">
        <v>0.26753715881665591</v>
      </c>
      <c r="D19" s="609">
        <v>0.36502295981773319</v>
      </c>
      <c r="E19" s="63" t="s">
        <v>19</v>
      </c>
      <c r="F19" s="509"/>
      <c r="G19" s="509"/>
      <c r="H19" s="509"/>
    </row>
    <row r="20" spans="1:8" x14ac:dyDescent="0.25">
      <c r="A20" s="61">
        <v>11.1</v>
      </c>
      <c r="B20" s="608">
        <f>B19</f>
        <v>0.39995125852740349</v>
      </c>
      <c r="C20" s="609">
        <f>C19</f>
        <v>0.26753715881665591</v>
      </c>
      <c r="D20" s="609">
        <f>D19</f>
        <v>0.36502295981773319</v>
      </c>
      <c r="E20" s="63" t="s">
        <v>45</v>
      </c>
      <c r="F20" s="509"/>
      <c r="G20" s="509"/>
      <c r="H20" s="509"/>
    </row>
    <row r="21" spans="1:8" x14ac:dyDescent="0.25">
      <c r="A21" s="61">
        <v>11.2</v>
      </c>
      <c r="B21" s="608">
        <f>B19</f>
        <v>0.39995125852740349</v>
      </c>
      <c r="C21" s="609">
        <f>C19</f>
        <v>0.26753715881665591</v>
      </c>
      <c r="D21" s="609">
        <f>D19</f>
        <v>0.36502295981773319</v>
      </c>
      <c r="E21" s="63" t="s">
        <v>44</v>
      </c>
      <c r="F21" s="509"/>
      <c r="G21" s="509"/>
      <c r="H21" s="509"/>
    </row>
    <row r="22" spans="1:8" x14ac:dyDescent="0.25">
      <c r="A22" s="61" t="s">
        <v>326</v>
      </c>
      <c r="B22" s="608">
        <f>B19</f>
        <v>0.39995125852740349</v>
      </c>
      <c r="C22" s="609">
        <f>C19</f>
        <v>0.26753715881665591</v>
      </c>
      <c r="D22" s="609">
        <f>D19</f>
        <v>0.36502295981773319</v>
      </c>
      <c r="E22" s="63" t="s">
        <v>324</v>
      </c>
      <c r="F22" s="509"/>
      <c r="G22" s="509"/>
      <c r="H22" s="509"/>
    </row>
    <row r="23" spans="1:8" x14ac:dyDescent="0.25">
      <c r="A23" s="61" t="s">
        <v>327</v>
      </c>
      <c r="B23" s="608">
        <f>B19</f>
        <v>0.39995125852740349</v>
      </c>
      <c r="C23" s="609">
        <f>C19</f>
        <v>0.26753715881665591</v>
      </c>
      <c r="D23" s="609">
        <f>D19</f>
        <v>0.36502295981773319</v>
      </c>
      <c r="E23" s="63" t="s">
        <v>325</v>
      </c>
      <c r="F23" s="509"/>
      <c r="G23" s="509"/>
      <c r="H23" s="509"/>
    </row>
    <row r="24" spans="1:8" x14ac:dyDescent="0.25">
      <c r="A24" s="61" t="s">
        <v>328</v>
      </c>
      <c r="B24" s="608">
        <f>B19</f>
        <v>0.39995125852740349</v>
      </c>
      <c r="C24" s="609">
        <f>C19</f>
        <v>0.26753715881665591</v>
      </c>
      <c r="D24" s="609">
        <f>D19</f>
        <v>0.36502295981773319</v>
      </c>
      <c r="E24" s="63" t="s">
        <v>322</v>
      </c>
      <c r="F24" s="509"/>
      <c r="G24" s="509"/>
      <c r="H24" s="509"/>
    </row>
    <row r="25" spans="1:8" x14ac:dyDescent="0.25">
      <c r="A25" s="61">
        <v>12</v>
      </c>
      <c r="B25" s="608">
        <v>0.22768063186037646</v>
      </c>
      <c r="C25" s="609">
        <v>0.31720260615461093</v>
      </c>
      <c r="D25" s="609">
        <v>0.27529547938296978</v>
      </c>
      <c r="E25" s="63" t="s">
        <v>13</v>
      </c>
      <c r="F25" s="509"/>
      <c r="G25" s="509"/>
      <c r="H25" s="509"/>
    </row>
    <row r="26" spans="1:8" x14ac:dyDescent="0.25">
      <c r="A26" s="61" t="s">
        <v>329</v>
      </c>
      <c r="B26" s="608">
        <f>B25</f>
        <v>0.22768063186037646</v>
      </c>
      <c r="C26" s="609">
        <f>C25</f>
        <v>0.31720260615461093</v>
      </c>
      <c r="D26" s="609">
        <f>D25</f>
        <v>0.27529547938296978</v>
      </c>
      <c r="E26" s="63" t="s">
        <v>323</v>
      </c>
      <c r="F26" s="509"/>
      <c r="G26" s="509"/>
      <c r="H26" s="509"/>
    </row>
    <row r="27" spans="1:8" x14ac:dyDescent="0.25">
      <c r="A27" s="61">
        <v>17</v>
      </c>
      <c r="B27" s="608">
        <v>0.32041457431226056</v>
      </c>
      <c r="C27" s="609">
        <v>0.32561503457275182</v>
      </c>
      <c r="D27" s="609">
        <v>0.33092173722799467</v>
      </c>
      <c r="E27" s="63" t="s">
        <v>21</v>
      </c>
      <c r="F27" s="509"/>
      <c r="G27" s="509"/>
      <c r="H27" s="509"/>
    </row>
    <row r="28" spans="1:8" x14ac:dyDescent="0.25">
      <c r="A28" s="61">
        <v>17.100000000000001</v>
      </c>
      <c r="B28" s="610">
        <v>0.32045319047973719</v>
      </c>
      <c r="C28" s="611">
        <v>0.26742924877454471</v>
      </c>
      <c r="D28" s="611">
        <v>0.30175054703134152</v>
      </c>
      <c r="E28" s="63" t="s">
        <v>47</v>
      </c>
      <c r="F28" s="509"/>
      <c r="G28" s="509"/>
      <c r="H28" s="509"/>
    </row>
    <row r="29" spans="1:8" x14ac:dyDescent="0.25">
      <c r="A29" s="61">
        <v>17.2</v>
      </c>
      <c r="B29" s="610">
        <v>0.31530417527217935</v>
      </c>
      <c r="C29" s="611">
        <v>0.47867047010335156</v>
      </c>
      <c r="D29" s="611">
        <v>0.36410448927975675</v>
      </c>
      <c r="E29" s="63" t="s">
        <v>46</v>
      </c>
      <c r="F29" s="509"/>
      <c r="G29" s="509"/>
      <c r="H29" s="509"/>
    </row>
    <row r="30" spans="1:8" x14ac:dyDescent="0.25">
      <c r="A30" s="61">
        <v>18</v>
      </c>
      <c r="B30" s="608">
        <v>0.2967836407206173</v>
      </c>
      <c r="C30" s="609">
        <v>0.2967836407206173</v>
      </c>
      <c r="D30" s="609">
        <v>0.2967836407206173</v>
      </c>
      <c r="E30" s="63" t="s">
        <v>22</v>
      </c>
      <c r="F30" s="509"/>
      <c r="G30" s="509"/>
      <c r="H30" s="509"/>
    </row>
    <row r="31" spans="1:8" x14ac:dyDescent="0.25">
      <c r="A31" s="61">
        <v>18.100000000000001</v>
      </c>
      <c r="B31" s="608">
        <f>B30</f>
        <v>0.2967836407206173</v>
      </c>
      <c r="C31" s="609">
        <f>C30</f>
        <v>0.2967836407206173</v>
      </c>
      <c r="D31" s="609">
        <f>D30</f>
        <v>0.2967836407206173</v>
      </c>
      <c r="E31" s="63" t="s">
        <v>51</v>
      </c>
      <c r="F31" s="509"/>
      <c r="G31" s="509"/>
      <c r="H31" s="509"/>
    </row>
    <row r="32" spans="1:8" x14ac:dyDescent="0.25">
      <c r="A32" s="61">
        <v>18.2</v>
      </c>
      <c r="B32" s="608">
        <f>B30</f>
        <v>0.2967836407206173</v>
      </c>
      <c r="C32" s="609">
        <f>C30</f>
        <v>0.2967836407206173</v>
      </c>
      <c r="D32" s="609">
        <f>D30</f>
        <v>0.2967836407206173</v>
      </c>
      <c r="E32" s="63" t="s">
        <v>50</v>
      </c>
      <c r="F32" s="509"/>
      <c r="G32" s="509"/>
      <c r="H32" s="509"/>
    </row>
    <row r="33" spans="1:8" x14ac:dyDescent="0.25">
      <c r="A33" s="61">
        <v>19.2</v>
      </c>
      <c r="B33" s="612">
        <v>0.30454699826237225</v>
      </c>
      <c r="C33" s="613">
        <v>0.25970385247386396</v>
      </c>
      <c r="D33" s="613">
        <v>0.35019924035838601</v>
      </c>
      <c r="E33" s="63" t="s">
        <v>48</v>
      </c>
      <c r="F33" s="509"/>
      <c r="G33" s="509"/>
      <c r="H33" s="509"/>
    </row>
    <row r="34" spans="1:8" x14ac:dyDescent="0.25">
      <c r="A34" s="61">
        <v>19.399999999999999</v>
      </c>
      <c r="B34" s="608">
        <v>0.3555458995891187</v>
      </c>
      <c r="C34" s="609">
        <v>0.25477215343656406</v>
      </c>
      <c r="D34" s="609">
        <v>0.32528348008646518</v>
      </c>
      <c r="E34" s="63" t="s">
        <v>37</v>
      </c>
      <c r="F34" s="509"/>
      <c r="G34" s="509"/>
      <c r="H34" s="509"/>
    </row>
    <row r="35" spans="1:8" x14ac:dyDescent="0.25">
      <c r="A35" s="61">
        <v>21.1</v>
      </c>
      <c r="B35" s="612">
        <v>0.31285722591986026</v>
      </c>
      <c r="C35" s="613">
        <v>0.26631210822473322</v>
      </c>
      <c r="D35" s="613">
        <v>0.35034271367466108</v>
      </c>
      <c r="E35" s="63" t="s">
        <v>49</v>
      </c>
      <c r="F35" s="509"/>
      <c r="G35" s="509"/>
      <c r="H35" s="509"/>
    </row>
    <row r="36" spans="1:8" x14ac:dyDescent="0.25">
      <c r="A36" s="61">
        <v>21.2</v>
      </c>
      <c r="B36" s="608">
        <v>0.35581367335200004</v>
      </c>
      <c r="C36" s="609">
        <v>0.33875307102850466</v>
      </c>
      <c r="D36" s="609">
        <v>0.33948459715845897</v>
      </c>
      <c r="E36" s="63" t="s">
        <v>38</v>
      </c>
      <c r="F36" s="509"/>
      <c r="G36" s="509"/>
      <c r="H36" s="509"/>
    </row>
    <row r="37" spans="1:8" x14ac:dyDescent="0.25">
      <c r="A37" s="61">
        <v>22</v>
      </c>
      <c r="B37" s="612">
        <v>0.31402442086195026</v>
      </c>
      <c r="C37" s="613">
        <v>0.37545782264764171</v>
      </c>
      <c r="D37" s="613">
        <v>0.31287617978273086</v>
      </c>
      <c r="E37" s="63" t="s">
        <v>8</v>
      </c>
      <c r="F37" s="509"/>
      <c r="G37" s="509"/>
      <c r="H37" s="509"/>
    </row>
    <row r="38" spans="1:8" x14ac:dyDescent="0.25">
      <c r="A38" s="61">
        <v>23</v>
      </c>
      <c r="B38" s="608">
        <v>0.39222153891239125</v>
      </c>
      <c r="C38" s="609">
        <v>0.3216329111438998</v>
      </c>
      <c r="D38" s="609">
        <v>0.39630884306385172</v>
      </c>
      <c r="E38" s="63" t="s">
        <v>15</v>
      </c>
      <c r="F38" s="509"/>
      <c r="G38" s="509"/>
      <c r="H38" s="509"/>
    </row>
    <row r="39" spans="1:8" x14ac:dyDescent="0.25">
      <c r="A39" s="61">
        <v>24</v>
      </c>
      <c r="B39" s="612">
        <v>0.45569247986862987</v>
      </c>
      <c r="C39" s="613">
        <v>0.45569247986862987</v>
      </c>
      <c r="D39" s="613">
        <v>0.45569247986862987</v>
      </c>
      <c r="E39" s="63" t="s">
        <v>23</v>
      </c>
      <c r="F39" s="509"/>
      <c r="G39" s="509"/>
      <c r="H39" s="509"/>
    </row>
    <row r="40" spans="1:8" x14ac:dyDescent="0.25">
      <c r="A40" s="64">
        <v>26</v>
      </c>
      <c r="B40" s="608">
        <v>0.41131345220037174</v>
      </c>
      <c r="C40" s="609">
        <v>0.41131345220037174</v>
      </c>
      <c r="D40" s="609">
        <v>0.41131345220037174</v>
      </c>
      <c r="E40" s="63" t="s">
        <v>12</v>
      </c>
      <c r="F40" s="509"/>
      <c r="G40" s="509"/>
      <c r="H40" s="509"/>
    </row>
    <row r="41" spans="1:8" x14ac:dyDescent="0.25">
      <c r="A41" s="64">
        <v>27</v>
      </c>
      <c r="B41" s="608">
        <v>0.33676048872767295</v>
      </c>
      <c r="C41" s="609">
        <v>0.24473640469439686</v>
      </c>
      <c r="D41" s="609">
        <v>0.3451559680389864</v>
      </c>
      <c r="E41" s="63" t="s">
        <v>11</v>
      </c>
      <c r="F41" s="509"/>
      <c r="G41" s="509"/>
      <c r="H41" s="509"/>
    </row>
    <row r="42" spans="1:8" x14ac:dyDescent="0.25">
      <c r="A42" s="6"/>
      <c r="B42" s="6"/>
      <c r="C42" s="6"/>
      <c r="D42" s="6"/>
      <c r="E42" s="6"/>
      <c r="F42" s="6"/>
      <c r="H42" s="43"/>
    </row>
    <row r="43" spans="1:8" x14ac:dyDescent="0.25">
      <c r="A43" s="6"/>
      <c r="B43" s="6"/>
      <c r="C43" s="6"/>
      <c r="D43" s="6"/>
      <c r="E43" s="6"/>
      <c r="F43" s="6"/>
    </row>
    <row r="44" spans="1:8" x14ac:dyDescent="0.25">
      <c r="A44" s="6"/>
      <c r="B44" s="6"/>
      <c r="C44" s="6"/>
      <c r="D44" s="6"/>
      <c r="E44" s="6"/>
      <c r="F44" s="6"/>
    </row>
    <row r="45" spans="1:8" x14ac:dyDescent="0.25">
      <c r="A45" s="6"/>
      <c r="B45" s="6"/>
      <c r="C45" s="6"/>
      <c r="D45" s="6"/>
      <c r="E45" s="6"/>
      <c r="F45" s="6"/>
    </row>
    <row r="46" spans="1:8" x14ac:dyDescent="0.25">
      <c r="A46" s="6"/>
      <c r="B46" s="6"/>
      <c r="C46" s="6"/>
      <c r="D46" s="6"/>
      <c r="E46" s="6"/>
      <c r="F46" s="6"/>
    </row>
    <row r="47" spans="1:8" x14ac:dyDescent="0.25">
      <c r="A47" s="6"/>
      <c r="B47" s="6"/>
      <c r="C47" s="6"/>
      <c r="D47" s="6"/>
      <c r="E47" s="6"/>
      <c r="F47" s="6"/>
    </row>
  </sheetData>
  <sheetProtection algorithmName="SHA-512" hashValue="VXRRA8qBRJ4/DrdRUF4O5pUnAUHMLthppz5BDLwZKpcpXXQ7+lRqi426ShAlPTBy5vJFwIijUBZ9UDf1906VxQ==" saltValue="7iea/ysLib2YycukydI9iw=="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R1&amp;L11/9/2023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7"/>
  <sheetViews>
    <sheetView view="pageBreakPreview" topLeftCell="A20" zoomScaleNormal="100" zoomScaleSheetLayoutView="100" workbookViewId="0">
      <selection activeCell="A38" sqref="A38:XFD38"/>
    </sheetView>
  </sheetViews>
  <sheetFormatPr defaultColWidth="9.140625" defaultRowHeight="15" x14ac:dyDescent="0.25"/>
  <cols>
    <col min="1" max="1" width="17.28515625" customWidth="1"/>
    <col min="2" max="2" width="15.7109375" customWidth="1"/>
    <col min="3" max="3" width="54.7109375" bestFit="1" customWidth="1"/>
    <col min="6" max="9" width="9.42578125" bestFit="1" customWidth="1"/>
  </cols>
  <sheetData>
    <row r="1" spans="1:12" ht="18.75" x14ac:dyDescent="0.25">
      <c r="A1" s="67" t="s">
        <v>132</v>
      </c>
      <c r="B1" s="57"/>
      <c r="C1" s="6"/>
      <c r="D1" s="42"/>
    </row>
    <row r="2" spans="1:12" x14ac:dyDescent="0.25">
      <c r="A2" s="56" t="s">
        <v>118</v>
      </c>
      <c r="B2" s="448" t="s">
        <v>317</v>
      </c>
      <c r="C2" s="6"/>
      <c r="D2" s="43"/>
    </row>
    <row r="3" spans="1:12" x14ac:dyDescent="0.25">
      <c r="A3" s="56" t="s">
        <v>133</v>
      </c>
      <c r="B3" s="449">
        <v>2023</v>
      </c>
      <c r="C3" s="6"/>
      <c r="D3" s="43"/>
    </row>
    <row r="4" spans="1:12" x14ac:dyDescent="0.25">
      <c r="A4" s="56" t="s">
        <v>125</v>
      </c>
      <c r="B4" s="449">
        <v>2022</v>
      </c>
      <c r="C4" s="6"/>
      <c r="D4" s="43"/>
    </row>
    <row r="5" spans="1:12" x14ac:dyDescent="0.25">
      <c r="A5" s="56" t="s">
        <v>120</v>
      </c>
      <c r="B5" s="448" t="s">
        <v>292</v>
      </c>
      <c r="C5" s="6"/>
      <c r="D5" s="43"/>
    </row>
    <row r="6" spans="1:12" x14ac:dyDescent="0.25">
      <c r="A6" s="56" t="s">
        <v>126</v>
      </c>
      <c r="B6" s="450">
        <v>45237</v>
      </c>
      <c r="C6" s="6"/>
      <c r="D6" s="43"/>
    </row>
    <row r="7" spans="1:12" x14ac:dyDescent="0.25">
      <c r="A7" s="56"/>
      <c r="B7" s="58"/>
      <c r="C7" s="6"/>
      <c r="D7" s="43"/>
    </row>
    <row r="8" spans="1:12" x14ac:dyDescent="0.25">
      <c r="A8" s="56"/>
      <c r="B8" s="59"/>
      <c r="C8" s="6"/>
      <c r="D8" s="43"/>
    </row>
    <row r="9" spans="1:12" x14ac:dyDescent="0.25">
      <c r="A9" s="60"/>
      <c r="B9" s="60">
        <v>1</v>
      </c>
      <c r="C9" s="60">
        <v>2</v>
      </c>
      <c r="D9" s="42"/>
    </row>
    <row r="10" spans="1:12" x14ac:dyDescent="0.25">
      <c r="A10" s="60" t="s">
        <v>57</v>
      </c>
      <c r="B10" s="60" t="s">
        <v>132</v>
      </c>
      <c r="C10" s="60" t="s">
        <v>117</v>
      </c>
      <c r="D10" s="44"/>
    </row>
    <row r="11" spans="1:12" x14ac:dyDescent="0.25">
      <c r="A11" s="61">
        <v>1</v>
      </c>
      <c r="B11" s="539">
        <v>0.79749999999999999</v>
      </c>
      <c r="C11" s="62" t="s">
        <v>16</v>
      </c>
      <c r="D11" s="44"/>
    </row>
    <row r="12" spans="1:12" x14ac:dyDescent="0.25">
      <c r="A12" s="61" t="s">
        <v>748</v>
      </c>
      <c r="B12" s="539">
        <f>B11</f>
        <v>0.79749999999999999</v>
      </c>
      <c r="C12" s="62" t="s">
        <v>16</v>
      </c>
      <c r="D12" s="44"/>
    </row>
    <row r="13" spans="1:12" x14ac:dyDescent="0.25">
      <c r="A13" s="61" t="s">
        <v>749</v>
      </c>
      <c r="B13" s="539">
        <f>B11</f>
        <v>0.79749999999999999</v>
      </c>
      <c r="C13" s="62" t="s">
        <v>16</v>
      </c>
      <c r="D13" s="44"/>
    </row>
    <row r="14" spans="1:12" x14ac:dyDescent="0.25">
      <c r="A14" s="61">
        <v>2.1</v>
      </c>
      <c r="B14" s="539">
        <v>0.97589999999999999</v>
      </c>
      <c r="C14" s="62" t="s">
        <v>9</v>
      </c>
      <c r="D14" s="44"/>
    </row>
    <row r="15" spans="1:12" x14ac:dyDescent="0.25">
      <c r="A15" s="61">
        <v>3</v>
      </c>
      <c r="B15" s="539">
        <v>0.99260000000000004</v>
      </c>
      <c r="C15" s="62" t="s">
        <v>42</v>
      </c>
      <c r="D15" s="44"/>
    </row>
    <row r="16" spans="1:12" x14ac:dyDescent="0.25">
      <c r="A16" s="61">
        <v>4</v>
      </c>
      <c r="B16" s="539">
        <v>0.94789999999999996</v>
      </c>
      <c r="C16" s="62" t="s">
        <v>43</v>
      </c>
      <c r="D16" s="44"/>
      <c r="G16" s="525"/>
      <c r="H16" s="524"/>
      <c r="I16" s="526"/>
      <c r="J16" s="526"/>
      <c r="K16" s="526"/>
      <c r="L16" s="524"/>
    </row>
    <row r="17" spans="1:12" x14ac:dyDescent="0.25">
      <c r="A17" s="61">
        <v>5</v>
      </c>
      <c r="B17" s="539">
        <v>0.67630000000000001</v>
      </c>
      <c r="C17" s="62" t="s">
        <v>122</v>
      </c>
      <c r="D17" s="44"/>
      <c r="G17" s="525"/>
      <c r="H17" s="524"/>
      <c r="I17" s="526"/>
      <c r="J17" s="526"/>
      <c r="K17" s="526"/>
      <c r="L17" s="524"/>
    </row>
    <row r="18" spans="1:12" x14ac:dyDescent="0.25">
      <c r="A18" s="61">
        <v>5.0999999999999996</v>
      </c>
      <c r="B18" s="539">
        <v>0.87460000000000004</v>
      </c>
      <c r="C18" s="62" t="s">
        <v>41</v>
      </c>
      <c r="D18" s="44"/>
      <c r="G18" s="525"/>
      <c r="H18" s="524"/>
      <c r="I18" s="526"/>
      <c r="J18" s="526"/>
      <c r="K18" s="526"/>
      <c r="L18" s="524"/>
    </row>
    <row r="19" spans="1:12" x14ac:dyDescent="0.25">
      <c r="A19" s="61">
        <v>5.2</v>
      </c>
      <c r="B19" s="539">
        <v>0.49249999999999999</v>
      </c>
      <c r="C19" s="62" t="s">
        <v>40</v>
      </c>
      <c r="D19" s="44"/>
      <c r="G19" s="525"/>
      <c r="H19" s="524"/>
      <c r="I19" s="526"/>
      <c r="J19" s="526"/>
      <c r="K19" s="526"/>
      <c r="L19" s="524"/>
    </row>
    <row r="20" spans="1:12" x14ac:dyDescent="0.25">
      <c r="A20" s="61">
        <v>9</v>
      </c>
      <c r="B20" s="539">
        <v>1.0958000000000001</v>
      </c>
      <c r="C20" s="62" t="s">
        <v>18</v>
      </c>
      <c r="D20" s="44"/>
      <c r="G20" s="525"/>
      <c r="H20" s="524"/>
      <c r="I20" s="526"/>
      <c r="J20" s="526"/>
      <c r="K20" s="526"/>
      <c r="L20" s="524"/>
    </row>
    <row r="21" spans="1:12" x14ac:dyDescent="0.25">
      <c r="A21" s="61">
        <v>11</v>
      </c>
      <c r="B21" s="539">
        <v>0.39169999999999999</v>
      </c>
      <c r="C21" s="63" t="s">
        <v>19</v>
      </c>
      <c r="D21" s="44"/>
      <c r="G21" s="525"/>
      <c r="H21" s="524"/>
      <c r="I21" s="526"/>
      <c r="J21" s="526"/>
      <c r="K21" s="526"/>
      <c r="L21" s="524"/>
    </row>
    <row r="22" spans="1:12" x14ac:dyDescent="0.25">
      <c r="A22" s="61">
        <v>11.1</v>
      </c>
      <c r="B22" s="539">
        <v>0.29759999999999998</v>
      </c>
      <c r="C22" s="63" t="s">
        <v>45</v>
      </c>
      <c r="D22" s="44"/>
      <c r="G22" s="525"/>
      <c r="H22" s="524"/>
      <c r="I22" s="526"/>
      <c r="J22" s="526"/>
      <c r="K22" s="526"/>
      <c r="L22" s="524"/>
    </row>
    <row r="23" spans="1:12" x14ac:dyDescent="0.25">
      <c r="A23" s="61">
        <v>11.2</v>
      </c>
      <c r="B23" s="539">
        <v>0.43519999999999998</v>
      </c>
      <c r="C23" s="63" t="s">
        <v>44</v>
      </c>
      <c r="D23" s="44"/>
      <c r="G23" s="525"/>
      <c r="H23" s="524"/>
      <c r="I23" s="526"/>
      <c r="J23" s="526"/>
      <c r="K23" s="526"/>
      <c r="L23" s="524"/>
    </row>
    <row r="24" spans="1:12" x14ac:dyDescent="0.25">
      <c r="A24" s="61" t="s">
        <v>326</v>
      </c>
      <c r="B24" s="539">
        <v>0.39169999999999999</v>
      </c>
      <c r="C24" s="63" t="s">
        <v>324</v>
      </c>
      <c r="D24" s="44"/>
      <c r="G24" s="525"/>
      <c r="H24" s="524"/>
      <c r="I24" s="526"/>
      <c r="J24" s="526"/>
      <c r="K24" s="526"/>
      <c r="L24" s="524"/>
    </row>
    <row r="25" spans="1:12" x14ac:dyDescent="0.25">
      <c r="A25" s="61" t="s">
        <v>327</v>
      </c>
      <c r="B25" s="539">
        <v>0.29759999999999998</v>
      </c>
      <c r="C25" s="63" t="s">
        <v>325</v>
      </c>
      <c r="D25" s="44"/>
      <c r="G25" s="525"/>
      <c r="H25" s="524"/>
      <c r="I25" s="526"/>
      <c r="J25" s="526"/>
      <c r="K25" s="526"/>
      <c r="L25" s="524"/>
    </row>
    <row r="26" spans="1:12" x14ac:dyDescent="0.25">
      <c r="A26" s="61" t="s">
        <v>328</v>
      </c>
      <c r="B26" s="539">
        <v>0.43519999999999998</v>
      </c>
      <c r="C26" s="63" t="s">
        <v>322</v>
      </c>
      <c r="D26" s="44"/>
      <c r="G26" s="525"/>
      <c r="H26" s="524"/>
      <c r="I26" s="526"/>
      <c r="J26" s="526"/>
      <c r="K26" s="526"/>
      <c r="L26" s="524"/>
    </row>
    <row r="27" spans="1:12" x14ac:dyDescent="0.25">
      <c r="A27" s="61">
        <v>12</v>
      </c>
      <c r="B27" s="539">
        <v>1</v>
      </c>
      <c r="C27" s="63" t="s">
        <v>13</v>
      </c>
      <c r="D27" s="44"/>
      <c r="G27" s="525"/>
      <c r="H27" s="524"/>
      <c r="I27" s="526"/>
      <c r="J27" s="526"/>
      <c r="K27" s="526"/>
      <c r="L27" s="524"/>
    </row>
    <row r="28" spans="1:12" x14ac:dyDescent="0.25">
      <c r="A28" s="61" t="s">
        <v>329</v>
      </c>
      <c r="B28" s="539">
        <v>1</v>
      </c>
      <c r="C28" s="63" t="s">
        <v>323</v>
      </c>
      <c r="D28" s="44"/>
      <c r="G28" s="525"/>
      <c r="H28" s="524"/>
      <c r="I28" s="526"/>
      <c r="J28" s="526"/>
      <c r="K28" s="526"/>
      <c r="L28" s="524"/>
    </row>
    <row r="29" spans="1:12" x14ac:dyDescent="0.25">
      <c r="A29" s="61">
        <v>17</v>
      </c>
      <c r="B29" s="539">
        <v>0.4909</v>
      </c>
      <c r="C29" s="63" t="s">
        <v>21</v>
      </c>
      <c r="D29" s="44"/>
      <c r="G29" s="525"/>
      <c r="H29" s="524"/>
      <c r="I29" s="526"/>
      <c r="J29" s="526"/>
      <c r="K29" s="526"/>
      <c r="L29" s="524"/>
    </row>
    <row r="30" spans="1:12" x14ac:dyDescent="0.25">
      <c r="A30" s="61">
        <v>17.100000000000001</v>
      </c>
      <c r="B30" s="539">
        <v>0.48309999999999997</v>
      </c>
      <c r="C30" s="63" t="s">
        <v>47</v>
      </c>
      <c r="D30" s="44"/>
      <c r="G30" s="525"/>
      <c r="H30" s="524"/>
      <c r="I30" s="526"/>
      <c r="J30" s="526"/>
      <c r="K30" s="526"/>
      <c r="L30" s="524"/>
    </row>
    <row r="31" spans="1:12" x14ac:dyDescent="0.25">
      <c r="A31" s="61">
        <v>17.2</v>
      </c>
      <c r="B31" s="539">
        <v>0.53939999999999999</v>
      </c>
      <c r="C31" s="63" t="s">
        <v>46</v>
      </c>
      <c r="D31" s="44"/>
      <c r="G31" s="525"/>
      <c r="H31" s="524"/>
      <c r="I31" s="526"/>
      <c r="J31" s="526"/>
      <c r="K31" s="526"/>
      <c r="L31" s="524"/>
    </row>
    <row r="32" spans="1:12" x14ac:dyDescent="0.25">
      <c r="A32" s="61">
        <v>18</v>
      </c>
      <c r="B32" s="539">
        <v>0.35170000000000001</v>
      </c>
      <c r="C32" s="63" t="s">
        <v>22</v>
      </c>
      <c r="D32" s="44"/>
      <c r="G32" s="525"/>
      <c r="H32" s="524"/>
      <c r="I32" s="526"/>
      <c r="J32" s="526"/>
      <c r="K32" s="526"/>
      <c r="L32" s="524"/>
    </row>
    <row r="33" spans="1:12" x14ac:dyDescent="0.25">
      <c r="A33" s="61">
        <v>18.100000000000001</v>
      </c>
      <c r="B33" s="539">
        <v>0.33179999999999998</v>
      </c>
      <c r="C33" s="63" t="s">
        <v>51</v>
      </c>
      <c r="D33" s="44"/>
      <c r="G33" s="525"/>
      <c r="H33" s="524"/>
      <c r="I33" s="526"/>
      <c r="J33" s="526"/>
      <c r="K33" s="526"/>
      <c r="L33" s="524"/>
    </row>
    <row r="34" spans="1:12" x14ac:dyDescent="0.25">
      <c r="A34" s="61">
        <v>18.2</v>
      </c>
      <c r="B34" s="539">
        <v>0.50929999999999997</v>
      </c>
      <c r="C34" s="63" t="s">
        <v>50</v>
      </c>
      <c r="D34" s="44"/>
      <c r="G34" s="525"/>
      <c r="H34" s="524"/>
      <c r="I34" s="526"/>
      <c r="J34" s="526"/>
      <c r="K34" s="526"/>
      <c r="L34" s="524"/>
    </row>
    <row r="35" spans="1:12" x14ac:dyDescent="0.25">
      <c r="A35" s="61">
        <v>19.2</v>
      </c>
      <c r="B35" s="539">
        <v>0.77049999999999996</v>
      </c>
      <c r="C35" s="63" t="s">
        <v>48</v>
      </c>
      <c r="D35" s="44"/>
      <c r="G35" s="525"/>
      <c r="H35" s="524"/>
      <c r="I35" s="526"/>
      <c r="J35" s="526"/>
      <c r="K35" s="526"/>
      <c r="L35" s="524"/>
    </row>
    <row r="36" spans="1:12" x14ac:dyDescent="0.25">
      <c r="A36" s="61">
        <v>19.399999999999999</v>
      </c>
      <c r="B36" s="539">
        <v>0.6159</v>
      </c>
      <c r="C36" s="63" t="s">
        <v>37</v>
      </c>
      <c r="D36" s="44"/>
      <c r="G36" s="525"/>
      <c r="H36" s="524"/>
      <c r="I36" s="526"/>
      <c r="J36" s="526"/>
      <c r="K36" s="526"/>
      <c r="L36" s="524"/>
    </row>
    <row r="37" spans="1:12" x14ac:dyDescent="0.25">
      <c r="A37" s="61">
        <v>21.1</v>
      </c>
      <c r="B37" s="539">
        <v>1.2808999999999999</v>
      </c>
      <c r="C37" s="63" t="s">
        <v>49</v>
      </c>
      <c r="D37" s="44"/>
      <c r="G37" s="525"/>
      <c r="H37" s="524"/>
      <c r="I37" s="526"/>
      <c r="J37" s="526"/>
      <c r="K37" s="526"/>
      <c r="L37" s="524"/>
    </row>
    <row r="38" spans="1:12" x14ac:dyDescent="0.25">
      <c r="A38" s="61">
        <v>21.2</v>
      </c>
      <c r="B38" s="539">
        <v>1.0903</v>
      </c>
      <c r="C38" s="63" t="s">
        <v>38</v>
      </c>
      <c r="D38" s="44"/>
      <c r="G38" s="525"/>
      <c r="H38" s="524"/>
      <c r="I38" s="526"/>
      <c r="J38" s="526"/>
      <c r="K38" s="526"/>
      <c r="L38" s="524"/>
    </row>
    <row r="39" spans="1:12" x14ac:dyDescent="0.25">
      <c r="A39" s="61">
        <v>22</v>
      </c>
      <c r="B39" s="539">
        <v>0.65539999999999998</v>
      </c>
      <c r="C39" s="63" t="s">
        <v>8</v>
      </c>
      <c r="D39" s="44"/>
      <c r="G39" s="525"/>
      <c r="H39" s="524"/>
      <c r="I39" s="526"/>
      <c r="J39" s="526"/>
      <c r="K39" s="526"/>
      <c r="L39" s="524"/>
    </row>
    <row r="40" spans="1:12" x14ac:dyDescent="0.25">
      <c r="A40" s="61">
        <v>23</v>
      </c>
      <c r="B40" s="539">
        <v>0.68899999999999995</v>
      </c>
      <c r="C40" s="63" t="s">
        <v>15</v>
      </c>
      <c r="D40" s="44"/>
      <c r="G40" s="525"/>
      <c r="H40" s="524"/>
      <c r="I40" s="526"/>
      <c r="J40" s="526"/>
      <c r="K40" s="526"/>
      <c r="L40" s="524"/>
    </row>
    <row r="41" spans="1:12" x14ac:dyDescent="0.25">
      <c r="A41" s="61">
        <v>24</v>
      </c>
      <c r="B41" s="539">
        <v>0.80430000000000001</v>
      </c>
      <c r="C41" s="63" t="s">
        <v>23</v>
      </c>
      <c r="D41" s="44"/>
      <c r="G41" s="525"/>
      <c r="H41" s="524"/>
      <c r="I41" s="526"/>
      <c r="J41" s="526"/>
      <c r="K41" s="526"/>
      <c r="L41" s="524"/>
    </row>
    <row r="42" spans="1:12" x14ac:dyDescent="0.25">
      <c r="A42" s="64">
        <v>26</v>
      </c>
      <c r="B42" s="539">
        <v>0.81589999999999996</v>
      </c>
      <c r="C42" s="63" t="s">
        <v>12</v>
      </c>
      <c r="D42" s="44"/>
      <c r="G42" s="525"/>
      <c r="H42" s="524"/>
      <c r="I42" s="526"/>
      <c r="J42" s="526"/>
      <c r="K42" s="526"/>
      <c r="L42" s="524"/>
    </row>
    <row r="43" spans="1:12" x14ac:dyDescent="0.25">
      <c r="A43" s="64">
        <v>27</v>
      </c>
      <c r="B43" s="539">
        <v>0.94679999999999997</v>
      </c>
      <c r="C43" s="63" t="s">
        <v>11</v>
      </c>
      <c r="D43" s="44"/>
      <c r="G43" s="525"/>
      <c r="H43" s="524"/>
      <c r="I43" s="526"/>
      <c r="J43" s="526"/>
      <c r="K43" s="526"/>
      <c r="L43" s="524"/>
    </row>
    <row r="44" spans="1:12" x14ac:dyDescent="0.25">
      <c r="A44" s="6"/>
      <c r="B44" s="6"/>
      <c r="C44" s="6"/>
      <c r="D44" s="44"/>
    </row>
    <row r="45" spans="1:12" x14ac:dyDescent="0.25">
      <c r="A45" s="6"/>
      <c r="B45" s="6"/>
      <c r="C45" s="6"/>
      <c r="D45" s="44"/>
    </row>
    <row r="46" spans="1:12" x14ac:dyDescent="0.25">
      <c r="A46" s="6"/>
      <c r="B46" s="6"/>
      <c r="C46" s="6"/>
      <c r="D46" s="44"/>
    </row>
    <row r="47" spans="1:12" x14ac:dyDescent="0.25">
      <c r="A47" s="6"/>
      <c r="B47" s="6"/>
      <c r="C47" s="6"/>
      <c r="D47" s="44"/>
    </row>
    <row r="48" spans="1:12" x14ac:dyDescent="0.25">
      <c r="A48" s="6"/>
      <c r="B48" s="6"/>
      <c r="C48" s="6"/>
      <c r="D48" s="44"/>
    </row>
    <row r="49" spans="4:4" x14ac:dyDescent="0.25">
      <c r="D49" s="44"/>
    </row>
    <row r="50" spans="4:4" x14ac:dyDescent="0.25">
      <c r="D50" s="44"/>
    </row>
    <row r="51" spans="4:4" x14ac:dyDescent="0.25">
      <c r="D51" s="44"/>
    </row>
    <row r="52" spans="4:4" x14ac:dyDescent="0.25">
      <c r="D52" s="44"/>
    </row>
    <row r="53" spans="4:4" x14ac:dyDescent="0.25">
      <c r="D53" s="44"/>
    </row>
    <row r="54" spans="4:4" x14ac:dyDescent="0.25">
      <c r="D54" s="44"/>
    </row>
    <row r="55" spans="4:4" x14ac:dyDescent="0.25">
      <c r="D55" s="44"/>
    </row>
    <row r="56" spans="4:4" x14ac:dyDescent="0.25">
      <c r="D56" s="44"/>
    </row>
    <row r="57" spans="4:4" x14ac:dyDescent="0.25">
      <c r="D57" s="44"/>
    </row>
  </sheetData>
  <sheetProtection algorithmName="SHA-512" hashValue="BGUVgZolwx1a0HcQ7syRK4iSI7DFe4cqljwSp8tgbazrDdA9OtyYyLd0u8oT3uXSq/hkD4u2Xlak+dntMuEl7Q==" saltValue="JfML9uMpYXT5neJtZfHMMQ=="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R2&amp;L11/9/2023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7"/>
  <sheetViews>
    <sheetView view="pageBreakPreview" zoomScaleNormal="100" zoomScaleSheetLayoutView="100" workbookViewId="0">
      <selection activeCell="B7" sqref="B7"/>
    </sheetView>
  </sheetViews>
  <sheetFormatPr defaultColWidth="9.140625" defaultRowHeight="15" x14ac:dyDescent="0.25"/>
  <cols>
    <col min="1" max="1" width="17.28515625" customWidth="1"/>
    <col min="2" max="3" width="15.7109375" customWidth="1"/>
    <col min="4" max="4" width="54.7109375" bestFit="1" customWidth="1"/>
    <col min="11" max="14" width="9.42578125" bestFit="1" customWidth="1"/>
  </cols>
  <sheetData>
    <row r="1" spans="1:11" ht="18.75" x14ac:dyDescent="0.3">
      <c r="A1" s="66" t="s">
        <v>134</v>
      </c>
      <c r="B1" s="42"/>
      <c r="C1" s="43"/>
      <c r="H1" s="42"/>
    </row>
    <row r="2" spans="1:11" x14ac:dyDescent="0.25">
      <c r="A2" s="41" t="s">
        <v>118</v>
      </c>
      <c r="B2" s="451" t="s">
        <v>318</v>
      </c>
      <c r="C2" s="43"/>
      <c r="H2" s="43"/>
    </row>
    <row r="3" spans="1:11" x14ac:dyDescent="0.25">
      <c r="A3" s="41" t="s">
        <v>135</v>
      </c>
      <c r="B3" s="452" t="s">
        <v>752</v>
      </c>
      <c r="C3" s="54"/>
      <c r="H3" s="43"/>
    </row>
    <row r="4" spans="1:11" x14ac:dyDescent="0.25">
      <c r="A4" s="56" t="s">
        <v>125</v>
      </c>
      <c r="B4" s="54">
        <v>2022</v>
      </c>
      <c r="C4" s="54"/>
      <c r="H4" s="43"/>
    </row>
    <row r="5" spans="1:11" x14ac:dyDescent="0.25">
      <c r="A5" s="56" t="s">
        <v>120</v>
      </c>
      <c r="B5" s="448" t="s">
        <v>292</v>
      </c>
      <c r="C5" s="43"/>
      <c r="H5" s="43"/>
    </row>
    <row r="6" spans="1:11" x14ac:dyDescent="0.25">
      <c r="A6" s="41" t="s">
        <v>126</v>
      </c>
      <c r="B6" s="450">
        <v>45237</v>
      </c>
      <c r="C6" s="43"/>
      <c r="H6" s="43"/>
    </row>
    <row r="7" spans="1:11" x14ac:dyDescent="0.25">
      <c r="A7" s="41"/>
      <c r="B7" s="55"/>
      <c r="C7" s="43"/>
      <c r="H7" s="43"/>
    </row>
    <row r="8" spans="1:11" x14ac:dyDescent="0.25">
      <c r="A8" s="41"/>
      <c r="B8" s="47"/>
      <c r="C8" s="43"/>
      <c r="H8" s="43"/>
    </row>
    <row r="9" spans="1:11" x14ac:dyDescent="0.25">
      <c r="A9" s="218"/>
      <c r="B9" s="218">
        <v>1</v>
      </c>
      <c r="C9" s="218">
        <v>2</v>
      </c>
      <c r="D9" s="218">
        <v>3</v>
      </c>
      <c r="E9" s="43"/>
      <c r="H9" s="42"/>
    </row>
    <row r="10" spans="1:11" ht="45" x14ac:dyDescent="0.25">
      <c r="A10" s="222" t="s">
        <v>57</v>
      </c>
      <c r="B10" s="615" t="s">
        <v>136</v>
      </c>
      <c r="C10" s="615" t="s">
        <v>137</v>
      </c>
      <c r="D10" s="223" t="s">
        <v>117</v>
      </c>
      <c r="E10" s="45"/>
      <c r="H10" s="44"/>
    </row>
    <row r="11" spans="1:11" x14ac:dyDescent="0.25">
      <c r="A11" s="219">
        <v>1</v>
      </c>
      <c r="B11" s="614">
        <v>0.52</v>
      </c>
      <c r="C11" s="616">
        <v>1.27</v>
      </c>
      <c r="D11" s="220" t="s">
        <v>16</v>
      </c>
      <c r="E11" s="45"/>
      <c r="I11" s="42"/>
      <c r="J11" s="42"/>
      <c r="K11" s="42"/>
    </row>
    <row r="12" spans="1:11" x14ac:dyDescent="0.25">
      <c r="A12" s="219" t="s">
        <v>748</v>
      </c>
      <c r="B12" s="614">
        <f>B11</f>
        <v>0.52</v>
      </c>
      <c r="C12" s="616">
        <f>C11</f>
        <v>1.27</v>
      </c>
      <c r="D12" s="220" t="s">
        <v>16</v>
      </c>
      <c r="E12" s="45"/>
      <c r="I12" s="42"/>
      <c r="J12" s="42"/>
      <c r="K12" s="42"/>
    </row>
    <row r="13" spans="1:11" x14ac:dyDescent="0.25">
      <c r="A13" s="219" t="s">
        <v>749</v>
      </c>
      <c r="B13" s="614">
        <f>B11</f>
        <v>0.52</v>
      </c>
      <c r="C13" s="616">
        <f>C11</f>
        <v>1.27</v>
      </c>
      <c r="D13" s="220" t="s">
        <v>16</v>
      </c>
      <c r="E13" s="45"/>
      <c r="I13" s="42"/>
      <c r="J13" s="42"/>
      <c r="K13" s="42"/>
    </row>
    <row r="14" spans="1:11" x14ac:dyDescent="0.25">
      <c r="A14" s="219">
        <v>2.1</v>
      </c>
      <c r="B14" s="614">
        <v>0.5</v>
      </c>
      <c r="C14" s="616">
        <v>0.92</v>
      </c>
      <c r="D14" s="220" t="s">
        <v>9</v>
      </c>
      <c r="E14" s="45"/>
      <c r="I14" s="42"/>
      <c r="J14" s="42"/>
      <c r="K14" s="42"/>
    </row>
    <row r="15" spans="1:11" x14ac:dyDescent="0.25">
      <c r="A15" s="219">
        <v>3</v>
      </c>
      <c r="B15" s="614">
        <v>0.47</v>
      </c>
      <c r="C15" s="616">
        <v>2.5</v>
      </c>
      <c r="D15" s="220" t="s">
        <v>42</v>
      </c>
      <c r="E15" s="45"/>
      <c r="I15" s="42"/>
      <c r="J15" s="42"/>
      <c r="K15" s="42"/>
    </row>
    <row r="16" spans="1:11" x14ac:dyDescent="0.25">
      <c r="A16" s="219">
        <v>4</v>
      </c>
      <c r="B16" s="614">
        <v>0.52</v>
      </c>
      <c r="C16" s="616">
        <v>0.87</v>
      </c>
      <c r="D16" s="220" t="s">
        <v>43</v>
      </c>
      <c r="E16" s="45"/>
      <c r="I16" s="42"/>
      <c r="J16" s="42"/>
      <c r="K16" s="42"/>
    </row>
    <row r="17" spans="1:11" x14ac:dyDescent="0.25">
      <c r="A17" s="219">
        <v>5</v>
      </c>
      <c r="B17" s="614">
        <v>0.48</v>
      </c>
      <c r="C17" s="616">
        <v>1.86</v>
      </c>
      <c r="D17" s="220" t="s">
        <v>122</v>
      </c>
      <c r="E17" s="45"/>
      <c r="I17" s="42"/>
      <c r="J17" s="42"/>
      <c r="K17" s="42"/>
    </row>
    <row r="18" spans="1:11" x14ac:dyDescent="0.25">
      <c r="A18" s="219">
        <v>5.0999999999999996</v>
      </c>
      <c r="B18" s="614">
        <v>0.48</v>
      </c>
      <c r="C18" s="616">
        <v>0.96</v>
      </c>
      <c r="D18" s="220" t="s">
        <v>41</v>
      </c>
      <c r="E18" s="45"/>
      <c r="I18" s="42"/>
      <c r="J18" s="42"/>
      <c r="K18" s="42"/>
    </row>
    <row r="19" spans="1:11" x14ac:dyDescent="0.25">
      <c r="A19" s="219">
        <v>5.2</v>
      </c>
      <c r="B19" s="614">
        <v>0.47</v>
      </c>
      <c r="C19" s="616">
        <v>2.91</v>
      </c>
      <c r="D19" s="220" t="s">
        <v>40</v>
      </c>
      <c r="E19" s="45"/>
      <c r="I19" s="42"/>
      <c r="J19" s="42"/>
      <c r="K19" s="42"/>
    </row>
    <row r="20" spans="1:11" x14ac:dyDescent="0.25">
      <c r="A20" s="219">
        <v>9</v>
      </c>
      <c r="B20" s="614">
        <v>0.28999999999999998</v>
      </c>
      <c r="C20" s="616">
        <v>0.54</v>
      </c>
      <c r="D20" s="220" t="s">
        <v>18</v>
      </c>
      <c r="E20" s="45"/>
      <c r="I20" s="42"/>
      <c r="J20" s="42"/>
      <c r="K20" s="42"/>
    </row>
    <row r="21" spans="1:11" x14ac:dyDescent="0.25">
      <c r="A21" s="219">
        <v>11</v>
      </c>
      <c r="B21" s="614">
        <v>0.51</v>
      </c>
      <c r="C21" s="616">
        <v>6.16</v>
      </c>
      <c r="D21" t="s">
        <v>19</v>
      </c>
      <c r="E21" s="45"/>
      <c r="I21" s="42"/>
      <c r="J21" s="42"/>
      <c r="K21" s="42"/>
    </row>
    <row r="22" spans="1:11" x14ac:dyDescent="0.25">
      <c r="A22" s="219">
        <v>11.1</v>
      </c>
      <c r="B22" s="614">
        <v>1.29</v>
      </c>
      <c r="C22" s="616">
        <v>27.23</v>
      </c>
      <c r="D22" t="s">
        <v>45</v>
      </c>
      <c r="E22" s="45"/>
      <c r="I22" s="42"/>
      <c r="J22" s="42"/>
      <c r="K22" s="42"/>
    </row>
    <row r="23" spans="1:11" x14ac:dyDescent="0.25">
      <c r="A23" s="219">
        <v>11.2</v>
      </c>
      <c r="B23" s="614">
        <v>0.4</v>
      </c>
      <c r="C23" s="616">
        <v>4.8099999999999996</v>
      </c>
      <c r="D23" t="s">
        <v>44</v>
      </c>
      <c r="E23" s="45"/>
      <c r="I23" s="42"/>
      <c r="J23" s="42"/>
      <c r="K23" s="42"/>
    </row>
    <row r="24" spans="1:11" x14ac:dyDescent="0.25">
      <c r="A24" s="219" t="s">
        <v>326</v>
      </c>
      <c r="B24" s="614">
        <v>0.51</v>
      </c>
      <c r="C24" s="616">
        <v>6.16</v>
      </c>
      <c r="D24" s="6" t="s">
        <v>324</v>
      </c>
      <c r="E24" s="45"/>
      <c r="I24" s="42"/>
      <c r="J24" s="42"/>
      <c r="K24" s="42"/>
    </row>
    <row r="25" spans="1:11" x14ac:dyDescent="0.25">
      <c r="A25" s="219" t="s">
        <v>327</v>
      </c>
      <c r="B25" s="614">
        <v>1.29</v>
      </c>
      <c r="C25" s="616">
        <v>27.23</v>
      </c>
      <c r="D25" s="6" t="s">
        <v>325</v>
      </c>
      <c r="E25" s="45"/>
      <c r="I25" s="42"/>
      <c r="J25" s="42"/>
      <c r="K25" s="42"/>
    </row>
    <row r="26" spans="1:11" x14ac:dyDescent="0.25">
      <c r="A26" s="219" t="s">
        <v>328</v>
      </c>
      <c r="B26" s="614">
        <v>0.4</v>
      </c>
      <c r="C26" s="616">
        <v>4.8099999999999996</v>
      </c>
      <c r="D26" s="6" t="s">
        <v>322</v>
      </c>
      <c r="E26" s="45"/>
      <c r="I26" s="42"/>
      <c r="J26" s="42"/>
      <c r="K26" s="42"/>
    </row>
    <row r="27" spans="1:11" x14ac:dyDescent="0.25">
      <c r="A27" s="219">
        <v>12</v>
      </c>
      <c r="B27" s="614">
        <v>0.49</v>
      </c>
      <c r="C27" s="616">
        <v>1</v>
      </c>
      <c r="D27" t="s">
        <v>13</v>
      </c>
      <c r="E27" s="45"/>
      <c r="I27" s="42"/>
      <c r="J27" s="42"/>
      <c r="K27" s="42"/>
    </row>
    <row r="28" spans="1:11" x14ac:dyDescent="0.25">
      <c r="A28" s="219" t="s">
        <v>329</v>
      </c>
      <c r="B28" s="614">
        <v>0.48451621817511087</v>
      </c>
      <c r="C28" s="616">
        <v>1</v>
      </c>
      <c r="D28" s="6" t="s">
        <v>323</v>
      </c>
      <c r="E28" s="45"/>
      <c r="I28" s="42"/>
      <c r="J28" s="42"/>
      <c r="K28" s="42"/>
    </row>
    <row r="29" spans="1:11" x14ac:dyDescent="0.25">
      <c r="A29" s="219">
        <v>17</v>
      </c>
      <c r="B29" s="614">
        <v>0.56999999999999995</v>
      </c>
      <c r="C29" s="616">
        <v>3.08</v>
      </c>
      <c r="D29" t="s">
        <v>21</v>
      </c>
      <c r="E29" s="45"/>
      <c r="I29" s="42"/>
      <c r="J29" s="42"/>
      <c r="K29" s="42"/>
    </row>
    <row r="30" spans="1:11" x14ac:dyDescent="0.25">
      <c r="A30" s="219">
        <v>17.100000000000001</v>
      </c>
      <c r="B30" s="614">
        <v>0.54</v>
      </c>
      <c r="C30" s="616">
        <v>3.34</v>
      </c>
      <c r="D30" t="s">
        <v>47</v>
      </c>
      <c r="E30" s="45"/>
      <c r="I30" s="42"/>
      <c r="J30" s="42"/>
      <c r="K30" s="42"/>
    </row>
    <row r="31" spans="1:11" x14ac:dyDescent="0.25">
      <c r="A31" s="219">
        <v>17.2</v>
      </c>
      <c r="B31" s="614">
        <v>0.6</v>
      </c>
      <c r="C31" s="616">
        <v>2.73</v>
      </c>
      <c r="D31" t="s">
        <v>46</v>
      </c>
      <c r="E31" s="45"/>
      <c r="I31" s="42"/>
      <c r="J31" s="42"/>
      <c r="K31" s="42"/>
    </row>
    <row r="32" spans="1:11" x14ac:dyDescent="0.25">
      <c r="A32" s="219">
        <v>18</v>
      </c>
      <c r="B32" s="614">
        <v>0.48</v>
      </c>
      <c r="C32" s="616">
        <v>6.39</v>
      </c>
      <c r="D32" t="s">
        <v>22</v>
      </c>
      <c r="E32" s="45"/>
      <c r="I32" s="42"/>
      <c r="J32" s="42"/>
      <c r="K32" s="42"/>
    </row>
    <row r="33" spans="1:14" x14ac:dyDescent="0.25">
      <c r="A33" s="219">
        <v>18.100000000000001</v>
      </c>
      <c r="B33" s="614">
        <v>0.51</v>
      </c>
      <c r="C33" s="616">
        <v>6.92</v>
      </c>
      <c r="D33" t="s">
        <v>51</v>
      </c>
      <c r="E33" s="45"/>
      <c r="I33" s="42"/>
      <c r="J33" s="42"/>
      <c r="K33" s="42"/>
    </row>
    <row r="34" spans="1:14" x14ac:dyDescent="0.25">
      <c r="A34" s="219">
        <v>18.2</v>
      </c>
      <c r="B34" s="614">
        <v>0.4</v>
      </c>
      <c r="C34" s="616">
        <v>4.0999999999999996</v>
      </c>
      <c r="D34" t="s">
        <v>50</v>
      </c>
      <c r="E34" s="45"/>
      <c r="I34" s="42"/>
      <c r="J34" s="42"/>
      <c r="K34" s="42"/>
    </row>
    <row r="35" spans="1:14" x14ac:dyDescent="0.25">
      <c r="A35" s="219">
        <v>19.2</v>
      </c>
      <c r="B35" s="614">
        <v>0.32</v>
      </c>
      <c r="C35" s="616">
        <v>1.1599999999999999</v>
      </c>
      <c r="D35" t="s">
        <v>48</v>
      </c>
      <c r="E35" s="45"/>
      <c r="I35" s="42"/>
      <c r="J35" s="42"/>
      <c r="K35" s="42"/>
    </row>
    <row r="36" spans="1:14" x14ac:dyDescent="0.25">
      <c r="A36" s="219">
        <v>19.399999999999999</v>
      </c>
      <c r="B36" s="614">
        <v>0.43</v>
      </c>
      <c r="C36" s="616">
        <v>1.72</v>
      </c>
      <c r="D36" t="s">
        <v>37</v>
      </c>
      <c r="E36" s="45"/>
      <c r="I36" s="42"/>
      <c r="J36" s="42"/>
      <c r="K36" s="42"/>
    </row>
    <row r="37" spans="1:14" x14ac:dyDescent="0.25">
      <c r="A37" s="219">
        <v>21.1</v>
      </c>
      <c r="B37" s="614">
        <v>0.32</v>
      </c>
      <c r="C37" s="616">
        <v>0.1</v>
      </c>
      <c r="D37" t="s">
        <v>49</v>
      </c>
      <c r="E37" s="45"/>
      <c r="I37" s="42"/>
      <c r="J37" s="42"/>
      <c r="K37" s="42"/>
    </row>
    <row r="38" spans="1:14" x14ac:dyDescent="0.25">
      <c r="A38" s="219">
        <v>21.2</v>
      </c>
      <c r="B38" s="614">
        <v>0.43</v>
      </c>
      <c r="C38" s="616">
        <v>0.35</v>
      </c>
      <c r="D38" t="s">
        <v>38</v>
      </c>
      <c r="E38" s="45"/>
      <c r="I38" s="42"/>
      <c r="J38" s="42"/>
      <c r="K38" s="42"/>
    </row>
    <row r="39" spans="1:14" x14ac:dyDescent="0.25">
      <c r="A39" s="219">
        <v>22</v>
      </c>
      <c r="B39" s="614">
        <v>0.4</v>
      </c>
      <c r="C39" s="616">
        <v>1.87</v>
      </c>
      <c r="D39" t="s">
        <v>8</v>
      </c>
      <c r="E39" s="45"/>
      <c r="I39" s="42"/>
      <c r="J39" s="42"/>
      <c r="K39" s="42"/>
    </row>
    <row r="40" spans="1:14" x14ac:dyDescent="0.25">
      <c r="A40" s="219">
        <v>23</v>
      </c>
      <c r="B40" s="614">
        <v>0.57999999999999996</v>
      </c>
      <c r="C40" s="616">
        <v>2.5</v>
      </c>
      <c r="D40" t="s">
        <v>15</v>
      </c>
      <c r="E40" s="45"/>
      <c r="I40" s="42"/>
      <c r="J40" s="42"/>
      <c r="K40" s="42"/>
    </row>
    <row r="41" spans="1:14" x14ac:dyDescent="0.25">
      <c r="A41" s="219">
        <v>24</v>
      </c>
      <c r="B41" s="614">
        <v>0.61</v>
      </c>
      <c r="C41" s="616">
        <v>2.73</v>
      </c>
      <c r="D41" t="s">
        <v>23</v>
      </c>
      <c r="E41" s="45"/>
      <c r="I41" s="42"/>
      <c r="J41" s="42"/>
      <c r="K41" s="42"/>
    </row>
    <row r="42" spans="1:14" x14ac:dyDescent="0.25">
      <c r="A42" s="221">
        <v>26</v>
      </c>
      <c r="B42" s="614">
        <v>0.55000000000000004</v>
      </c>
      <c r="C42" s="616">
        <v>0.81</v>
      </c>
      <c r="D42" t="s">
        <v>12</v>
      </c>
      <c r="E42" s="45"/>
      <c r="I42" s="42"/>
      <c r="J42" s="42"/>
      <c r="K42" s="42"/>
    </row>
    <row r="43" spans="1:14" x14ac:dyDescent="0.25">
      <c r="A43" s="221">
        <v>27</v>
      </c>
      <c r="B43" s="614">
        <v>0.59</v>
      </c>
      <c r="C43" s="616">
        <v>1.51</v>
      </c>
      <c r="D43" t="s">
        <v>11</v>
      </c>
      <c r="E43" s="45"/>
      <c r="I43" s="42"/>
      <c r="J43" s="42"/>
      <c r="K43" s="42"/>
    </row>
    <row r="44" spans="1:14" x14ac:dyDescent="0.25">
      <c r="H44" s="42"/>
    </row>
    <row r="47" spans="1:14" x14ac:dyDescent="0.25">
      <c r="I47" s="42"/>
      <c r="J47" s="42"/>
      <c r="K47" s="42"/>
      <c r="L47" s="45"/>
      <c r="M47" s="45"/>
      <c r="N47" s="45"/>
    </row>
    <row r="48" spans="1:14" x14ac:dyDescent="0.25">
      <c r="E48" s="45"/>
      <c r="I48" s="46"/>
      <c r="J48" s="46"/>
      <c r="K48" s="43"/>
      <c r="L48" s="43"/>
      <c r="M48" s="43"/>
      <c r="N48" s="43"/>
    </row>
    <row r="49" spans="5:6" x14ac:dyDescent="0.25">
      <c r="E49" s="45"/>
    </row>
    <row r="50" spans="5:6" x14ac:dyDescent="0.25">
      <c r="E50" s="45"/>
    </row>
    <row r="51" spans="5:6" x14ac:dyDescent="0.25">
      <c r="E51" s="45"/>
    </row>
    <row r="52" spans="5:6" x14ac:dyDescent="0.25">
      <c r="E52" s="45"/>
    </row>
    <row r="53" spans="5:6" x14ac:dyDescent="0.25">
      <c r="E53" s="45"/>
    </row>
    <row r="54" spans="5:6" x14ac:dyDescent="0.25">
      <c r="E54" s="45"/>
    </row>
    <row r="55" spans="5:6" x14ac:dyDescent="0.25">
      <c r="E55" s="45"/>
      <c r="F55" s="45"/>
    </row>
    <row r="56" spans="5:6" x14ac:dyDescent="0.25">
      <c r="E56" s="45"/>
      <c r="F56" s="45"/>
    </row>
    <row r="57" spans="5:6" x14ac:dyDescent="0.25">
      <c r="E57" s="45"/>
      <c r="F57" s="45"/>
    </row>
  </sheetData>
  <sheetProtection algorithmName="SHA-512" hashValue="BFiGtlk4+GiWBE0pogE8BCT8MiHZpHU+xWMeyij7wTy6HzYky5/lrXZxl1asQwkiHbzP12WliXJ2IBX/nOnlrw==" saltValue="vh9U62W7TsQ0QXdBlIfraA=="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R3&amp;L11/9/2023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6"/>
  <sheetViews>
    <sheetView view="pageBreakPreview" zoomScaleNormal="100" zoomScaleSheetLayoutView="100" workbookViewId="0"/>
  </sheetViews>
  <sheetFormatPr defaultRowHeight="15" x14ac:dyDescent="0.25"/>
  <cols>
    <col min="1" max="1" width="17.28515625" customWidth="1"/>
    <col min="2" max="3" width="15.7109375" customWidth="1"/>
    <col min="4" max="4" width="55.42578125" bestFit="1" customWidth="1"/>
  </cols>
  <sheetData>
    <row r="1" spans="1:4" ht="18.75" x14ac:dyDescent="0.25">
      <c r="A1" s="67" t="s">
        <v>141</v>
      </c>
      <c r="B1" s="57"/>
      <c r="C1" s="65"/>
      <c r="D1" s="6"/>
    </row>
    <row r="2" spans="1:4" x14ac:dyDescent="0.25">
      <c r="A2" s="56" t="s">
        <v>118</v>
      </c>
      <c r="B2" s="451" t="s">
        <v>318</v>
      </c>
      <c r="C2" s="65"/>
      <c r="D2" s="6"/>
    </row>
    <row r="3" spans="1:4" x14ac:dyDescent="0.25">
      <c r="A3" s="56"/>
      <c r="B3" s="448" t="s">
        <v>278</v>
      </c>
      <c r="C3" s="65"/>
      <c r="D3" s="6"/>
    </row>
    <row r="4" spans="1:4" x14ac:dyDescent="0.25">
      <c r="A4" s="41" t="s">
        <v>133</v>
      </c>
      <c r="B4" s="449">
        <v>2023</v>
      </c>
      <c r="C4" s="65"/>
      <c r="D4" s="6"/>
    </row>
    <row r="5" spans="1:4" x14ac:dyDescent="0.25">
      <c r="A5" s="56" t="s">
        <v>125</v>
      </c>
      <c r="B5" s="54">
        <v>2022</v>
      </c>
      <c r="C5" s="65"/>
      <c r="D5" s="6"/>
    </row>
    <row r="6" spans="1:4" x14ac:dyDescent="0.25">
      <c r="A6" s="56" t="s">
        <v>120</v>
      </c>
      <c r="B6" s="448" t="s">
        <v>291</v>
      </c>
      <c r="C6" s="65"/>
      <c r="D6" s="6"/>
    </row>
    <row r="7" spans="1:4" x14ac:dyDescent="0.25">
      <c r="A7" s="56" t="s">
        <v>126</v>
      </c>
      <c r="B7" s="450">
        <v>45238</v>
      </c>
      <c r="C7" s="65"/>
      <c r="D7" s="6"/>
    </row>
    <row r="8" spans="1:4" x14ac:dyDescent="0.25">
      <c r="A8" s="56"/>
      <c r="B8" s="59"/>
      <c r="C8" s="65"/>
      <c r="D8" s="6"/>
    </row>
    <row r="9" spans="1:4" x14ac:dyDescent="0.25">
      <c r="A9" s="53"/>
      <c r="B9" s="53">
        <v>1</v>
      </c>
      <c r="C9" s="53">
        <v>2</v>
      </c>
      <c r="D9" s="53">
        <v>3</v>
      </c>
    </row>
    <row r="10" spans="1:4" ht="30" x14ac:dyDescent="0.25">
      <c r="A10" s="53" t="s">
        <v>57</v>
      </c>
      <c r="B10" s="68" t="s">
        <v>151</v>
      </c>
      <c r="C10" s="68" t="s">
        <v>152</v>
      </c>
      <c r="D10" s="68" t="s">
        <v>117</v>
      </c>
    </row>
    <row r="11" spans="1:4" x14ac:dyDescent="0.25">
      <c r="A11" s="48">
        <v>1</v>
      </c>
      <c r="B11" s="617">
        <v>12663117</v>
      </c>
      <c r="C11" s="617">
        <v>392760</v>
      </c>
      <c r="D11" s="49" t="s">
        <v>16</v>
      </c>
    </row>
    <row r="12" spans="1:4" x14ac:dyDescent="0.25">
      <c r="A12" s="48" t="s">
        <v>748</v>
      </c>
      <c r="B12" s="617">
        <v>12663117</v>
      </c>
      <c r="C12" s="617">
        <v>392760</v>
      </c>
      <c r="D12" s="49" t="s">
        <v>16</v>
      </c>
    </row>
    <row r="13" spans="1:4" x14ac:dyDescent="0.25">
      <c r="A13" s="48" t="s">
        <v>749</v>
      </c>
      <c r="B13" s="617">
        <v>12663117</v>
      </c>
      <c r="C13" s="617">
        <v>392760</v>
      </c>
      <c r="D13" s="49" t="s">
        <v>16</v>
      </c>
    </row>
    <row r="14" spans="1:4" x14ac:dyDescent="0.25">
      <c r="A14" s="48">
        <v>2.1</v>
      </c>
      <c r="B14" s="617">
        <v>15815701</v>
      </c>
      <c r="C14" s="617">
        <v>596290</v>
      </c>
      <c r="D14" s="49" t="s">
        <v>9</v>
      </c>
    </row>
    <row r="15" spans="1:4" x14ac:dyDescent="0.25">
      <c r="A15" s="48">
        <v>3</v>
      </c>
      <c r="B15" s="617">
        <v>3966563</v>
      </c>
      <c r="C15" s="617">
        <v>59421</v>
      </c>
      <c r="D15" s="49" t="s">
        <v>42</v>
      </c>
    </row>
    <row r="16" spans="1:4" x14ac:dyDescent="0.25">
      <c r="A16" s="48">
        <v>4</v>
      </c>
      <c r="B16" s="617">
        <v>88971148</v>
      </c>
      <c r="C16" s="617">
        <v>2761347</v>
      </c>
      <c r="D16" s="49" t="s">
        <v>43</v>
      </c>
    </row>
    <row r="17" spans="1:4" x14ac:dyDescent="0.25">
      <c r="A17" s="48">
        <v>5</v>
      </c>
      <c r="B17" s="540">
        <v>31390518</v>
      </c>
      <c r="C17" s="540">
        <v>2969383</v>
      </c>
      <c r="D17" s="49" t="s">
        <v>122</v>
      </c>
    </row>
    <row r="18" spans="1:4" x14ac:dyDescent="0.25">
      <c r="A18" s="48">
        <v>5.0999999999999996</v>
      </c>
      <c r="B18" s="617">
        <v>21500962</v>
      </c>
      <c r="C18" s="617">
        <v>642973</v>
      </c>
      <c r="D18" s="49" t="s">
        <v>41</v>
      </c>
    </row>
    <row r="19" spans="1:4" x14ac:dyDescent="0.25">
      <c r="A19" s="48">
        <v>5.2</v>
      </c>
      <c r="B19" s="617">
        <v>9889556</v>
      </c>
      <c r="C19" s="617">
        <v>2326410</v>
      </c>
      <c r="D19" s="49" t="s">
        <v>40</v>
      </c>
    </row>
    <row r="20" spans="1:4" x14ac:dyDescent="0.25">
      <c r="A20" s="48">
        <v>9</v>
      </c>
      <c r="B20" s="617">
        <v>15127744</v>
      </c>
      <c r="C20" s="617">
        <v>354587</v>
      </c>
      <c r="D20" s="49" t="s">
        <v>18</v>
      </c>
    </row>
    <row r="21" spans="1:4" x14ac:dyDescent="0.25">
      <c r="A21" s="48">
        <v>11</v>
      </c>
      <c r="B21" s="621">
        <v>6236046</v>
      </c>
      <c r="C21" s="621">
        <v>2277874</v>
      </c>
      <c r="D21" s="50" t="s">
        <v>19</v>
      </c>
    </row>
    <row r="22" spans="1:4" ht="17.25" x14ac:dyDescent="0.25">
      <c r="A22" s="48">
        <v>11.1</v>
      </c>
      <c r="B22" s="620">
        <v>1418103</v>
      </c>
      <c r="C22" s="620">
        <v>561014</v>
      </c>
      <c r="D22" s="50" t="s">
        <v>143</v>
      </c>
    </row>
    <row r="23" spans="1:4" ht="17.25" x14ac:dyDescent="0.25">
      <c r="A23" s="48">
        <v>11.2</v>
      </c>
      <c r="B23" s="620">
        <v>4817943</v>
      </c>
      <c r="C23" s="620">
        <v>1716860</v>
      </c>
      <c r="D23" s="50" t="s">
        <v>144</v>
      </c>
    </row>
    <row r="24" spans="1:4" x14ac:dyDescent="0.25">
      <c r="A24" s="48" t="s">
        <v>326</v>
      </c>
      <c r="B24" s="621">
        <v>6236046</v>
      </c>
      <c r="C24" s="621">
        <v>2277874</v>
      </c>
      <c r="D24" s="63" t="s">
        <v>324</v>
      </c>
    </row>
    <row r="25" spans="1:4" ht="17.25" x14ac:dyDescent="0.25">
      <c r="A25" s="48" t="s">
        <v>327</v>
      </c>
      <c r="B25" s="620">
        <v>1418103</v>
      </c>
      <c r="C25" s="620">
        <v>561014</v>
      </c>
      <c r="D25" s="63" t="s">
        <v>330</v>
      </c>
    </row>
    <row r="26" spans="1:4" ht="17.25" x14ac:dyDescent="0.25">
      <c r="A26" s="48" t="s">
        <v>328</v>
      </c>
      <c r="B26" s="620">
        <v>4817943</v>
      </c>
      <c r="C26" s="620">
        <v>1716860</v>
      </c>
      <c r="D26" s="63" t="s">
        <v>331</v>
      </c>
    </row>
    <row r="27" spans="1:4" x14ac:dyDescent="0.25">
      <c r="A27" s="48">
        <v>12</v>
      </c>
      <c r="B27" s="621">
        <v>84360</v>
      </c>
      <c r="C27" s="621">
        <v>11052</v>
      </c>
      <c r="D27" s="50" t="s">
        <v>13</v>
      </c>
    </row>
    <row r="28" spans="1:4" x14ac:dyDescent="0.25">
      <c r="A28" s="48" t="s">
        <v>329</v>
      </c>
      <c r="B28" s="621">
        <v>84360</v>
      </c>
      <c r="C28" s="621">
        <v>11052</v>
      </c>
      <c r="D28" s="63" t="s">
        <v>323</v>
      </c>
    </row>
    <row r="29" spans="1:4" x14ac:dyDescent="0.25">
      <c r="A29" s="48">
        <v>17</v>
      </c>
      <c r="B29" s="620">
        <v>67119366</v>
      </c>
      <c r="C29" s="620">
        <v>9410624</v>
      </c>
      <c r="D29" s="50" t="s">
        <v>21</v>
      </c>
    </row>
    <row r="30" spans="1:4" ht="17.25" x14ac:dyDescent="0.25">
      <c r="A30" s="48">
        <v>17.100000000000001</v>
      </c>
      <c r="B30" s="621">
        <v>46227681</v>
      </c>
      <c r="C30" s="621">
        <v>5081152</v>
      </c>
      <c r="D30" s="50" t="s">
        <v>145</v>
      </c>
    </row>
    <row r="31" spans="1:4" ht="17.25" x14ac:dyDescent="0.25">
      <c r="A31" s="48">
        <v>17.2</v>
      </c>
      <c r="B31" s="621">
        <v>20891685</v>
      </c>
      <c r="C31" s="621">
        <v>4329472</v>
      </c>
      <c r="D31" s="50" t="s">
        <v>146</v>
      </c>
    </row>
    <row r="32" spans="1:4" x14ac:dyDescent="0.25">
      <c r="A32" s="48">
        <v>18</v>
      </c>
      <c r="B32" s="621">
        <v>2228184</v>
      </c>
      <c r="C32" s="621">
        <v>999762</v>
      </c>
      <c r="D32" s="50" t="s">
        <v>22</v>
      </c>
    </row>
    <row r="33" spans="1:4" ht="17.25" x14ac:dyDescent="0.25">
      <c r="A33" s="48">
        <v>18.100000000000001</v>
      </c>
      <c r="B33" s="620">
        <v>2008486</v>
      </c>
      <c r="C33" s="620">
        <v>905705</v>
      </c>
      <c r="D33" s="50" t="s">
        <v>147</v>
      </c>
    </row>
    <row r="34" spans="1:4" ht="17.25" x14ac:dyDescent="0.25">
      <c r="A34" s="48">
        <v>18.2</v>
      </c>
      <c r="B34" s="620">
        <v>219698</v>
      </c>
      <c r="C34" s="620">
        <v>94057</v>
      </c>
      <c r="D34" s="50" t="s">
        <v>148</v>
      </c>
    </row>
    <row r="35" spans="1:4" x14ac:dyDescent="0.25">
      <c r="A35" s="48">
        <v>19.2</v>
      </c>
      <c r="B35" s="617">
        <v>110934749</v>
      </c>
      <c r="C35" s="617">
        <v>4913766</v>
      </c>
      <c r="D35" s="50" t="s">
        <v>48</v>
      </c>
    </row>
    <row r="36" spans="1:4" x14ac:dyDescent="0.25">
      <c r="A36" s="48">
        <v>19.399999999999999</v>
      </c>
      <c r="B36" s="617">
        <v>31355405</v>
      </c>
      <c r="C36" s="617">
        <v>2989790</v>
      </c>
      <c r="D36" s="50" t="s">
        <v>37</v>
      </c>
    </row>
    <row r="37" spans="1:4" x14ac:dyDescent="0.25">
      <c r="A37" s="48">
        <v>21.1</v>
      </c>
      <c r="B37" s="617">
        <v>94168636</v>
      </c>
      <c r="C37" s="617">
        <v>362329</v>
      </c>
      <c r="D37" s="50" t="s">
        <v>49</v>
      </c>
    </row>
    <row r="38" spans="1:4" x14ac:dyDescent="0.25">
      <c r="A38" s="48">
        <v>21.2</v>
      </c>
      <c r="B38" s="617">
        <v>8526190</v>
      </c>
      <c r="C38" s="617">
        <v>134684</v>
      </c>
      <c r="D38" s="50" t="s">
        <v>38</v>
      </c>
    </row>
    <row r="39" spans="1:4" x14ac:dyDescent="0.25">
      <c r="A39" s="48">
        <v>22</v>
      </c>
      <c r="B39" s="617">
        <v>1575338</v>
      </c>
      <c r="C39" s="617">
        <v>164874</v>
      </c>
      <c r="D39" s="50" t="s">
        <v>8</v>
      </c>
    </row>
    <row r="40" spans="1:4" x14ac:dyDescent="0.25">
      <c r="A40" s="48">
        <v>23</v>
      </c>
      <c r="B40" s="617">
        <v>496983</v>
      </c>
      <c r="C40" s="617">
        <v>17794</v>
      </c>
      <c r="D40" s="50" t="s">
        <v>15</v>
      </c>
    </row>
    <row r="41" spans="1:4" x14ac:dyDescent="0.25">
      <c r="A41" s="48">
        <v>24</v>
      </c>
      <c r="B41" s="617">
        <v>1139240</v>
      </c>
      <c r="C41" s="617">
        <v>152428</v>
      </c>
      <c r="D41" s="50" t="s">
        <v>23</v>
      </c>
    </row>
    <row r="42" spans="1:4" x14ac:dyDescent="0.25">
      <c r="A42" s="51">
        <v>26</v>
      </c>
      <c r="B42" s="617">
        <v>163660</v>
      </c>
      <c r="C42" s="617">
        <v>7069</v>
      </c>
      <c r="D42" s="50" t="s">
        <v>12</v>
      </c>
    </row>
    <row r="43" spans="1:4" x14ac:dyDescent="0.25">
      <c r="A43" s="51">
        <v>27</v>
      </c>
      <c r="B43" s="617">
        <v>894973</v>
      </c>
      <c r="C43" s="617">
        <v>9900</v>
      </c>
      <c r="D43" s="50" t="s">
        <v>11</v>
      </c>
    </row>
    <row r="45" spans="1:4" ht="17.25" x14ac:dyDescent="0.25">
      <c r="A45" s="6" t="s">
        <v>149</v>
      </c>
    </row>
    <row r="46" spans="1:4" ht="17.25" customHeight="1" x14ac:dyDescent="0.25">
      <c r="A46" s="2" t="s">
        <v>150</v>
      </c>
    </row>
  </sheetData>
  <sheetProtection algorithmName="SHA-512" hashValue="1KScI+5XMhymJX/e5h7UsdSctK6le8ZH1jH1KiU2QyhAw8cypKLiGghZCM82ztPwzGUerbYjDfoBjdTHppFGOQ==" saltValue="RLjoeLRrOWLiKQ3KzKLAsg==" spinCount="100000" sheet="1" objects="1" scenarios="1" formatColumns="0" formatRows="0" sort="0"/>
  <pageMargins left="0.7" right="0.7" top="0.75" bottom="0.75" header="0.3" footer="0.3"/>
  <pageSetup scale="86" orientation="portrait" r:id="rId1"/>
  <headerFooter>
    <oddFooter>&amp;L11/9/2023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customWidth="1"/>
    <col min="2" max="2" width="27.42578125" customWidth="1"/>
    <col min="3" max="3" width="15.7109375" customWidth="1"/>
    <col min="4" max="4" width="27.42578125" customWidth="1"/>
  </cols>
  <sheetData>
    <row r="1" spans="1:4" ht="18.75" x14ac:dyDescent="0.25">
      <c r="A1" s="67" t="s">
        <v>439</v>
      </c>
      <c r="B1" s="65"/>
      <c r="C1" s="57"/>
      <c r="D1" s="65"/>
    </row>
    <row r="2" spans="1:4" x14ac:dyDescent="0.25">
      <c r="A2" s="56" t="s">
        <v>118</v>
      </c>
      <c r="B2" s="451" t="s">
        <v>718</v>
      </c>
      <c r="C2" s="451"/>
      <c r="D2" s="65"/>
    </row>
    <row r="3" spans="1:4" x14ac:dyDescent="0.25">
      <c r="A3" s="41" t="s">
        <v>133</v>
      </c>
      <c r="B3" s="449">
        <v>2018</v>
      </c>
      <c r="C3" s="449"/>
      <c r="D3" s="65"/>
    </row>
    <row r="4" spans="1:4" x14ac:dyDescent="0.25">
      <c r="A4" s="56" t="s">
        <v>120</v>
      </c>
      <c r="B4" s="448" t="s">
        <v>291</v>
      </c>
      <c r="C4" s="448"/>
      <c r="D4" s="65"/>
    </row>
    <row r="5" spans="1:4" x14ac:dyDescent="0.25">
      <c r="A5" s="56" t="s">
        <v>126</v>
      </c>
      <c r="B5" s="450">
        <v>43154</v>
      </c>
      <c r="C5" s="450"/>
      <c r="D5" s="65"/>
    </row>
    <row r="6" spans="1:4" x14ac:dyDescent="0.25">
      <c r="A6" s="554"/>
      <c r="B6" s="554"/>
      <c r="C6" s="554"/>
      <c r="D6" s="554"/>
    </row>
    <row r="7" spans="1:4" ht="15.75" thickBot="1" x14ac:dyDescent="0.3">
      <c r="A7" s="56"/>
      <c r="B7" s="342">
        <v>1</v>
      </c>
      <c r="C7" s="342"/>
      <c r="D7" s="342"/>
    </row>
    <row r="8" spans="1:4" ht="15.75" thickBot="1" x14ac:dyDescent="0.3">
      <c r="A8" s="556"/>
      <c r="B8" s="557" t="s">
        <v>718</v>
      </c>
      <c r="C8" s="342"/>
      <c r="D8" s="342"/>
    </row>
    <row r="9" spans="1:4" ht="15.75" thickBot="1" x14ac:dyDescent="0.3">
      <c r="A9" s="545"/>
      <c r="B9" s="553">
        <v>0.21</v>
      </c>
      <c r="C9" s="569"/>
      <c r="D9" s="569"/>
    </row>
    <row r="10" spans="1:4" x14ac:dyDescent="0.25">
      <c r="A10" s="558" t="s">
        <v>446</v>
      </c>
      <c r="B10" s="559"/>
      <c r="C10" s="570"/>
      <c r="D10" s="571"/>
    </row>
    <row r="11" spans="1:4" x14ac:dyDescent="0.25">
      <c r="A11" s="560" t="s">
        <v>447</v>
      </c>
      <c r="B11" s="561">
        <v>0.21</v>
      </c>
      <c r="C11" s="571"/>
      <c r="D11" s="571"/>
    </row>
    <row r="12" spans="1:4" x14ac:dyDescent="0.25">
      <c r="A12" s="560" t="s">
        <v>448</v>
      </c>
      <c r="B12" s="561">
        <v>0.21</v>
      </c>
      <c r="C12" s="571"/>
      <c r="D12" s="571"/>
    </row>
    <row r="13" spans="1:4" x14ac:dyDescent="0.25">
      <c r="A13" s="560" t="s">
        <v>449</v>
      </c>
      <c r="B13" s="561">
        <v>0.21</v>
      </c>
      <c r="C13" s="571"/>
      <c r="D13" s="571"/>
    </row>
    <row r="14" spans="1:4" x14ac:dyDescent="0.25">
      <c r="A14" s="562" t="s">
        <v>450</v>
      </c>
      <c r="B14" s="561"/>
      <c r="C14" s="571"/>
      <c r="D14" s="571"/>
    </row>
    <row r="15" spans="1:4" x14ac:dyDescent="0.25">
      <c r="A15" s="560" t="s">
        <v>447</v>
      </c>
      <c r="B15" s="561">
        <v>0.21</v>
      </c>
      <c r="C15" s="571"/>
      <c r="D15" s="571"/>
    </row>
    <row r="16" spans="1:4" x14ac:dyDescent="0.25">
      <c r="A16" s="560" t="s">
        <v>448</v>
      </c>
      <c r="B16" s="561">
        <v>0.21</v>
      </c>
      <c r="C16" s="571"/>
      <c r="D16" s="571"/>
    </row>
    <row r="17" spans="1:4" x14ac:dyDescent="0.25">
      <c r="A17" s="560" t="s">
        <v>449</v>
      </c>
      <c r="B17" s="561">
        <v>0.21</v>
      </c>
      <c r="C17" s="571"/>
      <c r="D17" s="571"/>
    </row>
    <row r="18" spans="1:4" x14ac:dyDescent="0.25">
      <c r="A18" s="563" t="s">
        <v>451</v>
      </c>
      <c r="B18" s="561"/>
      <c r="C18" s="571"/>
      <c r="D18" s="571"/>
    </row>
    <row r="19" spans="1:4" x14ac:dyDescent="0.25">
      <c r="A19" s="560" t="s">
        <v>447</v>
      </c>
      <c r="B19" s="561">
        <f>0.25*21%</f>
        <v>5.2499999999999998E-2</v>
      </c>
      <c r="C19" s="571"/>
      <c r="D19" s="571"/>
    </row>
    <row r="20" spans="1:4" x14ac:dyDescent="0.25">
      <c r="A20" s="560" t="s">
        <v>448</v>
      </c>
      <c r="B20" s="561">
        <f>0.25*21%</f>
        <v>5.2499999999999998E-2</v>
      </c>
      <c r="C20" s="571"/>
      <c r="D20" s="571"/>
    </row>
    <row r="21" spans="1:4" x14ac:dyDescent="0.25">
      <c r="A21" s="560" t="s">
        <v>449</v>
      </c>
      <c r="B21" s="561">
        <f>0.25*21%</f>
        <v>5.2499999999999998E-2</v>
      </c>
      <c r="C21" s="571"/>
      <c r="D21" s="571"/>
    </row>
    <row r="22" spans="1:4" x14ac:dyDescent="0.25">
      <c r="A22" s="564" t="s">
        <v>453</v>
      </c>
      <c r="B22" s="561"/>
      <c r="C22" s="571"/>
      <c r="D22" s="571"/>
    </row>
    <row r="23" spans="1:4" x14ac:dyDescent="0.25">
      <c r="A23" s="560" t="s">
        <v>454</v>
      </c>
      <c r="B23" s="561">
        <v>0.13125000000000001</v>
      </c>
      <c r="C23" s="571"/>
      <c r="D23" s="571"/>
    </row>
    <row r="24" spans="1:4" ht="14.25" customHeight="1" x14ac:dyDescent="0.25">
      <c r="A24" s="560" t="s">
        <v>455</v>
      </c>
      <c r="B24" s="561">
        <v>0.21</v>
      </c>
      <c r="C24" s="571"/>
      <c r="D24" s="571"/>
    </row>
    <row r="25" spans="1:4" x14ac:dyDescent="0.25">
      <c r="A25" s="563" t="s">
        <v>457</v>
      </c>
      <c r="B25" s="561">
        <v>0.13125000000000001</v>
      </c>
      <c r="C25" s="571"/>
      <c r="D25" s="571"/>
    </row>
    <row r="26" spans="1:4" x14ac:dyDescent="0.25">
      <c r="A26" s="563" t="s">
        <v>459</v>
      </c>
      <c r="B26" s="561">
        <v>0.21</v>
      </c>
      <c r="C26" s="571"/>
      <c r="D26" s="571"/>
    </row>
    <row r="27" spans="1:4" x14ac:dyDescent="0.25">
      <c r="A27" s="563" t="s">
        <v>461</v>
      </c>
      <c r="B27" s="561">
        <v>0.21</v>
      </c>
      <c r="C27" s="571"/>
      <c r="D27" s="571"/>
    </row>
    <row r="28" spans="1:4" x14ac:dyDescent="0.25">
      <c r="A28" s="563" t="s">
        <v>463</v>
      </c>
      <c r="B28" s="561">
        <v>0.21</v>
      </c>
      <c r="C28" s="571"/>
      <c r="D28" s="571"/>
    </row>
    <row r="29" spans="1:4" x14ac:dyDescent="0.25">
      <c r="A29" s="563" t="s">
        <v>465</v>
      </c>
      <c r="B29" s="561"/>
      <c r="C29" s="571"/>
      <c r="D29" s="571"/>
    </row>
    <row r="30" spans="1:4" x14ac:dyDescent="0.25">
      <c r="A30" s="560" t="s">
        <v>454</v>
      </c>
      <c r="B30" s="561">
        <v>0.13125000000000001</v>
      </c>
      <c r="C30" s="571"/>
      <c r="D30" s="571"/>
    </row>
    <row r="31" spans="1:4" x14ac:dyDescent="0.25">
      <c r="A31" s="560" t="s">
        <v>455</v>
      </c>
      <c r="B31" s="561">
        <v>0.21</v>
      </c>
      <c r="C31" s="571"/>
      <c r="D31" s="571"/>
    </row>
    <row r="32" spans="1:4" ht="15.75" thickBot="1" x14ac:dyDescent="0.3">
      <c r="A32" s="565" t="s">
        <v>467</v>
      </c>
      <c r="B32" s="566"/>
      <c r="C32" s="571"/>
      <c r="D32" s="571"/>
    </row>
    <row r="33" spans="1:4" ht="16.5" thickTop="1" thickBot="1" x14ac:dyDescent="0.3">
      <c r="A33" s="567" t="s">
        <v>725</v>
      </c>
      <c r="B33" s="568">
        <v>0.21</v>
      </c>
      <c r="C33" s="572"/>
      <c r="D33" s="572"/>
    </row>
    <row r="34" spans="1:4" x14ac:dyDescent="0.25">
      <c r="A34" s="219"/>
      <c r="B34" s="544"/>
      <c r="C34" s="544"/>
      <c r="D34" s="544"/>
    </row>
    <row r="35" spans="1:4" x14ac:dyDescent="0.25">
      <c r="A35" s="219"/>
      <c r="B35" s="544"/>
      <c r="C35" s="544"/>
      <c r="D35" s="544"/>
    </row>
    <row r="36" spans="1:4" x14ac:dyDescent="0.25">
      <c r="A36" s="219"/>
      <c r="B36" s="544"/>
      <c r="C36" s="544"/>
      <c r="D36" s="544"/>
    </row>
    <row r="37" spans="1:4" x14ac:dyDescent="0.25">
      <c r="A37" s="221"/>
      <c r="B37" s="544"/>
      <c r="C37" s="544"/>
      <c r="D37" s="544"/>
    </row>
    <row r="38" spans="1:4" x14ac:dyDescent="0.25">
      <c r="A38" s="221"/>
      <c r="B38" s="544"/>
      <c r="C38" s="544"/>
      <c r="D38" s="544"/>
    </row>
    <row r="40" spans="1:4" x14ac:dyDescent="0.25">
      <c r="A40" s="6"/>
    </row>
    <row r="41" spans="1:4" ht="17.25" customHeight="1" x14ac:dyDescent="0.25">
      <c r="A41" s="2"/>
    </row>
  </sheetData>
  <sheetProtection algorithmName="SHA-512" hashValue="Wp9nC5rjv7BDKLE997eqYPfGbMRtoCppiR0jks7dnz40lrEJpRBNNXy3qQyn/Hxc04g2LQILyN9egb4mmTSTKg==" saltValue="palTAO4KCANp5mVdoQWFOg==" spinCount="100000" sheet="1" objects="1" scenarios="1" formatColumns="0" formatRows="0" sort="0"/>
  <pageMargins left="0.7" right="0.7" top="0.75" bottom="0.75" header="0.3" footer="0.3"/>
  <pageSetup scale="93" orientation="portrait" r:id="rId1"/>
  <headerFooter>
    <oddFooter>&amp;L11/9/2023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969</vt:i4>
      </vt:variant>
    </vt:vector>
  </HeadingPairs>
  <TitlesOfParts>
    <vt:vector size="100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PriorAppRateTl</dc:title>
  <dc:creator>RRBtemplates@insurance.ca.gov</dc:creator>
  <cp:lastModifiedBy>John</cp:lastModifiedBy>
  <cp:lastPrinted>2023-05-26T17:46:31Z</cp:lastPrinted>
  <dcterms:created xsi:type="dcterms:W3CDTF">2014-04-24T17:59:28Z</dcterms:created>
  <dcterms:modified xsi:type="dcterms:W3CDTF">2024-08-15T14:13:44Z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2024-02-20T22:20:25Z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5f3cf227-3f33-452e-8ea8-349af41cefea</vt:lpwstr>
  </property>
  <property fmtid="{D5CDD505-2E9C-101B-9397-08002B2CF9AE}" pid="8" name="MSIP_Label_9fec7713-ff10-4e30-a417-5bbcd9826c75_ContentBits">
    <vt:lpwstr>0</vt:lpwstr>
  </property>
</Properties>
</file>