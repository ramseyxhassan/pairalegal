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166925"/>
  <mc:AlternateContent xmlns:mc="http://schemas.openxmlformats.org/markup-compatibility/2006">
    <mc:Choice Requires="x15">
      <x15ac:absPath xmlns:x15ac="http://schemas.microsoft.com/office/spreadsheetml/2010/11/ac" url="\\opr.statefarm.org\dfs\PCACT\00\WORKGROUP\P-C ACTUARIAL\AUTO\STATE FILES\California\REVISIONS\2024\10-01-2024 GRC\04 - Filing\01 - Objections\7-26-2024\"/>
    </mc:Choice>
  </mc:AlternateContent>
  <xr:revisionPtr revIDLastSave="0" documentId="13_ncr:1_{9EA95637-EF37-4447-98FA-995B00D550DA}" xr6:coauthVersionLast="47" xr6:coauthVersionMax="47" xr10:uidLastSave="{00000000-0000-0000-0000-000000000000}"/>
  <bookViews>
    <workbookView xWindow="57450" yWindow="270" windowWidth="29040" windowHeight="16440" xr2:uid="{52E7C002-CD00-4B4E-A0AB-B7DC2D95E4B6}"/>
  </bookViews>
  <sheets>
    <sheet name="Exhibit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3" l="1"/>
  <c r="G19" i="3"/>
  <c r="H18" i="3"/>
  <c r="G18" i="3"/>
  <c r="H17" i="3"/>
  <c r="G17" i="3"/>
  <c r="H16" i="3"/>
  <c r="G16" i="3"/>
  <c r="H15" i="3"/>
  <c r="G15" i="3"/>
  <c r="H14" i="3"/>
  <c r="G14" i="3"/>
  <c r="H9" i="3"/>
  <c r="G9" i="3"/>
  <c r="H8" i="3"/>
  <c r="G8" i="3"/>
  <c r="H7" i="3"/>
  <c r="G7" i="3"/>
  <c r="H6" i="3"/>
  <c r="G6" i="3"/>
  <c r="H5" i="3"/>
  <c r="G5" i="3"/>
  <c r="H4" i="3"/>
  <c r="G4" i="3"/>
</calcChain>
</file>

<file path=xl/sharedStrings.xml><?xml version="1.0" encoding="utf-8"?>
<sst xmlns="http://schemas.openxmlformats.org/spreadsheetml/2006/main" count="17" uniqueCount="11">
  <si>
    <t>Policy Count</t>
  </si>
  <si>
    <t>Earned Premium</t>
  </si>
  <si>
    <t>Incurred Losses</t>
  </si>
  <si>
    <t>Incurred Claim Counts</t>
  </si>
  <si>
    <t>Loss Ratio</t>
  </si>
  <si>
    <t>Credibility Percentage</t>
  </si>
  <si>
    <t>Total</t>
  </si>
  <si>
    <t>Renewal Business</t>
  </si>
  <si>
    <t>Credibility</t>
  </si>
  <si>
    <t>New Business</t>
  </si>
  <si>
    <t>Credibility Percentage utilizes 3,000 incurred claims counts as full credibility standard.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</si>
</sst>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1" xfId="0" applyBorder="1"/>
    <xf numFmtId="0" fontId="0" fillId="0" borderId="4" xfId="0" applyBorder="1"/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/>
    <xf numFmtId="164" fontId="0" fillId="0" borderId="7" xfId="1" applyNumberFormat="1" applyFont="1" applyBorder="1"/>
    <xf numFmtId="164" fontId="0" fillId="0" borderId="0" xfId="1" applyNumberFormat="1" applyFont="1" applyBorder="1"/>
    <xf numFmtId="9" fontId="0" fillId="0" borderId="0" xfId="2" applyFont="1" applyBorder="1"/>
    <xf numFmtId="9" fontId="0" fillId="0" borderId="8" xfId="2" applyFont="1" applyBorder="1"/>
    <xf numFmtId="0" fontId="0" fillId="0" borderId="9" xfId="0" applyBorder="1"/>
    <xf numFmtId="164" fontId="0" fillId="0" borderId="9" xfId="0" applyNumberFormat="1" applyBorder="1"/>
    <xf numFmtId="164" fontId="0" fillId="0" borderId="10" xfId="0" applyNumberFormat="1" applyBorder="1"/>
    <xf numFmtId="9" fontId="0" fillId="0" borderId="10" xfId="2" applyFont="1" applyBorder="1"/>
    <xf numFmtId="9" fontId="0" fillId="0" borderId="11" xfId="2" applyFont="1" applyBorder="1"/>
    <xf numFmtId="43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9" fontId="0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D67B8-DE1D-4773-969F-0E2EB0A48C42}">
  <dimension ref="B2:I26"/>
  <sheetViews>
    <sheetView tabSelected="1" view="pageLayout" zoomScaleNormal="100" workbookViewId="0">
      <selection activeCell="I20" sqref="I20"/>
    </sheetView>
  </sheetViews>
  <sheetFormatPr defaultRowHeight="15" x14ac:dyDescent="0.25"/>
  <cols>
    <col min="1" max="1" width="12.42578125" customWidth="1"/>
    <col min="2" max="2" width="6.5703125" customWidth="1"/>
    <col min="3" max="3" width="10.7109375" customWidth="1"/>
    <col min="4" max="4" width="15.85546875" bestFit="1" customWidth="1"/>
    <col min="5" max="5" width="14.7109375" bestFit="1" customWidth="1"/>
    <col min="6" max="6" width="14.7109375" customWidth="1"/>
    <col min="7" max="7" width="9.7109375" bestFit="1" customWidth="1"/>
    <col min="8" max="8" width="11" bestFit="1" customWidth="1"/>
    <col min="9" max="9" width="12.42578125" customWidth="1"/>
    <col min="10" max="10" width="14.85546875" customWidth="1"/>
    <col min="11" max="11" width="15.85546875" bestFit="1" customWidth="1"/>
    <col min="12" max="13" width="16.85546875" bestFit="1" customWidth="1"/>
    <col min="14" max="14" width="16.85546875" customWidth="1"/>
    <col min="15" max="15" width="9.7109375" bestFit="1" customWidth="1"/>
  </cols>
  <sheetData>
    <row r="2" spans="2:8" x14ac:dyDescent="0.25">
      <c r="B2" s="1"/>
      <c r="C2" s="18" t="s">
        <v>9</v>
      </c>
      <c r="D2" s="19"/>
      <c r="E2" s="19"/>
      <c r="F2" s="19"/>
      <c r="G2" s="19"/>
      <c r="H2" s="20"/>
    </row>
    <row r="3" spans="2:8" ht="30" x14ac:dyDescent="0.25">
      <c r="B3" s="2"/>
      <c r="C3" s="3" t="s">
        <v>0</v>
      </c>
      <c r="D3" s="4" t="s">
        <v>1</v>
      </c>
      <c r="E3" s="4" t="s">
        <v>2</v>
      </c>
      <c r="F3" s="4" t="s">
        <v>3</v>
      </c>
      <c r="G3" s="4" t="s">
        <v>4</v>
      </c>
      <c r="H3" s="5" t="s">
        <v>5</v>
      </c>
    </row>
    <row r="4" spans="2:8" x14ac:dyDescent="0.25">
      <c r="B4" s="6">
        <v>2019</v>
      </c>
      <c r="C4" s="7">
        <v>13385</v>
      </c>
      <c r="D4" s="8">
        <v>2945029.7899999996</v>
      </c>
      <c r="E4" s="8">
        <v>2574727.9500000002</v>
      </c>
      <c r="F4" s="8">
        <v>434</v>
      </c>
      <c r="G4" s="9">
        <f t="shared" ref="G4:G9" si="0">E4/D4</f>
        <v>0.87426210720944886</v>
      </c>
      <c r="H4" s="10">
        <f t="shared" ref="H4:H9" si="1">MIN(SQRT(F4/3000), 1)</f>
        <v>0.38035071534922432</v>
      </c>
    </row>
    <row r="5" spans="2:8" x14ac:dyDescent="0.25">
      <c r="B5" s="6">
        <v>2020</v>
      </c>
      <c r="C5" s="7">
        <v>14932</v>
      </c>
      <c r="D5" s="8">
        <v>3110960.8200000008</v>
      </c>
      <c r="E5" s="8">
        <v>3050760.0599999996</v>
      </c>
      <c r="F5" s="8">
        <v>444</v>
      </c>
      <c r="G5" s="9">
        <f t="shared" si="0"/>
        <v>0.98064882090028982</v>
      </c>
      <c r="H5" s="10">
        <f t="shared" si="1"/>
        <v>0.38470768123342691</v>
      </c>
    </row>
    <row r="6" spans="2:8" x14ac:dyDescent="0.25">
      <c r="B6" s="6">
        <v>2021</v>
      </c>
      <c r="C6" s="7">
        <v>17546</v>
      </c>
      <c r="D6" s="8">
        <v>3834989.3600000003</v>
      </c>
      <c r="E6" s="8">
        <v>4557339.6900000004</v>
      </c>
      <c r="F6" s="8">
        <v>560</v>
      </c>
      <c r="G6" s="9">
        <f t="shared" si="0"/>
        <v>1.1883578446225467</v>
      </c>
      <c r="H6" s="10">
        <f t="shared" si="1"/>
        <v>0.43204937989385733</v>
      </c>
    </row>
    <row r="7" spans="2:8" x14ac:dyDescent="0.25">
      <c r="B7" s="6">
        <v>2022</v>
      </c>
      <c r="C7" s="7">
        <v>17112</v>
      </c>
      <c r="D7" s="8">
        <v>4247478.28</v>
      </c>
      <c r="E7" s="8">
        <v>5184824.8900000006</v>
      </c>
      <c r="F7" s="8">
        <v>590</v>
      </c>
      <c r="G7" s="9">
        <f t="shared" si="0"/>
        <v>1.2206830849291594</v>
      </c>
      <c r="H7" s="10">
        <f t="shared" si="1"/>
        <v>0.44347115652166902</v>
      </c>
    </row>
    <row r="8" spans="2:8" x14ac:dyDescent="0.25">
      <c r="B8" s="6">
        <v>2023</v>
      </c>
      <c r="C8" s="7">
        <v>14909</v>
      </c>
      <c r="D8" s="8">
        <v>3853282.2399999998</v>
      </c>
      <c r="E8" s="8">
        <v>5210496.0199999986</v>
      </c>
      <c r="F8" s="8">
        <v>521</v>
      </c>
      <c r="G8" s="9">
        <f t="shared" si="0"/>
        <v>1.3522227792999661</v>
      </c>
      <c r="H8" s="10">
        <f t="shared" si="1"/>
        <v>0.41673332800085316</v>
      </c>
    </row>
    <row r="9" spans="2:8" x14ac:dyDescent="0.25">
      <c r="B9" s="11" t="s">
        <v>6</v>
      </c>
      <c r="C9" s="12">
        <v>77884</v>
      </c>
      <c r="D9" s="13">
        <v>17991740.489999998</v>
      </c>
      <c r="E9" s="13">
        <v>20578148.609999999</v>
      </c>
      <c r="F9" s="13">
        <v>2549</v>
      </c>
      <c r="G9" s="14">
        <f t="shared" si="0"/>
        <v>1.143755303798293</v>
      </c>
      <c r="H9" s="15">
        <f t="shared" si="1"/>
        <v>0.92177365262122057</v>
      </c>
    </row>
    <row r="10" spans="2:8" x14ac:dyDescent="0.25">
      <c r="C10" s="17"/>
      <c r="F10" s="16"/>
    </row>
    <row r="12" spans="2:8" x14ac:dyDescent="0.25">
      <c r="B12" s="1"/>
      <c r="C12" s="18" t="s">
        <v>7</v>
      </c>
      <c r="D12" s="19"/>
      <c r="E12" s="19"/>
      <c r="F12" s="19"/>
      <c r="G12" s="19"/>
      <c r="H12" s="20"/>
    </row>
    <row r="13" spans="2:8" ht="30" x14ac:dyDescent="0.25">
      <c r="B13" s="2"/>
      <c r="C13" s="3" t="s">
        <v>0</v>
      </c>
      <c r="D13" s="4" t="s">
        <v>1</v>
      </c>
      <c r="E13" s="4" t="s">
        <v>2</v>
      </c>
      <c r="F13" s="4" t="s">
        <v>3</v>
      </c>
      <c r="G13" s="4" t="s">
        <v>4</v>
      </c>
      <c r="H13" s="5" t="s">
        <v>8</v>
      </c>
    </row>
    <row r="14" spans="2:8" x14ac:dyDescent="0.25">
      <c r="B14" s="6">
        <v>2019</v>
      </c>
      <c r="C14" s="7">
        <v>34281</v>
      </c>
      <c r="D14" s="8">
        <v>6474414.8599999994</v>
      </c>
      <c r="E14" s="8">
        <v>4236167.26</v>
      </c>
      <c r="F14" s="8">
        <v>777</v>
      </c>
      <c r="G14" s="9">
        <f t="shared" ref="G14:G19" si="2">E14/D14</f>
        <v>0.65429345378711179</v>
      </c>
      <c r="H14" s="10">
        <f t="shared" ref="H14:H19" si="3">MIN(SQRT(F14/3000), 1)</f>
        <v>0.50892042599997889</v>
      </c>
    </row>
    <row r="15" spans="2:8" x14ac:dyDescent="0.25">
      <c r="B15" s="6">
        <v>2020</v>
      </c>
      <c r="C15" s="7">
        <v>34788</v>
      </c>
      <c r="D15" s="8">
        <v>6794664.3899999997</v>
      </c>
      <c r="E15" s="8">
        <v>3906604.0900000003</v>
      </c>
      <c r="F15" s="8">
        <v>748</v>
      </c>
      <c r="G15" s="9">
        <f t="shared" si="2"/>
        <v>0.57495173650511977</v>
      </c>
      <c r="H15" s="10">
        <f t="shared" si="3"/>
        <v>0.49933288829530681</v>
      </c>
    </row>
    <row r="16" spans="2:8" x14ac:dyDescent="0.25">
      <c r="B16" s="6">
        <v>2021</v>
      </c>
      <c r="C16" s="7">
        <v>34857</v>
      </c>
      <c r="D16" s="8">
        <v>6956432.0899999999</v>
      </c>
      <c r="E16" s="8">
        <v>5512566.8499999996</v>
      </c>
      <c r="F16" s="8">
        <v>803</v>
      </c>
      <c r="G16" s="9">
        <f t="shared" si="2"/>
        <v>0.7924416969331759</v>
      </c>
      <c r="H16" s="10">
        <f t="shared" si="3"/>
        <v>0.51736511929841833</v>
      </c>
    </row>
    <row r="17" spans="2:9" x14ac:dyDescent="0.25">
      <c r="B17" s="6">
        <v>2022</v>
      </c>
      <c r="C17" s="7">
        <v>36616</v>
      </c>
      <c r="D17" s="8">
        <v>7190216.1299999999</v>
      </c>
      <c r="E17" s="8">
        <v>6872756.9700000007</v>
      </c>
      <c r="F17" s="8">
        <v>834</v>
      </c>
      <c r="G17" s="9">
        <f t="shared" si="2"/>
        <v>0.95584845375155658</v>
      </c>
      <c r="H17" s="10">
        <f t="shared" si="3"/>
        <v>0.52725705305856274</v>
      </c>
    </row>
    <row r="18" spans="2:9" x14ac:dyDescent="0.25">
      <c r="B18" s="6">
        <v>2023</v>
      </c>
      <c r="C18" s="7">
        <v>39826</v>
      </c>
      <c r="D18" s="8">
        <v>8031765.75</v>
      </c>
      <c r="E18" s="8">
        <v>7729795.0300000003</v>
      </c>
      <c r="F18" s="8">
        <v>853</v>
      </c>
      <c r="G18" s="9">
        <f t="shared" si="2"/>
        <v>0.96240294732201326</v>
      </c>
      <c r="H18" s="10">
        <f t="shared" si="3"/>
        <v>0.5332291564921533</v>
      </c>
    </row>
    <row r="19" spans="2:9" x14ac:dyDescent="0.25">
      <c r="B19" s="11" t="s">
        <v>6</v>
      </c>
      <c r="C19" s="12">
        <v>180368</v>
      </c>
      <c r="D19" s="13">
        <v>35447493.219999999</v>
      </c>
      <c r="E19" s="13">
        <v>28257890.200000003</v>
      </c>
      <c r="F19" s="13">
        <v>4015</v>
      </c>
      <c r="G19" s="14">
        <f t="shared" si="2"/>
        <v>0.79717598151782665</v>
      </c>
      <c r="H19" s="15">
        <f t="shared" si="3"/>
        <v>1</v>
      </c>
    </row>
    <row r="20" spans="2:9" x14ac:dyDescent="0.25">
      <c r="I20" s="21"/>
    </row>
    <row r="21" spans="2:9" x14ac:dyDescent="0.25">
      <c r="I21" s="21"/>
    </row>
    <row r="22" spans="2:9" x14ac:dyDescent="0.25">
      <c r="C22" t="s">
        <v>10</v>
      </c>
      <c r="I22" s="21"/>
    </row>
    <row r="23" spans="2:9" x14ac:dyDescent="0.25">
      <c r="I23" s="21"/>
    </row>
    <row r="24" spans="2:9" x14ac:dyDescent="0.25">
      <c r="I24" s="21"/>
    </row>
    <row r="25" spans="2:9" x14ac:dyDescent="0.25">
      <c r="I25" s="21"/>
    </row>
    <row r="26" spans="2:9" x14ac:dyDescent="0.25">
      <c r="H26" s="21"/>
      <c r="I26" s="21"/>
    </row>
  </sheetData>
  <mergeCells count="2">
    <mergeCell ref="C2:H2"/>
    <mergeCell ref="C12:H12"/>
  </mergeCells>
  <pageMargins left="0.25" right="0.25" top="0.75" bottom="0.75" header="0.3" footer="0.3"/>
  <pageSetup orientation="landscape" horizontalDpi="200" verticalDpi="200" r:id="rId1"/>
  <headerFooter>
    <oddHeader>&amp;CState Farm Mutual Automobile
 Insurance Company
California Auto - Travel &amp; Camping Trailers (TCT)
Supplemental Exhibit 7-26</oddHeader>
    <oddFooter xml:space="preserve">&amp;C©, Copyright, State Farm Mutual Automobile Insurance Company 2024
No reproduction of this copyrighted material allowed without express written consent from State Farm®
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Exhibit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Kossuth</dc:creator>
  <cp:lastModifiedBy>Laura</cp:lastModifiedBy>
  <dcterms:created xsi:type="dcterms:W3CDTF">2023-07-24T14:53:26Z</dcterms:created>
  <dcterms:modified xsi:type="dcterms:W3CDTF">2024-08-02T17:01:39Z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ec7713-ff10-4e30-a417-5bbcd9826c75_Enabled">
    <vt:lpwstr>true</vt:lpwstr>
  </property>
  <property fmtid="{D5CDD505-2E9C-101B-9397-08002B2CF9AE}" pid="3" name="MSIP_Label_9fec7713-ff10-4e30-a417-5bbcd9826c75_SetDate">
    <vt:lpwstr>2023-07-25T16:39:19Z</vt:lpwstr>
  </property>
  <property fmtid="{D5CDD505-2E9C-101B-9397-08002B2CF9AE}" pid="4" name="MSIP_Label_9fec7713-ff10-4e30-a417-5bbcd9826c75_Method">
    <vt:lpwstr>Standard</vt:lpwstr>
  </property>
  <property fmtid="{D5CDD505-2E9C-101B-9397-08002B2CF9AE}" pid="5" name="MSIP_Label_9fec7713-ff10-4e30-a417-5bbcd9826c75_Name">
    <vt:lpwstr>Enteprise-InternalUseOnly-Child-514205181618919515141225</vt:lpwstr>
  </property>
  <property fmtid="{D5CDD505-2E9C-101B-9397-08002B2CF9AE}" pid="6" name="MSIP_Label_9fec7713-ff10-4e30-a417-5bbcd9826c75_SiteId">
    <vt:lpwstr>fa23982e-6646-4a33-a5c4-1a848d02fcc4</vt:lpwstr>
  </property>
  <property fmtid="{D5CDD505-2E9C-101B-9397-08002B2CF9AE}" pid="7" name="MSIP_Label_9fec7713-ff10-4e30-a417-5bbcd9826c75_ActionId">
    <vt:lpwstr>3f3815d8-d873-4706-a806-cfc82177241b</vt:lpwstr>
  </property>
  <property fmtid="{D5CDD505-2E9C-101B-9397-08002B2CF9AE}" pid="8" name="MSIP_Label_9fec7713-ff10-4e30-a417-5bbcd9826c75_ContentBits">
    <vt:lpwstr>0</vt:lpwstr>
  </property>
</Properties>
</file>