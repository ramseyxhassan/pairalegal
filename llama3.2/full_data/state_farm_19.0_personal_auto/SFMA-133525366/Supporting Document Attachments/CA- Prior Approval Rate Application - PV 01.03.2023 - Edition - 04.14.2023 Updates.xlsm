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7.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8.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9.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10.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11.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drawings/drawing12.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drawings/drawing13.xml" ContentType="application/vnd.openxmlformats-officedocument.drawing+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drawings/drawing14.xml" ContentType="application/vnd.openxmlformats-officedocument.drawing+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drawings/drawing15.xml" ContentType="application/vnd.openxmlformats-officedocument.drawing+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drawings/drawing16.xml" ContentType="application/vnd.openxmlformats-officedocument.drawing+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drawings/drawing17.xml" ContentType="application/vnd.openxmlformats-officedocument.drawing+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drawings/drawing18.xml" ContentType="application/vnd.openxmlformats-officedocument.drawing+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drawings/drawing19.xml" ContentType="application/vnd.openxmlformats-officedocument.drawing+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C:\Users\icd1\Desktop\"/>
    </mc:Choice>
  </mc:AlternateContent>
  <xr:revisionPtr revIDLastSave="0" documentId="8_{3155C327-23A9-43E1-B9E4-40516F7E12A1}" xr6:coauthVersionLast="47" xr6:coauthVersionMax="47" xr10:uidLastSave="{00000000-0000-0000-0000-000000000000}"/>
  <bookViews>
    <workbookView xWindow="-120" yWindow="-120" windowWidth="29040" windowHeight="15840" tabRatio="848" firstSheet="2" activeTab="2"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veryHidden" r:id="rId14"/>
    <sheet name="12.1Model Disclosure" sheetId="42" state="hidden" r:id="rId15"/>
    <sheet name="12.2Model Disclosure" sheetId="45" state="hidden" r:id="rId16"/>
    <sheet name="12.3Model Disclosure" sheetId="46" state="hidden" r:id="rId17"/>
    <sheet name="12.4Model Disclosure" sheetId="47" state="hidden" r:id="rId18"/>
    <sheet name="12.5Model Disclosure" sheetId="48" state="hidden" r:id="rId19"/>
    <sheet name="12.6Model Disclosure" sheetId="49" state="hidden" r:id="rId20"/>
    <sheet name="12.7Model Disclosure" sheetId="50" state="hidden" r:id="rId21"/>
    <sheet name="12.8Model Disclosure" sheetId="51" state="hidden" r:id="rId22"/>
    <sheet name="12.9Model Disclosure" sheetId="52" state="hidden" r:id="rId23"/>
    <sheet name="12.10Model Disclosure" sheetId="53" state="hidden" r:id="rId24"/>
  </sheets>
  <functionGroups builtInGroupCount="19"/>
  <externalReferences>
    <externalReference r:id="rId25"/>
  </externalReferences>
  <definedNames>
    <definedName name="BureauSenior">Settings!$B$33</definedName>
    <definedName name="CDI_FileNo">Settings!$B$23</definedName>
    <definedName name="Change_Fees">Settings!$B$35</definedName>
    <definedName name="Co_Name">Settings!$B$21</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1" l="1"/>
  <c r="L28" i="2" l="1"/>
  <c r="K44" i="45" l="1"/>
  <c r="B15" i="4"/>
  <c r="M55" i="21" l="1"/>
  <c r="M48" i="21"/>
  <c r="M41" i="21"/>
  <c r="M34" i="21"/>
  <c r="M27" i="21"/>
  <c r="M20" i="21"/>
  <c r="B21" i="1" l="1"/>
  <c r="B13" i="4"/>
  <c r="H7" i="5"/>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21" i="21"/>
  <c r="M35" i="21"/>
  <c r="M54" i="21"/>
  <c r="M47" i="21"/>
  <c r="M40" i="21"/>
  <c r="M26"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L30" i="2" l="1"/>
  <c r="L32" i="2"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3" l="1"/>
  <c r="I47" i="52"/>
  <c r="I47" i="51"/>
  <c r="I47" i="50"/>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<sst xmlns="http://schemas.openxmlformats.org/spreadsheetml/2006/main" count="1691" uniqueCount="560">
  <si>
    <t>For Department Use Only</t>
  </si>
  <si>
    <t>Click button below to unprotect all sheets of this file.</t>
  </si>
  <si>
    <t>Password:</t>
  </si>
  <si>
    <t>Click button below to reprotect all sheets of this file.</t>
  </si>
  <si>
    <t>Enter Edition Date here=&gt;</t>
  </si>
  <si>
    <t>1/3/2023</t>
  </si>
  <si>
    <t>Click button below to update footers for each sheet of the application with new edition date.</t>
  </si>
  <si>
    <t>Check to ensure that each sheet's print preview shows the correct edition date.</t>
  </si>
  <si>
    <t>Click button below to hide all reference sheets that are for Department use only, including this Input sheet.</t>
  </si>
  <si>
    <t xml:space="preserve"> </t>
  </si>
  <si>
    <t>(Note: Run macro explicitly from Developer menu to unhide sheets.)</t>
  </si>
  <si>
    <t>RangeNames</t>
  </si>
  <si>
    <t>Edition_Date</t>
  </si>
  <si>
    <t>Co_Name</t>
  </si>
  <si>
    <t>General_Line</t>
  </si>
  <si>
    <t>CDI_FileNo</t>
  </si>
  <si>
    <t>Completed_By</t>
  </si>
  <si>
    <t>Completed_Date</t>
  </si>
  <si>
    <t>EffDate_Proposed</t>
  </si>
  <si>
    <t>No_Fees</t>
  </si>
  <si>
    <t>FilingType_Rate</t>
  </si>
  <si>
    <t>FilingType_Rule</t>
  </si>
  <si>
    <t>FilingType_Form</t>
  </si>
  <si>
    <t>FilingType_NewProgram</t>
  </si>
  <si>
    <t>FilingType_TransferredProgram</t>
  </si>
  <si>
    <t>BureauSenior</t>
  </si>
  <si>
    <t>Connection_Test</t>
  </si>
  <si>
    <t>Change_Fees</t>
  </si>
  <si>
    <t>Y/N Indicator</t>
  </si>
  <si>
    <t>Line Type</t>
  </si>
  <si>
    <t>General Line (Page 1)</t>
  </si>
  <si>
    <t>Variance #</t>
  </si>
  <si>
    <t>Variance Request (Page 7, Page 11)</t>
  </si>
  <si>
    <t>Filing Type and Checklist (Page 3)</t>
  </si>
  <si>
    <t>Formula</t>
  </si>
  <si>
    <t>Model Disclosure</t>
  </si>
  <si>
    <t>Y/N/na Indicator</t>
  </si>
  <si>
    <t>(Page 1)</t>
  </si>
  <si>
    <t>Change</t>
  </si>
  <si>
    <t>Number of Pages</t>
  </si>
  <si>
    <r>
      <t xml:space="preserve">&lt;- Also used as reference for </t>
    </r>
    <r>
      <rPr>
        <b/>
        <sz val="11"/>
        <color theme="1"/>
        <rFont val="Calibri"/>
        <family val="2"/>
        <scheme val="minor"/>
      </rPr>
      <t>page 9.Form</t>
    </r>
    <r>
      <rPr>
        <sz val="11"/>
        <color theme="1"/>
        <rFont val="Calibri"/>
        <family val="2"/>
        <scheme val="minor"/>
      </rPr>
      <t>s on the Category drop down</t>
    </r>
  </si>
  <si>
    <t>(Multiple Pages)</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</si>
  <si>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</si>
  <si>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</si>
  <si>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</si>
  <si>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</si>
  <si>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</si>
  <si>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New Program</t>
  </si>
  <si>
    <t>Transferred Program</t>
  </si>
  <si>
    <t>Selected Filing Type</t>
  </si>
  <si>
    <t>Rows to hide</t>
  </si>
  <si>
    <t>Combo Box controls listed to the right on this row, if applicable =&gt;</t>
  </si>
  <si>
    <t>Indicator</t>
  </si>
  <si>
    <t>Y</t>
  </si>
  <si>
    <t>Commercial</t>
  </si>
  <si>
    <t>1A</t>
  </si>
  <si>
    <t>CCR §2644.27(f)(1)(A): Relief from the efficiency standard for bona fide loss-prevention and loss reduction activities (Allocated cost for SIU.)</t>
  </si>
  <si>
    <t>Checklist Item</t>
  </si>
  <si>
    <t>N</t>
  </si>
  <si>
    <t>Personal</t>
  </si>
  <si>
    <t>Aircraft</t>
  </si>
  <si>
    <t>1B</t>
  </si>
  <si>
    <t>CCR §2644.27(f)(1)(B): Relief from the efficiency standard for bona fide loss-prevention and loss reduction activities (Expense for loss prevention programs.)</t>
  </si>
  <si>
    <t>Prior Approval Rate Application</t>
  </si>
  <si>
    <t>Row Ref on Page 3</t>
  </si>
  <si>
    <t>PDF</t>
  </si>
  <si>
    <t>Excel</t>
  </si>
  <si>
    <t>n/a</t>
  </si>
  <si>
    <t>Allied Lines</t>
  </si>
  <si>
    <t>2A</t>
  </si>
  <si>
    <t>CCR §2644.27(f)(2)(A): Relief from the efficiency standard due to higher quality of service, as demonstrated by objective measures of consumer satisfaction.</t>
  </si>
  <si>
    <t>General Information, Page 1</t>
  </si>
  <si>
    <t/>
  </si>
  <si>
    <t>Allied Lines &amp; Other Liability</t>
  </si>
  <si>
    <t>2B</t>
  </si>
  <si>
    <t>CCR §2644.27(f)(2)(B): Relief from the efficiency standard due to demonstrated superior service to underserved communities (refer to CCR §2646.6).</t>
  </si>
  <si>
    <t>Insurer Group Information, Page 2</t>
  </si>
  <si>
    <t>Auto Liability and Physical Damage</t>
  </si>
  <si>
    <t>2C</t>
  </si>
  <si>
    <t>CCR §2644.27(f)(2)(C): Relief from the efficiency standard due to significantly smaller or larger than average California policy premium, including any applicable fees.</t>
  </si>
  <si>
    <t>Filing Type and Filing Checklist, Page 3</t>
  </si>
  <si>
    <t>Auto Warranty</t>
  </si>
  <si>
    <t>3</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</si>
  <si>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</si>
  <si>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Proposed Impact, Page 4</t>
  </si>
  <si>
    <t>Boiler &amp; Machinery</t>
  </si>
  <si>
    <t>4</t>
  </si>
  <si>
    <t>CCR §2644.27(f)(4): Relief from operation of the efficiency standard for a line of insurance in which the insurer has never written over $1 million in earned premium annually and the insurer is making a substantial investment in order to enter the market.</t>
  </si>
  <si>
    <t>Reconciliation of Direct Earned Premium to Statutory Data, Page 5</t>
  </si>
  <si>
    <t>Burglary &amp; Theft</t>
  </si>
  <si>
    <t>5</t>
  </si>
  <si>
    <t>CCR §2644.27(f)(5): The minimum permitted earned premium should be lower on the basis of the insurer's certification that the rate will not cause the insurer's financial condition to present an undue risk to its solvency.</t>
  </si>
  <si>
    <t>Program Detail, Page 6</t>
  </si>
  <si>
    <t>Earthquake</t>
  </si>
  <si>
    <t>6</t>
  </si>
  <si>
    <t>CCR §2644.27(f)(6): The insurer's financial condition is such that its maximum permitted earned premium should be increased in order to protect solvency.</t>
  </si>
  <si>
    <t>Additional Calendar Year Data Required by Statute, Page 7</t>
  </si>
  <si>
    <t>Farmowners</t>
  </si>
  <si>
    <t>7A</t>
  </si>
  <si>
    <t>CCR §2644.27(f)(7)(A): The loss development formula in CCR §2644.6 does not produce an actuarially sound result because there is not enough data to be credible.</t>
  </si>
  <si>
    <t>Miscellaneous Fees and Other Charges, Page 8</t>
  </si>
  <si>
    <t>Fidelity</t>
  </si>
  <si>
    <t>7B</t>
  </si>
  <si>
    <t>CCR §2644.27(f)(7)(B): The loss development formula in CCR §2644.6 does not produce an actuarially sound result because there are not enough years of data to fully calculate the development to ultimate.</t>
  </si>
  <si>
    <t>Forms, Page 9</t>
  </si>
  <si>
    <t>Fire</t>
  </si>
  <si>
    <t>7C</t>
  </si>
  <si>
    <t>CCR §2644.27(f)(7)(C): The loss development formula in CCR §2644.6 does not produce an actuarially sound result because there are changes in the insurer's reserving or claims closing practices that significantly affect the data.</t>
  </si>
  <si>
    <t>Rules and Underwriting Guidelines, Page 10</t>
  </si>
  <si>
    <t>Fire &amp; Allied Lines</t>
  </si>
  <si>
    <t>7D</t>
  </si>
  <si>
    <t>CCR §2644.27(f)(7)(D): The loss development formula in CCR §2644.6 does not produce an actuarially sound result because there are changes in coverage or other policy terms that significantly affect the data.</t>
  </si>
  <si>
    <t>Variance Request, Page 11</t>
  </si>
  <si>
    <t>Fire, Allied Lines &amp; Other Liability</t>
  </si>
  <si>
    <t>7E</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</si>
  <si>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</si>
  <si>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Model Disclosure(s), Page 12</t>
  </si>
  <si>
    <t>Fire &amp; Other Liability</t>
  </si>
  <si>
    <t>7F</t>
  </si>
  <si>
    <t>CCR §2644.27(f)(7)(F): The loss development formula in CCR §2644.6 does not produce an actuarially sound result because there is a significant increase or decrease in the amount of business written or significant changes in the mix of business.</t>
  </si>
  <si>
    <t>Model Checklist</t>
  </si>
  <si>
    <t>Flood</t>
  </si>
  <si>
    <t>8A</t>
  </si>
  <si>
    <t>CCR §2644.27(f)(8)(A): The trend formula in CCR §2644.7 does not produce the most actuarially sound result because there is a significant increase/decrease in the amount of business written or changes in the mix of business.</t>
  </si>
  <si>
    <t>Questionnaire for Homeowners or Residential Property</t>
  </si>
  <si>
    <t>Homeowners</t>
  </si>
  <si>
    <t>8B</t>
  </si>
  <si>
    <t>CCR §2644.27(f)(8)(B): The trend formula in CCR §2644.7 does not produce the most actuarially sound result because there are not enough years of data to calculate the trend factor.</t>
  </si>
  <si>
    <t>Affidavit</t>
  </si>
  <si>
    <t>Home Warranty</t>
  </si>
  <si>
    <t>8C</t>
  </si>
  <si>
    <t>CCR §2644.27(f)(8)(C): The trend formula in CCR §2644.7 does not produce the most actuarially sound result because there is a significant change in the law affecting frequency or severity of claims.</t>
  </si>
  <si>
    <t>Supporting Exhibits</t>
  </si>
  <si>
    <t>Inland Marine</t>
  </si>
  <si>
    <t>8D</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</si>
  <si>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</si>
  <si>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Exhibit 1  - Filing History</t>
  </si>
  <si>
    <t>Medical Malpractice</t>
  </si>
  <si>
    <t>8E</t>
  </si>
  <si>
    <t>CCR §2644.27(f)(8)(E): The trend formula in CCR §2644.7 does not produce the most actuarially sound result because there are changes in the insurer's claims closing practices that significantly affect the data.</t>
  </si>
  <si>
    <t>Exhibit 2  - Rate Level History</t>
  </si>
  <si>
    <t>Multiple Peril</t>
  </si>
  <si>
    <t>8F</t>
  </si>
  <si>
    <t>CCR §2644.27(f)(8)(F): The trend formula in CCR §2644.7 does not produce the most actuarially sound result because there are changes in coverage or other policy terms that significantly affect the data.</t>
  </si>
  <si>
    <t>Exhibit 3  - Policy Term Distribution</t>
  </si>
  <si>
    <t>Other Liability</t>
  </si>
  <si>
    <t>9</t>
  </si>
  <si>
    <t>CCR §2644.27(f)(9): The maximum permitted earned premium would be confiscatory if applied.</t>
  </si>
  <si>
    <t>Exhibit 4  - Premium Adjustment Factor</t>
  </si>
  <si>
    <t>Products Liability</t>
  </si>
  <si>
    <t>Exhibit 5  - Premium Trend Factor</t>
  </si>
  <si>
    <t>Products Liability &amp; Other Liability</t>
  </si>
  <si>
    <t>Exhibit 6  - Miscellaneous Fees and Other Charges</t>
  </si>
  <si>
    <t>Surety</t>
  </si>
  <si>
    <t>Exhibit 7  - Loss and Defense &amp; Cost Containment Expense (DCCE) Development Factors</t>
  </si>
  <si>
    <t>Exhibit 8 - Loss and DCCE Trend</t>
  </si>
  <si>
    <t>Exhibit 9 - Catastrophe Adjustment</t>
  </si>
  <si>
    <t>Exhibit 10 - Credibility Adjustment</t>
  </si>
  <si>
    <t>Exhibit 11 - Ancillary Income</t>
  </si>
  <si>
    <t>Exhibit 12 - Reinsurance Premium and Recoverables</t>
  </si>
  <si>
    <t>Exhibit 13 - Variance Request</t>
  </si>
  <si>
    <t>Exhibit 14 - Rate Distribution</t>
  </si>
  <si>
    <t>Exhibit 15 - Rate Classification Relativities</t>
  </si>
  <si>
    <t>Exhibit 16 - New Program</t>
  </si>
  <si>
    <t>Exhibit 17 - Super Group Corporate Structure Verification (PPA only)</t>
  </si>
  <si>
    <t>Exhibit 18 - Rules and Underwriting Guidelines</t>
  </si>
  <si>
    <t>Exhibit 19 - Supplemental Information</t>
  </si>
  <si>
    <t>Exhibit 20 - Customer Dislocation</t>
  </si>
  <si>
    <t>Exhibit 21 - Insurer's Ratemaking Calculations for Specialty Filings</t>
  </si>
  <si>
    <t>Filing Memorandum</t>
  </si>
  <si>
    <t>Prior Approval Rate Template</t>
  </si>
  <si>
    <t>Standard Exhibits Template</t>
  </si>
  <si>
    <r>
      <t>Forms</t>
    </r>
    <r>
      <rPr>
        <b/>
        <vertAlign val="superscript"/>
        <sz val="11"/>
        <color theme="1"/>
        <rFont val="Calibri"/>
        <family val="2"/>
      </rPr>
      <t>1,2</t>
    </r>
  </si>
  <si>
    <r>
      <t>Copies of Reinsurance Agreements</t>
    </r>
    <r>
      <rPr>
        <b/>
        <vertAlign val="superscript"/>
        <sz val="11"/>
        <color theme="1"/>
        <rFont val="Calibri"/>
        <family val="2"/>
      </rPr>
      <t>1</t>
    </r>
  </si>
  <si>
    <r>
      <t>1</t>
    </r>
    <r>
      <rPr>
        <sz val="11"/>
        <color rgb="FF000000"/>
        <rFont val="Calibri"/>
        <family val="2"/>
        <scheme val="minor"/>
      </rPr>
      <t xml:space="preserve"> See Prior Approval Rate Filing Instructions.</t>
    </r>
  </si>
  <si>
    <r>
      <t>2</t>
    </r>
    <r>
      <rPr>
        <sz val="11"/>
        <color rgb="FF000000"/>
        <rFont val="Calibri"/>
        <family val="2"/>
        <scheme val="minor"/>
      </rPr>
      <t xml:space="preserve"> Attach all independent forms and all advisory organization forms.</t>
    </r>
  </si>
  <si>
    <t>Application Page 5 is only required for new programs that are based partly on a current or inactive program.</t>
  </si>
  <si>
    <t>All Private Passenger Automobile class plans must be filed separately from the Prior Approval Rate Applications.</t>
  </si>
  <si>
    <t>Instructions for Completing the Prior Approval Rate Application</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</si>
  <si>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</si>
  <si>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http://www.insurance.ca.gov/0250-insurers/0800-rate-filings/</t>
  </si>
  <si>
    <t>1)</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</si>
  <si>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</si>
  <si>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2)</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</si>
  <si>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</si>
  <si>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3)</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</si>
  <si>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</si>
  <si>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4)</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</si>
  <si>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</si>
  <si>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State of California</t>
  </si>
  <si>
    <t>Company:</t>
  </si>
  <si>
    <t>Error Messages, if Any, Associated with General Information to the Left</t>
  </si>
  <si>
    <t>Department of Insurance (CDI)</t>
  </si>
  <si>
    <t>Line:</t>
  </si>
  <si>
    <t>(DEPARTMENT USE ONLY)</t>
  </si>
  <si>
    <t>PRIOR APPROVAL RATE APPLICATION FOR PROPERTY &amp; LIABILITY LINES</t>
  </si>
  <si>
    <t>GENERAL INFORMATION</t>
  </si>
  <si>
    <t>Completed by:</t>
  </si>
  <si>
    <t>Date:</t>
  </si>
  <si>
    <t>Your File #:</t>
  </si>
  <si>
    <t>(15 Character Maximum)</t>
  </si>
  <si>
    <t>Filing Characteristics</t>
  </si>
  <si>
    <t>DEPARTMENT USE ONLY</t>
  </si>
  <si>
    <t>Does this filing include a variance request?</t>
  </si>
  <si>
    <t>CDI File #:</t>
  </si>
  <si>
    <t>If yes,</t>
  </si>
  <si>
    <t>SERFF #:</t>
  </si>
  <si>
    <t>Is this a variance request submitted after the prior</t>
  </si>
  <si>
    <t>Filed Date:</t>
  </si>
  <si>
    <t>approval application to which it applies?</t>
  </si>
  <si>
    <t>Compliance Date:</t>
  </si>
  <si>
    <t>Provide the applicable CDI File #:</t>
  </si>
  <si>
    <t>Public Notice Date:</t>
  </si>
  <si>
    <t>Is this a group filing? If yes, complete Page 2.</t>
  </si>
  <si>
    <t>Deemer Date:</t>
  </si>
  <si>
    <t>Is this a specialty filing as per CIC §2642.7?</t>
  </si>
  <si>
    <t>Intake Analyst:</t>
  </si>
  <si>
    <t>Line Type:</t>
  </si>
  <si>
    <t>Bureau/Senior:</t>
  </si>
  <si>
    <t>General Line :</t>
  </si>
  <si>
    <t>Group Filing?:</t>
  </si>
  <si>
    <t>Subline:</t>
  </si>
  <si>
    <t>X-Reference #:</t>
  </si>
  <si>
    <t>Program:</t>
  </si>
  <si>
    <t>Filing Type:</t>
  </si>
  <si>
    <t>Provide the most recent applicable CDI file # in this line,</t>
  </si>
  <si>
    <t>subline and/or program:</t>
  </si>
  <si>
    <t>Identify the number of models used in the development of this program.</t>
  </si>
  <si>
    <t>% Change:</t>
  </si>
  <si>
    <t>Company Information</t>
  </si>
  <si>
    <t>Company Name:</t>
  </si>
  <si>
    <t>Group Name:</t>
  </si>
  <si>
    <t>NAIC Company Code:</t>
  </si>
  <si>
    <t>NAIC Group Code:</t>
  </si>
  <si>
    <t>Organized under the laws of the State of:</t>
  </si>
  <si>
    <t>Home Office:</t>
  </si>
  <si>
    <t>Contact Name/Title:</t>
  </si>
  <si>
    <t>Toll Free Phone #:</t>
  </si>
  <si>
    <t>Fax #:</t>
  </si>
  <si>
    <t>Email Address:</t>
  </si>
  <si>
    <t>Mailing Address:</t>
  </si>
  <si>
    <t>Refer to CDI website below for the most current rate template and prior approval factors:</t>
  </si>
  <si>
    <t>INSURER GROUP INFORMATION</t>
  </si>
  <si>
    <t xml:space="preserve">Is the data from all companies listed below used in the support of this rate application? </t>
  </si>
  <si>
    <t>If no, please provide an explanation for the differences in the Filing Memorandum.</t>
  </si>
  <si>
    <t>List each insurance company included in the group to which this application applies.</t>
  </si>
  <si>
    <t>CDI Filing #:</t>
  </si>
  <si>
    <t>(Department Use Only)</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</si>
  <si>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</si>
  <si>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t xml:space="preserve">      the total rate impact shown on Prior Approval Rate Application Page 4. </t>
  </si>
  <si>
    <t>Error Messages, if Any, Associated with Information to the Left</t>
  </si>
  <si>
    <t>FILING TYPE</t>
  </si>
  <si>
    <t>Complete the following questions in order to generate the filing checklist:</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</si>
  <si>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</si>
  <si>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Transferred Program filing?</t>
    </r>
  </si>
  <si>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</si>
  <si>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</si>
  <si>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</si>
  <si>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</si>
  <si>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</si>
  <si>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</si>
  <si>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</si>
  <si>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</si>
  <si>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FILING CHECKLIST</t>
  </si>
  <si>
    <t>Use this checklist to indicate submission of ALL items listed in the format(s) required (either PDF, or Excel and PDF).</t>
  </si>
  <si>
    <t>Filing Type and Checklist, Page 3</t>
  </si>
  <si>
    <t>Rating Rules and Underwriting Guidelines, Page 10</t>
  </si>
  <si>
    <r>
      <t>Exhibit 12 - Reinsurance Premium and Recoverables</t>
    </r>
    <r>
      <rPr>
        <vertAlign val="superscript"/>
        <sz val="11"/>
        <color theme="1"/>
        <rFont val="Calibri"/>
        <family val="2"/>
        <scheme val="minor"/>
      </rPr>
      <t>1</t>
    </r>
  </si>
  <si>
    <t>Exhibit 18 - Rating Rules and Underwriting Guidelines</t>
  </si>
  <si>
    <t>IMPACT OF PROPOSED CHANGES</t>
  </si>
  <si>
    <t>Proposed Overall Rate Change:</t>
  </si>
  <si>
    <t>Proposed Earned Premium Per Exposure:</t>
  </si>
  <si>
    <t>Proposed Effective Date:</t>
  </si>
  <si>
    <r>
      <t>Coverage/Form/Program</t>
    </r>
    <r>
      <rPr>
        <b/>
        <vertAlign val="superscript"/>
        <sz val="11"/>
        <color indexed="8"/>
        <rFont val="Calibri"/>
        <family val="2"/>
      </rPr>
      <t>1</t>
    </r>
  </si>
  <si>
    <t>Indicated % Change</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</si>
  <si>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</si>
  <si>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</si>
  <si>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</si>
  <si>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Total</t>
  </si>
  <si>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</si>
  <si>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</si>
  <si>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</si>
  <si>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 xml:space="preserve"> Approval Rate Template for liability and physical damage coverages.</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</si>
  <si>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</si>
  <si>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t xml:space="preserve"> total rate impact shown on this page will not necessarily be equal to any of the individual company premium impacts shown on Prior </t>
  </si>
  <si>
    <t xml:space="preserve"> Approval Rate Application Page 2.</t>
  </si>
  <si>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</si>
  <si>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t xml:space="preserve">average earned date of the proposed rating period.  </t>
  </si>
  <si>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</si>
  <si>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t>RECONCILIATION OF DIRECT EARNED PREMIUM DATA</t>
  </si>
  <si>
    <t>Annual Statement Statutory Page 14 Calendar Year Data</t>
  </si>
  <si>
    <r>
      <t>Latest CDI Filing #</t>
    </r>
    <r>
      <rPr>
        <b/>
        <vertAlign val="superscript"/>
        <sz val="11"/>
        <color indexed="8"/>
        <rFont val="Calibri"/>
        <family val="2"/>
      </rPr>
      <t>2</t>
    </r>
  </si>
  <si>
    <t>2nd Prior Calendar Year</t>
  </si>
  <si>
    <t>1st Prior Calendar Year</t>
  </si>
  <si>
    <t>Most Recent Calendar Year</t>
  </si>
  <si>
    <t>YYYY</t>
  </si>
  <si>
    <t>Statutory Page 14</t>
  </si>
  <si>
    <t>Difference</t>
  </si>
  <si>
    <t>Explain any differences:</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</si>
  <si>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</si>
  <si>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</si>
  <si>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</si>
  <si>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r>
      <rPr>
        <vertAlign val="superscript"/>
        <sz val="11"/>
        <color indexed="8"/>
        <rFont val="Calibri"/>
        <family val="2"/>
      </rPr>
      <t>2</t>
    </r>
    <r>
      <rPr>
        <sz val="11"/>
        <color theme="1"/>
        <rFont val="Calibri"/>
        <family val="2"/>
        <scheme val="minor"/>
      </rPr>
      <t xml:space="preserve">  For residual market data, a filing number is not required.</t>
    </r>
  </si>
  <si>
    <t>Year</t>
  </si>
  <si>
    <t>Written Premium</t>
  </si>
  <si>
    <t>Earned Premium</t>
  </si>
  <si>
    <t>Incurred Loss</t>
  </si>
  <si>
    <t>IL%</t>
  </si>
  <si>
    <t>DCCE</t>
  </si>
  <si>
    <t>DCCE%</t>
  </si>
  <si>
    <t>IL+DCCE</t>
  </si>
  <si>
    <t>IL+DCCE %</t>
  </si>
  <si>
    <t>(1)</t>
  </si>
  <si>
    <t>(2)</t>
  </si>
  <si>
    <t>(3)</t>
  </si>
  <si>
    <t>(4)</t>
  </si>
  <si>
    <t>3 Yr Avg</t>
  </si>
  <si>
    <t>Note: Programs with less than $25M in premium each can be combined into one entry.</t>
  </si>
  <si>
    <t>Note: Ratios are weighted averages. Dollars are arithmetic averages.</t>
  </si>
  <si>
    <t>Total - All Programs</t>
  </si>
  <si>
    <t>(5)</t>
  </si>
  <si>
    <t>(6)</t>
  </si>
  <si>
    <t>(7)</t>
  </si>
  <si>
    <t>(8)</t>
  </si>
  <si>
    <t>(specify program)</t>
  </si>
  <si>
    <t>ADDITIONAL CALENDAR YEAR DATA REQUIRED BY STATUTE</t>
  </si>
  <si>
    <t>Refer to CIC §1857.7, CIC §1857.9 and CIC §1864 for more information.</t>
  </si>
  <si>
    <t>Line</t>
  </si>
  <si>
    <t>Type of Data</t>
  </si>
  <si>
    <t>(0)</t>
  </si>
  <si>
    <t>Calendar Year</t>
  </si>
  <si>
    <t>Number of claims outstanding at beginning of year</t>
  </si>
  <si>
    <t>Number of claims during the year</t>
  </si>
  <si>
    <t>Number of claims closed during the year</t>
  </si>
  <si>
    <t>Number of claims outstanding at year's end [ (1) + (2) - (3) ]</t>
  </si>
  <si>
    <t>Unearned Premiums</t>
  </si>
  <si>
    <t>Dollar amount of claims paid</t>
  </si>
  <si>
    <t>Net loss reserves for outstanding claims excluding claims incurred but not reported (case reserves)</t>
  </si>
  <si>
    <t>Net loss reserves for claims incurred but not reported (IBNR)</t>
  </si>
  <si>
    <t>Losses incurred as a percentage of premiums earned, including IBNR</t>
  </si>
  <si>
    <t>Net investment gain or loss and other income or gain or loss allocated to the line</t>
  </si>
  <si>
    <t>Net income before federal and foreign income taxes [ (10) + (15) ]</t>
  </si>
  <si>
    <t>Total number of policies in force on the last day of the reporting period</t>
  </si>
  <si>
    <t>Total number of policies canceled</t>
  </si>
  <si>
    <t>Total number of policies non-renewed</t>
  </si>
  <si>
    <t>Net underwriting gain or loss ( = CY earned premiums less CY incurred loss less CY incurred expense )</t>
  </si>
  <si>
    <t>Separate allocations of expenses for:</t>
  </si>
  <si>
    <t>(a) commissions and brokerage expense</t>
  </si>
  <si>
    <t>(b) other acquisition costs</t>
  </si>
  <si>
    <t>(c) general office expenses</t>
  </si>
  <si>
    <t>(d) taxes, licenses and fees</t>
  </si>
  <si>
    <t>(e) loss adjustment expense (DCCE &amp; AOE)</t>
  </si>
  <si>
    <t>(f) other expenses</t>
  </si>
  <si>
    <t>Error Messages, if Any, Associated with Miscellaneous Fee Data Input Page to the Left</t>
  </si>
  <si>
    <t>MISCELLANEOUS FEES AND OTHER CHARGES</t>
  </si>
  <si>
    <t>Check all fees that apply and identify the current amount charged for each transaction.</t>
  </si>
  <si>
    <t>If no fees apply to this program, check here:</t>
  </si>
  <si>
    <t>If changes to fees are being proposed in this application, check here:</t>
  </si>
  <si>
    <t>Note: All fees applicable to this program must be identified in the insurer's rating rule pages.</t>
  </si>
  <si>
    <t>Miscellaneous Fees</t>
  </si>
  <si>
    <t>New Business</t>
  </si>
  <si>
    <t>Renewal Business</t>
  </si>
  <si>
    <t>Fixed Expense Fee/Constant/Premium</t>
  </si>
  <si>
    <t>Policy Fee</t>
  </si>
  <si>
    <t>Installment Fee (Fixed $)</t>
  </si>
  <si>
    <t>Endorsement Fee</t>
  </si>
  <si>
    <t>Inspection Fee</t>
  </si>
  <si>
    <t>Cancellation Fee</t>
  </si>
  <si>
    <t>Reinstatement Fee</t>
  </si>
  <si>
    <t>Late Fee</t>
  </si>
  <si>
    <t>SR-22</t>
  </si>
  <si>
    <t>Other Fees (specify below)</t>
  </si>
  <si>
    <t>Fee 1</t>
  </si>
  <si>
    <t>Fee 2</t>
  </si>
  <si>
    <t>Fee 3</t>
  </si>
  <si>
    <t>Fee 4</t>
  </si>
  <si>
    <t>Ancillary Income</t>
  </si>
  <si>
    <t>Installment Finance Charge (APR %)</t>
  </si>
  <si>
    <t>Non-Sufficient Funds (NSF) Fee</t>
  </si>
  <si>
    <t>Membership Dues</t>
  </si>
  <si>
    <t>Premium Finance Revenues</t>
  </si>
  <si>
    <t>Use Exhibit 6 if additional space is needed to explain fees not listed above.</t>
  </si>
  <si>
    <t>FORMS</t>
  </si>
  <si>
    <t>Legend of Response Codes</t>
  </si>
  <si>
    <t>Type Code</t>
  </si>
  <si>
    <t>Source Code</t>
  </si>
  <si>
    <t>Category Code</t>
  </si>
  <si>
    <t xml:space="preserve">        (1)  Application</t>
  </si>
  <si>
    <t xml:space="preserve">          (1)  Insurance Services Office (ISO)</t>
  </si>
  <si>
    <t xml:space="preserve">    (1)  New, mandatory </t>
  </si>
  <si>
    <t>(4)  Replacement, mandatory</t>
  </si>
  <si>
    <t>(7)  Withdrawn, mandatory</t>
  </si>
  <si>
    <t xml:space="preserve">        (2)  Endorsement</t>
  </si>
  <si>
    <t xml:space="preserve">          (2)  Other Advisory Organization</t>
  </si>
  <si>
    <t xml:space="preserve">    (2)  New, optional (required)</t>
  </si>
  <si>
    <t>(5)  Replacement, optional (required)</t>
  </si>
  <si>
    <t>(8)  Withdrawn, optional (required)</t>
  </si>
  <si>
    <t xml:space="preserve">        (3)  Policy</t>
  </si>
  <si>
    <t xml:space="preserve">          (3)  Company</t>
  </si>
  <si>
    <t xml:space="preserve">    (3)  New, optional (elective)</t>
  </si>
  <si>
    <t>(6)  Replacement, optional (elective)</t>
  </si>
  <si>
    <t>(9)  Withdrawn, optional (elective)</t>
  </si>
  <si>
    <t xml:space="preserve">        (4)  Other (Describe in box below)</t>
  </si>
  <si>
    <t xml:space="preserve">          (4)  Other (Describe in box below)</t>
  </si>
  <si>
    <t>(10)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</si>
  <si>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</si>
  <si>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</si>
  <si>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</si>
  <si>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Applicable Form</t>
  </si>
  <si>
    <t>Source of Form</t>
  </si>
  <si>
    <t>Coverage Change Reflects</t>
  </si>
  <si>
    <t>Coverage Change Includes</t>
  </si>
  <si>
    <t>#</t>
  </si>
  <si>
    <t>Title</t>
  </si>
  <si>
    <t>Type</t>
  </si>
  <si>
    <t>Source</t>
  </si>
  <si>
    <r>
      <t>CDI File #</t>
    </r>
    <r>
      <rPr>
        <b/>
        <vertAlign val="superscript"/>
        <sz val="11"/>
        <color indexed="8"/>
        <rFont val="Calibri"/>
        <family val="2"/>
      </rPr>
      <t>1</t>
    </r>
  </si>
  <si>
    <r>
      <t>Category</t>
    </r>
    <r>
      <rPr>
        <b/>
        <vertAlign val="superscript"/>
        <sz val="11"/>
        <color theme="1"/>
        <rFont val="Calibri"/>
        <family val="2"/>
        <scheme val="minor"/>
      </rPr>
      <t>3</t>
    </r>
  </si>
  <si>
    <r>
      <t>Restriction?</t>
    </r>
    <r>
      <rPr>
        <b/>
        <vertAlign val="superscript"/>
        <sz val="11"/>
        <color theme="1"/>
        <rFont val="Calibri"/>
        <family val="2"/>
      </rPr>
      <t>2</t>
    </r>
  </si>
  <si>
    <t>Broadening?</t>
  </si>
  <si>
    <t>Rate Impact?</t>
  </si>
  <si>
    <t>% Impact</t>
  </si>
  <si>
    <t>Proposed</t>
  </si>
  <si>
    <t>Current</t>
  </si>
  <si>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</si>
  <si>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</si>
  <si>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</si>
  <si>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Rule</t>
    </r>
    <r>
      <rPr>
        <sz val="11"/>
        <color theme="1"/>
        <rFont val="Calibri"/>
        <family val="2"/>
        <scheme val="minor"/>
      </rPr>
      <t xml:space="preserve">
If applicable, specify the applicable rule(s) and manual page number(s).</t>
    </r>
  </si>
  <si>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</si>
  <si>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</si>
  <si>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</si>
  <si>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</si>
  <si>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Other (Please provide additional information below for forms indicated as "Other" under Type Code, Source Code, and/or Category Code.)</t>
  </si>
  <si>
    <t>RATING RULES AND UNDERWRITING GUIDELINES</t>
  </si>
  <si>
    <t>Insurers submitting a rule change filing must provide the information identified below.</t>
  </si>
  <si>
    <t>Complete Exhibit 18 as necessary to fulfill this requirement.</t>
  </si>
  <si>
    <t>Check all that apply:</t>
  </si>
  <si>
    <t>(1) Introducing a new rule(s)</t>
  </si>
  <si>
    <t>(2) Revising an existing rule(s)</t>
  </si>
  <si>
    <t>(3) Adopting an approved Advisory Organization (AO) rule(s)</t>
  </si>
  <si>
    <t>(4) Withdrawing an approved rule(s)</t>
  </si>
  <si>
    <r>
      <t>(5) Introducing or revising an underwriting guideline(s)</t>
    </r>
    <r>
      <rPr>
        <vertAlign val="superscript"/>
        <sz val="11"/>
        <color theme="1"/>
        <rFont val="Calibri"/>
        <family val="2"/>
      </rPr>
      <t>1</t>
    </r>
  </si>
  <si>
    <t>If (1), (2) or (5) above is checked, provide the following:</t>
  </si>
  <si>
    <t>(a) The purpose for the rule or underwriting guideline or an explanation for revising an existing rule</t>
  </si>
  <si>
    <t xml:space="preserve"> or underwriting guideline (Exhibit 18)</t>
  </si>
  <si>
    <t>(b) A copy of the current and proposed manual page corresponding to the rule or underwriting guideline</t>
  </si>
  <si>
    <t>(c) The proposed charge for the rule, and justification of the charge including</t>
  </si>
  <si>
    <t>the rate or premium development method (Exhibit 18)</t>
  </si>
  <si>
    <t>(d) The rate impact of the rule or underwriting guideline on the current book of business, with</t>
  </si>
  <si>
    <t>corresponding calculation of that impact (Exhibit 18)</t>
  </si>
  <si>
    <t>(e) Advise if the rule is:</t>
  </si>
  <si>
    <t>(i) Optional</t>
  </si>
  <si>
    <t>(ii) Mandatory</t>
  </si>
  <si>
    <t>If (3) above is checked, specify the approved CDI File #(s) of the AO rule:</t>
  </si>
  <si>
    <t>If (4) above is checked, provide the following:</t>
  </si>
  <si>
    <t>(a) An explanation for the withdrawal of the rule (Exhibit 18)</t>
  </si>
  <si>
    <t>(b) A copy of the current and proposed manual page corresponding to the withdrawn rule</t>
  </si>
  <si>
    <t>(c) The rate impact of withdrawing the rule on the current book of business, with</t>
  </si>
  <si>
    <t>For all rule and underwriting guideline changes, provide any additional comments necessary to adequately</t>
  </si>
  <si>
    <t>explain the rule change (Exhibit 18).</t>
  </si>
  <si>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</si>
  <si>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in this filing or currently on file with the California Department of Insurance.</t>
  </si>
  <si>
    <t>VARIANCE REQUEST</t>
  </si>
  <si>
    <t>Select the basis for each variance requested and enter the minimum and maximum permitted rate change percentages resulting</t>
  </si>
  <si>
    <t>from that variance.</t>
  </si>
  <si>
    <t xml:space="preserve">Provide full documentation of and justification for each variance request in Exhibit 13.  Refer to the Prior Approval Rate Filing </t>
  </si>
  <si>
    <t>Instructions and CCR §2644.27 (f) for comprehensive information on required documentation.</t>
  </si>
  <si>
    <t>Minimum Permitted Rate Change % (CHANGE_AT_MIN)</t>
  </si>
  <si>
    <t>Impact of Variance on Minimum Permitted Rate Change %</t>
  </si>
  <si>
    <t>Maximum Permitted Rate Change % (CHANGE_AT_MAX)</t>
  </si>
  <si>
    <t>Impact of Variance on Maximum Permitted Rate Change %</t>
  </si>
  <si>
    <t>Combo Box Control</t>
  </si>
  <si>
    <t>No Variance (Default Scenario)</t>
  </si>
  <si>
    <t>Request #1:</t>
  </si>
  <si>
    <t>Request #2</t>
  </si>
  <si>
    <t>Request #3</t>
  </si>
  <si>
    <t>Request #4</t>
  </si>
  <si>
    <t>Request #5</t>
  </si>
  <si>
    <t>Request #6</t>
  </si>
  <si>
    <t>Request #7</t>
  </si>
  <si>
    <t>Request #8</t>
  </si>
  <si>
    <t>Request #9</t>
  </si>
  <si>
    <t>Request #10</t>
  </si>
  <si>
    <t>All Variances Combined</t>
  </si>
  <si>
    <t>MODEL DISCLOSURE</t>
  </si>
  <si>
    <t>Model Name/Model Version:</t>
  </si>
  <si>
    <t>Catastrophe Model or Non-Catastrophe Model:</t>
  </si>
  <si>
    <t>Catastrophe Model</t>
  </si>
  <si>
    <t>Non-Catastrophe Model</t>
  </si>
  <si>
    <t>Model Usage (check all that apply):</t>
  </si>
  <si>
    <t>Underwriting Eligibility</t>
  </si>
  <si>
    <t>Overall Rate Level</t>
  </si>
  <si>
    <t>Rate Segmentation</t>
  </si>
  <si>
    <t>Other:</t>
  </si>
  <si>
    <t>Catastrophe Model Type (check all that apply):</t>
  </si>
  <si>
    <t>Fire Following Earthquake</t>
  </si>
  <si>
    <t>Terrorism</t>
  </si>
  <si>
    <t>Wildfire</t>
  </si>
  <si>
    <t>Wind</t>
  </si>
  <si>
    <t>Non-Catastrophe Model Output Purpose (check all that apply):</t>
  </si>
  <si>
    <t>Rating Plan</t>
  </si>
  <si>
    <t>Territory</t>
  </si>
  <si>
    <t>Model Type:</t>
  </si>
  <si>
    <t>Cluster  / Classification Analysis</t>
  </si>
  <si>
    <t>Regression Analysis</t>
  </si>
  <si>
    <t xml:space="preserve">Other </t>
  </si>
  <si>
    <t>Model Structure:</t>
  </si>
  <si>
    <t>Generalized Additive Model</t>
  </si>
  <si>
    <t>Generalized Linear Model</t>
  </si>
  <si>
    <t>K-Means Cluster Analysis</t>
  </si>
  <si>
    <t>Multilevel Model</t>
  </si>
  <si>
    <t>Neural Network</t>
  </si>
  <si>
    <t>Probabilistic</t>
  </si>
  <si>
    <t>Tree-based Models</t>
  </si>
  <si>
    <t>Other</t>
  </si>
  <si>
    <t>Model Submission:</t>
  </si>
  <si>
    <t>New/Initial</t>
  </si>
  <si>
    <t>Revision to Existing Model</t>
  </si>
  <si>
    <t>Refresh of Data to Existing Model</t>
  </si>
  <si>
    <t>No Revision to Existing Model</t>
  </si>
  <si>
    <t>CDI Approved Filing Number of the Existing Model:</t>
  </si>
  <si>
    <t>SERFF Number of the Existing Model:</t>
  </si>
  <si>
    <t>Model Development:</t>
  </si>
  <si>
    <t>Company Developed ("In-House")</t>
  </si>
  <si>
    <t>Outside Firm ("Vendor")</t>
  </si>
  <si>
    <t>Proposed Overall Rate Change for Filing:</t>
  </si>
  <si>
    <t>Rate Impact of Model on Proposed Overall Rate Change:</t>
  </si>
  <si>
    <t xml:space="preserve">Brandi Vance </t>
  </si>
  <si>
    <t>15-4677</t>
  </si>
  <si>
    <t xml:space="preserve">State Farm Mutual Automobile Insurance Company </t>
  </si>
  <si>
    <t xml:space="preserve">State Farm Insurance Companies </t>
  </si>
  <si>
    <t xml:space="preserve">Illinois </t>
  </si>
  <si>
    <t xml:space="preserve">Kevin Nicklas, Assistant Secretary - Treasurer </t>
  </si>
  <si>
    <t>N/A</t>
  </si>
  <si>
    <t>kevin.nicklas.cbnv@statefarm.com</t>
  </si>
  <si>
    <t>One State Farm Plaza, D-4; Bloomington, IL 61710</t>
  </si>
  <si>
    <t xml:space="preserve">None </t>
  </si>
  <si>
    <t>6129J</t>
  </si>
  <si>
    <t xml:space="preserve">Amendatory Endorsement </t>
  </si>
  <si>
    <t xml:space="preserve">6128AC </t>
  </si>
  <si>
    <t xml:space="preserve">The new 6129J Amendatory Endorsement attaches to all California 9805B Car Policies. It incorporates and replaces current 6128AC Amendatory Endorsement. The updates broaden and restrict coverage in multiple ways. Please see the Supplemental Exhibit for detailed explanations on all revisions. We are seeking to update policy language with these revisions. </t>
  </si>
  <si>
    <t xml:space="preserve">There is no rating impact. </t>
  </si>
  <si>
    <t xml:space="preserve">Changes to this endorsement that cause the restriction or broadening of coverage are minor and have no material impact on the amount of coverage provided. Thus, there is no rate impact.  </t>
  </si>
  <si>
    <t>1002365CA.12</t>
  </si>
  <si>
    <t xml:space="preserve">Selection/Rejection Form - Uninsured Motor Vehicle Coverage </t>
  </si>
  <si>
    <t xml:space="preserve">Pends </t>
  </si>
  <si>
    <t>1002365CA.11</t>
  </si>
  <si>
    <t xml:space="preserve">The 1002365CA.12 Selection/Rejection Form - Uninsured Motor Vehicle Coverage form attaches to California 9805B Car Policies where the insured chooses to reject or delete Uninsured Motorists Coverage. It incorporates and replaces current Selection/Rejection Form 1002365CA.11. The updates do not broaden nor restrict coverage, they are only editorial changes. We are seeking to revise the form to better match other Selection/Rejection Forms already in use and to update a company-identified error.  </t>
  </si>
  <si>
    <t xml:space="preserve">There is no rating impact with these updates to the Selection/Rejection Form. </t>
  </si>
  <si>
    <t xml:space="preserve">These changes do not broaden or restrict coverage, they are only editorial. Thus, there is no rate impact.  </t>
  </si>
  <si>
    <t>Personal Auto</t>
  </si>
  <si>
    <t>PV-45751</t>
  </si>
  <si>
    <t>One State Farm Plaza, Bloomington, IL 61710</t>
  </si>
  <si>
    <t>6129AC</t>
  </si>
  <si>
    <t>6128AD</t>
  </si>
  <si>
    <t xml:space="preserve">Amendatory Endorsement (Recreational Vehicle) </t>
  </si>
  <si>
    <t xml:space="preserve">The new 6129AC Amendatory Endorsement attaches to all California 9205B Recreational Vehicle Policies. It replaces current endorsement 6128AD.   The updates broaden and restrict coverage in multiple ways.  Please see the Supplemental Exhibit for details on each update and whether it broadens or restricts coverage.  We are seeking to update policy language with these revisions.  </t>
  </si>
  <si>
    <t xml:space="preserve">Changes to this endorsement that cause the restriction or broadening of coverage are minor and have no material impact on the amount of coverage provided. Thus, there is no rate impact. </t>
  </si>
  <si>
    <t>22-832</t>
  </si>
  <si>
    <t>oN9yVRQb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</si>
</sst>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vertAlign val="superscript"/>
      <sz val="11"/>
      <color theme="1"/>
      <name val="Calibri"/>
      <family val="2"/>
    </font>
    <font>
      <b/>
      <sz val="11"/>
      <color rgb="FF0000FF"/>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sz val="8"/>
      <color theme="1"/>
      <name val="Calibri"/>
      <family val="2"/>
      <scheme val="minor"/>
    </font>
    <font>
      <sz val="11"/>
      <color rgb="FF000000"/>
      <name val="Calibri"/>
      <family val="2"/>
    </font>
    <font>
      <sz val="8"/>
      <color rgb="FF000000"/>
      <name val="Tahoma"/>
      <family val="2"/>
    </font>
    <font>
      <b/>
      <i/>
      <sz val="11"/>
      <color rgb="FF000000"/>
      <name val="Calibri"/>
      <family val="2"/>
    </font>
    <font>
      <b/>
      <sz val="11"/>
      <color rgb="FF000000"/>
      <name val="Calibri"/>
      <family val="2"/>
    </font>
    <font>
      <b/>
      <sz val="10"/>
      <color rgb="FF000000"/>
      <name val="Calibri"/>
      <family val="2"/>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5" fillId="0" borderId="0"/>
  </cellStyleXfs>
  <cellXfs count="637">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28" fillId="0" borderId="9" xfId="0" applyFont="1" applyBorder="1" applyAlignment="1">
      <alignment horizontal="left" vertical="center"/>
    </xf>
    <xf numFmtId="0" fontId="28"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1"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2"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5"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4"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4" fillId="0" borderId="0" xfId="0" applyFont="1" applyAlignment="1">
      <alignment vertical="center"/>
    </xf>
    <xf numFmtId="0" fontId="28" fillId="0" borderId="0" xfId="0" applyFont="1" applyAlignment="1">
      <alignment vertical="center" wrapText="1"/>
    </xf>
    <xf numFmtId="0" fontId="28" fillId="0" borderId="0" xfId="0" applyFont="1" applyAlignment="1">
      <alignment horizontal="center" vertical="center" wrapText="1"/>
    </xf>
    <xf numFmtId="0" fontId="28"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38"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39"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1"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2" fillId="0" borderId="0" xfId="0" applyFont="1"/>
    <xf numFmtId="0" fontId="24" fillId="0" borderId="7" xfId="0" applyFont="1" applyBorder="1" applyAlignment="1" applyProtection="1">
      <alignment vertical="center"/>
    </xf>
    <xf numFmtId="0" fontId="43"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3" fillId="0" borderId="20" xfId="0" applyFont="1" applyBorder="1"/>
    <xf numFmtId="0" fontId="43" fillId="0" borderId="20" xfId="0" applyFont="1" applyBorder="1" applyAlignment="1">
      <alignment vertical="center"/>
    </xf>
    <xf numFmtId="0" fontId="43" fillId="0" borderId="7" xfId="0" applyFont="1" applyBorder="1"/>
    <xf numFmtId="0" fontId="43"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46" fillId="0" borderId="0" xfId="0" applyFont="1" applyFill="1" applyBorder="1" applyAlignment="1">
      <alignment horizontal="left" vertical="top"/>
    </xf>
    <xf numFmtId="0" fontId="46" fillId="0" borderId="0" xfId="0" applyFont="1" applyAlignment="1">
      <alignment horizontal="left" vertical="top"/>
    </xf>
    <xf numFmtId="0" fontId="41"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48" fillId="0" borderId="0" xfId="0" applyFont="1" applyBorder="1" applyAlignment="1">
      <alignment horizontal="left" vertical="center"/>
    </xf>
    <xf numFmtId="0" fontId="7" fillId="0" borderId="0" xfId="0" applyFont="1" applyFill="1" applyBorder="1" applyAlignment="1">
      <alignment horizontal="left" vertical="center"/>
    </xf>
    <xf numFmtId="0" fontId="48" fillId="0" borderId="0" xfId="0" applyFont="1" applyBorder="1"/>
    <xf numFmtId="0" fontId="49"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0"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49" fillId="4" borderId="6" xfId="0" applyFont="1" applyFill="1" applyBorder="1" applyAlignment="1">
      <alignment horizontal="left" vertical="center"/>
    </xf>
    <xf numFmtId="0" fontId="10" fillId="0" borderId="0" xfId="0" applyFont="1" applyBorder="1" applyAlignment="1">
      <alignment horizontal="left" vertical="center"/>
    </xf>
    <xf numFmtId="0" fontId="49"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1"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3"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3"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55"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55"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2" fillId="4" borderId="0" xfId="0" applyFont="1" applyFill="1" applyBorder="1" applyAlignment="1">
      <alignment horizontal="center"/>
    </xf>
    <xf numFmtId="0" fontId="42" fillId="4" borderId="7"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0" fontId="56" fillId="0" borderId="0" xfId="0" applyFont="1"/>
    <xf numFmtId="0" fontId="12" fillId="0" borderId="0" xfId="0" applyFont="1" applyBorder="1" applyProtection="1"/>
    <xf numFmtId="0" fontId="24" fillId="0" borderId="0" xfId="0" applyFont="1" applyBorder="1" applyProtection="1"/>
    <xf numFmtId="0" fontId="24" fillId="0" borderId="10" xfId="0" applyFont="1" applyBorder="1" applyProtection="1"/>
    <xf numFmtId="0" fontId="24" fillId="0" borderId="10" xfId="0" applyFont="1" applyBorder="1" applyAlignment="1" applyProtection="1">
      <alignment vertical="center"/>
    </xf>
    <xf numFmtId="49" fontId="9"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Border="1" applyAlignment="1" applyProtection="1">
      <alignment horizontal="left"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Border="1" applyAlignment="1" applyProtection="1">
      <alignment horizontal="center" vertical="center"/>
      <protection locked="0"/>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0" fillId="0" borderId="53" xfId="0" applyNumberFormat="1" applyBorder="1" applyAlignment="1" applyProtection="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54"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4" fillId="2" borderId="87" xfId="0" applyFont="1" applyFill="1" applyBorder="1" applyAlignment="1" applyProtection="1">
      <alignment horizontal="left" vertical="center" wrapText="1"/>
      <protection locked="0"/>
    </xf>
    <xf numFmtId="0" fontId="54" fillId="2" borderId="88" xfId="0" applyFont="1" applyFill="1" applyBorder="1" applyAlignment="1" applyProtection="1">
      <alignment horizontal="left" vertical="center" wrapText="1"/>
      <protection locked="0"/>
    </xf>
    <xf numFmtId="49" fontId="54" fillId="0" borderId="0" xfId="0" applyNumberFormat="1" applyFont="1" applyFill="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4" fillId="0" borderId="38" xfId="0" applyNumberFormat="1" applyFont="1" applyFill="1" applyBorder="1" applyAlignment="1" applyProtection="1">
      <alignment horizontal="left" vertical="top" wrapText="1"/>
      <protection locked="0"/>
    </xf>
    <xf numFmtId="0" fontId="54" fillId="0" borderId="87" xfId="0" applyFont="1" applyFill="1" applyBorder="1" applyAlignment="1" applyProtection="1">
      <alignment horizontal="left" vertical="center" wrapText="1"/>
      <protection locked="0"/>
    </xf>
    <xf numFmtId="0" fontId="54"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4" fillId="2" borderId="38" xfId="0" applyNumberFormat="1" applyFont="1" applyFill="1" applyBorder="1" applyAlignment="1" applyProtection="1">
      <alignment horizontal="left" vertical="top" wrapText="1"/>
      <protection locked="0"/>
    </xf>
    <xf numFmtId="0" fontId="54" fillId="2" borderId="84" xfId="0" applyFont="1" applyFill="1" applyBorder="1" applyAlignment="1" applyProtection="1">
      <alignment horizontal="left" vertical="center" wrapText="1"/>
      <protection locked="0"/>
    </xf>
    <xf numFmtId="0" fontId="54" fillId="2" borderId="38"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0" fontId="54" fillId="0" borderId="0" xfId="0" applyFont="1" applyFill="1" applyBorder="1" applyAlignment="1" applyProtection="1">
      <alignment horizontal="left" vertical="center" wrapText="1"/>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4" fillId="0" borderId="0" xfId="0" applyFont="1" applyFill="1" applyBorder="1" applyAlignment="1" applyProtection="1">
      <alignment horizontal="left" vertical="center" wrapText="1"/>
      <protection locked="0"/>
    </xf>
    <xf numFmtId="0" fontId="54" fillId="2" borderId="38" xfId="0" applyFont="1" applyFill="1" applyBorder="1" applyAlignment="1" applyProtection="1">
      <alignment horizontal="left" vertical="center" wrapTex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Border="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fmlaLink="$N$34" lockText="1"/>
</file>

<file path=xl/ctrlProps/ctrlProp11.xml><?xml version="1.0" encoding="utf-8"?>
<formControlPr xmlns="http://schemas.microsoft.com/office/spreadsheetml/2009/9/main" objectType="CheckBox" checked="Checked"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5"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1" val="0"/>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fmlaLink="No_Fees"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fmlaLink="Change_Fees" lockText="1"/>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Button"/>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fmlaLink="$E$12"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Drop" dropLines="23" dropStyle="combo" dx="16" fmlaLink="$H$23" fmlaRange="References!$H$6:$H$28" sel="23" val="0"/>
</file>

<file path=xl/ctrlProps/ctrlProp96.xml><?xml version="1.0" encoding="utf-8"?>
<formControlPr xmlns="http://schemas.microsoft.com/office/spreadsheetml/2009/9/main" objectType="Drop" dropLines="23" dropStyle="combo" dx="16" fmlaLink="$H$26" fmlaRange="References!$H$6:$H$28" sel="23" val="0"/>
</file>

<file path=xl/ctrlProps/ctrlProp97.xml><?xml version="1.0" encoding="utf-8"?>
<formControlPr xmlns="http://schemas.microsoft.com/office/spreadsheetml/2009/9/main" objectType="Drop" dropLines="23" dropStyle="combo" dx="16" fmlaLink="$H$29" fmlaRange="References!$H$6:$H$28" sel="23" val="0"/>
</file>

<file path=xl/ctrlProps/ctrlProp98.xml><?xml version="1.0" encoding="utf-8"?>
<formControlPr xmlns="http://schemas.microsoft.com/office/spreadsheetml/2009/9/main" objectType="Drop" dropLines="23" dropStyle="combo" dx="16" fmlaLink="$H$16" fmlaRange="References!$H$6:$H$28" sel="23" val="0"/>
</file>

<file path=xl/ctrlProps/ctrlProp99.xml><?xml version="1.0" encoding="utf-8"?>
<formControlPr xmlns="http://schemas.microsoft.com/office/spreadsheetml/2009/9/main" objectType="Drop" dropLines="23" dropStyle="combo" dx="16" fmlaLink="$H$20" fmlaRange="References!$H$6:$H$28" sel="23" val="0"/>
</file>

<file path=xl/ctrlProps/ctrlProp100.xml><?xml version="1.0" encoding="utf-8"?>
<formControlPr xmlns="http://schemas.microsoft.com/office/spreadsheetml/2009/9/main" objectType="Drop" dropLines="23" dropStyle="combo" dx="16" fmlaLink="$H$32" fmlaRange="References!$H$6:$H$28" sel="23" val="0"/>
</file>

<file path=xl/ctrlProps/ctrlProp101.xml><?xml version="1.0" encoding="utf-8"?>
<formControlPr xmlns="http://schemas.microsoft.com/office/spreadsheetml/2009/9/main" objectType="Drop" dropLines="23" dropStyle="combo" dx="16" fmlaLink="$H$35" fmlaRange="References!$H$6:$H$28" sel="23" val="0"/>
</file>

<file path=xl/ctrlProps/ctrlProp102.xml><?xml version="1.0" encoding="utf-8"?>
<formControlPr xmlns="http://schemas.microsoft.com/office/spreadsheetml/2009/9/main" objectType="Drop" dropLines="23" dropStyle="combo" dx="16" fmlaLink="$H$38" fmlaRange="References!$H$6:$H$28" sel="23" val="0"/>
</file>

<file path=xl/ctrlProps/ctrlProp103.xml><?xml version="1.0" encoding="utf-8"?>
<formControlPr xmlns="http://schemas.microsoft.com/office/spreadsheetml/2009/9/main" objectType="Drop" dropLines="23" dropStyle="combo" dx="16" fmlaLink="$H$41" fmlaRange="References!$H$6:$H$28" sel="23" val="0"/>
</file>

<file path=xl/ctrlProps/ctrlProp104.xml><?xml version="1.0" encoding="utf-8"?>
<formControlPr xmlns="http://schemas.microsoft.com/office/spreadsheetml/2009/9/main" objectType="Drop" dropLines="23" dropStyle="combo" dx="16" fmlaLink="$H$44" fmlaRange="References!$H$6:$H$28" sel="23" val="0"/>
</file>

<file path=xl/ctrlProps/ctrlProp105.xml><?xml version="1.0" encoding="utf-8"?>
<formControlPr xmlns="http://schemas.microsoft.com/office/spreadsheetml/2009/9/main" objectType="CheckBox" fmlaLink="B9" lockText="1" noThreeD="1"/>
</file>

<file path=xl/ctrlProps/ctrlProp106.xml><?xml version="1.0" encoding="utf-8"?>
<formControlPr xmlns="http://schemas.microsoft.com/office/spreadsheetml/2009/9/main" objectType="CheckBox" fmlaLink="G9" lockText="1" noThreeD="1"/>
</file>

<file path=xl/ctrlProps/ctrlProp107.xml><?xml version="1.0" encoding="utf-8"?>
<formControlPr xmlns="http://schemas.microsoft.com/office/spreadsheetml/2009/9/main" objectType="CheckBox" fmlaLink="G12" lockText="1" noThreeD="1"/>
</file>

<file path=xl/ctrlProps/ctrlProp108.xml><?xml version="1.0" encoding="utf-8"?>
<formControlPr xmlns="http://schemas.microsoft.com/office/spreadsheetml/2009/9/main" objectType="CheckBox" fmlaLink="G13" lockText="1" noThreeD="1"/>
</file>

<file path=xl/ctrlProps/ctrlProp109.xml><?xml version="1.0" encoding="utf-8"?>
<formControlPr xmlns="http://schemas.microsoft.com/office/spreadsheetml/2009/9/main" objectType="CheckBox" fmlaLink="G16" lockText="1" noThreeD="1"/>
</file>

<file path=xl/ctrlProps/ctrlProp110.xml><?xml version="1.0" encoding="utf-8"?>
<formControlPr xmlns="http://schemas.microsoft.com/office/spreadsheetml/2009/9/main" objectType="CheckBox" fmlaLink="G17" lockText="1" noThreeD="1"/>
</file>

<file path=xl/ctrlProps/ctrlProp111.xml><?xml version="1.0" encoding="utf-8"?>
<formControlPr xmlns="http://schemas.microsoft.com/office/spreadsheetml/2009/9/main" objectType="CheckBox" fmlaLink="L16" lockText="1" noThreeD="1"/>
</file>

<file path=xl/ctrlProps/ctrlProp112.xml><?xml version="1.0" encoding="utf-8"?>
<formControlPr xmlns="http://schemas.microsoft.com/office/spreadsheetml/2009/9/main" objectType="CheckBox" fmlaLink="L17" lockText="1" noThreeD="1"/>
</file>

<file path=xl/ctrlProps/ctrlProp113.xml><?xml version="1.0" encoding="utf-8"?>
<formControlPr xmlns="http://schemas.microsoft.com/office/spreadsheetml/2009/9/main" objectType="CheckBox" fmlaLink="B16" lockText="1" noThreeD="1"/>
</file>

<file path=xl/ctrlProps/ctrlProp114.xml><?xml version="1.0" encoding="utf-8"?>
<formControlPr xmlns="http://schemas.microsoft.com/office/spreadsheetml/2009/9/main" objectType="CheckBox" fmlaLink="B17" lockText="1" noThreeD="1"/>
</file>

<file path=xl/ctrlProps/ctrlProp115.xml><?xml version="1.0" encoding="utf-8"?>
<formControlPr xmlns="http://schemas.microsoft.com/office/spreadsheetml/2009/9/main" objectType="CheckBox" fmlaLink="B12" lockText="1" noThreeD="1"/>
</file>

<file path=xl/ctrlProps/ctrlProp116.xml><?xml version="1.0" encoding="utf-8"?>
<formControlPr xmlns="http://schemas.microsoft.com/office/spreadsheetml/2009/9/main" objectType="CheckBox" fmlaLink="B13" lockText="1" noThreeD="1"/>
</file>

<file path=xl/ctrlProps/ctrlProp117.xml><?xml version="1.0" encoding="utf-8"?>
<formControlPr xmlns="http://schemas.microsoft.com/office/spreadsheetml/2009/9/main" objectType="CheckBox" fmlaLink="B21" lockText="1" noThreeD="1"/>
</file>

<file path=xl/ctrlProps/ctrlProp118.xml><?xml version="1.0" encoding="utf-8"?>
<formControlPr xmlns="http://schemas.microsoft.com/office/spreadsheetml/2009/9/main" objectType="CheckBox" fmlaLink="B25" lockText="1" noThreeD="1"/>
</file>

<file path=xl/ctrlProps/ctrlProp119.xml><?xml version="1.0" encoding="utf-8"?>
<formControlPr xmlns="http://schemas.microsoft.com/office/spreadsheetml/2009/9/main" objectType="CheckBox" fmlaLink="G25" lockText="1" noThreeD="1"/>
</file>

<file path=xl/ctrlProps/ctrlProp120.xml><?xml version="1.0" encoding="utf-8"?>
<formControlPr xmlns="http://schemas.microsoft.com/office/spreadsheetml/2009/9/main" objectType="CheckBox" fmlaLink="L25" lockText="1" noThreeD="1"/>
</file>

<file path=xl/ctrlProps/ctrlProp121.xml><?xml version="1.0" encoding="utf-8"?>
<formControlPr xmlns="http://schemas.microsoft.com/office/spreadsheetml/2009/9/main" objectType="CheckBox" checked="Checked" fmlaLink="G21" lockText="1" noThreeD="1"/>
</file>

<file path=xl/ctrlProps/ctrlProp122.xml><?xml version="1.0" encoding="utf-8"?>
<formControlPr xmlns="http://schemas.microsoft.com/office/spreadsheetml/2009/9/main" objectType="CheckBox" fmlaLink="B29" lockText="1" noThreeD="1"/>
</file>

<file path=xl/ctrlProps/ctrlProp123.xml><?xml version="1.0" encoding="utf-8"?>
<formControlPr xmlns="http://schemas.microsoft.com/office/spreadsheetml/2009/9/main" objectType="CheckBox" fmlaLink="G29" lockText="1" noThreeD="1"/>
</file>

<file path=xl/ctrlProps/ctrlProp124.xml><?xml version="1.0" encoding="utf-8"?>
<formControlPr xmlns="http://schemas.microsoft.com/office/spreadsheetml/2009/9/main" objectType="CheckBox" fmlaLink="L29" lockText="1" noThreeD="1"/>
</file>

<file path=xl/ctrlProps/ctrlProp125.xml><?xml version="1.0" encoding="utf-8"?>
<formControlPr xmlns="http://schemas.microsoft.com/office/spreadsheetml/2009/9/main" objectType="CheckBox" fmlaLink="B38" lockText="1" noThreeD="1"/>
</file>

<file path=xl/ctrlProps/ctrlProp126.xml><?xml version="1.0" encoding="utf-8"?>
<formControlPr xmlns="http://schemas.microsoft.com/office/spreadsheetml/2009/9/main" objectType="CheckBox" fmlaLink="G38" lockText="1" noThreeD="1"/>
</file>

<file path=xl/ctrlProps/ctrlProp127.xml><?xml version="1.0" encoding="utf-8"?>
<formControlPr xmlns="http://schemas.microsoft.com/office/spreadsheetml/2009/9/main" objectType="CheckBox" fmlaLink="L38" lockText="1" noThreeD="1"/>
</file>

<file path=xl/ctrlProps/ctrlProp128.xml><?xml version="1.0" encoding="utf-8"?>
<formControlPr xmlns="http://schemas.microsoft.com/office/spreadsheetml/2009/9/main" objectType="CheckBox" fmlaLink="B44" lockText="1" noThreeD="1"/>
</file>

<file path=xl/ctrlProps/ctrlProp129.xml><?xml version="1.0" encoding="utf-8"?>
<formControlPr xmlns="http://schemas.microsoft.com/office/spreadsheetml/2009/9/main" objectType="CheckBox" fmlaLink="G44" lockText="1" noThreeD="1"/>
</file>

<file path=xl/ctrlProps/ctrlProp130.xml><?xml version="1.0" encoding="utf-8"?>
<formControlPr xmlns="http://schemas.microsoft.com/office/spreadsheetml/2009/9/main" objectType="CheckBox" fmlaLink="B39" lockText="1" noThreeD="1"/>
</file>

<file path=xl/ctrlProps/ctrlProp131.xml><?xml version="1.0" encoding="utf-8"?>
<formControlPr xmlns="http://schemas.microsoft.com/office/spreadsheetml/2009/9/main" objectType="CheckBox" fmlaLink="B18" lockText="1" noThreeD="1"/>
</file>

<file path=xl/ctrlProps/ctrlProp132.xml><?xml version="1.0" encoding="utf-8"?>
<formControlPr xmlns="http://schemas.microsoft.com/office/spreadsheetml/2009/9/main" objectType="CheckBox" fmlaLink="B32" lockText="1" noThreeD="1"/>
</file>

<file path=xl/ctrlProps/ctrlProp133.xml><?xml version="1.0" encoding="utf-8"?>
<formControlPr xmlns="http://schemas.microsoft.com/office/spreadsheetml/2009/9/main" objectType="CheckBox" fmlaLink="B33" lockText="1" noThreeD="1"/>
</file>

<file path=xl/ctrlProps/ctrlProp134.xml><?xml version="1.0" encoding="utf-8"?>
<formControlPr xmlns="http://schemas.microsoft.com/office/spreadsheetml/2009/9/main" objectType="CheckBox" fmlaLink="B34" lockText="1" noThreeD="1"/>
</file>

<file path=xl/ctrlProps/ctrlProp135.xml><?xml version="1.0" encoding="utf-8"?>
<formControlPr xmlns="http://schemas.microsoft.com/office/spreadsheetml/2009/9/main" objectType="CheckBox" fmlaLink="G32" lockText="1" noThreeD="1"/>
</file>

<file path=xl/ctrlProps/ctrlProp136.xml><?xml version="1.0" encoding="utf-8"?>
<formControlPr xmlns="http://schemas.microsoft.com/office/spreadsheetml/2009/9/main" objectType="CheckBox" fmlaLink="G33" lockText="1" noThreeD="1"/>
</file>

<file path=xl/ctrlProps/ctrlProp137.xml><?xml version="1.0" encoding="utf-8"?>
<formControlPr xmlns="http://schemas.microsoft.com/office/spreadsheetml/2009/9/main" objectType="CheckBox" fmlaLink="G34" lockText="1" noThreeD="1"/>
</file>

<file path=xl/ctrlProps/ctrlProp138.xml><?xml version="1.0" encoding="utf-8"?>
<formControlPr xmlns="http://schemas.microsoft.com/office/spreadsheetml/2009/9/main" objectType="CheckBox" fmlaLink="L32" lockText="1" noThreeD="1"/>
</file>

<file path=xl/ctrlProps/ctrlProp139.xml><?xml version="1.0" encoding="utf-8"?>
<formControlPr xmlns="http://schemas.microsoft.com/office/spreadsheetml/2009/9/main" objectType="CheckBox" fmlaLink="L33" lockText="1" noThreeD="1"/>
</file>

<file path=xl/ctrlProps/ctrlProp140.xml><?xml version="1.0" encoding="utf-8"?>
<formControlPr xmlns="http://schemas.microsoft.com/office/spreadsheetml/2009/9/main" objectType="CheckBox" fmlaLink="B9" lockText="1" noThreeD="1"/>
</file>

<file path=xl/ctrlProps/ctrlProp141.xml><?xml version="1.0" encoding="utf-8"?>
<formControlPr xmlns="http://schemas.microsoft.com/office/spreadsheetml/2009/9/main" objectType="CheckBox" fmlaLink="G9" lockText="1" noThreeD="1"/>
</file>

<file path=xl/ctrlProps/ctrlProp142.xml><?xml version="1.0" encoding="utf-8"?>
<formControlPr xmlns="http://schemas.microsoft.com/office/spreadsheetml/2009/9/main" objectType="CheckBox" fmlaLink="G12" lockText="1" noThreeD="1"/>
</file>

<file path=xl/ctrlProps/ctrlProp143.xml><?xml version="1.0" encoding="utf-8"?>
<formControlPr xmlns="http://schemas.microsoft.com/office/spreadsheetml/2009/9/main" objectType="CheckBox" fmlaLink="G13" lockText="1" noThreeD="1"/>
</file>

<file path=xl/ctrlProps/ctrlProp144.xml><?xml version="1.0" encoding="utf-8"?>
<formControlPr xmlns="http://schemas.microsoft.com/office/spreadsheetml/2009/9/main" objectType="CheckBox" fmlaLink="G16" lockText="1" noThreeD="1"/>
</file>

<file path=xl/ctrlProps/ctrlProp145.xml><?xml version="1.0" encoding="utf-8"?>
<formControlPr xmlns="http://schemas.microsoft.com/office/spreadsheetml/2009/9/main" objectType="CheckBox" fmlaLink="G17" lockText="1" noThreeD="1"/>
</file>

<file path=xl/ctrlProps/ctrlProp146.xml><?xml version="1.0" encoding="utf-8"?>
<formControlPr xmlns="http://schemas.microsoft.com/office/spreadsheetml/2009/9/main" objectType="CheckBox" fmlaLink="L16" lockText="1" noThreeD="1"/>
</file>

<file path=xl/ctrlProps/ctrlProp147.xml><?xml version="1.0" encoding="utf-8"?>
<formControlPr xmlns="http://schemas.microsoft.com/office/spreadsheetml/2009/9/main" objectType="CheckBox" fmlaLink="L17" lockText="1" noThreeD="1"/>
</file>

<file path=xl/ctrlProps/ctrlProp148.xml><?xml version="1.0" encoding="utf-8"?>
<formControlPr xmlns="http://schemas.microsoft.com/office/spreadsheetml/2009/9/main" objectType="CheckBox" fmlaLink="B16" lockText="1" noThreeD="1"/>
</file>

<file path=xl/ctrlProps/ctrlProp149.xml><?xml version="1.0" encoding="utf-8"?>
<formControlPr xmlns="http://schemas.microsoft.com/office/spreadsheetml/2009/9/main" objectType="CheckBox" fmlaLink="B17" lockText="1" noThreeD="1"/>
</file>

<file path=xl/ctrlProps/ctrlProp150.xml><?xml version="1.0" encoding="utf-8"?>
<formControlPr xmlns="http://schemas.microsoft.com/office/spreadsheetml/2009/9/main" objectType="CheckBox" fmlaLink="B12" lockText="1" noThreeD="1"/>
</file>

<file path=xl/ctrlProps/ctrlProp151.xml><?xml version="1.0" encoding="utf-8"?>
<formControlPr xmlns="http://schemas.microsoft.com/office/spreadsheetml/2009/9/main" objectType="CheckBox" fmlaLink="B13" lockText="1" noThreeD="1"/>
</file>

<file path=xl/ctrlProps/ctrlProp152.xml><?xml version="1.0" encoding="utf-8"?>
<formControlPr xmlns="http://schemas.microsoft.com/office/spreadsheetml/2009/9/main" objectType="CheckBox" fmlaLink="B21" lockText="1" noThreeD="1"/>
</file>

<file path=xl/ctrlProps/ctrlProp153.xml><?xml version="1.0" encoding="utf-8"?>
<formControlPr xmlns="http://schemas.microsoft.com/office/spreadsheetml/2009/9/main" objectType="CheckBox" fmlaLink="B25" lockText="1" noThreeD="1"/>
</file>

<file path=xl/ctrlProps/ctrlProp154.xml><?xml version="1.0" encoding="utf-8"?>
<formControlPr xmlns="http://schemas.microsoft.com/office/spreadsheetml/2009/9/main" objectType="CheckBox" fmlaLink="G25" lockText="1" noThreeD="1"/>
</file>

<file path=xl/ctrlProps/ctrlProp155.xml><?xml version="1.0" encoding="utf-8"?>
<formControlPr xmlns="http://schemas.microsoft.com/office/spreadsheetml/2009/9/main" objectType="CheckBox" fmlaLink="L25" lockText="1" noThreeD="1"/>
</file>

<file path=xl/ctrlProps/ctrlProp156.xml><?xml version="1.0" encoding="utf-8"?>
<formControlPr xmlns="http://schemas.microsoft.com/office/spreadsheetml/2009/9/main" objectType="CheckBox" fmlaLink="G21" lockText="1" noThreeD="1"/>
</file>

<file path=xl/ctrlProps/ctrlProp157.xml><?xml version="1.0" encoding="utf-8"?>
<formControlPr xmlns="http://schemas.microsoft.com/office/spreadsheetml/2009/9/main" objectType="CheckBox" fmlaLink="B29" lockText="1" noThreeD="1"/>
</file>

<file path=xl/ctrlProps/ctrlProp158.xml><?xml version="1.0" encoding="utf-8"?>
<formControlPr xmlns="http://schemas.microsoft.com/office/spreadsheetml/2009/9/main" objectType="CheckBox" fmlaLink="G29" lockText="1" noThreeD="1"/>
</file>

<file path=xl/ctrlProps/ctrlProp159.xml><?xml version="1.0" encoding="utf-8"?>
<formControlPr xmlns="http://schemas.microsoft.com/office/spreadsheetml/2009/9/main" objectType="CheckBox" fmlaLink="L29" lockText="1" noThreeD="1"/>
</file>

<file path=xl/ctrlProps/ctrlProp160.xml><?xml version="1.0" encoding="utf-8"?>
<formControlPr xmlns="http://schemas.microsoft.com/office/spreadsheetml/2009/9/main" objectType="CheckBox" fmlaLink="B38" lockText="1" noThreeD="1"/>
</file>

<file path=xl/ctrlProps/ctrlProp161.xml><?xml version="1.0" encoding="utf-8"?>
<formControlPr xmlns="http://schemas.microsoft.com/office/spreadsheetml/2009/9/main" objectType="CheckBox" fmlaLink="G38" lockText="1" noThreeD="1"/>
</file>

<file path=xl/ctrlProps/ctrlProp162.xml><?xml version="1.0" encoding="utf-8"?>
<formControlPr xmlns="http://schemas.microsoft.com/office/spreadsheetml/2009/9/main" objectType="CheckBox" fmlaLink="L38" lockText="1" noThreeD="1"/>
</file>

<file path=xl/ctrlProps/ctrlProp163.xml><?xml version="1.0" encoding="utf-8"?>
<formControlPr xmlns="http://schemas.microsoft.com/office/spreadsheetml/2009/9/main" objectType="CheckBox" fmlaLink="B44" lockText="1" noThreeD="1"/>
</file>

<file path=xl/ctrlProps/ctrlProp164.xml><?xml version="1.0" encoding="utf-8"?>
<formControlPr xmlns="http://schemas.microsoft.com/office/spreadsheetml/2009/9/main" objectType="CheckBox" fmlaLink="G44" lockText="1" noThreeD="1"/>
</file>

<file path=xl/ctrlProps/ctrlProp165.xml><?xml version="1.0" encoding="utf-8"?>
<formControlPr xmlns="http://schemas.microsoft.com/office/spreadsheetml/2009/9/main" objectType="CheckBox" fmlaLink="B39" lockText="1" noThreeD="1"/>
</file>

<file path=xl/ctrlProps/ctrlProp166.xml><?xml version="1.0" encoding="utf-8"?>
<formControlPr xmlns="http://schemas.microsoft.com/office/spreadsheetml/2009/9/main" objectType="CheckBox" fmlaLink="B18" lockText="1" noThreeD="1"/>
</file>

<file path=xl/ctrlProps/ctrlProp167.xml><?xml version="1.0" encoding="utf-8"?>
<formControlPr xmlns="http://schemas.microsoft.com/office/spreadsheetml/2009/9/main" objectType="CheckBox" fmlaLink="B32" lockText="1" noThreeD="1"/>
</file>

<file path=xl/ctrlProps/ctrlProp168.xml><?xml version="1.0" encoding="utf-8"?>
<formControlPr xmlns="http://schemas.microsoft.com/office/spreadsheetml/2009/9/main" objectType="CheckBox" fmlaLink="B33" lockText="1" noThreeD="1"/>
</file>

<file path=xl/ctrlProps/ctrlProp169.xml><?xml version="1.0" encoding="utf-8"?>
<formControlPr xmlns="http://schemas.microsoft.com/office/spreadsheetml/2009/9/main" objectType="CheckBox" fmlaLink="B34" lockText="1" noThreeD="1"/>
</file>

<file path=xl/ctrlProps/ctrlProp170.xml><?xml version="1.0" encoding="utf-8"?>
<formControlPr xmlns="http://schemas.microsoft.com/office/spreadsheetml/2009/9/main" objectType="CheckBox" fmlaLink="G32" lockText="1" noThreeD="1"/>
</file>

<file path=xl/ctrlProps/ctrlProp171.xml><?xml version="1.0" encoding="utf-8"?>
<formControlPr xmlns="http://schemas.microsoft.com/office/spreadsheetml/2009/9/main" objectType="CheckBox" fmlaLink="G33" lockText="1" noThreeD="1"/>
</file>

<file path=xl/ctrlProps/ctrlProp172.xml><?xml version="1.0" encoding="utf-8"?>
<formControlPr xmlns="http://schemas.microsoft.com/office/spreadsheetml/2009/9/main" objectType="CheckBox" fmlaLink="G34" lockText="1" noThreeD="1"/>
</file>

<file path=xl/ctrlProps/ctrlProp173.xml><?xml version="1.0" encoding="utf-8"?>
<formControlPr xmlns="http://schemas.microsoft.com/office/spreadsheetml/2009/9/main" objectType="CheckBox" fmlaLink="L32" lockText="1" noThreeD="1"/>
</file>

<file path=xl/ctrlProps/ctrlProp174.xml><?xml version="1.0" encoding="utf-8"?>
<formControlPr xmlns="http://schemas.microsoft.com/office/spreadsheetml/2009/9/main" objectType="CheckBox" fmlaLink="L33" lockText="1" noThreeD="1"/>
</file>

<file path=xl/ctrlProps/ctrlProp175.xml><?xml version="1.0" encoding="utf-8"?>
<formControlPr xmlns="http://schemas.microsoft.com/office/spreadsheetml/2009/9/main" objectType="CheckBox" fmlaLink="B9" lockText="1" noThreeD="1"/>
</file>

<file path=xl/ctrlProps/ctrlProp176.xml><?xml version="1.0" encoding="utf-8"?>
<formControlPr xmlns="http://schemas.microsoft.com/office/spreadsheetml/2009/9/main" objectType="CheckBox" fmlaLink="G9" lockText="1" noThreeD="1"/>
</file>

<file path=xl/ctrlProps/ctrlProp177.xml><?xml version="1.0" encoding="utf-8"?>
<formControlPr xmlns="http://schemas.microsoft.com/office/spreadsheetml/2009/9/main" objectType="CheckBox" fmlaLink="G12" lockText="1" noThreeD="1"/>
</file>

<file path=xl/ctrlProps/ctrlProp178.xml><?xml version="1.0" encoding="utf-8"?>
<formControlPr xmlns="http://schemas.microsoft.com/office/spreadsheetml/2009/9/main" objectType="CheckBox" fmlaLink="G13" lockText="1" noThreeD="1"/>
</file>

<file path=xl/ctrlProps/ctrlProp179.xml><?xml version="1.0" encoding="utf-8"?>
<formControlPr xmlns="http://schemas.microsoft.com/office/spreadsheetml/2009/9/main" objectType="CheckBox" fmlaLink="G16" lockText="1" noThreeD="1"/>
</file>

<file path=xl/ctrlProps/ctrlProp180.xml><?xml version="1.0" encoding="utf-8"?>
<formControlPr xmlns="http://schemas.microsoft.com/office/spreadsheetml/2009/9/main" objectType="CheckBox" fmlaLink="G17" lockText="1" noThreeD="1"/>
</file>

<file path=xl/ctrlProps/ctrlProp181.xml><?xml version="1.0" encoding="utf-8"?>
<formControlPr xmlns="http://schemas.microsoft.com/office/spreadsheetml/2009/9/main" objectType="CheckBox" fmlaLink="L16" lockText="1" noThreeD="1"/>
</file>

<file path=xl/ctrlProps/ctrlProp182.xml><?xml version="1.0" encoding="utf-8"?>
<formControlPr xmlns="http://schemas.microsoft.com/office/spreadsheetml/2009/9/main" objectType="CheckBox" fmlaLink="L17" lockText="1" noThreeD="1"/>
</file>

<file path=xl/ctrlProps/ctrlProp183.xml><?xml version="1.0" encoding="utf-8"?>
<formControlPr xmlns="http://schemas.microsoft.com/office/spreadsheetml/2009/9/main" objectType="CheckBox" fmlaLink="B16" lockText="1" noThreeD="1"/>
</file>

<file path=xl/ctrlProps/ctrlProp184.xml><?xml version="1.0" encoding="utf-8"?>
<formControlPr xmlns="http://schemas.microsoft.com/office/spreadsheetml/2009/9/main" objectType="CheckBox" fmlaLink="B17" lockText="1" noThreeD="1"/>
</file>

<file path=xl/ctrlProps/ctrlProp185.xml><?xml version="1.0" encoding="utf-8"?>
<formControlPr xmlns="http://schemas.microsoft.com/office/spreadsheetml/2009/9/main" objectType="CheckBox" fmlaLink="B12" lockText="1" noThreeD="1"/>
</file>

<file path=xl/ctrlProps/ctrlProp186.xml><?xml version="1.0" encoding="utf-8"?>
<formControlPr xmlns="http://schemas.microsoft.com/office/spreadsheetml/2009/9/main" objectType="CheckBox" fmlaLink="B13" lockText="1" noThreeD="1"/>
</file>

<file path=xl/ctrlProps/ctrlProp187.xml><?xml version="1.0" encoding="utf-8"?>
<formControlPr xmlns="http://schemas.microsoft.com/office/spreadsheetml/2009/9/main" objectType="CheckBox" fmlaLink="B21" lockText="1" noThreeD="1"/>
</file>

<file path=xl/ctrlProps/ctrlProp188.xml><?xml version="1.0" encoding="utf-8"?>
<formControlPr xmlns="http://schemas.microsoft.com/office/spreadsheetml/2009/9/main" objectType="CheckBox" fmlaLink="B25" lockText="1" noThreeD="1"/>
</file>

<file path=xl/ctrlProps/ctrlProp189.xml><?xml version="1.0" encoding="utf-8"?>
<formControlPr xmlns="http://schemas.microsoft.com/office/spreadsheetml/2009/9/main" objectType="CheckBox" fmlaLink="G25" lockText="1" noThreeD="1"/>
</file>

<file path=xl/ctrlProps/ctrlProp190.xml><?xml version="1.0" encoding="utf-8"?>
<formControlPr xmlns="http://schemas.microsoft.com/office/spreadsheetml/2009/9/main" objectType="CheckBox" fmlaLink="L25" lockText="1" noThreeD="1"/>
</file>

<file path=xl/ctrlProps/ctrlProp191.xml><?xml version="1.0" encoding="utf-8"?>
<formControlPr xmlns="http://schemas.microsoft.com/office/spreadsheetml/2009/9/main" objectType="CheckBox" fmlaLink="G21" lockText="1" noThreeD="1"/>
</file>

<file path=xl/ctrlProps/ctrlProp192.xml><?xml version="1.0" encoding="utf-8"?>
<formControlPr xmlns="http://schemas.microsoft.com/office/spreadsheetml/2009/9/main" objectType="CheckBox" fmlaLink="B29" lockText="1" noThreeD="1"/>
</file>

<file path=xl/ctrlProps/ctrlProp193.xml><?xml version="1.0" encoding="utf-8"?>
<formControlPr xmlns="http://schemas.microsoft.com/office/spreadsheetml/2009/9/main" objectType="CheckBox" fmlaLink="G29" lockText="1" noThreeD="1"/>
</file>

<file path=xl/ctrlProps/ctrlProp194.xml><?xml version="1.0" encoding="utf-8"?>
<formControlPr xmlns="http://schemas.microsoft.com/office/spreadsheetml/2009/9/main" objectType="CheckBox" fmlaLink="L29" lockText="1" noThreeD="1"/>
</file>

<file path=xl/ctrlProps/ctrlProp195.xml><?xml version="1.0" encoding="utf-8"?>
<formControlPr xmlns="http://schemas.microsoft.com/office/spreadsheetml/2009/9/main" objectType="CheckBox" fmlaLink="B38" lockText="1" noThreeD="1"/>
</file>

<file path=xl/ctrlProps/ctrlProp196.xml><?xml version="1.0" encoding="utf-8"?>
<formControlPr xmlns="http://schemas.microsoft.com/office/spreadsheetml/2009/9/main" objectType="CheckBox" fmlaLink="G38" lockText="1" noThreeD="1"/>
</file>

<file path=xl/ctrlProps/ctrlProp197.xml><?xml version="1.0" encoding="utf-8"?>
<formControlPr xmlns="http://schemas.microsoft.com/office/spreadsheetml/2009/9/main" objectType="CheckBox" fmlaLink="L38" lockText="1" noThreeD="1"/>
</file>

<file path=xl/ctrlProps/ctrlProp198.xml><?xml version="1.0" encoding="utf-8"?>
<formControlPr xmlns="http://schemas.microsoft.com/office/spreadsheetml/2009/9/main" objectType="CheckBox" fmlaLink="B44" lockText="1" noThreeD="1"/>
</file>

<file path=xl/ctrlProps/ctrlProp199.xml><?xml version="1.0" encoding="utf-8"?>
<formControlPr xmlns="http://schemas.microsoft.com/office/spreadsheetml/2009/9/main" objectType="CheckBox" fmlaLink="G44" lockText="1" noThreeD="1"/>
</file>

<file path=xl/ctrlProps/ctrlProp200.xml><?xml version="1.0" encoding="utf-8"?>
<formControlPr xmlns="http://schemas.microsoft.com/office/spreadsheetml/2009/9/main" objectType="CheckBox" fmlaLink="B39" lockText="1" noThreeD="1"/>
</file>

<file path=xl/ctrlProps/ctrlProp201.xml><?xml version="1.0" encoding="utf-8"?>
<formControlPr xmlns="http://schemas.microsoft.com/office/spreadsheetml/2009/9/main" objectType="CheckBox" fmlaLink="B18" lockText="1" noThreeD="1"/>
</file>

<file path=xl/ctrlProps/ctrlProp202.xml><?xml version="1.0" encoding="utf-8"?>
<formControlPr xmlns="http://schemas.microsoft.com/office/spreadsheetml/2009/9/main" objectType="CheckBox" fmlaLink="B32" lockText="1" noThreeD="1"/>
</file>

<file path=xl/ctrlProps/ctrlProp203.xml><?xml version="1.0" encoding="utf-8"?>
<formControlPr xmlns="http://schemas.microsoft.com/office/spreadsheetml/2009/9/main" objectType="CheckBox" fmlaLink="B33" lockText="1" noThreeD="1"/>
</file>

<file path=xl/ctrlProps/ctrlProp204.xml><?xml version="1.0" encoding="utf-8"?>
<formControlPr xmlns="http://schemas.microsoft.com/office/spreadsheetml/2009/9/main" objectType="CheckBox" fmlaLink="B34" lockText="1" noThreeD="1"/>
</file>

<file path=xl/ctrlProps/ctrlProp205.xml><?xml version="1.0" encoding="utf-8"?>
<formControlPr xmlns="http://schemas.microsoft.com/office/spreadsheetml/2009/9/main" objectType="CheckBox" fmlaLink="G32" lockText="1" noThreeD="1"/>
</file>

<file path=xl/ctrlProps/ctrlProp206.xml><?xml version="1.0" encoding="utf-8"?>
<formControlPr xmlns="http://schemas.microsoft.com/office/spreadsheetml/2009/9/main" objectType="CheckBox" fmlaLink="G33" lockText="1" noThreeD="1"/>
</file>

<file path=xl/ctrlProps/ctrlProp207.xml><?xml version="1.0" encoding="utf-8"?>
<formControlPr xmlns="http://schemas.microsoft.com/office/spreadsheetml/2009/9/main" objectType="CheckBox" fmlaLink="G34" lockText="1" noThreeD="1"/>
</file>

<file path=xl/ctrlProps/ctrlProp208.xml><?xml version="1.0" encoding="utf-8"?>
<formControlPr xmlns="http://schemas.microsoft.com/office/spreadsheetml/2009/9/main" objectType="CheckBox" fmlaLink="L32" lockText="1" noThreeD="1"/>
</file>

<file path=xl/ctrlProps/ctrlProp209.xml><?xml version="1.0" encoding="utf-8"?>
<formControlPr xmlns="http://schemas.microsoft.com/office/spreadsheetml/2009/9/main" objectType="CheckBox" fmlaLink="L33" lockText="1" noThreeD="1"/>
</file>

<file path=xl/ctrlProps/ctrlProp210.xml><?xml version="1.0" encoding="utf-8"?>
<formControlPr xmlns="http://schemas.microsoft.com/office/spreadsheetml/2009/9/main" objectType="CheckBox" fmlaLink="B9" lockText="1" noThreeD="1"/>
</file>

<file path=xl/ctrlProps/ctrlProp211.xml><?xml version="1.0" encoding="utf-8"?>
<formControlPr xmlns="http://schemas.microsoft.com/office/spreadsheetml/2009/9/main" objectType="CheckBox" fmlaLink="G9" lockText="1" noThreeD="1"/>
</file>

<file path=xl/ctrlProps/ctrlProp212.xml><?xml version="1.0" encoding="utf-8"?>
<formControlPr xmlns="http://schemas.microsoft.com/office/spreadsheetml/2009/9/main" objectType="CheckBox" fmlaLink="G12" lockText="1" noThreeD="1"/>
</file>

<file path=xl/ctrlProps/ctrlProp213.xml><?xml version="1.0" encoding="utf-8"?>
<formControlPr xmlns="http://schemas.microsoft.com/office/spreadsheetml/2009/9/main" objectType="CheckBox" fmlaLink="G13" lockText="1" noThreeD="1"/>
</file>

<file path=xl/ctrlProps/ctrlProp214.xml><?xml version="1.0" encoding="utf-8"?>
<formControlPr xmlns="http://schemas.microsoft.com/office/spreadsheetml/2009/9/main" objectType="CheckBox" fmlaLink="G16" lockText="1" noThreeD="1"/>
</file>

<file path=xl/ctrlProps/ctrlProp215.xml><?xml version="1.0" encoding="utf-8"?>
<formControlPr xmlns="http://schemas.microsoft.com/office/spreadsheetml/2009/9/main" objectType="CheckBox" fmlaLink="G17" lockText="1" noThreeD="1"/>
</file>

<file path=xl/ctrlProps/ctrlProp216.xml><?xml version="1.0" encoding="utf-8"?>
<formControlPr xmlns="http://schemas.microsoft.com/office/spreadsheetml/2009/9/main" objectType="CheckBox" fmlaLink="L16" lockText="1" noThreeD="1"/>
</file>

<file path=xl/ctrlProps/ctrlProp217.xml><?xml version="1.0" encoding="utf-8"?>
<formControlPr xmlns="http://schemas.microsoft.com/office/spreadsheetml/2009/9/main" objectType="CheckBox" fmlaLink="L17" lockText="1" noThreeD="1"/>
</file>

<file path=xl/ctrlProps/ctrlProp218.xml><?xml version="1.0" encoding="utf-8"?>
<formControlPr xmlns="http://schemas.microsoft.com/office/spreadsheetml/2009/9/main" objectType="CheckBox" fmlaLink="B16" lockText="1" noThreeD="1"/>
</file>

<file path=xl/ctrlProps/ctrlProp219.xml><?xml version="1.0" encoding="utf-8"?>
<formControlPr xmlns="http://schemas.microsoft.com/office/spreadsheetml/2009/9/main" objectType="CheckBox" fmlaLink="B17" lockText="1" noThreeD="1"/>
</file>

<file path=xl/ctrlProps/ctrlProp220.xml><?xml version="1.0" encoding="utf-8"?>
<formControlPr xmlns="http://schemas.microsoft.com/office/spreadsheetml/2009/9/main" objectType="CheckBox" fmlaLink="B12" lockText="1" noThreeD="1"/>
</file>

<file path=xl/ctrlProps/ctrlProp221.xml><?xml version="1.0" encoding="utf-8"?>
<formControlPr xmlns="http://schemas.microsoft.com/office/spreadsheetml/2009/9/main" objectType="CheckBox" fmlaLink="B13" lockText="1" noThreeD="1"/>
</file>

<file path=xl/ctrlProps/ctrlProp222.xml><?xml version="1.0" encoding="utf-8"?>
<formControlPr xmlns="http://schemas.microsoft.com/office/spreadsheetml/2009/9/main" objectType="CheckBox" fmlaLink="B21" lockText="1" noThreeD="1"/>
</file>

<file path=xl/ctrlProps/ctrlProp223.xml><?xml version="1.0" encoding="utf-8"?>
<formControlPr xmlns="http://schemas.microsoft.com/office/spreadsheetml/2009/9/main" objectType="CheckBox" fmlaLink="B25" lockText="1" noThreeD="1"/>
</file>

<file path=xl/ctrlProps/ctrlProp224.xml><?xml version="1.0" encoding="utf-8"?>
<formControlPr xmlns="http://schemas.microsoft.com/office/spreadsheetml/2009/9/main" objectType="CheckBox" fmlaLink="G25" lockText="1" noThreeD="1"/>
</file>

<file path=xl/ctrlProps/ctrlProp225.xml><?xml version="1.0" encoding="utf-8"?>
<formControlPr xmlns="http://schemas.microsoft.com/office/spreadsheetml/2009/9/main" objectType="CheckBox" fmlaLink="L25" lockText="1" noThreeD="1"/>
</file>

<file path=xl/ctrlProps/ctrlProp226.xml><?xml version="1.0" encoding="utf-8"?>
<formControlPr xmlns="http://schemas.microsoft.com/office/spreadsheetml/2009/9/main" objectType="CheckBox" fmlaLink="G21" lockText="1" noThreeD="1"/>
</file>

<file path=xl/ctrlProps/ctrlProp227.xml><?xml version="1.0" encoding="utf-8"?>
<formControlPr xmlns="http://schemas.microsoft.com/office/spreadsheetml/2009/9/main" objectType="CheckBox" fmlaLink="B29" lockText="1" noThreeD="1"/>
</file>

<file path=xl/ctrlProps/ctrlProp228.xml><?xml version="1.0" encoding="utf-8"?>
<formControlPr xmlns="http://schemas.microsoft.com/office/spreadsheetml/2009/9/main" objectType="CheckBox" fmlaLink="G29" lockText="1" noThreeD="1"/>
</file>

<file path=xl/ctrlProps/ctrlProp229.xml><?xml version="1.0" encoding="utf-8"?>
<formControlPr xmlns="http://schemas.microsoft.com/office/spreadsheetml/2009/9/main" objectType="CheckBox" fmlaLink="L29" lockText="1" noThreeD="1"/>
</file>

<file path=xl/ctrlProps/ctrlProp230.xml><?xml version="1.0" encoding="utf-8"?>
<formControlPr xmlns="http://schemas.microsoft.com/office/spreadsheetml/2009/9/main" objectType="CheckBox" fmlaLink="B38" lockText="1" noThreeD="1"/>
</file>

<file path=xl/ctrlProps/ctrlProp231.xml><?xml version="1.0" encoding="utf-8"?>
<formControlPr xmlns="http://schemas.microsoft.com/office/spreadsheetml/2009/9/main" objectType="CheckBox" fmlaLink="G38" lockText="1" noThreeD="1"/>
</file>

<file path=xl/ctrlProps/ctrlProp232.xml><?xml version="1.0" encoding="utf-8"?>
<formControlPr xmlns="http://schemas.microsoft.com/office/spreadsheetml/2009/9/main" objectType="CheckBox" fmlaLink="L38" lockText="1" noThreeD="1"/>
</file>

<file path=xl/ctrlProps/ctrlProp233.xml><?xml version="1.0" encoding="utf-8"?>
<formControlPr xmlns="http://schemas.microsoft.com/office/spreadsheetml/2009/9/main" objectType="CheckBox" fmlaLink="B44" lockText="1" noThreeD="1"/>
</file>

<file path=xl/ctrlProps/ctrlProp234.xml><?xml version="1.0" encoding="utf-8"?>
<formControlPr xmlns="http://schemas.microsoft.com/office/spreadsheetml/2009/9/main" objectType="CheckBox" fmlaLink="G44" lockText="1" noThreeD="1"/>
</file>

<file path=xl/ctrlProps/ctrlProp235.xml><?xml version="1.0" encoding="utf-8"?>
<formControlPr xmlns="http://schemas.microsoft.com/office/spreadsheetml/2009/9/main" objectType="CheckBox" fmlaLink="B39" lockText="1" noThreeD="1"/>
</file>

<file path=xl/ctrlProps/ctrlProp236.xml><?xml version="1.0" encoding="utf-8"?>
<formControlPr xmlns="http://schemas.microsoft.com/office/spreadsheetml/2009/9/main" objectType="CheckBox" fmlaLink="B18" lockText="1" noThreeD="1"/>
</file>

<file path=xl/ctrlProps/ctrlProp237.xml><?xml version="1.0" encoding="utf-8"?>
<formControlPr xmlns="http://schemas.microsoft.com/office/spreadsheetml/2009/9/main" objectType="CheckBox" fmlaLink="B32" lockText="1" noThreeD="1"/>
</file>

<file path=xl/ctrlProps/ctrlProp238.xml><?xml version="1.0" encoding="utf-8"?>
<formControlPr xmlns="http://schemas.microsoft.com/office/spreadsheetml/2009/9/main" objectType="CheckBox" fmlaLink="B33" lockText="1" noThreeD="1"/>
</file>

<file path=xl/ctrlProps/ctrlProp239.xml><?xml version="1.0" encoding="utf-8"?>
<formControlPr xmlns="http://schemas.microsoft.com/office/spreadsheetml/2009/9/main" objectType="CheckBox" fmlaLink="B34" lockText="1" noThreeD="1"/>
</file>

<file path=xl/ctrlProps/ctrlProp240.xml><?xml version="1.0" encoding="utf-8"?>
<formControlPr xmlns="http://schemas.microsoft.com/office/spreadsheetml/2009/9/main" objectType="CheckBox" fmlaLink="G32" lockText="1" noThreeD="1"/>
</file>

<file path=xl/ctrlProps/ctrlProp241.xml><?xml version="1.0" encoding="utf-8"?>
<formControlPr xmlns="http://schemas.microsoft.com/office/spreadsheetml/2009/9/main" objectType="CheckBox" fmlaLink="G33" lockText="1" noThreeD="1"/>
</file>

<file path=xl/ctrlProps/ctrlProp242.xml><?xml version="1.0" encoding="utf-8"?>
<formControlPr xmlns="http://schemas.microsoft.com/office/spreadsheetml/2009/9/main" objectType="CheckBox" fmlaLink="G34" lockText="1" noThreeD="1"/>
</file>

<file path=xl/ctrlProps/ctrlProp243.xml><?xml version="1.0" encoding="utf-8"?>
<formControlPr xmlns="http://schemas.microsoft.com/office/spreadsheetml/2009/9/main" objectType="CheckBox" fmlaLink="L32" lockText="1" noThreeD="1"/>
</file>

<file path=xl/ctrlProps/ctrlProp244.xml><?xml version="1.0" encoding="utf-8"?>
<formControlPr xmlns="http://schemas.microsoft.com/office/spreadsheetml/2009/9/main" objectType="CheckBox" fmlaLink="L33" lockText="1" noThreeD="1"/>
</file>

<file path=xl/ctrlProps/ctrlProp245.xml><?xml version="1.0" encoding="utf-8"?>
<formControlPr xmlns="http://schemas.microsoft.com/office/spreadsheetml/2009/9/main" objectType="CheckBox" fmlaLink="B9" lockText="1" noThreeD="1"/>
</file>

<file path=xl/ctrlProps/ctrlProp246.xml><?xml version="1.0" encoding="utf-8"?>
<formControlPr xmlns="http://schemas.microsoft.com/office/spreadsheetml/2009/9/main" objectType="CheckBox" fmlaLink="G9" lockText="1" noThreeD="1"/>
</file>

<file path=xl/ctrlProps/ctrlProp247.xml><?xml version="1.0" encoding="utf-8"?>
<formControlPr xmlns="http://schemas.microsoft.com/office/spreadsheetml/2009/9/main" objectType="CheckBox" fmlaLink="G12" lockText="1" noThreeD="1"/>
</file>

<file path=xl/ctrlProps/ctrlProp248.xml><?xml version="1.0" encoding="utf-8"?>
<formControlPr xmlns="http://schemas.microsoft.com/office/spreadsheetml/2009/9/main" objectType="CheckBox" fmlaLink="G13" lockText="1" noThreeD="1"/>
</file>

<file path=xl/ctrlProps/ctrlProp249.xml><?xml version="1.0" encoding="utf-8"?>
<formControlPr xmlns="http://schemas.microsoft.com/office/spreadsheetml/2009/9/main" objectType="CheckBox" fmlaLink="G16" lockText="1" noThreeD="1"/>
</file>

<file path=xl/ctrlProps/ctrlProp250.xml><?xml version="1.0" encoding="utf-8"?>
<formControlPr xmlns="http://schemas.microsoft.com/office/spreadsheetml/2009/9/main" objectType="CheckBox" fmlaLink="G17" lockText="1" noThreeD="1"/>
</file>

<file path=xl/ctrlProps/ctrlProp251.xml><?xml version="1.0" encoding="utf-8"?>
<formControlPr xmlns="http://schemas.microsoft.com/office/spreadsheetml/2009/9/main" objectType="CheckBox" fmlaLink="L16" lockText="1" noThreeD="1"/>
</file>

<file path=xl/ctrlProps/ctrlProp252.xml><?xml version="1.0" encoding="utf-8"?>
<formControlPr xmlns="http://schemas.microsoft.com/office/spreadsheetml/2009/9/main" objectType="CheckBox" fmlaLink="L17" lockText="1" noThreeD="1"/>
</file>

<file path=xl/ctrlProps/ctrlProp253.xml><?xml version="1.0" encoding="utf-8"?>
<formControlPr xmlns="http://schemas.microsoft.com/office/spreadsheetml/2009/9/main" objectType="CheckBox" fmlaLink="B16" lockText="1" noThreeD="1"/>
</file>

<file path=xl/ctrlProps/ctrlProp254.xml><?xml version="1.0" encoding="utf-8"?>
<formControlPr xmlns="http://schemas.microsoft.com/office/spreadsheetml/2009/9/main" objectType="CheckBox" fmlaLink="B17" lockText="1" noThreeD="1"/>
</file>

<file path=xl/ctrlProps/ctrlProp255.xml><?xml version="1.0" encoding="utf-8"?>
<formControlPr xmlns="http://schemas.microsoft.com/office/spreadsheetml/2009/9/main" objectType="CheckBox" fmlaLink="B12" lockText="1" noThreeD="1"/>
</file>

<file path=xl/ctrlProps/ctrlProp256.xml><?xml version="1.0" encoding="utf-8"?>
<formControlPr xmlns="http://schemas.microsoft.com/office/spreadsheetml/2009/9/main" objectType="CheckBox" fmlaLink="B13" lockText="1" noThreeD="1"/>
</file>

<file path=xl/ctrlProps/ctrlProp257.xml><?xml version="1.0" encoding="utf-8"?>
<formControlPr xmlns="http://schemas.microsoft.com/office/spreadsheetml/2009/9/main" objectType="CheckBox" fmlaLink="B21" lockText="1" noThreeD="1"/>
</file>

<file path=xl/ctrlProps/ctrlProp258.xml><?xml version="1.0" encoding="utf-8"?>
<formControlPr xmlns="http://schemas.microsoft.com/office/spreadsheetml/2009/9/main" objectType="CheckBox" fmlaLink="B25" lockText="1" noThreeD="1"/>
</file>

<file path=xl/ctrlProps/ctrlProp259.xml><?xml version="1.0" encoding="utf-8"?>
<formControlPr xmlns="http://schemas.microsoft.com/office/spreadsheetml/2009/9/main" objectType="CheckBox" fmlaLink="G25" lockText="1" noThreeD="1"/>
</file>

<file path=xl/ctrlProps/ctrlProp260.xml><?xml version="1.0" encoding="utf-8"?>
<formControlPr xmlns="http://schemas.microsoft.com/office/spreadsheetml/2009/9/main" objectType="CheckBox" fmlaLink="L25" lockText="1" noThreeD="1"/>
</file>

<file path=xl/ctrlProps/ctrlProp261.xml><?xml version="1.0" encoding="utf-8"?>
<formControlPr xmlns="http://schemas.microsoft.com/office/spreadsheetml/2009/9/main" objectType="CheckBox" fmlaLink="G21" lockText="1" noThreeD="1"/>
</file>

<file path=xl/ctrlProps/ctrlProp262.xml><?xml version="1.0" encoding="utf-8"?>
<formControlPr xmlns="http://schemas.microsoft.com/office/spreadsheetml/2009/9/main" objectType="CheckBox" fmlaLink="B29" lockText="1" noThreeD="1"/>
</file>

<file path=xl/ctrlProps/ctrlProp263.xml><?xml version="1.0" encoding="utf-8"?>
<formControlPr xmlns="http://schemas.microsoft.com/office/spreadsheetml/2009/9/main" objectType="CheckBox" fmlaLink="G29" lockText="1" noThreeD="1"/>
</file>

<file path=xl/ctrlProps/ctrlProp264.xml><?xml version="1.0" encoding="utf-8"?>
<formControlPr xmlns="http://schemas.microsoft.com/office/spreadsheetml/2009/9/main" objectType="CheckBox" fmlaLink="L29" lockText="1" noThreeD="1"/>
</file>

<file path=xl/ctrlProps/ctrlProp265.xml><?xml version="1.0" encoding="utf-8"?>
<formControlPr xmlns="http://schemas.microsoft.com/office/spreadsheetml/2009/9/main" objectType="CheckBox" fmlaLink="B38" lockText="1" noThreeD="1"/>
</file>

<file path=xl/ctrlProps/ctrlProp266.xml><?xml version="1.0" encoding="utf-8"?>
<formControlPr xmlns="http://schemas.microsoft.com/office/spreadsheetml/2009/9/main" objectType="CheckBox" fmlaLink="G38" lockText="1" noThreeD="1"/>
</file>

<file path=xl/ctrlProps/ctrlProp267.xml><?xml version="1.0" encoding="utf-8"?>
<formControlPr xmlns="http://schemas.microsoft.com/office/spreadsheetml/2009/9/main" objectType="CheckBox" fmlaLink="L38" lockText="1" noThreeD="1"/>
</file>

<file path=xl/ctrlProps/ctrlProp268.xml><?xml version="1.0" encoding="utf-8"?>
<formControlPr xmlns="http://schemas.microsoft.com/office/spreadsheetml/2009/9/main" objectType="CheckBox" fmlaLink="B44" lockText="1" noThreeD="1"/>
</file>

<file path=xl/ctrlProps/ctrlProp269.xml><?xml version="1.0" encoding="utf-8"?>
<formControlPr xmlns="http://schemas.microsoft.com/office/spreadsheetml/2009/9/main" objectType="CheckBox" fmlaLink="G44" lockText="1" noThreeD="1"/>
</file>

<file path=xl/ctrlProps/ctrlProp270.xml><?xml version="1.0" encoding="utf-8"?>
<formControlPr xmlns="http://schemas.microsoft.com/office/spreadsheetml/2009/9/main" objectType="CheckBox" fmlaLink="B39" lockText="1" noThreeD="1"/>
</file>

<file path=xl/ctrlProps/ctrlProp271.xml><?xml version="1.0" encoding="utf-8"?>
<formControlPr xmlns="http://schemas.microsoft.com/office/spreadsheetml/2009/9/main" objectType="CheckBox" fmlaLink="B18" lockText="1" noThreeD="1"/>
</file>

<file path=xl/ctrlProps/ctrlProp272.xml><?xml version="1.0" encoding="utf-8"?>
<formControlPr xmlns="http://schemas.microsoft.com/office/spreadsheetml/2009/9/main" objectType="CheckBox" fmlaLink="B32" lockText="1" noThreeD="1"/>
</file>

<file path=xl/ctrlProps/ctrlProp273.xml><?xml version="1.0" encoding="utf-8"?>
<formControlPr xmlns="http://schemas.microsoft.com/office/spreadsheetml/2009/9/main" objectType="CheckBox" fmlaLink="B33" lockText="1" noThreeD="1"/>
</file>

<file path=xl/ctrlProps/ctrlProp274.xml><?xml version="1.0" encoding="utf-8"?>
<formControlPr xmlns="http://schemas.microsoft.com/office/spreadsheetml/2009/9/main" objectType="CheckBox" fmlaLink="B34" lockText="1" noThreeD="1"/>
</file>

<file path=xl/ctrlProps/ctrlProp275.xml><?xml version="1.0" encoding="utf-8"?>
<formControlPr xmlns="http://schemas.microsoft.com/office/spreadsheetml/2009/9/main" objectType="CheckBox" fmlaLink="G32" lockText="1" noThreeD="1"/>
</file>

<file path=xl/ctrlProps/ctrlProp276.xml><?xml version="1.0" encoding="utf-8"?>
<formControlPr xmlns="http://schemas.microsoft.com/office/spreadsheetml/2009/9/main" objectType="CheckBox" fmlaLink="G33" lockText="1" noThreeD="1"/>
</file>

<file path=xl/ctrlProps/ctrlProp277.xml><?xml version="1.0" encoding="utf-8"?>
<formControlPr xmlns="http://schemas.microsoft.com/office/spreadsheetml/2009/9/main" objectType="CheckBox" fmlaLink="G34" lockText="1" noThreeD="1"/>
</file>

<file path=xl/ctrlProps/ctrlProp278.xml><?xml version="1.0" encoding="utf-8"?>
<formControlPr xmlns="http://schemas.microsoft.com/office/spreadsheetml/2009/9/main" objectType="CheckBox" fmlaLink="L32" lockText="1" noThreeD="1"/>
</file>

<file path=xl/ctrlProps/ctrlProp279.xml><?xml version="1.0" encoding="utf-8"?>
<formControlPr xmlns="http://schemas.microsoft.com/office/spreadsheetml/2009/9/main" objectType="CheckBox" fmlaLink="L33" lockText="1" noThreeD="1"/>
</file>

<file path=xl/ctrlProps/ctrlProp280.xml><?xml version="1.0" encoding="utf-8"?>
<formControlPr xmlns="http://schemas.microsoft.com/office/spreadsheetml/2009/9/main" objectType="CheckBox" fmlaLink="B9" lockText="1" noThreeD="1"/>
</file>

<file path=xl/ctrlProps/ctrlProp281.xml><?xml version="1.0" encoding="utf-8"?>
<formControlPr xmlns="http://schemas.microsoft.com/office/spreadsheetml/2009/9/main" objectType="CheckBox" fmlaLink="G9" lockText="1" noThreeD="1"/>
</file>

<file path=xl/ctrlProps/ctrlProp282.xml><?xml version="1.0" encoding="utf-8"?>
<formControlPr xmlns="http://schemas.microsoft.com/office/spreadsheetml/2009/9/main" objectType="CheckBox" fmlaLink="G12" lockText="1" noThreeD="1"/>
</file>

<file path=xl/ctrlProps/ctrlProp283.xml><?xml version="1.0" encoding="utf-8"?>
<formControlPr xmlns="http://schemas.microsoft.com/office/spreadsheetml/2009/9/main" objectType="CheckBox" fmlaLink="G13" lockText="1" noThreeD="1"/>
</file>

<file path=xl/ctrlProps/ctrlProp284.xml><?xml version="1.0" encoding="utf-8"?>
<formControlPr xmlns="http://schemas.microsoft.com/office/spreadsheetml/2009/9/main" objectType="CheckBox" fmlaLink="G16" lockText="1" noThreeD="1"/>
</file>

<file path=xl/ctrlProps/ctrlProp285.xml><?xml version="1.0" encoding="utf-8"?>
<formControlPr xmlns="http://schemas.microsoft.com/office/spreadsheetml/2009/9/main" objectType="CheckBox" fmlaLink="G17" lockText="1" noThreeD="1"/>
</file>

<file path=xl/ctrlProps/ctrlProp286.xml><?xml version="1.0" encoding="utf-8"?>
<formControlPr xmlns="http://schemas.microsoft.com/office/spreadsheetml/2009/9/main" objectType="CheckBox" fmlaLink="L16" lockText="1" noThreeD="1"/>
</file>

<file path=xl/ctrlProps/ctrlProp287.xml><?xml version="1.0" encoding="utf-8"?>
<formControlPr xmlns="http://schemas.microsoft.com/office/spreadsheetml/2009/9/main" objectType="CheckBox" fmlaLink="L17" lockText="1" noThreeD="1"/>
</file>

<file path=xl/ctrlProps/ctrlProp288.xml><?xml version="1.0" encoding="utf-8"?>
<formControlPr xmlns="http://schemas.microsoft.com/office/spreadsheetml/2009/9/main" objectType="CheckBox" fmlaLink="B16" lockText="1" noThreeD="1"/>
</file>

<file path=xl/ctrlProps/ctrlProp289.xml><?xml version="1.0" encoding="utf-8"?>
<formControlPr xmlns="http://schemas.microsoft.com/office/spreadsheetml/2009/9/main" objectType="CheckBox" fmlaLink="B17" lockText="1" noThreeD="1"/>
</file>

<file path=xl/ctrlProps/ctrlProp290.xml><?xml version="1.0" encoding="utf-8"?>
<formControlPr xmlns="http://schemas.microsoft.com/office/spreadsheetml/2009/9/main" objectType="CheckBox" fmlaLink="B12" lockText="1" noThreeD="1"/>
</file>

<file path=xl/ctrlProps/ctrlProp291.xml><?xml version="1.0" encoding="utf-8"?>
<formControlPr xmlns="http://schemas.microsoft.com/office/spreadsheetml/2009/9/main" objectType="CheckBox" fmlaLink="B13" lockText="1" noThreeD="1"/>
</file>

<file path=xl/ctrlProps/ctrlProp292.xml><?xml version="1.0" encoding="utf-8"?>
<formControlPr xmlns="http://schemas.microsoft.com/office/spreadsheetml/2009/9/main" objectType="CheckBox" fmlaLink="B21" lockText="1" noThreeD="1"/>
</file>

<file path=xl/ctrlProps/ctrlProp293.xml><?xml version="1.0" encoding="utf-8"?>
<formControlPr xmlns="http://schemas.microsoft.com/office/spreadsheetml/2009/9/main" objectType="CheckBox" fmlaLink="B25" lockText="1" noThreeD="1"/>
</file>

<file path=xl/ctrlProps/ctrlProp294.xml><?xml version="1.0" encoding="utf-8"?>
<formControlPr xmlns="http://schemas.microsoft.com/office/spreadsheetml/2009/9/main" objectType="CheckBox" fmlaLink="G25" lockText="1" noThreeD="1"/>
</file>

<file path=xl/ctrlProps/ctrlProp295.xml><?xml version="1.0" encoding="utf-8"?>
<formControlPr xmlns="http://schemas.microsoft.com/office/spreadsheetml/2009/9/main" objectType="CheckBox" fmlaLink="L25" lockText="1" noThreeD="1"/>
</file>

<file path=xl/ctrlProps/ctrlProp296.xml><?xml version="1.0" encoding="utf-8"?>
<formControlPr xmlns="http://schemas.microsoft.com/office/spreadsheetml/2009/9/main" objectType="CheckBox" fmlaLink="G21" lockText="1" noThreeD="1"/>
</file>

<file path=xl/ctrlProps/ctrlProp297.xml><?xml version="1.0" encoding="utf-8"?>
<formControlPr xmlns="http://schemas.microsoft.com/office/spreadsheetml/2009/9/main" objectType="CheckBox" fmlaLink="B29" lockText="1" noThreeD="1"/>
</file>

<file path=xl/ctrlProps/ctrlProp298.xml><?xml version="1.0" encoding="utf-8"?>
<formControlPr xmlns="http://schemas.microsoft.com/office/spreadsheetml/2009/9/main" objectType="CheckBox" fmlaLink="G29" lockText="1" noThreeD="1"/>
</file>

<file path=xl/ctrlProps/ctrlProp299.xml><?xml version="1.0" encoding="utf-8"?>
<formControlPr xmlns="http://schemas.microsoft.com/office/spreadsheetml/2009/9/main" objectType="CheckBox" fmlaLink="L29" lockText="1" noThreeD="1"/>
</file>

<file path=xl/ctrlProps/ctrlProp300.xml><?xml version="1.0" encoding="utf-8"?>
<formControlPr xmlns="http://schemas.microsoft.com/office/spreadsheetml/2009/9/main" objectType="CheckBox" fmlaLink="B38" lockText="1" noThreeD="1"/>
</file>

<file path=xl/ctrlProps/ctrlProp301.xml><?xml version="1.0" encoding="utf-8"?>
<formControlPr xmlns="http://schemas.microsoft.com/office/spreadsheetml/2009/9/main" objectType="CheckBox" fmlaLink="G38" lockText="1" noThreeD="1"/>
</file>

<file path=xl/ctrlProps/ctrlProp302.xml><?xml version="1.0" encoding="utf-8"?>
<formControlPr xmlns="http://schemas.microsoft.com/office/spreadsheetml/2009/9/main" objectType="CheckBox" fmlaLink="L38" lockText="1" noThreeD="1"/>
</file>

<file path=xl/ctrlProps/ctrlProp303.xml><?xml version="1.0" encoding="utf-8"?>
<formControlPr xmlns="http://schemas.microsoft.com/office/spreadsheetml/2009/9/main" objectType="CheckBox" fmlaLink="B44" lockText="1" noThreeD="1"/>
</file>

<file path=xl/ctrlProps/ctrlProp304.xml><?xml version="1.0" encoding="utf-8"?>
<formControlPr xmlns="http://schemas.microsoft.com/office/spreadsheetml/2009/9/main" objectType="CheckBox" fmlaLink="G44" lockText="1" noThreeD="1"/>
</file>

<file path=xl/ctrlProps/ctrlProp305.xml><?xml version="1.0" encoding="utf-8"?>
<formControlPr xmlns="http://schemas.microsoft.com/office/spreadsheetml/2009/9/main" objectType="CheckBox" fmlaLink="B39" lockText="1" noThreeD="1"/>
</file>

<file path=xl/ctrlProps/ctrlProp306.xml><?xml version="1.0" encoding="utf-8"?>
<formControlPr xmlns="http://schemas.microsoft.com/office/spreadsheetml/2009/9/main" objectType="CheckBox" fmlaLink="B18" lockText="1" noThreeD="1"/>
</file>

<file path=xl/ctrlProps/ctrlProp307.xml><?xml version="1.0" encoding="utf-8"?>
<formControlPr xmlns="http://schemas.microsoft.com/office/spreadsheetml/2009/9/main" objectType="CheckBox" fmlaLink="B32" lockText="1" noThreeD="1"/>
</file>

<file path=xl/ctrlProps/ctrlProp308.xml><?xml version="1.0" encoding="utf-8"?>
<formControlPr xmlns="http://schemas.microsoft.com/office/spreadsheetml/2009/9/main" objectType="CheckBox" fmlaLink="B33" lockText="1" noThreeD="1"/>
</file>

<file path=xl/ctrlProps/ctrlProp309.xml><?xml version="1.0" encoding="utf-8"?>
<formControlPr xmlns="http://schemas.microsoft.com/office/spreadsheetml/2009/9/main" objectType="CheckBox" fmlaLink="B34" lockText="1" noThreeD="1"/>
</file>

<file path=xl/ctrlProps/ctrlProp310.xml><?xml version="1.0" encoding="utf-8"?>
<formControlPr xmlns="http://schemas.microsoft.com/office/spreadsheetml/2009/9/main" objectType="CheckBox" fmlaLink="G32" lockText="1" noThreeD="1"/>
</file>

<file path=xl/ctrlProps/ctrlProp311.xml><?xml version="1.0" encoding="utf-8"?>
<formControlPr xmlns="http://schemas.microsoft.com/office/spreadsheetml/2009/9/main" objectType="CheckBox" fmlaLink="G33" lockText="1" noThreeD="1"/>
</file>

<file path=xl/ctrlProps/ctrlProp312.xml><?xml version="1.0" encoding="utf-8"?>
<formControlPr xmlns="http://schemas.microsoft.com/office/spreadsheetml/2009/9/main" objectType="CheckBox" fmlaLink="G34" lockText="1" noThreeD="1"/>
</file>

<file path=xl/ctrlProps/ctrlProp313.xml><?xml version="1.0" encoding="utf-8"?>
<formControlPr xmlns="http://schemas.microsoft.com/office/spreadsheetml/2009/9/main" objectType="CheckBox" fmlaLink="L32" lockText="1" noThreeD="1"/>
</file>

<file path=xl/ctrlProps/ctrlProp314.xml><?xml version="1.0" encoding="utf-8"?>
<formControlPr xmlns="http://schemas.microsoft.com/office/spreadsheetml/2009/9/main" objectType="CheckBox" fmlaLink="L33" lockText="1" noThreeD="1"/>
</file>

<file path=xl/ctrlProps/ctrlProp315.xml><?xml version="1.0" encoding="utf-8"?>
<formControlPr xmlns="http://schemas.microsoft.com/office/spreadsheetml/2009/9/main" objectType="CheckBox" fmlaLink="B9" lockText="1" noThreeD="1"/>
</file>

<file path=xl/ctrlProps/ctrlProp316.xml><?xml version="1.0" encoding="utf-8"?>
<formControlPr xmlns="http://schemas.microsoft.com/office/spreadsheetml/2009/9/main" objectType="CheckBox" fmlaLink="G9" lockText="1" noThreeD="1"/>
</file>

<file path=xl/ctrlProps/ctrlProp317.xml><?xml version="1.0" encoding="utf-8"?>
<formControlPr xmlns="http://schemas.microsoft.com/office/spreadsheetml/2009/9/main" objectType="CheckBox" fmlaLink="G12" lockText="1" noThreeD="1"/>
</file>

<file path=xl/ctrlProps/ctrlProp318.xml><?xml version="1.0" encoding="utf-8"?>
<formControlPr xmlns="http://schemas.microsoft.com/office/spreadsheetml/2009/9/main" objectType="CheckBox" fmlaLink="G13" lockText="1" noThreeD="1"/>
</file>

<file path=xl/ctrlProps/ctrlProp319.xml><?xml version="1.0" encoding="utf-8"?>
<formControlPr xmlns="http://schemas.microsoft.com/office/spreadsheetml/2009/9/main" objectType="CheckBox" fmlaLink="G16" lockText="1" noThreeD="1"/>
</file>

<file path=xl/ctrlProps/ctrlProp320.xml><?xml version="1.0" encoding="utf-8"?>
<formControlPr xmlns="http://schemas.microsoft.com/office/spreadsheetml/2009/9/main" objectType="CheckBox" fmlaLink="G17" lockText="1" noThreeD="1"/>
</file>

<file path=xl/ctrlProps/ctrlProp321.xml><?xml version="1.0" encoding="utf-8"?>
<formControlPr xmlns="http://schemas.microsoft.com/office/spreadsheetml/2009/9/main" objectType="CheckBox" fmlaLink="L16" lockText="1" noThreeD="1"/>
</file>

<file path=xl/ctrlProps/ctrlProp322.xml><?xml version="1.0" encoding="utf-8"?>
<formControlPr xmlns="http://schemas.microsoft.com/office/spreadsheetml/2009/9/main" objectType="CheckBox" fmlaLink="L17" lockText="1" noThreeD="1"/>
</file>

<file path=xl/ctrlProps/ctrlProp323.xml><?xml version="1.0" encoding="utf-8"?>
<formControlPr xmlns="http://schemas.microsoft.com/office/spreadsheetml/2009/9/main" objectType="CheckBox" fmlaLink="B16" lockText="1" noThreeD="1"/>
</file>

<file path=xl/ctrlProps/ctrlProp324.xml><?xml version="1.0" encoding="utf-8"?>
<formControlPr xmlns="http://schemas.microsoft.com/office/spreadsheetml/2009/9/main" objectType="CheckBox" fmlaLink="B17" lockText="1" noThreeD="1"/>
</file>

<file path=xl/ctrlProps/ctrlProp325.xml><?xml version="1.0" encoding="utf-8"?>
<formControlPr xmlns="http://schemas.microsoft.com/office/spreadsheetml/2009/9/main" objectType="CheckBox" fmlaLink="B12" lockText="1" noThreeD="1"/>
</file>

<file path=xl/ctrlProps/ctrlProp326.xml><?xml version="1.0" encoding="utf-8"?>
<formControlPr xmlns="http://schemas.microsoft.com/office/spreadsheetml/2009/9/main" objectType="CheckBox" fmlaLink="B13" lockText="1" noThreeD="1"/>
</file>

<file path=xl/ctrlProps/ctrlProp327.xml><?xml version="1.0" encoding="utf-8"?>
<formControlPr xmlns="http://schemas.microsoft.com/office/spreadsheetml/2009/9/main" objectType="CheckBox" fmlaLink="B21" lockText="1" noThreeD="1"/>
</file>

<file path=xl/ctrlProps/ctrlProp328.xml><?xml version="1.0" encoding="utf-8"?>
<formControlPr xmlns="http://schemas.microsoft.com/office/spreadsheetml/2009/9/main" objectType="CheckBox" fmlaLink="B25" lockText="1" noThreeD="1"/>
</file>

<file path=xl/ctrlProps/ctrlProp329.xml><?xml version="1.0" encoding="utf-8"?>
<formControlPr xmlns="http://schemas.microsoft.com/office/spreadsheetml/2009/9/main" objectType="CheckBox" fmlaLink="G25" lockText="1" noThreeD="1"/>
</file>

<file path=xl/ctrlProps/ctrlProp330.xml><?xml version="1.0" encoding="utf-8"?>
<formControlPr xmlns="http://schemas.microsoft.com/office/spreadsheetml/2009/9/main" objectType="CheckBox" fmlaLink="L25" lockText="1" noThreeD="1"/>
</file>

<file path=xl/ctrlProps/ctrlProp331.xml><?xml version="1.0" encoding="utf-8"?>
<formControlPr xmlns="http://schemas.microsoft.com/office/spreadsheetml/2009/9/main" objectType="CheckBox" fmlaLink="G21" lockText="1" noThreeD="1"/>
</file>

<file path=xl/ctrlProps/ctrlProp332.xml><?xml version="1.0" encoding="utf-8"?>
<formControlPr xmlns="http://schemas.microsoft.com/office/spreadsheetml/2009/9/main" objectType="CheckBox" fmlaLink="B29" lockText="1" noThreeD="1"/>
</file>

<file path=xl/ctrlProps/ctrlProp333.xml><?xml version="1.0" encoding="utf-8"?>
<formControlPr xmlns="http://schemas.microsoft.com/office/spreadsheetml/2009/9/main" objectType="CheckBox" fmlaLink="G29" lockText="1" noThreeD="1"/>
</file>

<file path=xl/ctrlProps/ctrlProp334.xml><?xml version="1.0" encoding="utf-8"?>
<formControlPr xmlns="http://schemas.microsoft.com/office/spreadsheetml/2009/9/main" objectType="CheckBox" fmlaLink="L29" lockText="1" noThreeD="1"/>
</file>

<file path=xl/ctrlProps/ctrlProp335.xml><?xml version="1.0" encoding="utf-8"?>
<formControlPr xmlns="http://schemas.microsoft.com/office/spreadsheetml/2009/9/main" objectType="CheckBox" fmlaLink="B38" lockText="1" noThreeD="1"/>
</file>

<file path=xl/ctrlProps/ctrlProp336.xml><?xml version="1.0" encoding="utf-8"?>
<formControlPr xmlns="http://schemas.microsoft.com/office/spreadsheetml/2009/9/main" objectType="CheckBox" fmlaLink="G38" lockText="1" noThreeD="1"/>
</file>

<file path=xl/ctrlProps/ctrlProp337.xml><?xml version="1.0" encoding="utf-8"?>
<formControlPr xmlns="http://schemas.microsoft.com/office/spreadsheetml/2009/9/main" objectType="CheckBox" fmlaLink="L38" lockText="1" noThreeD="1"/>
</file>

<file path=xl/ctrlProps/ctrlProp338.xml><?xml version="1.0" encoding="utf-8"?>
<formControlPr xmlns="http://schemas.microsoft.com/office/spreadsheetml/2009/9/main" objectType="CheckBox" fmlaLink="B44" lockText="1" noThreeD="1"/>
</file>

<file path=xl/ctrlProps/ctrlProp339.xml><?xml version="1.0" encoding="utf-8"?>
<formControlPr xmlns="http://schemas.microsoft.com/office/spreadsheetml/2009/9/main" objectType="CheckBox" fmlaLink="G44" lockText="1" noThreeD="1"/>
</file>

<file path=xl/ctrlProps/ctrlProp340.xml><?xml version="1.0" encoding="utf-8"?>
<formControlPr xmlns="http://schemas.microsoft.com/office/spreadsheetml/2009/9/main" objectType="CheckBox" fmlaLink="B39" lockText="1" noThreeD="1"/>
</file>

<file path=xl/ctrlProps/ctrlProp341.xml><?xml version="1.0" encoding="utf-8"?>
<formControlPr xmlns="http://schemas.microsoft.com/office/spreadsheetml/2009/9/main" objectType="CheckBox" fmlaLink="B18" lockText="1" noThreeD="1"/>
</file>

<file path=xl/ctrlProps/ctrlProp342.xml><?xml version="1.0" encoding="utf-8"?>
<formControlPr xmlns="http://schemas.microsoft.com/office/spreadsheetml/2009/9/main" objectType="CheckBox" fmlaLink="B32" lockText="1" noThreeD="1"/>
</file>

<file path=xl/ctrlProps/ctrlProp343.xml><?xml version="1.0" encoding="utf-8"?>
<formControlPr xmlns="http://schemas.microsoft.com/office/spreadsheetml/2009/9/main" objectType="CheckBox" fmlaLink="B33" lockText="1" noThreeD="1"/>
</file>

<file path=xl/ctrlProps/ctrlProp344.xml><?xml version="1.0" encoding="utf-8"?>
<formControlPr xmlns="http://schemas.microsoft.com/office/spreadsheetml/2009/9/main" objectType="CheckBox" fmlaLink="B34" lockText="1" noThreeD="1"/>
</file>

<file path=xl/ctrlProps/ctrlProp345.xml><?xml version="1.0" encoding="utf-8"?>
<formControlPr xmlns="http://schemas.microsoft.com/office/spreadsheetml/2009/9/main" objectType="CheckBox" fmlaLink="G32" lockText="1" noThreeD="1"/>
</file>

<file path=xl/ctrlProps/ctrlProp346.xml><?xml version="1.0" encoding="utf-8"?>
<formControlPr xmlns="http://schemas.microsoft.com/office/spreadsheetml/2009/9/main" objectType="CheckBox" fmlaLink="G33" lockText="1" noThreeD="1"/>
</file>

<file path=xl/ctrlProps/ctrlProp347.xml><?xml version="1.0" encoding="utf-8"?>
<formControlPr xmlns="http://schemas.microsoft.com/office/spreadsheetml/2009/9/main" objectType="CheckBox" fmlaLink="G34" lockText="1" noThreeD="1"/>
</file>

<file path=xl/ctrlProps/ctrlProp348.xml><?xml version="1.0" encoding="utf-8"?>
<formControlPr xmlns="http://schemas.microsoft.com/office/spreadsheetml/2009/9/main" objectType="CheckBox" fmlaLink="L32" lockText="1" noThreeD="1"/>
</file>

<file path=xl/ctrlProps/ctrlProp349.xml><?xml version="1.0" encoding="utf-8"?>
<formControlPr xmlns="http://schemas.microsoft.com/office/spreadsheetml/2009/9/main" objectType="CheckBox" fmlaLink="L33" lockText="1" noThreeD="1"/>
</file>

<file path=xl/ctrlProps/ctrlProp350.xml><?xml version="1.0" encoding="utf-8"?>
<formControlPr xmlns="http://schemas.microsoft.com/office/spreadsheetml/2009/9/main" objectType="CheckBox" fmlaLink="B9" lockText="1" noThreeD="1"/>
</file>

<file path=xl/ctrlProps/ctrlProp351.xml><?xml version="1.0" encoding="utf-8"?>
<formControlPr xmlns="http://schemas.microsoft.com/office/spreadsheetml/2009/9/main" objectType="CheckBox" fmlaLink="G9" lockText="1" noThreeD="1"/>
</file>

<file path=xl/ctrlProps/ctrlProp352.xml><?xml version="1.0" encoding="utf-8"?>
<formControlPr xmlns="http://schemas.microsoft.com/office/spreadsheetml/2009/9/main" objectType="CheckBox" fmlaLink="G12" lockText="1" noThreeD="1"/>
</file>

<file path=xl/ctrlProps/ctrlProp353.xml><?xml version="1.0" encoding="utf-8"?>
<formControlPr xmlns="http://schemas.microsoft.com/office/spreadsheetml/2009/9/main" objectType="CheckBox" fmlaLink="G13" lockText="1" noThreeD="1"/>
</file>

<file path=xl/ctrlProps/ctrlProp354.xml><?xml version="1.0" encoding="utf-8"?>
<formControlPr xmlns="http://schemas.microsoft.com/office/spreadsheetml/2009/9/main" objectType="CheckBox" fmlaLink="G16" lockText="1" noThreeD="1"/>
</file>

<file path=xl/ctrlProps/ctrlProp355.xml><?xml version="1.0" encoding="utf-8"?>
<formControlPr xmlns="http://schemas.microsoft.com/office/spreadsheetml/2009/9/main" objectType="CheckBox" fmlaLink="G17" lockText="1" noThreeD="1"/>
</file>

<file path=xl/ctrlProps/ctrlProp356.xml><?xml version="1.0" encoding="utf-8"?>
<formControlPr xmlns="http://schemas.microsoft.com/office/spreadsheetml/2009/9/main" objectType="CheckBox" fmlaLink="L16" lockText="1" noThreeD="1"/>
</file>

<file path=xl/ctrlProps/ctrlProp357.xml><?xml version="1.0" encoding="utf-8"?>
<formControlPr xmlns="http://schemas.microsoft.com/office/spreadsheetml/2009/9/main" objectType="CheckBox" fmlaLink="L17" lockText="1" noThreeD="1"/>
</file>

<file path=xl/ctrlProps/ctrlProp358.xml><?xml version="1.0" encoding="utf-8"?>
<formControlPr xmlns="http://schemas.microsoft.com/office/spreadsheetml/2009/9/main" objectType="CheckBox" fmlaLink="B16" lockText="1" noThreeD="1"/>
</file>

<file path=xl/ctrlProps/ctrlProp359.xml><?xml version="1.0" encoding="utf-8"?>
<formControlPr xmlns="http://schemas.microsoft.com/office/spreadsheetml/2009/9/main" objectType="CheckBox" fmlaLink="B17" lockText="1" noThreeD="1"/>
</file>

<file path=xl/ctrlProps/ctrlProp360.xml><?xml version="1.0" encoding="utf-8"?>
<formControlPr xmlns="http://schemas.microsoft.com/office/spreadsheetml/2009/9/main" objectType="CheckBox" fmlaLink="B12" lockText="1" noThreeD="1"/>
</file>

<file path=xl/ctrlProps/ctrlProp361.xml><?xml version="1.0" encoding="utf-8"?>
<formControlPr xmlns="http://schemas.microsoft.com/office/spreadsheetml/2009/9/main" objectType="CheckBox" fmlaLink="B13" lockText="1" noThreeD="1"/>
</file>

<file path=xl/ctrlProps/ctrlProp362.xml><?xml version="1.0" encoding="utf-8"?>
<formControlPr xmlns="http://schemas.microsoft.com/office/spreadsheetml/2009/9/main" objectType="CheckBox" fmlaLink="B21" lockText="1" noThreeD="1"/>
</file>

<file path=xl/ctrlProps/ctrlProp363.xml><?xml version="1.0" encoding="utf-8"?>
<formControlPr xmlns="http://schemas.microsoft.com/office/spreadsheetml/2009/9/main" objectType="CheckBox" fmlaLink="B25" lockText="1" noThreeD="1"/>
</file>

<file path=xl/ctrlProps/ctrlProp364.xml><?xml version="1.0" encoding="utf-8"?>
<formControlPr xmlns="http://schemas.microsoft.com/office/spreadsheetml/2009/9/main" objectType="CheckBox" fmlaLink="G25" lockText="1" noThreeD="1"/>
</file>

<file path=xl/ctrlProps/ctrlProp365.xml><?xml version="1.0" encoding="utf-8"?>
<formControlPr xmlns="http://schemas.microsoft.com/office/spreadsheetml/2009/9/main" objectType="CheckBox" fmlaLink="L25" lockText="1" noThreeD="1"/>
</file>

<file path=xl/ctrlProps/ctrlProp366.xml><?xml version="1.0" encoding="utf-8"?>
<formControlPr xmlns="http://schemas.microsoft.com/office/spreadsheetml/2009/9/main" objectType="CheckBox" fmlaLink="G21" lockText="1" noThreeD="1"/>
</file>

<file path=xl/ctrlProps/ctrlProp367.xml><?xml version="1.0" encoding="utf-8"?>
<formControlPr xmlns="http://schemas.microsoft.com/office/spreadsheetml/2009/9/main" objectType="CheckBox" fmlaLink="B29" lockText="1" noThreeD="1"/>
</file>

<file path=xl/ctrlProps/ctrlProp368.xml><?xml version="1.0" encoding="utf-8"?>
<formControlPr xmlns="http://schemas.microsoft.com/office/spreadsheetml/2009/9/main" objectType="CheckBox" fmlaLink="G29" lockText="1" noThreeD="1"/>
</file>

<file path=xl/ctrlProps/ctrlProp369.xml><?xml version="1.0" encoding="utf-8"?>
<formControlPr xmlns="http://schemas.microsoft.com/office/spreadsheetml/2009/9/main" objectType="CheckBox" fmlaLink="L29" lockText="1" noThreeD="1"/>
</file>

<file path=xl/ctrlProps/ctrlProp370.xml><?xml version="1.0" encoding="utf-8"?>
<formControlPr xmlns="http://schemas.microsoft.com/office/spreadsheetml/2009/9/main" objectType="CheckBox" fmlaLink="B38" lockText="1" noThreeD="1"/>
</file>

<file path=xl/ctrlProps/ctrlProp371.xml><?xml version="1.0" encoding="utf-8"?>
<formControlPr xmlns="http://schemas.microsoft.com/office/spreadsheetml/2009/9/main" objectType="CheckBox" fmlaLink="G38" lockText="1" noThreeD="1"/>
</file>

<file path=xl/ctrlProps/ctrlProp372.xml><?xml version="1.0" encoding="utf-8"?>
<formControlPr xmlns="http://schemas.microsoft.com/office/spreadsheetml/2009/9/main" objectType="CheckBox" fmlaLink="L38" lockText="1" noThreeD="1"/>
</file>

<file path=xl/ctrlProps/ctrlProp373.xml><?xml version="1.0" encoding="utf-8"?>
<formControlPr xmlns="http://schemas.microsoft.com/office/spreadsheetml/2009/9/main" objectType="CheckBox" fmlaLink="B44" lockText="1" noThreeD="1"/>
</file>

<file path=xl/ctrlProps/ctrlProp374.xml><?xml version="1.0" encoding="utf-8"?>
<formControlPr xmlns="http://schemas.microsoft.com/office/spreadsheetml/2009/9/main" objectType="CheckBox" fmlaLink="G44" lockText="1" noThreeD="1"/>
</file>

<file path=xl/ctrlProps/ctrlProp375.xml><?xml version="1.0" encoding="utf-8"?>
<formControlPr xmlns="http://schemas.microsoft.com/office/spreadsheetml/2009/9/main" objectType="CheckBox" fmlaLink="B39" lockText="1" noThreeD="1"/>
</file>

<file path=xl/ctrlProps/ctrlProp376.xml><?xml version="1.0" encoding="utf-8"?>
<formControlPr xmlns="http://schemas.microsoft.com/office/spreadsheetml/2009/9/main" objectType="CheckBox" fmlaLink="B18" lockText="1" noThreeD="1"/>
</file>

<file path=xl/ctrlProps/ctrlProp377.xml><?xml version="1.0" encoding="utf-8"?>
<formControlPr xmlns="http://schemas.microsoft.com/office/spreadsheetml/2009/9/main" objectType="CheckBox" fmlaLink="B32" lockText="1" noThreeD="1"/>
</file>

<file path=xl/ctrlProps/ctrlProp378.xml><?xml version="1.0" encoding="utf-8"?>
<formControlPr xmlns="http://schemas.microsoft.com/office/spreadsheetml/2009/9/main" objectType="CheckBox" fmlaLink="B33" lockText="1" noThreeD="1"/>
</file>

<file path=xl/ctrlProps/ctrlProp379.xml><?xml version="1.0" encoding="utf-8"?>
<formControlPr xmlns="http://schemas.microsoft.com/office/spreadsheetml/2009/9/main" objectType="CheckBox" fmlaLink="B34" lockText="1" noThreeD="1"/>
</file>

<file path=xl/ctrlProps/ctrlProp380.xml><?xml version="1.0" encoding="utf-8"?>
<formControlPr xmlns="http://schemas.microsoft.com/office/spreadsheetml/2009/9/main" objectType="CheckBox" fmlaLink="G32" lockText="1" noThreeD="1"/>
</file>

<file path=xl/ctrlProps/ctrlProp381.xml><?xml version="1.0" encoding="utf-8"?>
<formControlPr xmlns="http://schemas.microsoft.com/office/spreadsheetml/2009/9/main" objectType="CheckBox" fmlaLink="G33" lockText="1" noThreeD="1"/>
</file>

<file path=xl/ctrlProps/ctrlProp382.xml><?xml version="1.0" encoding="utf-8"?>
<formControlPr xmlns="http://schemas.microsoft.com/office/spreadsheetml/2009/9/main" objectType="CheckBox" fmlaLink="G34" lockText="1" noThreeD="1"/>
</file>

<file path=xl/ctrlProps/ctrlProp383.xml><?xml version="1.0" encoding="utf-8"?>
<formControlPr xmlns="http://schemas.microsoft.com/office/spreadsheetml/2009/9/main" objectType="CheckBox" fmlaLink="L32" lockText="1" noThreeD="1"/>
</file>

<file path=xl/ctrlProps/ctrlProp384.xml><?xml version="1.0" encoding="utf-8"?>
<formControlPr xmlns="http://schemas.microsoft.com/office/spreadsheetml/2009/9/main" objectType="CheckBox" fmlaLink="L33" lockText="1" noThreeD="1"/>
</file>

<file path=xl/ctrlProps/ctrlProp385.xml><?xml version="1.0" encoding="utf-8"?>
<formControlPr xmlns="http://schemas.microsoft.com/office/spreadsheetml/2009/9/main" objectType="CheckBox" fmlaLink="B9" lockText="1" noThreeD="1"/>
</file>

<file path=xl/ctrlProps/ctrlProp386.xml><?xml version="1.0" encoding="utf-8"?>
<formControlPr xmlns="http://schemas.microsoft.com/office/spreadsheetml/2009/9/main" objectType="CheckBox" fmlaLink="G9" lockText="1" noThreeD="1"/>
</file>

<file path=xl/ctrlProps/ctrlProp387.xml><?xml version="1.0" encoding="utf-8"?>
<formControlPr xmlns="http://schemas.microsoft.com/office/spreadsheetml/2009/9/main" objectType="CheckBox" fmlaLink="G12" lockText="1" noThreeD="1"/>
</file>

<file path=xl/ctrlProps/ctrlProp388.xml><?xml version="1.0" encoding="utf-8"?>
<formControlPr xmlns="http://schemas.microsoft.com/office/spreadsheetml/2009/9/main" objectType="CheckBox" fmlaLink="G13" lockText="1" noThreeD="1"/>
</file>

<file path=xl/ctrlProps/ctrlProp389.xml><?xml version="1.0" encoding="utf-8"?>
<formControlPr xmlns="http://schemas.microsoft.com/office/spreadsheetml/2009/9/main" objectType="CheckBox" fmlaLink="G16" lockText="1" noThreeD="1"/>
</file>

<file path=xl/ctrlProps/ctrlProp390.xml><?xml version="1.0" encoding="utf-8"?>
<formControlPr xmlns="http://schemas.microsoft.com/office/spreadsheetml/2009/9/main" objectType="CheckBox" fmlaLink="G17" lockText="1" noThreeD="1"/>
</file>

<file path=xl/ctrlProps/ctrlProp391.xml><?xml version="1.0" encoding="utf-8"?>
<formControlPr xmlns="http://schemas.microsoft.com/office/spreadsheetml/2009/9/main" objectType="CheckBox" fmlaLink="L16" lockText="1" noThreeD="1"/>
</file>

<file path=xl/ctrlProps/ctrlProp392.xml><?xml version="1.0" encoding="utf-8"?>
<formControlPr xmlns="http://schemas.microsoft.com/office/spreadsheetml/2009/9/main" objectType="CheckBox" fmlaLink="L17" lockText="1" noThreeD="1"/>
</file>

<file path=xl/ctrlProps/ctrlProp393.xml><?xml version="1.0" encoding="utf-8"?>
<formControlPr xmlns="http://schemas.microsoft.com/office/spreadsheetml/2009/9/main" objectType="CheckBox" fmlaLink="B16" lockText="1" noThreeD="1"/>
</file>

<file path=xl/ctrlProps/ctrlProp394.xml><?xml version="1.0" encoding="utf-8"?>
<formControlPr xmlns="http://schemas.microsoft.com/office/spreadsheetml/2009/9/main" objectType="CheckBox" fmlaLink="B17" lockText="1" noThreeD="1"/>
</file>

<file path=xl/ctrlProps/ctrlProp395.xml><?xml version="1.0" encoding="utf-8"?>
<formControlPr xmlns="http://schemas.microsoft.com/office/spreadsheetml/2009/9/main" objectType="CheckBox" fmlaLink="B12" lockText="1" noThreeD="1"/>
</file>

<file path=xl/ctrlProps/ctrlProp396.xml><?xml version="1.0" encoding="utf-8"?>
<formControlPr xmlns="http://schemas.microsoft.com/office/spreadsheetml/2009/9/main" objectType="CheckBox" fmlaLink="B13" lockText="1" noThreeD="1"/>
</file>

<file path=xl/ctrlProps/ctrlProp397.xml><?xml version="1.0" encoding="utf-8"?>
<formControlPr xmlns="http://schemas.microsoft.com/office/spreadsheetml/2009/9/main" objectType="CheckBox" fmlaLink="B21" lockText="1" noThreeD="1"/>
</file>

<file path=xl/ctrlProps/ctrlProp398.xml><?xml version="1.0" encoding="utf-8"?>
<formControlPr xmlns="http://schemas.microsoft.com/office/spreadsheetml/2009/9/main" objectType="CheckBox" fmlaLink="B25" lockText="1" noThreeD="1"/>
</file>

<file path=xl/ctrlProps/ctrlProp399.xml><?xml version="1.0" encoding="utf-8"?>
<formControlPr xmlns="http://schemas.microsoft.com/office/spreadsheetml/2009/9/main" objectType="CheckBox" fmlaLink="G25" lockText="1" noThreeD="1"/>
</file>

<file path=xl/ctrlProps/ctrlProp400.xml><?xml version="1.0" encoding="utf-8"?>
<formControlPr xmlns="http://schemas.microsoft.com/office/spreadsheetml/2009/9/main" objectType="CheckBox" fmlaLink="L25" lockText="1" noThreeD="1"/>
</file>

<file path=xl/ctrlProps/ctrlProp401.xml><?xml version="1.0" encoding="utf-8"?>
<formControlPr xmlns="http://schemas.microsoft.com/office/spreadsheetml/2009/9/main" objectType="CheckBox" fmlaLink="G21" lockText="1" noThreeD="1"/>
</file>

<file path=xl/ctrlProps/ctrlProp402.xml><?xml version="1.0" encoding="utf-8"?>
<formControlPr xmlns="http://schemas.microsoft.com/office/spreadsheetml/2009/9/main" objectType="CheckBox" fmlaLink="B29" lockText="1" noThreeD="1"/>
</file>

<file path=xl/ctrlProps/ctrlProp403.xml><?xml version="1.0" encoding="utf-8"?>
<formControlPr xmlns="http://schemas.microsoft.com/office/spreadsheetml/2009/9/main" objectType="CheckBox" fmlaLink="G29" lockText="1" noThreeD="1"/>
</file>

<file path=xl/ctrlProps/ctrlProp404.xml><?xml version="1.0" encoding="utf-8"?>
<formControlPr xmlns="http://schemas.microsoft.com/office/spreadsheetml/2009/9/main" objectType="CheckBox" fmlaLink="L29" lockText="1" noThreeD="1"/>
</file>

<file path=xl/ctrlProps/ctrlProp405.xml><?xml version="1.0" encoding="utf-8"?>
<formControlPr xmlns="http://schemas.microsoft.com/office/spreadsheetml/2009/9/main" objectType="CheckBox" fmlaLink="B38" lockText="1" noThreeD="1"/>
</file>

<file path=xl/ctrlProps/ctrlProp406.xml><?xml version="1.0" encoding="utf-8"?>
<formControlPr xmlns="http://schemas.microsoft.com/office/spreadsheetml/2009/9/main" objectType="CheckBox" fmlaLink="G38" lockText="1" noThreeD="1"/>
</file>

<file path=xl/ctrlProps/ctrlProp407.xml><?xml version="1.0" encoding="utf-8"?>
<formControlPr xmlns="http://schemas.microsoft.com/office/spreadsheetml/2009/9/main" objectType="CheckBox" fmlaLink="L38" lockText="1" noThreeD="1"/>
</file>

<file path=xl/ctrlProps/ctrlProp408.xml><?xml version="1.0" encoding="utf-8"?>
<formControlPr xmlns="http://schemas.microsoft.com/office/spreadsheetml/2009/9/main" objectType="CheckBox" fmlaLink="B44" lockText="1" noThreeD="1"/>
</file>

<file path=xl/ctrlProps/ctrlProp409.xml><?xml version="1.0" encoding="utf-8"?>
<formControlPr xmlns="http://schemas.microsoft.com/office/spreadsheetml/2009/9/main" objectType="CheckBox" fmlaLink="G44" lockText="1" noThreeD="1"/>
</file>

<file path=xl/ctrlProps/ctrlProp410.xml><?xml version="1.0" encoding="utf-8"?>
<formControlPr xmlns="http://schemas.microsoft.com/office/spreadsheetml/2009/9/main" objectType="CheckBox" fmlaLink="B39" lockText="1" noThreeD="1"/>
</file>

<file path=xl/ctrlProps/ctrlProp411.xml><?xml version="1.0" encoding="utf-8"?>
<formControlPr xmlns="http://schemas.microsoft.com/office/spreadsheetml/2009/9/main" objectType="CheckBox" fmlaLink="B18" lockText="1" noThreeD="1"/>
</file>

<file path=xl/ctrlProps/ctrlProp412.xml><?xml version="1.0" encoding="utf-8"?>
<formControlPr xmlns="http://schemas.microsoft.com/office/spreadsheetml/2009/9/main" objectType="CheckBox" fmlaLink="B32" lockText="1" noThreeD="1"/>
</file>

<file path=xl/ctrlProps/ctrlProp413.xml><?xml version="1.0" encoding="utf-8"?>
<formControlPr xmlns="http://schemas.microsoft.com/office/spreadsheetml/2009/9/main" objectType="CheckBox" fmlaLink="B33" lockText="1" noThreeD="1"/>
</file>

<file path=xl/ctrlProps/ctrlProp414.xml><?xml version="1.0" encoding="utf-8"?>
<formControlPr xmlns="http://schemas.microsoft.com/office/spreadsheetml/2009/9/main" objectType="CheckBox" fmlaLink="B34" lockText="1" noThreeD="1"/>
</file>

<file path=xl/ctrlProps/ctrlProp415.xml><?xml version="1.0" encoding="utf-8"?>
<formControlPr xmlns="http://schemas.microsoft.com/office/spreadsheetml/2009/9/main" objectType="CheckBox" fmlaLink="G32" lockText="1" noThreeD="1"/>
</file>

<file path=xl/ctrlProps/ctrlProp416.xml><?xml version="1.0" encoding="utf-8"?>
<formControlPr xmlns="http://schemas.microsoft.com/office/spreadsheetml/2009/9/main" objectType="CheckBox" fmlaLink="G33" lockText="1" noThreeD="1"/>
</file>

<file path=xl/ctrlProps/ctrlProp417.xml><?xml version="1.0" encoding="utf-8"?>
<formControlPr xmlns="http://schemas.microsoft.com/office/spreadsheetml/2009/9/main" objectType="CheckBox" fmlaLink="G34" lockText="1" noThreeD="1"/>
</file>

<file path=xl/ctrlProps/ctrlProp418.xml><?xml version="1.0" encoding="utf-8"?>
<formControlPr xmlns="http://schemas.microsoft.com/office/spreadsheetml/2009/9/main" objectType="CheckBox" fmlaLink="L32" lockText="1" noThreeD="1"/>
</file>

<file path=xl/ctrlProps/ctrlProp419.xml><?xml version="1.0" encoding="utf-8"?>
<formControlPr xmlns="http://schemas.microsoft.com/office/spreadsheetml/2009/9/main" objectType="CheckBox" fmlaLink="L33" lockText="1" noThreeD="1"/>
</file>

<file path=xl/ctrlProps/ctrlProp420.xml><?xml version="1.0" encoding="utf-8"?>
<formControlPr xmlns="http://schemas.microsoft.com/office/spreadsheetml/2009/9/main" objectType="CheckBox" fmlaLink="B9" lockText="1" noThreeD="1"/>
</file>

<file path=xl/ctrlProps/ctrlProp421.xml><?xml version="1.0" encoding="utf-8"?>
<formControlPr xmlns="http://schemas.microsoft.com/office/spreadsheetml/2009/9/main" objectType="CheckBox" fmlaLink="G9" lockText="1" noThreeD="1"/>
</file>

<file path=xl/ctrlProps/ctrlProp422.xml><?xml version="1.0" encoding="utf-8"?>
<formControlPr xmlns="http://schemas.microsoft.com/office/spreadsheetml/2009/9/main" objectType="CheckBox" fmlaLink="G12" lockText="1" noThreeD="1"/>
</file>

<file path=xl/ctrlProps/ctrlProp423.xml><?xml version="1.0" encoding="utf-8"?>
<formControlPr xmlns="http://schemas.microsoft.com/office/spreadsheetml/2009/9/main" objectType="CheckBox" fmlaLink="G13" lockText="1" noThreeD="1"/>
</file>

<file path=xl/ctrlProps/ctrlProp424.xml><?xml version="1.0" encoding="utf-8"?>
<formControlPr xmlns="http://schemas.microsoft.com/office/spreadsheetml/2009/9/main" objectType="CheckBox" fmlaLink="G16" lockText="1" noThreeD="1"/>
</file>

<file path=xl/ctrlProps/ctrlProp425.xml><?xml version="1.0" encoding="utf-8"?>
<formControlPr xmlns="http://schemas.microsoft.com/office/spreadsheetml/2009/9/main" objectType="CheckBox" fmlaLink="G17" lockText="1" noThreeD="1"/>
</file>

<file path=xl/ctrlProps/ctrlProp426.xml><?xml version="1.0" encoding="utf-8"?>
<formControlPr xmlns="http://schemas.microsoft.com/office/spreadsheetml/2009/9/main" objectType="CheckBox" fmlaLink="L16" lockText="1" noThreeD="1"/>
</file>

<file path=xl/ctrlProps/ctrlProp427.xml><?xml version="1.0" encoding="utf-8"?>
<formControlPr xmlns="http://schemas.microsoft.com/office/spreadsheetml/2009/9/main" objectType="CheckBox" fmlaLink="L17" lockText="1" noThreeD="1"/>
</file>

<file path=xl/ctrlProps/ctrlProp428.xml><?xml version="1.0" encoding="utf-8"?>
<formControlPr xmlns="http://schemas.microsoft.com/office/spreadsheetml/2009/9/main" objectType="CheckBox" fmlaLink="B16" lockText="1" noThreeD="1"/>
</file>

<file path=xl/ctrlProps/ctrlProp429.xml><?xml version="1.0" encoding="utf-8"?>
<formControlPr xmlns="http://schemas.microsoft.com/office/spreadsheetml/2009/9/main" objectType="CheckBox" fmlaLink="B17" lockText="1" noThreeD="1"/>
</file>

<file path=xl/ctrlProps/ctrlProp430.xml><?xml version="1.0" encoding="utf-8"?>
<formControlPr xmlns="http://schemas.microsoft.com/office/spreadsheetml/2009/9/main" objectType="CheckBox" fmlaLink="B12" lockText="1" noThreeD="1"/>
</file>

<file path=xl/ctrlProps/ctrlProp431.xml><?xml version="1.0" encoding="utf-8"?>
<formControlPr xmlns="http://schemas.microsoft.com/office/spreadsheetml/2009/9/main" objectType="CheckBox" fmlaLink="B13" lockText="1" noThreeD="1"/>
</file>

<file path=xl/ctrlProps/ctrlProp432.xml><?xml version="1.0" encoding="utf-8"?>
<formControlPr xmlns="http://schemas.microsoft.com/office/spreadsheetml/2009/9/main" objectType="CheckBox" fmlaLink="B21" lockText="1" noThreeD="1"/>
</file>

<file path=xl/ctrlProps/ctrlProp433.xml><?xml version="1.0" encoding="utf-8"?>
<formControlPr xmlns="http://schemas.microsoft.com/office/spreadsheetml/2009/9/main" objectType="CheckBox" fmlaLink="B25" lockText="1" noThreeD="1"/>
</file>

<file path=xl/ctrlProps/ctrlProp434.xml><?xml version="1.0" encoding="utf-8"?>
<formControlPr xmlns="http://schemas.microsoft.com/office/spreadsheetml/2009/9/main" objectType="CheckBox" fmlaLink="G25" lockText="1" noThreeD="1"/>
</file>

<file path=xl/ctrlProps/ctrlProp435.xml><?xml version="1.0" encoding="utf-8"?>
<formControlPr xmlns="http://schemas.microsoft.com/office/spreadsheetml/2009/9/main" objectType="CheckBox" fmlaLink="L25" lockText="1" noThreeD="1"/>
</file>

<file path=xl/ctrlProps/ctrlProp436.xml><?xml version="1.0" encoding="utf-8"?>
<formControlPr xmlns="http://schemas.microsoft.com/office/spreadsheetml/2009/9/main" objectType="CheckBox" fmlaLink="G21" lockText="1" noThreeD="1"/>
</file>

<file path=xl/ctrlProps/ctrlProp437.xml><?xml version="1.0" encoding="utf-8"?>
<formControlPr xmlns="http://schemas.microsoft.com/office/spreadsheetml/2009/9/main" objectType="CheckBox" fmlaLink="B29" lockText="1" noThreeD="1"/>
</file>

<file path=xl/ctrlProps/ctrlProp438.xml><?xml version="1.0" encoding="utf-8"?>
<formControlPr xmlns="http://schemas.microsoft.com/office/spreadsheetml/2009/9/main" objectType="CheckBox" fmlaLink="G29" lockText="1" noThreeD="1"/>
</file>

<file path=xl/ctrlProps/ctrlProp439.xml><?xml version="1.0" encoding="utf-8"?>
<formControlPr xmlns="http://schemas.microsoft.com/office/spreadsheetml/2009/9/main" objectType="CheckBox" fmlaLink="L29" lockText="1" noThreeD="1"/>
</file>

<file path=xl/ctrlProps/ctrlProp440.xml><?xml version="1.0" encoding="utf-8"?>
<formControlPr xmlns="http://schemas.microsoft.com/office/spreadsheetml/2009/9/main" objectType="CheckBox" fmlaLink="B38" lockText="1" noThreeD="1"/>
</file>

<file path=xl/ctrlProps/ctrlProp441.xml><?xml version="1.0" encoding="utf-8"?>
<formControlPr xmlns="http://schemas.microsoft.com/office/spreadsheetml/2009/9/main" objectType="CheckBox" fmlaLink="G38" lockText="1" noThreeD="1"/>
</file>

<file path=xl/ctrlProps/ctrlProp442.xml><?xml version="1.0" encoding="utf-8"?>
<formControlPr xmlns="http://schemas.microsoft.com/office/spreadsheetml/2009/9/main" objectType="CheckBox" fmlaLink="L38" lockText="1" noThreeD="1"/>
</file>

<file path=xl/ctrlProps/ctrlProp443.xml><?xml version="1.0" encoding="utf-8"?>
<formControlPr xmlns="http://schemas.microsoft.com/office/spreadsheetml/2009/9/main" objectType="CheckBox" fmlaLink="B44" lockText="1" noThreeD="1"/>
</file>

<file path=xl/ctrlProps/ctrlProp444.xml><?xml version="1.0" encoding="utf-8"?>
<formControlPr xmlns="http://schemas.microsoft.com/office/spreadsheetml/2009/9/main" objectType="CheckBox" fmlaLink="G44" lockText="1" noThreeD="1"/>
</file>

<file path=xl/ctrlProps/ctrlProp445.xml><?xml version="1.0" encoding="utf-8"?>
<formControlPr xmlns="http://schemas.microsoft.com/office/spreadsheetml/2009/9/main" objectType="CheckBox" fmlaLink="B39" lockText="1" noThreeD="1"/>
</file>

<file path=xl/ctrlProps/ctrlProp446.xml><?xml version="1.0" encoding="utf-8"?>
<formControlPr xmlns="http://schemas.microsoft.com/office/spreadsheetml/2009/9/main" objectType="CheckBox" fmlaLink="B18" lockText="1" noThreeD="1"/>
</file>

<file path=xl/ctrlProps/ctrlProp447.xml><?xml version="1.0" encoding="utf-8"?>
<formControlPr xmlns="http://schemas.microsoft.com/office/spreadsheetml/2009/9/main" objectType="CheckBox" fmlaLink="B32" lockText="1" noThreeD="1"/>
</file>

<file path=xl/ctrlProps/ctrlProp448.xml><?xml version="1.0" encoding="utf-8"?>
<formControlPr xmlns="http://schemas.microsoft.com/office/spreadsheetml/2009/9/main" objectType="CheckBox" fmlaLink="B33" lockText="1" noThreeD="1"/>
</file>

<file path=xl/ctrlProps/ctrlProp449.xml><?xml version="1.0" encoding="utf-8"?>
<formControlPr xmlns="http://schemas.microsoft.com/office/spreadsheetml/2009/9/main" objectType="CheckBox" fmlaLink="B34" lockText="1" noThreeD="1"/>
</file>

<file path=xl/ctrlProps/ctrlProp450.xml><?xml version="1.0" encoding="utf-8"?>
<formControlPr xmlns="http://schemas.microsoft.com/office/spreadsheetml/2009/9/main" objectType="CheckBox" fmlaLink="G32" lockText="1" noThreeD="1"/>
</file>

<file path=xl/ctrlProps/ctrlProp451.xml><?xml version="1.0" encoding="utf-8"?>
<formControlPr xmlns="http://schemas.microsoft.com/office/spreadsheetml/2009/9/main" objectType="CheckBox" fmlaLink="G33" lockText="1" noThreeD="1"/>
</file>

<file path=xl/ctrlProps/ctrlProp452.xml><?xml version="1.0" encoding="utf-8"?>
<formControlPr xmlns="http://schemas.microsoft.com/office/spreadsheetml/2009/9/main" objectType="CheckBox" fmlaLink="G34" lockText="1" noThreeD="1"/>
</file>

<file path=xl/ctrlProps/ctrlProp453.xml><?xml version="1.0" encoding="utf-8"?>
<formControlPr xmlns="http://schemas.microsoft.com/office/spreadsheetml/2009/9/main" objectType="CheckBox" fmlaLink="L32" lockText="1" noThreeD="1"/>
</file>

<file path=xl/ctrlProps/ctrlProp454.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6195" name="Check Box 67" hidden="1">
              <a:extLst>
                <a:ext uri="{63B3BB69-23CF-44E3-9099-C40C66FF867C}">
                  <a14:compatExt spid="_x0000_s176195"/>
                </a:ext>
                <a:ext uri="{FF2B5EF4-FFF2-40B4-BE49-F238E27FC236}">
                  <a16:creationId xmlns:a16="http://schemas.microsoft.com/office/drawing/2014/main" id="{00000000-0008-0000-0500-000043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6196" name="Check Box 68" hidden="1">
              <a:extLst>
                <a:ext uri="{63B3BB69-23CF-44E3-9099-C40C66FF867C}">
                  <a14:compatExt spid="_x0000_s176196"/>
                </a:ext>
                <a:ext uri="{FF2B5EF4-FFF2-40B4-BE49-F238E27FC236}">
                  <a16:creationId xmlns:a16="http://schemas.microsoft.com/office/drawing/2014/main" id="{00000000-0008-0000-0500-000044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27</xdr:row>
          <xdr:rowOff>19050</xdr:rowOff>
        </xdr:to>
        <xdr:sp macro="" textlink="">
          <xdr:nvSpPr>
            <xdr:cNvPr id="176197" name="Check Box 69" hidden="1">
              <a:extLst>
                <a:ext uri="{63B3BB69-23CF-44E3-9099-C40C66FF867C}">
                  <a14:compatExt spid="_x0000_s176197"/>
                </a:ext>
                <a:ext uri="{FF2B5EF4-FFF2-40B4-BE49-F238E27FC236}">
                  <a16:creationId xmlns:a16="http://schemas.microsoft.com/office/drawing/2014/main" id="{00000000-0008-0000-0500-000045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27</xdr:row>
          <xdr:rowOff>19050</xdr:rowOff>
        </xdr:to>
        <xdr:sp macro="" textlink="">
          <xdr:nvSpPr>
            <xdr:cNvPr id="176198" name="Check Box 70" hidden="1">
              <a:extLst>
                <a:ext uri="{63B3BB69-23CF-44E3-9099-C40C66FF867C}">
                  <a14:compatExt spid="_x0000_s176198"/>
                </a:ext>
                <a:ext uri="{FF2B5EF4-FFF2-40B4-BE49-F238E27FC236}">
                  <a16:creationId xmlns:a16="http://schemas.microsoft.com/office/drawing/2014/main" id="{00000000-0008-0000-0500-000046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33</xdr:row>
          <xdr:rowOff>19050</xdr:rowOff>
        </xdr:to>
        <xdr:sp macro="" textlink="">
          <xdr:nvSpPr>
            <xdr:cNvPr id="176199" name="Check Box 71" hidden="1">
              <a:extLst>
                <a:ext uri="{63B3BB69-23CF-44E3-9099-C40C66FF867C}">
                  <a14:compatExt spid="_x0000_s176199"/>
                </a:ext>
                <a:ext uri="{FF2B5EF4-FFF2-40B4-BE49-F238E27FC236}">
                  <a16:creationId xmlns:a16="http://schemas.microsoft.com/office/drawing/2014/main" id="{00000000-0008-0000-0500-000047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33</xdr:row>
          <xdr:rowOff>19050</xdr:rowOff>
        </xdr:to>
        <xdr:sp macro="" textlink="">
          <xdr:nvSpPr>
            <xdr:cNvPr id="176200" name="Check Box 72" hidden="1">
              <a:extLst>
                <a:ext uri="{63B3BB69-23CF-44E3-9099-C40C66FF867C}">
                  <a14:compatExt spid="_x0000_s176200"/>
                </a:ext>
                <a:ext uri="{FF2B5EF4-FFF2-40B4-BE49-F238E27FC236}">
                  <a16:creationId xmlns:a16="http://schemas.microsoft.com/office/drawing/2014/main" id="{00000000-0008-0000-0500-000048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6201" name="Check Box 73" hidden="1">
              <a:extLst>
                <a:ext uri="{63B3BB69-23CF-44E3-9099-C40C66FF867C}">
                  <a14:compatExt spid="_x0000_s176201"/>
                </a:ext>
                <a:ext uri="{FF2B5EF4-FFF2-40B4-BE49-F238E27FC236}">
                  <a16:creationId xmlns:a16="http://schemas.microsoft.com/office/drawing/2014/main" id="{00000000-0008-0000-0500-000049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53</xdr:row>
          <xdr:rowOff>19050</xdr:rowOff>
        </xdr:to>
        <xdr:sp macro="" textlink="">
          <xdr:nvSpPr>
            <xdr:cNvPr id="176202" name="Check Box 74" hidden="1">
              <a:extLst>
                <a:ext uri="{63B3BB69-23CF-44E3-9099-C40C66FF867C}">
                  <a14:compatExt spid="_x0000_s176202"/>
                </a:ext>
                <a:ext uri="{FF2B5EF4-FFF2-40B4-BE49-F238E27FC236}">
                  <a16:creationId xmlns:a16="http://schemas.microsoft.com/office/drawing/2014/main" id="{00000000-0008-0000-0500-00004A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6203" name="Check Box 75" hidden="1">
              <a:extLst>
                <a:ext uri="{63B3BB69-23CF-44E3-9099-C40C66FF867C}">
                  <a14:compatExt spid="_x0000_s176203"/>
                </a:ext>
                <a:ext uri="{FF2B5EF4-FFF2-40B4-BE49-F238E27FC236}">
                  <a16:creationId xmlns:a16="http://schemas.microsoft.com/office/drawing/2014/main" id="{00000000-0008-0000-0500-00004B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6204" name="Check Box 76" hidden="1">
              <a:extLst>
                <a:ext uri="{63B3BB69-23CF-44E3-9099-C40C66FF867C}">
                  <a14:compatExt spid="_x0000_s176204"/>
                </a:ext>
                <a:ext uri="{FF2B5EF4-FFF2-40B4-BE49-F238E27FC236}">
                  <a16:creationId xmlns:a16="http://schemas.microsoft.com/office/drawing/2014/main" id="{00000000-0008-0000-0500-00004C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6205" name="Check Box 77" hidden="1">
              <a:extLst>
                <a:ext uri="{63B3BB69-23CF-44E3-9099-C40C66FF867C}">
                  <a14:compatExt spid="_x0000_s176205"/>
                </a:ext>
                <a:ext uri="{FF2B5EF4-FFF2-40B4-BE49-F238E27FC236}">
                  <a16:creationId xmlns:a16="http://schemas.microsoft.com/office/drawing/2014/main" id="{00000000-0008-0000-0500-00004D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0</xdr:rowOff>
        </xdr:from>
        <xdr:to>
          <xdr:col>0</xdr:col>
          <xdr:colOff>295275</xdr:colOff>
          <xdr:row>63</xdr:row>
          <xdr:rowOff>19050</xdr:rowOff>
        </xdr:to>
        <xdr:sp macro="" textlink="">
          <xdr:nvSpPr>
            <xdr:cNvPr id="176206" name="Check Box 78" hidden="1">
              <a:extLst>
                <a:ext uri="{63B3BB69-23CF-44E3-9099-C40C66FF867C}">
                  <a14:compatExt spid="_x0000_s176206"/>
                </a:ext>
                <a:ext uri="{FF2B5EF4-FFF2-40B4-BE49-F238E27FC236}">
                  <a16:creationId xmlns:a16="http://schemas.microsoft.com/office/drawing/2014/main" id="{00000000-0008-0000-0500-00004E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POON</v>
          </cell>
          <cell r="E5" t="str">
            <v>SF1 / POON</v>
          </cell>
          <cell r="F5"/>
          <cell r="G5"/>
          <cell r="H5"/>
        </row>
        <row r="6">
          <cell r="A6">
            <v>40517</v>
          </cell>
          <cell r="B6">
            <v>1147</v>
          </cell>
          <cell r="C6" t="str">
            <v>WCF NATIONAL INSURANCE COMPANY</v>
          </cell>
          <cell r="D6" t="str">
            <v>LA3 / SOTINGCO</v>
          </cell>
          <cell r="E6" t="str">
            <v>LA3 / SOTINGCO</v>
          </cell>
          <cell r="F6"/>
          <cell r="G6"/>
          <cell r="H6"/>
        </row>
        <row r="7">
          <cell r="A7">
            <v>99000</v>
          </cell>
          <cell r="B7">
            <v>0</v>
          </cell>
          <cell r="C7" t="str">
            <v>AFIA (JUA)</v>
          </cell>
          <cell r="D7" t="str">
            <v>SF1 / WONG</v>
          </cell>
          <cell r="E7" t="str">
            <v>SF1 / WONG</v>
          </cell>
          <cell r="F7"/>
          <cell r="G7"/>
          <cell r="H7"/>
        </row>
        <row r="8">
          <cell r="A8">
            <v>99001</v>
          </cell>
          <cell r="B8">
            <v>0</v>
          </cell>
          <cell r="C8" t="str">
            <v>AIRCRAFT PRODUCTS INSURANCE ASSOCIATION (JUA)</v>
          </cell>
          <cell r="D8" t="str">
            <v>LA1 / HUH</v>
          </cell>
          <cell r="E8" t="str">
            <v>LA1 / OKPARA</v>
          </cell>
          <cell r="F8"/>
          <cell r="G8"/>
          <cell r="H8"/>
        </row>
        <row r="9">
          <cell r="A9">
            <v>10221</v>
          </cell>
          <cell r="B9">
            <v>0</v>
          </cell>
          <cell r="C9" t="str">
            <v>ALISTAR INSURANCE COMPANY</v>
          </cell>
          <cell r="D9" t="str">
            <v>SF1 / HILL</v>
          </cell>
          <cell r="E9" t="str">
            <v>SF1 / HILL</v>
          </cell>
          <cell r="F9"/>
          <cell r="G9"/>
          <cell r="H9"/>
        </row>
        <row r="10">
          <cell r="A10">
            <v>88001</v>
          </cell>
          <cell r="B10">
            <v>0</v>
          </cell>
          <cell r="C10" t="str">
            <v>ALLIANCE OF AMERICAN INSURERS (AO)</v>
          </cell>
          <cell r="D10" t="str">
            <v>LA3 / SOTINGCO</v>
          </cell>
          <cell r="E10" t="str">
            <v>LA3 / SOTINGCO</v>
          </cell>
          <cell r="F10"/>
          <cell r="G10"/>
          <cell r="H10"/>
        </row>
        <row r="11">
          <cell r="A11">
            <v>88000</v>
          </cell>
          <cell r="B11">
            <v>0</v>
          </cell>
          <cell r="C11" t="str">
            <v>ALL-INDUSTRY RESEARCH ADVISORY COUNCIL (AO)</v>
          </cell>
          <cell r="D11" t="str">
            <v>LA3 / SOTINGCO</v>
          </cell>
          <cell r="E11" t="str">
            <v>LA3 / SOTINGCO</v>
          </cell>
          <cell r="F11"/>
          <cell r="G11"/>
          <cell r="H11"/>
        </row>
        <row r="12">
          <cell r="A12">
            <v>30902</v>
          </cell>
          <cell r="B12">
            <v>0</v>
          </cell>
          <cell r="C12" t="str">
            <v>ALPINE INSURANCE COMPANY</v>
          </cell>
          <cell r="D12" t="str">
            <v>LA1 / HUH</v>
          </cell>
          <cell r="E12" t="str">
            <v>LA1 / OKPARA</v>
          </cell>
          <cell r="F12"/>
          <cell r="G12"/>
          <cell r="H12"/>
        </row>
        <row r="13">
          <cell r="A13">
            <v>32450</v>
          </cell>
          <cell r="B13">
            <v>0</v>
          </cell>
          <cell r="C13" t="str">
            <v>ALPS PROPERTY &amp; CASUALTY INSURANCE CO</v>
          </cell>
          <cell r="D13" t="str">
            <v>LA1 / HUH</v>
          </cell>
          <cell r="E13" t="str">
            <v>LA1 / AHN</v>
          </cell>
          <cell r="F13"/>
          <cell r="G13"/>
          <cell r="H13"/>
        </row>
        <row r="14">
          <cell r="A14">
            <v>88002</v>
          </cell>
          <cell r="B14">
            <v>0</v>
          </cell>
          <cell r="C14" t="str">
            <v>AMERICAN ASSOCIATION OF INSURANCE SERVICES (AO)</v>
          </cell>
          <cell r="D14" t="str">
            <v>LA3 / SAPIN</v>
          </cell>
          <cell r="E14" t="str">
            <v>LA3 / SAPIN</v>
          </cell>
          <cell r="F14"/>
          <cell r="G14"/>
          <cell r="H14"/>
        </row>
        <row r="15">
          <cell r="A15">
            <v>10138</v>
          </cell>
          <cell r="B15">
            <v>0</v>
          </cell>
          <cell r="C15" t="str">
            <v>AMERICAN BONDING COMPANY</v>
          </cell>
          <cell r="D15" t="str">
            <v>LA1 / HUH</v>
          </cell>
          <cell r="E15" t="str">
            <v>LA1 / AHN</v>
          </cell>
          <cell r="F15"/>
          <cell r="G15"/>
          <cell r="H15"/>
        </row>
        <row r="16">
          <cell r="A16">
            <v>16403</v>
          </cell>
          <cell r="B16">
            <v>0</v>
          </cell>
          <cell r="C16" t="str">
            <v>AMERICAN GROWERS INSURANCE COMPANY</v>
          </cell>
          <cell r="D16" t="str">
            <v>SF1 / WONG</v>
          </cell>
          <cell r="E16" t="str">
            <v>SF1 / WONG</v>
          </cell>
          <cell r="F16"/>
          <cell r="G16"/>
          <cell r="H16"/>
        </row>
        <row r="17">
          <cell r="A17">
            <v>28100</v>
          </cell>
          <cell r="B17">
            <v>0</v>
          </cell>
          <cell r="C17" t="str">
            <v>AMERICAN HORIZON INSURANCE COMPANY</v>
          </cell>
          <cell r="D17" t="str">
            <v>LA2 / CHENG</v>
          </cell>
          <cell r="E17" t="str">
            <v>LA2 / CHENG</v>
          </cell>
          <cell r="F17"/>
          <cell r="G17"/>
          <cell r="H17"/>
        </row>
        <row r="18">
          <cell r="A18">
            <v>88003</v>
          </cell>
          <cell r="B18">
            <v>0</v>
          </cell>
          <cell r="C18" t="str">
            <v>AMERICAN INSURANCE ASSOCIATION (AO)</v>
          </cell>
          <cell r="D18" t="str">
            <v>LA3 / SOTINGCO</v>
          </cell>
          <cell r="E18" t="str">
            <v>LA3 / SOTINGCO</v>
          </cell>
          <cell r="F18"/>
          <cell r="G18"/>
          <cell r="H18"/>
        </row>
        <row r="19">
          <cell r="A19">
            <v>99003</v>
          </cell>
          <cell r="B19">
            <v>0</v>
          </cell>
          <cell r="C19" t="str">
            <v>AMERICAN NEGATIVE FILM SYNDICATE (JUA)</v>
          </cell>
          <cell r="D19" t="str">
            <v>SF1 / WONG</v>
          </cell>
          <cell r="E19" t="str">
            <v>SF1 / WONG</v>
          </cell>
          <cell r="F19"/>
          <cell r="G19"/>
          <cell r="H19"/>
        </row>
        <row r="20">
          <cell r="A20">
            <v>21806</v>
          </cell>
          <cell r="B20">
            <v>0</v>
          </cell>
          <cell r="C20" t="str">
            <v>AMERICAN PROPERTY INSURANCE COMPANY</v>
          </cell>
          <cell r="D20" t="str">
            <v>SF1 / WONG</v>
          </cell>
          <cell r="E20" t="str">
            <v>SF1 / WONG</v>
          </cell>
          <cell r="F20"/>
          <cell r="G20"/>
          <cell r="H20"/>
        </row>
        <row r="21">
          <cell r="A21">
            <v>19631</v>
          </cell>
          <cell r="B21">
            <v>0</v>
          </cell>
          <cell r="C21" t="str">
            <v>AMERICAN ROAD INSURANCE COMPANY</v>
          </cell>
          <cell r="D21" t="str">
            <v>LA1 / HUH</v>
          </cell>
          <cell r="E21" t="str">
            <v>LA1 / OKPARA</v>
          </cell>
          <cell r="F21"/>
          <cell r="G21"/>
          <cell r="H21"/>
        </row>
        <row r="22">
          <cell r="A22">
            <v>31380</v>
          </cell>
          <cell r="B22">
            <v>0</v>
          </cell>
          <cell r="C22" t="str">
            <v>AMERICAN SURETY COMPANY</v>
          </cell>
          <cell r="D22" t="str">
            <v>LA1 / HUH</v>
          </cell>
          <cell r="E22" t="str">
            <v>LA1 / AHN</v>
          </cell>
          <cell r="F22"/>
          <cell r="G22"/>
          <cell r="H22"/>
        </row>
        <row r="23">
          <cell r="A23">
            <v>27928</v>
          </cell>
          <cell r="B23">
            <v>0</v>
          </cell>
          <cell r="C23" t="str">
            <v>AMEX ASSURANCE COMPANY</v>
          </cell>
          <cell r="D23" t="str">
            <v>LA1 / HUH</v>
          </cell>
          <cell r="E23" t="str">
            <v>LA1 / OKPARA</v>
          </cell>
          <cell r="F23"/>
          <cell r="G23"/>
          <cell r="H23"/>
        </row>
        <row r="24">
          <cell r="A24">
            <v>34738</v>
          </cell>
          <cell r="B24">
            <v>0</v>
          </cell>
          <cell r="C24" t="str">
            <v>ARAG INSURANCE COMPANY</v>
          </cell>
          <cell r="D24" t="str">
            <v>SF1 / POON</v>
          </cell>
          <cell r="E24" t="str">
            <v>SF1 / POON</v>
          </cell>
          <cell r="F24"/>
          <cell r="G24"/>
          <cell r="H24"/>
        </row>
        <row r="25">
          <cell r="A25">
            <v>25291</v>
          </cell>
          <cell r="B25">
            <v>0</v>
          </cell>
          <cell r="C25" t="str">
            <v>ARDI EXCHANGE (Risk Retention Group)</v>
          </cell>
          <cell r="D25" t="str">
            <v>LA1 / HUH</v>
          </cell>
          <cell r="E25" t="str">
            <v>LA1 / AHN</v>
          </cell>
          <cell r="F25"/>
          <cell r="G25"/>
          <cell r="H25"/>
        </row>
        <row r="26">
          <cell r="A26">
            <v>41459</v>
          </cell>
          <cell r="B26">
            <v>0</v>
          </cell>
          <cell r="C26" t="str">
            <v>ARMED FORCES INSURANCE EXCHANGE</v>
          </cell>
          <cell r="D26" t="str">
            <v>SF1 / WONG</v>
          </cell>
          <cell r="E26" t="str">
            <v>SF1 / WONG</v>
          </cell>
          <cell r="F26"/>
          <cell r="G26"/>
          <cell r="H26"/>
        </row>
        <row r="27">
          <cell r="A27">
            <v>24678</v>
          </cell>
          <cell r="B27">
            <v>0</v>
          </cell>
          <cell r="C27" t="str">
            <v>ARROWOOD INDEMNITY COMPANY</v>
          </cell>
          <cell r="D27" t="str">
            <v>LA1 / HUH</v>
          </cell>
          <cell r="E27" t="str">
            <v>LA1 / OKPARA</v>
          </cell>
          <cell r="F27" t="str">
            <v>SF2 / GOTERA-PITROU</v>
          </cell>
          <cell r="G27"/>
          <cell r="H27"/>
        </row>
        <row r="28">
          <cell r="A28">
            <v>15290</v>
          </cell>
          <cell r="B28">
            <v>0</v>
          </cell>
          <cell r="C28" t="str">
            <v>ASPIRE GENERAL INSURANCE COMPANY</v>
          </cell>
          <cell r="D28" t="str">
            <v>LA2 / CHENG</v>
          </cell>
          <cell r="E28" t="str">
            <v>LA2 / CHENG</v>
          </cell>
          <cell r="F28"/>
          <cell r="G28"/>
          <cell r="H28"/>
        </row>
        <row r="29">
          <cell r="A29">
            <v>99004</v>
          </cell>
          <cell r="B29">
            <v>0</v>
          </cell>
          <cell r="C29" t="str">
            <v>ASSOCIATED AVIATION UNDERWRITERS (JUA)</v>
          </cell>
          <cell r="D29" t="str">
            <v>LA3 / ZHAO</v>
          </cell>
          <cell r="E29" t="str">
            <v>LA3 / ZHAO</v>
          </cell>
          <cell r="F29"/>
          <cell r="G29"/>
          <cell r="H29"/>
        </row>
        <row r="30">
          <cell r="A30">
            <v>99005</v>
          </cell>
          <cell r="B30">
            <v>0</v>
          </cell>
          <cell r="C30" t="str">
            <v>ASSOCIATION OF MILL AND ELEVATOR MUTUAL INSURANCE COMPANIES (JUA)</v>
          </cell>
          <cell r="D30" t="str">
            <v>LA2 / CHENG</v>
          </cell>
          <cell r="E30" t="str">
            <v>LA2 / CHENG</v>
          </cell>
          <cell r="F30"/>
          <cell r="G30"/>
          <cell r="H30"/>
        </row>
        <row r="31">
          <cell r="A31">
            <v>25422</v>
          </cell>
          <cell r="B31">
            <v>0</v>
          </cell>
          <cell r="C31" t="str">
            <v>ATRADIUS TRADE CREDIT INSURANCE, INC.</v>
          </cell>
          <cell r="D31" t="str">
            <v>SF1 / HILL</v>
          </cell>
          <cell r="E31" t="str">
            <v>SF1 / HILL</v>
          </cell>
          <cell r="F31" t="str">
            <v>SF2 / GOTERA-PITROU</v>
          </cell>
          <cell r="G31"/>
          <cell r="H31"/>
        </row>
        <row r="32">
          <cell r="A32">
            <v>99006</v>
          </cell>
          <cell r="B32">
            <v>0</v>
          </cell>
          <cell r="C32" t="str">
            <v>AVIATION INSURANCE MANAGERS, INCORPORATION</v>
          </cell>
          <cell r="D32" t="str">
            <v>SF2 / TRANZOR</v>
          </cell>
          <cell r="E32" t="str">
            <v>SF2 / TRANZOR</v>
          </cell>
          <cell r="F32" t="str">
            <v>SF2 / TRANZOR</v>
          </cell>
          <cell r="G32"/>
          <cell r="H32"/>
        </row>
        <row r="33">
          <cell r="A33">
            <v>18538</v>
          </cell>
          <cell r="B33">
            <v>0</v>
          </cell>
          <cell r="C33" t="str">
            <v>BANCINSURE, INC.</v>
          </cell>
          <cell r="D33" t="str">
            <v>LA2 / CHENG</v>
          </cell>
          <cell r="E33" t="str">
            <v>LA2 / CHENG</v>
          </cell>
          <cell r="F33"/>
          <cell r="G33"/>
          <cell r="H33"/>
        </row>
        <row r="34">
          <cell r="A34"/>
          <cell r="B34"/>
          <cell r="C34"/>
          <cell r="D34"/>
          <cell r="E34"/>
          <cell r="F34"/>
          <cell r="G34"/>
          <cell r="H34"/>
        </row>
        <row r="35">
          <cell r="A35">
            <v>12319</v>
          </cell>
          <cell r="B35">
            <v>0</v>
          </cell>
          <cell r="C35" t="str">
            <v>BONDSMAN INSURANCE COMPANY</v>
          </cell>
          <cell r="D35" t="str">
            <v>LA2 / GUAN</v>
          </cell>
          <cell r="E35" t="str">
            <v>LA2 / GUAN</v>
          </cell>
          <cell r="F35" t="str">
            <v>SF2 / GOTERA-PITROU</v>
          </cell>
          <cell r="G35"/>
          <cell r="H35"/>
        </row>
        <row r="36">
          <cell r="A36">
            <v>13528</v>
          </cell>
          <cell r="B36">
            <v>0</v>
          </cell>
          <cell r="C36" t="str">
            <v>BROTHERHOOD MUTUAL INSURANCE COMPANY</v>
          </cell>
          <cell r="D36" t="str">
            <v>SF2 / TRANZOR</v>
          </cell>
          <cell r="E36" t="str">
            <v>SF2 / TRANZOR</v>
          </cell>
          <cell r="F36" t="str">
            <v>SF2 / TRANZOR</v>
          </cell>
          <cell r="G36"/>
          <cell r="H36"/>
        </row>
        <row r="37">
          <cell r="A37">
            <v>10830</v>
          </cell>
          <cell r="B37">
            <v>0</v>
          </cell>
          <cell r="C37" t="str">
            <v>BUSINESS ALLIANCE INSURANCE COMPANY</v>
          </cell>
          <cell r="D37" t="str">
            <v>SF1 / WONG</v>
          </cell>
          <cell r="E37" t="str">
            <v>SF1 / WONG</v>
          </cell>
          <cell r="F37" t="str">
            <v>SF2 / GOTERA-PITROU</v>
          </cell>
          <cell r="G37"/>
          <cell r="H37"/>
        </row>
        <row r="38">
          <cell r="A38">
            <v>20656</v>
          </cell>
          <cell r="B38">
            <v>0</v>
          </cell>
          <cell r="C38" t="str">
            <v>C E HEATH COMPENSATION AND LIABILITY INSURANCE COMPANY</v>
          </cell>
          <cell r="D38" t="str">
            <v>LA2 / CHENG</v>
          </cell>
          <cell r="E38" t="str">
            <v>LA2 / CHENG</v>
          </cell>
          <cell r="F38"/>
          <cell r="G38"/>
          <cell r="H38"/>
        </row>
        <row r="39">
          <cell r="A39">
            <v>18538</v>
          </cell>
          <cell r="B39">
            <v>0</v>
          </cell>
          <cell r="C39" t="str">
            <v>CALIFORNIA BANKERS ASSURANCE COMPANY (see BancInsure Inc)</v>
          </cell>
          <cell r="D39" t="str">
            <v>LA2 / CHENG</v>
          </cell>
          <cell r="E39" t="str">
            <v>LA2 / CHENG</v>
          </cell>
          <cell r="F39"/>
          <cell r="G39"/>
          <cell r="H39"/>
        </row>
        <row r="40">
          <cell r="A40">
            <v>22284</v>
          </cell>
          <cell r="B40">
            <v>0</v>
          </cell>
          <cell r="C40" t="str">
            <v>CALIFORNIA COMPENSATION INSURANCE COMPANY</v>
          </cell>
          <cell r="D40" t="str">
            <v>LA2 / CHENG</v>
          </cell>
          <cell r="E40" t="str">
            <v>LA2 / CHENG</v>
          </cell>
          <cell r="F40"/>
          <cell r="G40"/>
          <cell r="H40"/>
        </row>
        <row r="41">
          <cell r="A41">
            <v>10779</v>
          </cell>
          <cell r="B41">
            <v>0</v>
          </cell>
          <cell r="C41" t="str">
            <v>CALIFORNIA EARTHQUAKE AUTHORITY</v>
          </cell>
          <cell r="D41" t="str">
            <v>RAO / SANANDAJIFAR</v>
          </cell>
          <cell r="E41"/>
          <cell r="F41"/>
          <cell r="G41" t="str">
            <v>RAO / SANANDAJIFAR</v>
          </cell>
          <cell r="H41"/>
        </row>
        <row r="42">
          <cell r="A42">
            <v>33665</v>
          </cell>
          <cell r="B42">
            <v>0</v>
          </cell>
          <cell r="C42" t="str">
            <v>CALIFORNIA FAIR PLAN</v>
          </cell>
          <cell r="D42" t="str">
            <v>LA3 / SAPIN</v>
          </cell>
          <cell r="E42" t="str">
            <v>LA3 / SAPIN</v>
          </cell>
          <cell r="F42"/>
          <cell r="G42" t="str">
            <v>RAO / CIMINI</v>
          </cell>
          <cell r="H42"/>
        </row>
        <row r="43">
          <cell r="A43">
            <v>27480</v>
          </cell>
          <cell r="B43">
            <v>0</v>
          </cell>
          <cell r="C43" t="str">
            <v>CALIFORNIA MUTUAL INSURANCE COMPANY</v>
          </cell>
          <cell r="D43" t="str">
            <v>LA2 / CHENG</v>
          </cell>
          <cell r="E43" t="str">
            <v>LA2 / CHENG</v>
          </cell>
          <cell r="F43"/>
          <cell r="G43"/>
          <cell r="H43"/>
        </row>
        <row r="44">
          <cell r="A44">
            <v>36340</v>
          </cell>
          <cell r="B44">
            <v>0</v>
          </cell>
          <cell r="C44" t="str">
            <v>CAMICO MUTUAL INSURANCE COMPANY</v>
          </cell>
          <cell r="D44" t="str">
            <v>LA2 / CHENG</v>
          </cell>
          <cell r="E44" t="str">
            <v>LA2 / CHENG</v>
          </cell>
          <cell r="F44"/>
          <cell r="G44"/>
          <cell r="H44"/>
        </row>
        <row r="45">
          <cell r="A45">
            <v>10175</v>
          </cell>
          <cell r="B45">
            <v>0</v>
          </cell>
          <cell r="C45" t="str">
            <v>CASCADE NATIONAL INSURANCE COMPANY</v>
          </cell>
          <cell r="D45" t="str">
            <v>LA1 / HUH</v>
          </cell>
          <cell r="E45" t="str">
            <v>LA1 / OKPARA</v>
          </cell>
          <cell r="F45"/>
          <cell r="G45"/>
          <cell r="H45"/>
        </row>
        <row r="46">
          <cell r="A46">
            <v>40134</v>
          </cell>
          <cell r="B46">
            <v>0</v>
          </cell>
          <cell r="C46" t="str">
            <v>CASTLEPOINT NATIONAL INSURANCE COMPANY</v>
          </cell>
          <cell r="D46" t="str">
            <v>LA1 / HUH</v>
          </cell>
          <cell r="E46" t="str">
            <v>LA1 / OKPARA</v>
          </cell>
          <cell r="F46"/>
          <cell r="G46"/>
          <cell r="H46"/>
        </row>
        <row r="47">
          <cell r="A47">
            <v>20273</v>
          </cell>
          <cell r="B47">
            <v>0</v>
          </cell>
          <cell r="C47" t="str">
            <v>CEDAR INSURANCE COMPANY	(changed group code from 5001 to 0 effective Aug. 8, 2021)</v>
          </cell>
          <cell r="D47" t="str">
            <v>SF2 / DEMESA</v>
          </cell>
          <cell r="E47" t="str">
            <v>SF2 / DEMESA</v>
          </cell>
          <cell r="F47" t="str">
            <v>SF2 / DEMESA</v>
          </cell>
          <cell r="G47"/>
          <cell r="H47"/>
        </row>
        <row r="48">
          <cell r="A48">
            <v>38440</v>
          </cell>
          <cell r="B48">
            <v>0</v>
          </cell>
          <cell r="C48" t="str">
            <v>CHARIOTS OF HIRE R R G INSURANCE COMPANY</v>
          </cell>
          <cell r="D48" t="str">
            <v>LA2 / CHENG</v>
          </cell>
          <cell r="E48" t="str">
            <v>LA2 / CHENG</v>
          </cell>
          <cell r="F48" t="str">
            <v>SF2 / GOTERA-PITROU</v>
          </cell>
          <cell r="G48"/>
          <cell r="H48"/>
        </row>
        <row r="49">
          <cell r="A49">
            <v>10642</v>
          </cell>
          <cell r="B49">
            <v>0</v>
          </cell>
          <cell r="C49" t="str">
            <v>CHEROKEE INSURANCE COMPANY</v>
          </cell>
          <cell r="D49" t="str">
            <v>LA3 / ZHAO</v>
          </cell>
          <cell r="E49" t="str">
            <v>LA3 / ZHAO</v>
          </cell>
          <cell r="F49"/>
          <cell r="G49"/>
          <cell r="H49"/>
        </row>
        <row r="50">
          <cell r="A50">
            <v>16524</v>
          </cell>
          <cell r="B50">
            <v>0</v>
          </cell>
          <cell r="C50" t="str">
            <v>CLEARCOVER INSURANCE COMPANY</v>
          </cell>
          <cell r="D50" t="str">
            <v>LA3 / ZHAO</v>
          </cell>
          <cell r="E50" t="str">
            <v>LA3 / ZHAO</v>
          </cell>
          <cell r="F50"/>
          <cell r="G50"/>
          <cell r="H50"/>
        </row>
        <row r="51">
          <cell r="A51">
            <v>10758</v>
          </cell>
          <cell r="B51">
            <v>0</v>
          </cell>
          <cell r="C51" t="str">
            <v>COLONIAL SURETY COMPANY</v>
          </cell>
          <cell r="D51" t="str">
            <v>LA1 / HUH</v>
          </cell>
          <cell r="E51" t="str">
            <v>LA1 / AHN</v>
          </cell>
          <cell r="F51"/>
          <cell r="G51"/>
          <cell r="H51"/>
        </row>
        <row r="52">
          <cell r="A52">
            <v>36374</v>
          </cell>
          <cell r="B52">
            <v>0</v>
          </cell>
          <cell r="C52" t="str">
            <v>COMMERCIAL CASUALTY INSURANCE COMPANY OF NORTH CAROLINA (dba Environmental and Casualty Ins Co)</v>
          </cell>
          <cell r="D52" t="str">
            <v>SF1 / HILL</v>
          </cell>
          <cell r="E52" t="str">
            <v>SF1 / HILL</v>
          </cell>
          <cell r="F52"/>
          <cell r="G52"/>
          <cell r="H52"/>
        </row>
        <row r="53">
          <cell r="A53">
            <v>15555</v>
          </cell>
          <cell r="B53">
            <v>0</v>
          </cell>
          <cell r="C53" t="str">
            <v>COMMERCIAL FISHERMEN'S INTER-INSURANCE EXCHANGE</v>
          </cell>
          <cell r="D53" t="str">
            <v>SF1 / HILL</v>
          </cell>
          <cell r="E53" t="str">
            <v>SF1 / HILL</v>
          </cell>
          <cell r="F53"/>
          <cell r="G53"/>
          <cell r="H53"/>
        </row>
        <row r="54">
          <cell r="A54">
            <v>10220</v>
          </cell>
          <cell r="B54">
            <v>0</v>
          </cell>
          <cell r="C54" t="str">
            <v>COMMONWEALTH INSURANCE CO. OF AMERICA (Changed Name to Accelerant National Insurance Company)</v>
          </cell>
          <cell r="D54" t="str">
            <v>LA1 / HUH</v>
          </cell>
          <cell r="E54" t="str">
            <v>LA1 / AHN</v>
          </cell>
          <cell r="F54"/>
          <cell r="G54"/>
          <cell r="H54"/>
        </row>
        <row r="55">
          <cell r="A55">
            <v>10891</v>
          </cell>
          <cell r="B55">
            <v>0</v>
          </cell>
          <cell r="C55" t="str">
            <v>CONCERT INSURANCE COMPANY</v>
          </cell>
          <cell r="D55" t="str">
            <v>LA3 / SOTINGCO</v>
          </cell>
          <cell r="E55" t="str">
            <v>LA3 / SOTINGCO</v>
          </cell>
          <cell r="F55"/>
          <cell r="G55"/>
          <cell r="H55"/>
        </row>
        <row r="56">
          <cell r="A56">
            <v>36960</v>
          </cell>
          <cell r="B56">
            <v>0</v>
          </cell>
          <cell r="C56" t="str">
            <v>CONNECTICUT SURETY COMPANY</v>
          </cell>
          <cell r="D56" t="str">
            <v>LA1 / HUH</v>
          </cell>
          <cell r="E56" t="str">
            <v>LA1 / OKPARA</v>
          </cell>
          <cell r="F56"/>
          <cell r="G56"/>
          <cell r="H56"/>
        </row>
        <row r="57">
          <cell r="A57">
            <v>44261</v>
          </cell>
          <cell r="B57">
            <v>0</v>
          </cell>
          <cell r="C57" t="str">
            <v>CONSOLIDATED SURETY INS CO (dba American Contractors Indemnity Co)</v>
          </cell>
          <cell r="D57" t="str">
            <v>LA3 / ZHAO</v>
          </cell>
          <cell r="E57" t="str">
            <v>LA3 / ZHAO</v>
          </cell>
          <cell r="F57"/>
          <cell r="G57"/>
          <cell r="H57"/>
        </row>
        <row r="58">
          <cell r="A58">
            <v>32190</v>
          </cell>
          <cell r="B58">
            <v>0</v>
          </cell>
          <cell r="C58" t="str">
            <v>CONSTITUTION INSURANCE COMPANY</v>
          </cell>
          <cell r="D58" t="str">
            <v>LA1 / HUH</v>
          </cell>
          <cell r="E58" t="str">
            <v>LA1 / AHN</v>
          </cell>
          <cell r="F58"/>
          <cell r="G58"/>
          <cell r="H58"/>
        </row>
        <row r="59">
          <cell r="A59">
            <v>39551</v>
          </cell>
          <cell r="B59">
            <v>0</v>
          </cell>
          <cell r="C59" t="str">
            <v>CONTINENTAL HERITAGE INSURANCE COMPANY</v>
          </cell>
          <cell r="D59" t="str">
            <v>SF1 / POON</v>
          </cell>
          <cell r="E59" t="str">
            <v>SF1 / POON</v>
          </cell>
          <cell r="F59"/>
          <cell r="G59"/>
          <cell r="H59"/>
        </row>
        <row r="60">
          <cell r="A60">
            <v>10783</v>
          </cell>
          <cell r="B60">
            <v>0</v>
          </cell>
          <cell r="C60" t="str">
            <v>CORNERSTONE NATIONAL INSURANCE COMPANY (withdrew as an insurer, effective August 30, 2021)</v>
          </cell>
          <cell r="D60" t="str">
            <v>SF2 / GOTERA-PITROU</v>
          </cell>
          <cell r="E60" t="str">
            <v>SF2 / GOTERA-PITROU</v>
          </cell>
          <cell r="F60" t="str">
            <v>SF2 / GOTERA-PITROU</v>
          </cell>
          <cell r="G60"/>
          <cell r="H60"/>
        </row>
        <row r="61">
          <cell r="A61">
            <v>99007</v>
          </cell>
          <cell r="B61">
            <v>0</v>
          </cell>
          <cell r="C61" t="str">
            <v>COTTON FIRE AND MARINE UNDERWRITERS</v>
          </cell>
          <cell r="D61" t="str">
            <v>LA1 / HUH</v>
          </cell>
          <cell r="E61" t="str">
            <v>LA1 / AHN</v>
          </cell>
          <cell r="F61"/>
          <cell r="G61"/>
          <cell r="H61"/>
        </row>
        <row r="62">
          <cell r="A62">
            <v>26492</v>
          </cell>
          <cell r="B62">
            <v>0</v>
          </cell>
          <cell r="C62" t="str">
            <v>COURTESY INSURANCE COMPANY</v>
          </cell>
          <cell r="D62" t="str">
            <v>SF1 / WONG</v>
          </cell>
          <cell r="E62" t="str">
            <v>SF1 / WONG</v>
          </cell>
          <cell r="F62"/>
          <cell r="G62"/>
          <cell r="H62"/>
        </row>
        <row r="63">
          <cell r="A63">
            <v>21016</v>
          </cell>
          <cell r="B63">
            <v>0</v>
          </cell>
          <cell r="C63" t="str">
            <v>COVENANT MUTUAL INSURANCE COMPANY</v>
          </cell>
          <cell r="D63" t="str">
            <v>LA1 / HUH</v>
          </cell>
          <cell r="E63" t="str">
            <v>LA1 / OKPARA</v>
          </cell>
          <cell r="F63"/>
          <cell r="G63"/>
          <cell r="H63"/>
        </row>
        <row r="64">
          <cell r="A64">
            <v>14010</v>
          </cell>
          <cell r="B64">
            <v>0</v>
          </cell>
          <cell r="C64" t="str">
            <v>CRUSADER INSURANCE COMPANY</v>
          </cell>
          <cell r="D64" t="str">
            <v>LA1 / HUH</v>
          </cell>
          <cell r="E64" t="str">
            <v>LA1 / AHN</v>
          </cell>
          <cell r="F64"/>
          <cell r="G64"/>
          <cell r="H64"/>
        </row>
        <row r="65">
          <cell r="A65">
            <v>12502</v>
          </cell>
          <cell r="B65">
            <v>0</v>
          </cell>
          <cell r="C65" t="str">
            <v>DB INSURANCE CO, LTD. (U.S. BRANCH)</v>
          </cell>
          <cell r="D65" t="str">
            <v>SF1 / POON</v>
          </cell>
          <cell r="E65" t="str">
            <v>SF1 / POON</v>
          </cell>
          <cell r="F65"/>
          <cell r="G65"/>
          <cell r="H65"/>
        </row>
        <row r="66">
          <cell r="A66">
            <v>40975</v>
          </cell>
          <cell r="B66">
            <v>0</v>
          </cell>
          <cell r="C66" t="str">
            <v>DENTISTS INSURANCE COMPANY</v>
          </cell>
          <cell r="D66" t="str">
            <v>SF2 / GOTERA-PITROU</v>
          </cell>
          <cell r="E66" t="str">
            <v>SF2 / GOTERA-PITROU</v>
          </cell>
          <cell r="F66" t="str">
            <v>SF2 / GOTERA-PITROU</v>
          </cell>
          <cell r="G66"/>
          <cell r="H66"/>
        </row>
        <row r="67">
          <cell r="A67">
            <v>33499</v>
          </cell>
          <cell r="B67">
            <v>0</v>
          </cell>
          <cell r="C67" t="str">
            <v>DORINCO REINSURANCE COMPANY</v>
          </cell>
          <cell r="D67" t="str">
            <v>LA2 / CHENG</v>
          </cell>
          <cell r="E67" t="str">
            <v>LA2 / CHENG</v>
          </cell>
          <cell r="F67"/>
          <cell r="G67"/>
          <cell r="H67"/>
        </row>
        <row r="68">
          <cell r="A68">
            <v>13688</v>
          </cell>
          <cell r="B68">
            <v>0</v>
          </cell>
          <cell r="C68" t="str">
            <v>ELEPHANT INSURANCE COMPANY</v>
          </cell>
          <cell r="D68" t="str">
            <v>SAC / VISWANATHAN</v>
          </cell>
          <cell r="E68" t="str">
            <v>SAC / VISWANATHAN</v>
          </cell>
          <cell r="F68"/>
          <cell r="G68"/>
          <cell r="H68"/>
        </row>
        <row r="69">
          <cell r="A69">
            <v>10979</v>
          </cell>
          <cell r="B69">
            <v>0</v>
          </cell>
          <cell r="C69" t="str">
            <v>ELITE INSURANCE COMPANY</v>
          </cell>
          <cell r="D69" t="str">
            <v>SF1 / WONG</v>
          </cell>
          <cell r="E69" t="str">
            <v>SF1 / WONG</v>
          </cell>
          <cell r="F69"/>
          <cell r="G69"/>
          <cell r="H69"/>
        </row>
        <row r="70">
          <cell r="A70">
            <v>99008</v>
          </cell>
          <cell r="B70">
            <v>0</v>
          </cell>
          <cell r="C70" t="str">
            <v>EXCESS BOND REINSURANCE ASSOCIATION (JUA)</v>
          </cell>
          <cell r="D70" t="str">
            <v>LA2 / CHENG</v>
          </cell>
          <cell r="E70" t="str">
            <v>LA2 / CHENG</v>
          </cell>
          <cell r="F70"/>
          <cell r="G70"/>
          <cell r="H70"/>
        </row>
        <row r="71">
          <cell r="A71">
            <v>99009</v>
          </cell>
          <cell r="B71">
            <v>0</v>
          </cell>
          <cell r="C71" t="str">
            <v>EXCESS OF LOSS ASSOCIATION</v>
          </cell>
          <cell r="D71" t="str">
            <v>SF2 / TRANZOR</v>
          </cell>
          <cell r="E71" t="str">
            <v>SF2 / TRANZOR</v>
          </cell>
          <cell r="F71" t="str">
            <v>SF2 / TRANZOR</v>
          </cell>
          <cell r="G71"/>
          <cell r="H71"/>
        </row>
        <row r="72">
          <cell r="A72">
            <v>88005</v>
          </cell>
          <cell r="B72">
            <v>0</v>
          </cell>
          <cell r="C72" t="str">
            <v>FACTORY MUTUAL SERVICE BUREAU (AO)</v>
          </cell>
          <cell r="D72" t="str">
            <v>LA3 / SOTINGCO</v>
          </cell>
          <cell r="E72" t="str">
            <v>LA3 / SOTINGCO</v>
          </cell>
          <cell r="F72"/>
          <cell r="G72"/>
          <cell r="H72"/>
        </row>
        <row r="73">
          <cell r="A73">
            <v>10873</v>
          </cell>
          <cell r="B73">
            <v>0</v>
          </cell>
          <cell r="C73" t="str">
            <v>FARMERS REINSURANCE COMPANY</v>
          </cell>
          <cell r="D73" t="str">
            <v>LA1 / HUH</v>
          </cell>
          <cell r="E73" t="str">
            <v>LA1 / OKPARA</v>
          </cell>
          <cell r="F73"/>
          <cell r="G73"/>
          <cell r="H73"/>
        </row>
        <row r="74">
          <cell r="A74">
            <v>11118</v>
          </cell>
          <cell r="B74">
            <v>0</v>
          </cell>
          <cell r="C74" t="str">
            <v>FEDERATED RURAL ELECTRIC INSURANCE EXCHANGE</v>
          </cell>
          <cell r="D74" t="str">
            <v>LA2 / CHENG</v>
          </cell>
          <cell r="E74" t="str">
            <v>LA2 / CHENG</v>
          </cell>
          <cell r="F74"/>
          <cell r="G74"/>
          <cell r="H74"/>
        </row>
        <row r="75">
          <cell r="A75">
            <v>12815</v>
          </cell>
          <cell r="B75">
            <v>0</v>
          </cell>
          <cell r="C75" t="str">
            <v>FGIC INSURANCE COMPANY (see Financial Guaranty Insurance Company)</v>
          </cell>
          <cell r="D75" t="str">
            <v>LA1 / HUH</v>
          </cell>
          <cell r="E75" t="str">
            <v>LA1 / AHN</v>
          </cell>
          <cell r="F75" t="str">
            <v>SF2 / GOTERA-PITROU</v>
          </cell>
          <cell r="G75"/>
          <cell r="H75"/>
        </row>
        <row r="76">
          <cell r="A76">
            <v>35009</v>
          </cell>
          <cell r="B76">
            <v>0</v>
          </cell>
          <cell r="C76" t="str">
            <v>FINANCIAL CASUALTY &amp; SURETY INC.</v>
          </cell>
          <cell r="D76" t="str">
            <v>LA3 / ZHAO</v>
          </cell>
          <cell r="E76" t="str">
            <v>LA3 / ZHAO</v>
          </cell>
          <cell r="F76"/>
          <cell r="G76"/>
          <cell r="H76"/>
        </row>
        <row r="77">
          <cell r="A77">
            <v>12815</v>
          </cell>
          <cell r="B77">
            <v>0</v>
          </cell>
          <cell r="C77" t="str">
            <v>FINANCIAL GUARANTY INS CO (dba FGIC I/C)</v>
          </cell>
          <cell r="D77" t="str">
            <v>SF1 / HILL</v>
          </cell>
          <cell r="E77" t="str">
            <v>SF1 / HILL</v>
          </cell>
          <cell r="F77" t="str">
            <v>SF2 / GOTERA-PITROU</v>
          </cell>
          <cell r="G77"/>
          <cell r="H77"/>
        </row>
        <row r="78">
          <cell r="A78">
            <v>99010</v>
          </cell>
          <cell r="B78">
            <v>0</v>
          </cell>
          <cell r="C78" t="str">
            <v>FOOD INDUSTRIES FEDERATION OF MUTUAL INS COMPANIES (JUA)</v>
          </cell>
          <cell r="D78" t="str">
            <v>LA1 / HUH</v>
          </cell>
          <cell r="E78" t="str">
            <v>LA1 / AHN</v>
          </cell>
          <cell r="F78"/>
          <cell r="G78"/>
          <cell r="H78"/>
        </row>
        <row r="79">
          <cell r="A79">
            <v>99011</v>
          </cell>
          <cell r="B79">
            <v>0</v>
          </cell>
          <cell r="C79" t="str">
            <v>FOREIGN CREDIT INSURANCE ASSOCIATION (JUA)</v>
          </cell>
          <cell r="D79" t="str">
            <v>LA2 / GUAN</v>
          </cell>
          <cell r="E79" t="str">
            <v>LA2 / GUAN</v>
          </cell>
          <cell r="F79"/>
          <cell r="G79"/>
          <cell r="H79"/>
        </row>
        <row r="80">
          <cell r="A80">
            <v>34266</v>
          </cell>
          <cell r="B80">
            <v>0</v>
          </cell>
          <cell r="C80" t="str">
            <v>FRONTIER INSURANCE COMPANY</v>
          </cell>
          <cell r="D80" t="str">
            <v>SF2 / TRANZOR</v>
          </cell>
          <cell r="E80" t="str">
            <v>SF2 / TRANZOR</v>
          </cell>
          <cell r="F80" t="str">
            <v>SF2 / TRANZOR</v>
          </cell>
          <cell r="G80"/>
          <cell r="H80"/>
        </row>
        <row r="81">
          <cell r="A81">
            <v>99012</v>
          </cell>
          <cell r="B81">
            <v>0</v>
          </cell>
          <cell r="C81" t="str">
            <v>FURRIERS CUSTOMERS REINSURANCE SYNDICATE</v>
          </cell>
          <cell r="D81" t="str">
            <v>SF1 / HILL</v>
          </cell>
          <cell r="E81" t="str">
            <v>SF1 / HILL</v>
          </cell>
          <cell r="F81"/>
          <cell r="G81"/>
          <cell r="H81"/>
        </row>
        <row r="82">
          <cell r="A82">
            <v>99013</v>
          </cell>
          <cell r="B82">
            <v>0</v>
          </cell>
          <cell r="C82" t="str">
            <v>GENERAL COVER UNDERWRITERS' ASSOCIATION (JUA)</v>
          </cell>
          <cell r="D82" t="str">
            <v>LA1 / HUH</v>
          </cell>
          <cell r="E82" t="str">
            <v>LA1 / AHN</v>
          </cell>
          <cell r="F82"/>
          <cell r="G82"/>
          <cell r="H82"/>
        </row>
        <row r="83">
          <cell r="A83">
            <v>11231</v>
          </cell>
          <cell r="B83">
            <v>0</v>
          </cell>
          <cell r="C83" t="str">
            <v>GENERALI ASSICURAZIONI  (dba General I/C of Triesta)</v>
          </cell>
          <cell r="D83" t="str">
            <v>LA2 / BAUTISTA</v>
          </cell>
          <cell r="E83" t="str">
            <v>LA2 / BAUTISTA</v>
          </cell>
          <cell r="F83"/>
          <cell r="G83"/>
          <cell r="H83"/>
        </row>
        <row r="84">
          <cell r="A84">
            <v>11231</v>
          </cell>
          <cell r="B84">
            <v>0</v>
          </cell>
          <cell r="C84" t="str">
            <v>GENERALI ASSICURAZIONI GENERALI S.P.A. (U.S. BRANCH) (See Generali-US Branch)</v>
          </cell>
          <cell r="D84" t="str">
            <v>LA2 / BAUTISTA</v>
          </cell>
          <cell r="E84" t="str">
            <v>LA2 / BAUTISTA</v>
          </cell>
          <cell r="F84"/>
          <cell r="G84"/>
          <cell r="H84"/>
        </row>
        <row r="85">
          <cell r="A85">
            <v>11231</v>
          </cell>
          <cell r="B85">
            <v>0</v>
          </cell>
          <cell r="C85" t="str">
            <v>GENERALI-US BRANCH (See Generali Assicurazioni Generali S.P.A. (U.S. Branch))</v>
          </cell>
          <cell r="D85" t="str">
            <v>LA2 / BAUTISTA</v>
          </cell>
          <cell r="E85" t="str">
            <v>LA2 / BAUTISTA</v>
          </cell>
          <cell r="F85"/>
          <cell r="G85"/>
          <cell r="H85"/>
        </row>
        <row r="86">
          <cell r="A86"/>
          <cell r="B86"/>
          <cell r="C86" t="str">
            <v>GLOBAL AEROSPACE, INC. (JUA)</v>
          </cell>
          <cell r="D86" t="str">
            <v>LA3 / ZHAO</v>
          </cell>
          <cell r="E86" t="str">
            <v>LA3 / ZHAO</v>
          </cell>
          <cell r="F86"/>
          <cell r="G86"/>
          <cell r="H86"/>
        </row>
        <row r="87">
          <cell r="A87">
            <v>39861</v>
          </cell>
          <cell r="B87">
            <v>0</v>
          </cell>
          <cell r="C87" t="str">
            <v>GOLDEN BEAR INSURANCE COMPANY</v>
          </cell>
          <cell r="D87" t="str">
            <v>LA2 / GUAN</v>
          </cell>
          <cell r="E87" t="str">
            <v>LA2 / GUAN</v>
          </cell>
          <cell r="F87"/>
          <cell r="G87"/>
          <cell r="H87"/>
        </row>
        <row r="88">
          <cell r="A88">
            <v>38148</v>
          </cell>
          <cell r="B88">
            <v>0</v>
          </cell>
          <cell r="C88" t="str">
            <v>GRANADA INDEMNITY INSURANCE COMPANY</v>
          </cell>
          <cell r="D88" t="str">
            <v>LA2 / LEE</v>
          </cell>
          <cell r="E88" t="str">
            <v>LA2 / LEE</v>
          </cell>
          <cell r="F88" t="str">
            <v>SF2 / GOTERA-PITROU</v>
          </cell>
          <cell r="G88"/>
          <cell r="H88"/>
        </row>
        <row r="89">
          <cell r="A89">
            <v>42269</v>
          </cell>
          <cell r="B89">
            <v>0</v>
          </cell>
          <cell r="C89" t="str">
            <v>GREENPATH INSURANCE COMPANY</v>
          </cell>
          <cell r="D89" t="str">
            <v>LA2 / GUAN</v>
          </cell>
          <cell r="E89" t="str">
            <v>LA2 / GUAN</v>
          </cell>
          <cell r="F89"/>
          <cell r="G89"/>
          <cell r="H89"/>
        </row>
        <row r="90">
          <cell r="A90">
            <v>11398</v>
          </cell>
          <cell r="B90">
            <v>0</v>
          </cell>
          <cell r="C90" t="str">
            <v>GUARANTEE INSURANCE COMPANY</v>
          </cell>
          <cell r="D90" t="str">
            <v>SF2 / DEMESA</v>
          </cell>
          <cell r="E90" t="str">
            <v>SF2 / DEMESA</v>
          </cell>
          <cell r="F90" t="str">
            <v>SF2 / DEMESA</v>
          </cell>
          <cell r="G90"/>
          <cell r="H90"/>
        </row>
        <row r="91">
          <cell r="A91">
            <v>35904</v>
          </cell>
          <cell r="B91">
            <v>0</v>
          </cell>
          <cell r="C91" t="str">
            <v>HEALTH CARE INDEMNITY, INC.</v>
          </cell>
          <cell r="D91" t="str">
            <v>SF1 / WONG</v>
          </cell>
          <cell r="E91" t="str">
            <v>SF1 / WONG</v>
          </cell>
          <cell r="F91"/>
          <cell r="G91"/>
          <cell r="H91"/>
        </row>
        <row r="92">
          <cell r="A92">
            <v>88006</v>
          </cell>
          <cell r="B92">
            <v>0</v>
          </cell>
          <cell r="C92" t="str">
            <v>HIGHWAY LOSS DATA INSTILINTE (AO)</v>
          </cell>
          <cell r="D92" t="str">
            <v>LA3 / SOTINGCO</v>
          </cell>
          <cell r="E92" t="str">
            <v>LA3 / SOTINGCO</v>
          </cell>
          <cell r="F92"/>
          <cell r="G92"/>
          <cell r="H92"/>
        </row>
        <row r="93">
          <cell r="A93">
            <v>20656</v>
          </cell>
          <cell r="B93">
            <v>0</v>
          </cell>
          <cell r="C93" t="str">
            <v>HIH AMERICA COMPENSATION &amp; LIABILITY INSURANCE COMPANY</v>
          </cell>
          <cell r="D93" t="str">
            <v>LA3 / SOTINGCO</v>
          </cell>
          <cell r="E93" t="str">
            <v>LA3 / SOTINGCO</v>
          </cell>
          <cell r="F93"/>
          <cell r="G93"/>
          <cell r="H93"/>
        </row>
        <row r="94">
          <cell r="A94">
            <v>10048</v>
          </cell>
          <cell r="B94">
            <v>0</v>
          </cell>
          <cell r="C94" t="str">
            <v>HYUNDAI MARINE AND FIRE INSURANCE COMPANY, LTD</v>
          </cell>
          <cell r="D94" t="str">
            <v>LA2 / CHENG</v>
          </cell>
          <cell r="E94" t="str">
            <v>LA2 / CHENG</v>
          </cell>
          <cell r="F94"/>
          <cell r="G94"/>
          <cell r="H94"/>
        </row>
        <row r="95">
          <cell r="A95">
            <v>11487</v>
          </cell>
          <cell r="B95">
            <v>0</v>
          </cell>
          <cell r="C95" t="str">
            <v>IMPERIAL CASUALTY AND INDEMNITY COMPANY</v>
          </cell>
          <cell r="D95" t="str">
            <v>LA2 / CHENG</v>
          </cell>
          <cell r="E95" t="str">
            <v>LA2 / CHENG</v>
          </cell>
          <cell r="F95"/>
          <cell r="G95"/>
          <cell r="H95"/>
        </row>
        <row r="96">
          <cell r="A96">
            <v>99014</v>
          </cell>
          <cell r="B96">
            <v>0</v>
          </cell>
          <cell r="C96" t="str">
            <v>IMPROVED RISK MUTUALS (JUA)</v>
          </cell>
          <cell r="D96" t="str">
            <v>LA2 / GUAN</v>
          </cell>
          <cell r="E96" t="str">
            <v>LA2 / GUAN</v>
          </cell>
          <cell r="F96"/>
          <cell r="G96"/>
          <cell r="H96"/>
        </row>
        <row r="97">
          <cell r="A97">
            <v>88007</v>
          </cell>
          <cell r="B97">
            <v>0</v>
          </cell>
          <cell r="C97" t="str">
            <v>INDEPENDENT MANUAL ADVISORY ORGANIZATION</v>
          </cell>
          <cell r="D97" t="str">
            <v>LA3 / SOTINGCO</v>
          </cell>
          <cell r="E97" t="str">
            <v>LA3 / SOTINGCO</v>
          </cell>
          <cell r="F97"/>
          <cell r="G97"/>
          <cell r="H97"/>
        </row>
        <row r="98">
          <cell r="A98">
            <v>88008</v>
          </cell>
          <cell r="B98">
            <v>0</v>
          </cell>
          <cell r="C98" t="str">
            <v>INDUSTRIAL RISK INSURERS (JUA)</v>
          </cell>
          <cell r="D98" t="str">
            <v>LA2 / GUAN</v>
          </cell>
          <cell r="E98" t="str">
            <v>LA2 / GUAN</v>
          </cell>
          <cell r="F98"/>
          <cell r="G98"/>
          <cell r="H98"/>
        </row>
        <row r="99">
          <cell r="A99">
            <v>88010</v>
          </cell>
          <cell r="B99">
            <v>0</v>
          </cell>
          <cell r="C99" t="str">
            <v>INLAND MARINE UNDERWRITERS ASSOCIATION (AO)</v>
          </cell>
          <cell r="D99" t="str">
            <v>LA3 / SOTINGCO</v>
          </cell>
          <cell r="E99" t="str">
            <v>LA3 / SOTINGCO</v>
          </cell>
          <cell r="F99" t="str">
            <v>SF2 / GOTERA-PITROU</v>
          </cell>
          <cell r="G99"/>
          <cell r="H99"/>
        </row>
        <row r="100">
          <cell r="A100">
            <v>88888</v>
          </cell>
          <cell r="B100">
            <v>0</v>
          </cell>
          <cell r="C100" t="str">
            <v>INSURANCE SERVICES OFFICES, INC (AO)</v>
          </cell>
          <cell r="D100" t="str">
            <v>LA3 / ZHAO</v>
          </cell>
          <cell r="E100" t="str">
            <v>LA3 / ZHAO</v>
          </cell>
          <cell r="F100"/>
          <cell r="G100"/>
          <cell r="H100"/>
        </row>
        <row r="101">
          <cell r="A101">
            <v>99015</v>
          </cell>
          <cell r="B101">
            <v>0</v>
          </cell>
          <cell r="C101" t="str">
            <v>INTERNATIONAL AVIATION UNDERWRITERS, INCORPORATION (JUA)</v>
          </cell>
          <cell r="D101" t="str">
            <v>SF1 / WONG</v>
          </cell>
          <cell r="E101" t="str">
            <v>SF1 / WONG</v>
          </cell>
          <cell r="F101" t="str">
            <v>SF2 / GOTERA-PITROU</v>
          </cell>
          <cell r="G101"/>
          <cell r="H101"/>
        </row>
        <row r="102">
          <cell r="A102">
            <v>37800</v>
          </cell>
          <cell r="B102">
            <v>0</v>
          </cell>
          <cell r="C102" t="str">
            <v>KOOKMIN BEST INSURANCE GROUP INSURANCE CO, LTD (UNITED STATES BRANCH)</v>
          </cell>
          <cell r="D102" t="str">
            <v>LA1 / RAHMAN</v>
          </cell>
          <cell r="E102" t="str">
            <v>LA1 / RAHMAN</v>
          </cell>
          <cell r="F102" t="str">
            <v>SF2 / GOTERA-PITROU</v>
          </cell>
          <cell r="G102"/>
          <cell r="H102"/>
        </row>
        <row r="103">
          <cell r="A103">
            <v>36706</v>
          </cell>
          <cell r="B103">
            <v>0</v>
          </cell>
          <cell r="C103" t="str">
            <v>LAWYERS' MUTUAL INSURANCE COMPANY</v>
          </cell>
          <cell r="D103" t="str">
            <v>SF1 / HILL</v>
          </cell>
          <cell r="E103" t="str">
            <v>SF1 / HILL</v>
          </cell>
          <cell r="F103" t="str">
            <v>SF2 / GOTERA-PITROU</v>
          </cell>
          <cell r="G103"/>
          <cell r="H103"/>
        </row>
        <row r="104">
          <cell r="A104">
            <v>16023</v>
          </cell>
          <cell r="B104">
            <v>0</v>
          </cell>
          <cell r="C104" t="str">
            <v>LEMONADE INSURANCE COMPANY</v>
          </cell>
          <cell r="D104" t="str">
            <v>LA2 / BAUTISTA</v>
          </cell>
          <cell r="E104" t="str">
            <v>LA2 / BAUTISTA</v>
          </cell>
          <cell r="F104"/>
          <cell r="G104"/>
          <cell r="H104"/>
        </row>
        <row r="105">
          <cell r="A105">
            <v>15466</v>
          </cell>
          <cell r="B105">
            <v>0</v>
          </cell>
          <cell r="C105" t="str">
            <v>LLOYDS NEW YORK</v>
          </cell>
          <cell r="D105" t="str">
            <v>LA1 / HUH</v>
          </cell>
          <cell r="E105" t="str">
            <v>LA1 / AHN</v>
          </cell>
          <cell r="F105"/>
          <cell r="G105"/>
          <cell r="H105"/>
        </row>
        <row r="106">
          <cell r="A106">
            <v>23108</v>
          </cell>
          <cell r="B106">
            <v>0</v>
          </cell>
          <cell r="C106" t="str">
            <v>LUMBERMENS' UNDERWRITING ALLIANCE</v>
          </cell>
          <cell r="D106" t="str">
            <v>LA2 / CHENG</v>
          </cell>
          <cell r="E106" t="str">
            <v>LA2 / CHENG</v>
          </cell>
          <cell r="F106"/>
          <cell r="G106"/>
          <cell r="H106"/>
        </row>
        <row r="107">
          <cell r="A107">
            <v>0</v>
          </cell>
          <cell r="B107">
            <v>0</v>
          </cell>
          <cell r="C107" t="str">
            <v>MAERP REINSURANCE CORPORATION (JUA)</v>
          </cell>
          <cell r="D107" t="str">
            <v>LA1 / HUH</v>
          </cell>
          <cell r="E107" t="str">
            <v>LA1 / AHN</v>
          </cell>
          <cell r="F107"/>
          <cell r="G107"/>
          <cell r="H107"/>
        </row>
        <row r="108">
          <cell r="A108">
            <v>34460</v>
          </cell>
          <cell r="B108">
            <v>0</v>
          </cell>
          <cell r="C108" t="str">
            <v>MAIDSTONE INSURANCE COMPANY</v>
          </cell>
          <cell r="D108" t="str">
            <v>SF2 / DEMESA</v>
          </cell>
          <cell r="E108" t="str">
            <v>SF2 / DEMESA</v>
          </cell>
          <cell r="F108" t="str">
            <v>SF2 / DEMESA</v>
          </cell>
          <cell r="G108"/>
          <cell r="H108"/>
        </row>
        <row r="109">
          <cell r="A109">
            <v>32433</v>
          </cell>
          <cell r="B109">
            <v>0</v>
          </cell>
          <cell r="C109" t="str">
            <v>MEDICAL INSURANCE EXCHANGE OF CALIFORNIA</v>
          </cell>
          <cell r="D109" t="str">
            <v>SF2 / TRANZOR</v>
          </cell>
          <cell r="E109" t="str">
            <v>SF2 / TRANZOR</v>
          </cell>
          <cell r="F109" t="str">
            <v>SF2 / TRANZOR</v>
          </cell>
          <cell r="G109"/>
          <cell r="H109"/>
        </row>
        <row r="110">
          <cell r="A110">
            <v>15768</v>
          </cell>
          <cell r="B110">
            <v>0</v>
          </cell>
          <cell r="C110" t="str">
            <v>MERCED PROPERTY &amp; CASUALTY INSURANCE COMPANY</v>
          </cell>
          <cell r="D110" t="str">
            <v>SF1 / POON</v>
          </cell>
          <cell r="E110" t="str">
            <v>SF1 / POON</v>
          </cell>
          <cell r="F110"/>
          <cell r="G110"/>
          <cell r="H110"/>
        </row>
        <row r="111">
          <cell r="A111">
            <v>16187</v>
          </cell>
          <cell r="B111">
            <v>0</v>
          </cell>
          <cell r="C111" t="str">
            <v>METROMILE INSURANCE COMPANY</v>
          </cell>
          <cell r="D111" t="str">
            <v>LA3 / SAPIN</v>
          </cell>
          <cell r="E111" t="str">
            <v>LA3 / SAPIN</v>
          </cell>
          <cell r="F111"/>
          <cell r="G111"/>
          <cell r="H111"/>
        </row>
        <row r="112">
          <cell r="A112"/>
          <cell r="B112"/>
          <cell r="C112"/>
          <cell r="D112"/>
          <cell r="E112"/>
          <cell r="F112"/>
          <cell r="G112"/>
          <cell r="H112"/>
        </row>
        <row r="113">
          <cell r="A113">
            <v>23531</v>
          </cell>
          <cell r="B113">
            <v>0</v>
          </cell>
          <cell r="C113" t="str">
            <v>MILLERS  INSURANCE COMPANY (THE)</v>
          </cell>
          <cell r="D113" t="str">
            <v>LA1 / HUH</v>
          </cell>
          <cell r="E113" t="str">
            <v>LA1 / OKPARA</v>
          </cell>
          <cell r="F113"/>
          <cell r="G113"/>
          <cell r="H113"/>
        </row>
        <row r="114">
          <cell r="A114">
            <v>24651</v>
          </cell>
          <cell r="B114">
            <v>0</v>
          </cell>
          <cell r="C114" t="str">
            <v>MULTIPLUS INSURANCE COMPANY (see US Capital Insurance Company)</v>
          </cell>
          <cell r="D114" t="str">
            <v>LA1 / HUH</v>
          </cell>
          <cell r="E114" t="str">
            <v>LA1 / OKPARA</v>
          </cell>
          <cell r="F114"/>
          <cell r="G114"/>
          <cell r="H114"/>
        </row>
        <row r="115">
          <cell r="A115">
            <v>99018</v>
          </cell>
          <cell r="B115">
            <v>0</v>
          </cell>
          <cell r="C115" t="str">
            <v>MUNICIPAL BOND INSURANCE ASSOCIATION (JUA)</v>
          </cell>
          <cell r="D115" t="str">
            <v>SF1 / WONG</v>
          </cell>
          <cell r="E115" t="str">
            <v>SF1 / WONG</v>
          </cell>
          <cell r="F115"/>
          <cell r="G115"/>
          <cell r="H115"/>
        </row>
        <row r="116">
          <cell r="A116">
            <v>10002</v>
          </cell>
          <cell r="B116">
            <v>0</v>
          </cell>
          <cell r="C116" t="str">
            <v>MUNICIPAL MUTUAL INSURANCE COMPANY</v>
          </cell>
          <cell r="D116" t="str">
            <v>SF1 / WONG</v>
          </cell>
          <cell r="E116" t="str">
            <v>SF1 / WONG</v>
          </cell>
          <cell r="F116"/>
          <cell r="G116"/>
          <cell r="H116"/>
        </row>
        <row r="117">
          <cell r="A117">
            <v>18899</v>
          </cell>
          <cell r="B117">
            <v>0</v>
          </cell>
          <cell r="C117" t="str">
            <v>MUTUAL ASSURANCE COMPANY</v>
          </cell>
          <cell r="D117" t="str">
            <v>LA1 / HUH</v>
          </cell>
          <cell r="E117" t="str">
            <v>LA1 / AHN</v>
          </cell>
          <cell r="F117"/>
          <cell r="G117"/>
          <cell r="H117"/>
        </row>
        <row r="118">
          <cell r="A118">
            <v>99020</v>
          </cell>
          <cell r="B118">
            <v>0</v>
          </cell>
          <cell r="C118" t="str">
            <v>MUTUAL AVIATION CASUALTY UNDERWRITERS (JUA)</v>
          </cell>
          <cell r="D118" t="str">
            <v>LA2 / GUAN</v>
          </cell>
          <cell r="E118" t="str">
            <v>LA2 / GUAN</v>
          </cell>
          <cell r="F118"/>
          <cell r="G118"/>
          <cell r="H118"/>
        </row>
        <row r="119">
          <cell r="A119">
            <v>99021</v>
          </cell>
          <cell r="B119">
            <v>0</v>
          </cell>
          <cell r="C119" t="str">
            <v>MUTUAL REINSURANCE BUREAU (JUA)</v>
          </cell>
          <cell r="D119" t="str">
            <v>SF2 / TRANZOR</v>
          </cell>
          <cell r="E119" t="str">
            <v>SF2 / TRANZOR</v>
          </cell>
          <cell r="F119" t="str">
            <v>SF2 / TRANZOR</v>
          </cell>
          <cell r="G119"/>
          <cell r="H119"/>
        </row>
        <row r="120">
          <cell r="A120">
            <v>88012</v>
          </cell>
          <cell r="B120">
            <v>0</v>
          </cell>
          <cell r="C120" t="str">
            <v>NATIONAL ASSOCATION OF INDEPENDENT INSURERS (AO)</v>
          </cell>
          <cell r="D120" t="str">
            <v>LA3 / SOTINGCO</v>
          </cell>
          <cell r="E120" t="str">
            <v>LA3 / SOTINGCO</v>
          </cell>
          <cell r="F120"/>
          <cell r="G120"/>
          <cell r="H120"/>
        </row>
        <row r="121">
          <cell r="A121">
            <v>88013</v>
          </cell>
          <cell r="B121">
            <v>0</v>
          </cell>
          <cell r="C121" t="str">
            <v>NATIONAL COMMITTEE ON PROPERTY INSURANCE (AO)</v>
          </cell>
          <cell r="D121" t="str">
            <v>LA3 / SOTINGCO</v>
          </cell>
          <cell r="E121" t="str">
            <v>LA3 / SOTINGCO</v>
          </cell>
          <cell r="F121"/>
          <cell r="G121"/>
          <cell r="H121"/>
        </row>
        <row r="122">
          <cell r="A122">
            <v>88014</v>
          </cell>
          <cell r="B122">
            <v>0</v>
          </cell>
          <cell r="C122" t="str">
            <v>NATIONAL COUNCIL ON COMPENSATION INSURANCE (AO)</v>
          </cell>
          <cell r="D122" t="str">
            <v>LA3 / SOTINGCO</v>
          </cell>
          <cell r="E122" t="str">
            <v>LA3 / SOTINGCO</v>
          </cell>
          <cell r="F122"/>
          <cell r="G122"/>
          <cell r="H122"/>
        </row>
        <row r="123">
          <cell r="A123">
            <v>88015</v>
          </cell>
          <cell r="B123">
            <v>0</v>
          </cell>
          <cell r="C123" t="str">
            <v>NATIONAL CROP INSURANCE SERVICES, INC. (AO)</v>
          </cell>
          <cell r="D123" t="str">
            <v>LA3 / SOTINGCO</v>
          </cell>
          <cell r="E123" t="str">
            <v>LA3 / SOTINGCO</v>
          </cell>
          <cell r="F123"/>
          <cell r="G123"/>
          <cell r="H123"/>
        </row>
        <row r="124">
          <cell r="A124">
            <v>88016</v>
          </cell>
          <cell r="B124">
            <v>0</v>
          </cell>
          <cell r="C124" t="str">
            <v>NATIONAL INDEPENDENT STATISTICAL SERVICE (AO)</v>
          </cell>
          <cell r="D124" t="str">
            <v>LA3 / SOTINGCO</v>
          </cell>
          <cell r="E124" t="str">
            <v>LA3 / SOTINGCO</v>
          </cell>
          <cell r="F124"/>
          <cell r="G124"/>
          <cell r="H124"/>
        </row>
        <row r="125">
          <cell r="A125">
            <v>19119</v>
          </cell>
          <cell r="B125">
            <v>0</v>
          </cell>
          <cell r="C125" t="str">
            <v>NATIONAL UNITY INSURANCE COMPANY</v>
          </cell>
          <cell r="D125" t="str">
            <v>SF1 / WONG</v>
          </cell>
          <cell r="E125" t="str">
            <v>SF1 / WONG</v>
          </cell>
          <cell r="F125"/>
          <cell r="G125"/>
          <cell r="H125"/>
        </row>
        <row r="126">
          <cell r="A126">
            <v>13127</v>
          </cell>
          <cell r="B126">
            <v>0</v>
          </cell>
          <cell r="C126" t="str">
            <v>NATIONS INSURANCE COMPANY</v>
          </cell>
          <cell r="D126" t="str">
            <v>LA1 / HUH</v>
          </cell>
          <cell r="E126" t="str">
            <v>LA1 / AHN</v>
          </cell>
          <cell r="F126"/>
          <cell r="G126"/>
          <cell r="H126"/>
        </row>
        <row r="127">
          <cell r="A127">
            <v>16461</v>
          </cell>
          <cell r="B127">
            <v>0</v>
          </cell>
          <cell r="C127" t="str">
            <v>NOBLR RECIPROCAL EXCHANGE</v>
          </cell>
          <cell r="D127" t="str">
            <v>SAC / VISWANATHAN</v>
          </cell>
          <cell r="E127" t="str">
            <v>SAC / VISWANATHAN</v>
          </cell>
          <cell r="F127"/>
          <cell r="G127"/>
          <cell r="H127"/>
        </row>
        <row r="128">
          <cell r="A128">
            <v>26565</v>
          </cell>
          <cell r="B128">
            <v>0</v>
          </cell>
          <cell r="C128" t="str">
            <v>OHIO INDEMNITY COMPANY</v>
          </cell>
          <cell r="D128" t="str">
            <v>SF1 / HILL</v>
          </cell>
          <cell r="E128" t="str">
            <v>SF1 / HILL</v>
          </cell>
          <cell r="F128"/>
          <cell r="G128"/>
          <cell r="H128"/>
        </row>
        <row r="129">
          <cell r="A129">
            <v>88017</v>
          </cell>
          <cell r="B129">
            <v>0</v>
          </cell>
          <cell r="C129" t="str">
            <v>OIL INSURANCE ASSOCIATION (also JUA)</v>
          </cell>
          <cell r="D129" t="str">
            <v>LA1 / HUH</v>
          </cell>
          <cell r="E129" t="str">
            <v>LA1 / OKPARA</v>
          </cell>
          <cell r="F129"/>
          <cell r="G129"/>
          <cell r="H129"/>
        </row>
        <row r="130">
          <cell r="A130">
            <v>15385</v>
          </cell>
          <cell r="B130">
            <v>0</v>
          </cell>
          <cell r="C130" t="str">
            <v>ONECIS INSURANCE COMPANY</v>
          </cell>
          <cell r="D130" t="str">
            <v>LA2 / CHENG</v>
          </cell>
          <cell r="E130" t="str">
            <v>LA2 / CHENG</v>
          </cell>
          <cell r="F130"/>
          <cell r="G130"/>
          <cell r="H130"/>
        </row>
        <row r="131">
          <cell r="A131">
            <v>40550</v>
          </cell>
          <cell r="B131">
            <v>0</v>
          </cell>
          <cell r="C131" t="str">
            <v>LIO INSURANCE COMPANY</v>
          </cell>
          <cell r="D131" t="str">
            <v>LA2 / BAUTISTA</v>
          </cell>
          <cell r="E131" t="str">
            <v>LA2 / BAUTISTA</v>
          </cell>
          <cell r="F131"/>
          <cell r="G131"/>
          <cell r="H131"/>
        </row>
        <row r="132">
          <cell r="A132">
            <v>30570</v>
          </cell>
          <cell r="B132">
            <v>0</v>
          </cell>
          <cell r="C132" t="str">
            <v>PACIFIC RIM ASSURANCE COMPANY</v>
          </cell>
          <cell r="D132" t="str">
            <v>LA2 / CHENG</v>
          </cell>
          <cell r="E132" t="str">
            <v>LA2 / CHENG</v>
          </cell>
          <cell r="F132"/>
          <cell r="G132"/>
          <cell r="H132"/>
        </row>
        <row r="133">
          <cell r="A133">
            <v>20338</v>
          </cell>
          <cell r="B133">
            <v>0</v>
          </cell>
          <cell r="C133" t="str">
            <v>PALOMAR SPECIALTY INSURANCE COMPANY</v>
          </cell>
          <cell r="D133" t="str">
            <v>SF1 / POON</v>
          </cell>
          <cell r="E133" t="str">
            <v>SF1 / POON</v>
          </cell>
          <cell r="F133" t="str">
            <v>SF2 / GOTERA-PITROU</v>
          </cell>
          <cell r="G133"/>
          <cell r="H133"/>
        </row>
        <row r="134">
          <cell r="A134">
            <v>23442</v>
          </cell>
          <cell r="B134">
            <v>0</v>
          </cell>
          <cell r="C134" t="str">
            <v>PATRIOT GENERAL INSURANCE COMPANY</v>
          </cell>
          <cell r="D134" t="str">
            <v>SF1 / WONG</v>
          </cell>
          <cell r="E134" t="str">
            <v>SF1 / WONG</v>
          </cell>
          <cell r="F134"/>
          <cell r="G134"/>
          <cell r="H134"/>
        </row>
        <row r="135">
          <cell r="A135">
            <v>25755</v>
          </cell>
          <cell r="B135">
            <v>0</v>
          </cell>
          <cell r="C135" t="str">
            <v>PEACHTREE CASUALTY INSURANCE COMPANY</v>
          </cell>
          <cell r="D135" t="str">
            <v>LA1 / HUH</v>
          </cell>
          <cell r="E135" t="str">
            <v>LA1 / AHN</v>
          </cell>
          <cell r="F135"/>
          <cell r="G135"/>
          <cell r="H135"/>
        </row>
        <row r="136">
          <cell r="A136">
            <v>12297</v>
          </cell>
          <cell r="B136">
            <v>0</v>
          </cell>
          <cell r="C136" t="str">
            <v>PETROLEUM CASUALTY COMPANY</v>
          </cell>
          <cell r="D136" t="str">
            <v>LA2 / CHENG</v>
          </cell>
          <cell r="E136" t="str">
            <v>LA2 / CHENG</v>
          </cell>
          <cell r="F136" t="str">
            <v>SF2 / GOTERA-PITROU</v>
          </cell>
          <cell r="G136"/>
          <cell r="H136"/>
        </row>
        <row r="137">
          <cell r="A137">
            <v>16772</v>
          </cell>
          <cell r="B137">
            <v>0</v>
          </cell>
          <cell r="C137" t="str">
            <v>PINNACLE INSURANCE COMPANY</v>
          </cell>
          <cell r="D137" t="str">
            <v>SF1 / POON</v>
          </cell>
          <cell r="E137" t="str">
            <v>SF1 / POON</v>
          </cell>
          <cell r="F137" t="str">
            <v>SF2 / GOTERA-PITROU</v>
          </cell>
          <cell r="G137"/>
          <cell r="H137"/>
        </row>
        <row r="138">
          <cell r="A138"/>
          <cell r="B138">
            <v>0</v>
          </cell>
          <cell r="C138" t="str">
            <v>PMIC, LLC</v>
          </cell>
          <cell r="D138" t="str">
            <v>LA3 / SOTINGCO</v>
          </cell>
          <cell r="E138" t="str">
            <v>LA3 / SOTINGCO</v>
          </cell>
          <cell r="F138"/>
          <cell r="G138"/>
          <cell r="H138"/>
        </row>
        <row r="139">
          <cell r="A139">
            <v>36633</v>
          </cell>
          <cell r="B139">
            <v>0</v>
          </cell>
          <cell r="C139" t="str">
            <v>PREMIER ALLIANCE INS CO (in liquidation 8-2-94)</v>
          </cell>
          <cell r="D139" t="str">
            <v>SF2 / TRANZOR</v>
          </cell>
          <cell r="E139" t="str">
            <v>SF2 / TRANZOR</v>
          </cell>
          <cell r="F139" t="str">
            <v>SF2 / TRANZOR</v>
          </cell>
          <cell r="G139"/>
          <cell r="H139"/>
        </row>
        <row r="140">
          <cell r="A140">
            <v>14133</v>
          </cell>
          <cell r="B140">
            <v>0</v>
          </cell>
          <cell r="C140" t="str">
            <v>QUALITAS INSURANCE COMPANY</v>
          </cell>
          <cell r="D140" t="str">
            <v>SF1 / HILL</v>
          </cell>
          <cell r="E140" t="str">
            <v>SF1 / HILL</v>
          </cell>
          <cell r="F140" t="str">
            <v>SF2 / GOTERA-PITROU</v>
          </cell>
          <cell r="G140"/>
          <cell r="H140"/>
        </row>
        <row r="141">
          <cell r="A141">
            <v>23132</v>
          </cell>
          <cell r="B141">
            <v>0</v>
          </cell>
          <cell r="C141" t="str">
            <v>R.V.I. AMERICA INSURANCE COMPANY</v>
          </cell>
          <cell r="D141" t="str">
            <v>SF1 / POON</v>
          </cell>
          <cell r="E141" t="str">
            <v>SF1 / POON</v>
          </cell>
          <cell r="F141"/>
          <cell r="G141"/>
          <cell r="H141"/>
        </row>
        <row r="142">
          <cell r="A142">
            <v>99022</v>
          </cell>
          <cell r="B142">
            <v>0</v>
          </cell>
          <cell r="C142" t="str">
            <v>RAILROAD INSURANCE UNDERWRITERS (JUA)</v>
          </cell>
          <cell r="D142" t="str">
            <v>LA1 / HUH</v>
          </cell>
          <cell r="E142" t="str">
            <v>LA1 / OKPARA</v>
          </cell>
          <cell r="F142"/>
          <cell r="G142"/>
          <cell r="H142"/>
        </row>
        <row r="143">
          <cell r="A143">
            <v>99023</v>
          </cell>
          <cell r="B143">
            <v>0</v>
          </cell>
          <cell r="C143" t="str">
            <v>RAILROAD TRANSPORTATION INSURERS (JUA)</v>
          </cell>
          <cell r="D143" t="str">
            <v>LA2 / GUAN</v>
          </cell>
          <cell r="E143" t="str">
            <v>LA2 / GUAN</v>
          </cell>
          <cell r="F143"/>
          <cell r="G143"/>
          <cell r="H143"/>
        </row>
        <row r="144">
          <cell r="A144">
            <v>99024</v>
          </cell>
          <cell r="B144">
            <v>0</v>
          </cell>
          <cell r="C144" t="str">
            <v>RAIN AND HAIL INSURANCE BUREAU (JUA)</v>
          </cell>
          <cell r="D144" t="str">
            <v>SF2 / TRANZOR</v>
          </cell>
          <cell r="E144" t="str">
            <v>SF2 / TRANZOR</v>
          </cell>
          <cell r="F144" t="str">
            <v>SF2 / TRANZOR</v>
          </cell>
          <cell r="G144"/>
          <cell r="H144"/>
        </row>
        <row r="145">
          <cell r="A145">
            <v>99025</v>
          </cell>
          <cell r="B145">
            <v>0</v>
          </cell>
          <cell r="C145" t="str">
            <v>REGISTERED MAIL INSURANCE ASSOCIATION (JUA)</v>
          </cell>
          <cell r="D145" t="str">
            <v>LA1 / HUH</v>
          </cell>
          <cell r="E145" t="str">
            <v>LA1 / OKPARA</v>
          </cell>
          <cell r="F145"/>
          <cell r="G145"/>
          <cell r="H145"/>
        </row>
        <row r="146">
          <cell r="A146">
            <v>24457</v>
          </cell>
          <cell r="B146">
            <v>0</v>
          </cell>
          <cell r="C146" t="str">
            <v>RELIANCE INSURANCE COMPANY</v>
          </cell>
          <cell r="D146" t="str">
            <v>LA2 / BAUTISTA</v>
          </cell>
          <cell r="E146" t="str">
            <v>LA2 / BAUTISTA</v>
          </cell>
          <cell r="F146" t="str">
            <v>SF2 / GOTERA-PITROU</v>
          </cell>
          <cell r="G146"/>
          <cell r="H146"/>
        </row>
        <row r="147">
          <cell r="A147">
            <v>12491</v>
          </cell>
          <cell r="B147">
            <v>0</v>
          </cell>
          <cell r="C147" t="str">
            <v>ROCHDALE INSURANCE COMPANY</v>
          </cell>
          <cell r="D147" t="str">
            <v>SF1 / WONG</v>
          </cell>
          <cell r="E147" t="str">
            <v>SF1 / WONG</v>
          </cell>
          <cell r="F147" t="str">
            <v>SF2 / GOTERA-PITROU</v>
          </cell>
          <cell r="G147"/>
          <cell r="H147"/>
        </row>
        <row r="148">
          <cell r="A148">
            <v>10823</v>
          </cell>
          <cell r="B148">
            <v>0</v>
          </cell>
          <cell r="C148" t="str">
            <v>SABLE INSURANCE COMPANY</v>
          </cell>
          <cell r="D148" t="str">
            <v>SF2 / TRANZOR</v>
          </cell>
          <cell r="E148" t="str">
            <v>SF2 / TRANZOR</v>
          </cell>
          <cell r="F148" t="str">
            <v>SF2 / TRANZOR</v>
          </cell>
          <cell r="G148"/>
          <cell r="H148"/>
        </row>
        <row r="149">
          <cell r="A149">
            <v>38300</v>
          </cell>
          <cell r="B149">
            <v>0</v>
          </cell>
          <cell r="C149" t="str">
            <v>SAMSUNG FIRE &amp; MARINE INSURANCE COMPANY, LTD. (U. S. Branch) (not with CHUBB group)</v>
          </cell>
          <cell r="D149" t="str">
            <v>SF1 / POON</v>
          </cell>
          <cell r="E149" t="str">
            <v>SF1 / POON</v>
          </cell>
          <cell r="F149"/>
          <cell r="G149"/>
          <cell r="H149"/>
        </row>
        <row r="150">
          <cell r="A150">
            <v>35076</v>
          </cell>
          <cell r="B150">
            <v>0</v>
          </cell>
          <cell r="C150" t="str">
            <v>STATE COMPENSATION INSURANCE FUND</v>
          </cell>
          <cell r="D150" t="str">
            <v>LA3 / SOTINGCO</v>
          </cell>
          <cell r="E150" t="str">
            <v>LA3 / SOTINGCO</v>
          </cell>
          <cell r="F150"/>
          <cell r="G150"/>
          <cell r="H150"/>
        </row>
        <row r="151">
          <cell r="A151">
            <v>12878</v>
          </cell>
          <cell r="B151">
            <v>0</v>
          </cell>
          <cell r="C151" t="str">
            <v>STERLING CASUALTY INSURANCE COMPANY</v>
          </cell>
          <cell r="D151" t="str">
            <v>SAC / TAM</v>
          </cell>
          <cell r="E151" t="str">
            <v>SAC / TAM</v>
          </cell>
          <cell r="F151"/>
          <cell r="G151"/>
          <cell r="H151"/>
        </row>
        <row r="152">
          <cell r="A152">
            <v>99026</v>
          </cell>
          <cell r="B152">
            <v>0</v>
          </cell>
          <cell r="C152" t="str">
            <v>STOCK COMPANY ASSOCIATION</v>
          </cell>
          <cell r="D152" t="str">
            <v>LA2 / GUAN</v>
          </cell>
          <cell r="E152" t="str">
            <v>LA2 / GUAN</v>
          </cell>
          <cell r="F152"/>
          <cell r="G152"/>
          <cell r="H152"/>
        </row>
        <row r="153">
          <cell r="A153">
            <v>34762</v>
          </cell>
          <cell r="B153">
            <v>0</v>
          </cell>
          <cell r="C153" t="str">
            <v>SUNZ INSURANCE COMPANY</v>
          </cell>
          <cell r="D153" t="str">
            <v>SF1 / HILL</v>
          </cell>
          <cell r="E153" t="str">
            <v>SF1 / HILL</v>
          </cell>
          <cell r="F153"/>
          <cell r="G153"/>
          <cell r="H153"/>
        </row>
        <row r="154">
          <cell r="A154">
            <v>37753</v>
          </cell>
          <cell r="B154">
            <v>0</v>
          </cell>
          <cell r="C154" t="str">
            <v>SUPERIOR NATIONAL INSURANCE COMPANY</v>
          </cell>
          <cell r="D154" t="str">
            <v>LA2 / CHENG</v>
          </cell>
          <cell r="E154" t="str">
            <v>LA2 / CHENG</v>
          </cell>
          <cell r="F154"/>
          <cell r="G154"/>
          <cell r="H154"/>
        </row>
        <row r="155">
          <cell r="A155">
            <v>30570</v>
          </cell>
          <cell r="B155">
            <v>0</v>
          </cell>
          <cell r="C155" t="str">
            <v>SUPERIOR PACIFIC CASUALTY COMPANY</v>
          </cell>
          <cell r="D155" t="str">
            <v>LA2 / CHENG</v>
          </cell>
          <cell r="E155" t="str">
            <v>LA2 / CHENG</v>
          </cell>
          <cell r="F155"/>
          <cell r="G155"/>
          <cell r="H155"/>
        </row>
        <row r="156">
          <cell r="A156">
            <v>88018</v>
          </cell>
          <cell r="B156">
            <v>0</v>
          </cell>
          <cell r="C156" t="str">
            <v>SURETY ASSOCIATION OF AMERICA (AO)</v>
          </cell>
          <cell r="D156" t="str">
            <v>LA3 / ZHAO</v>
          </cell>
          <cell r="E156" t="str">
            <v>LA3 / ZHAO</v>
          </cell>
          <cell r="F156"/>
          <cell r="G156"/>
          <cell r="H156"/>
        </row>
        <row r="157">
          <cell r="A157">
            <v>20311</v>
          </cell>
          <cell r="B157">
            <v>0</v>
          </cell>
          <cell r="C157" t="str">
            <v>SYNCORA GUARANTEE INC.</v>
          </cell>
          <cell r="D157" t="str">
            <v>SF1 / POON</v>
          </cell>
          <cell r="E157" t="str">
            <v>SF1 / POON</v>
          </cell>
          <cell r="F157" t="str">
            <v>SF2 / GOTERA-PITROU</v>
          </cell>
          <cell r="G157"/>
          <cell r="H157"/>
        </row>
        <row r="158">
          <cell r="A158">
            <v>42749</v>
          </cell>
          <cell r="B158">
            <v>0</v>
          </cell>
          <cell r="C158" t="str">
            <v>TRADERS INSURANCE COMPANY</v>
          </cell>
          <cell r="D158" t="str">
            <v>LA1 / HUH</v>
          </cell>
          <cell r="E158" t="str">
            <v>LA1 / AHN</v>
          </cell>
          <cell r="F158"/>
          <cell r="G158"/>
          <cell r="H158"/>
        </row>
        <row r="159">
          <cell r="A159">
            <v>28535</v>
          </cell>
          <cell r="B159">
            <v>0</v>
          </cell>
          <cell r="C159" t="str">
            <v>TRIANGLE INSURANCE COMPANY, INC.</v>
          </cell>
          <cell r="D159" t="str">
            <v>LA1 / HUH</v>
          </cell>
          <cell r="E159" t="str">
            <v>LA1 / OKPARA</v>
          </cell>
          <cell r="F159"/>
          <cell r="G159"/>
          <cell r="H159"/>
        </row>
        <row r="160">
          <cell r="A160">
            <v>23256</v>
          </cell>
          <cell r="B160">
            <v>0</v>
          </cell>
          <cell r="C160" t="str">
            <v>UNITED SOUTHERN ASSURANCE COMPANY</v>
          </cell>
          <cell r="D160" t="str">
            <v>SF1 / POON</v>
          </cell>
          <cell r="E160" t="str">
            <v>SF1 / POON</v>
          </cell>
          <cell r="F160"/>
          <cell r="G160"/>
          <cell r="H160"/>
        </row>
        <row r="161">
          <cell r="A161">
            <v>99027</v>
          </cell>
          <cell r="B161">
            <v>0</v>
          </cell>
          <cell r="C161" t="str">
            <v>UNITED STATES AIRCRAFT INSURANCE GROUP (UNITED STATES AVIATION UNDERWRITERS, INC., MANAGER) (JUA)</v>
          </cell>
          <cell r="D161" t="str">
            <v>SF1 / WONG</v>
          </cell>
          <cell r="E161" t="str">
            <v>SF1 / WONG</v>
          </cell>
          <cell r="F161"/>
          <cell r="G161"/>
          <cell r="H161"/>
        </row>
        <row r="162">
          <cell r="A162">
            <v>29998</v>
          </cell>
          <cell r="B162">
            <v>0</v>
          </cell>
          <cell r="C162" t="str">
            <v>UPPER HUDSON NATIONAL INSURANCE COMPANY</v>
          </cell>
          <cell r="D162" t="str">
            <v>LA1 / HUH</v>
          </cell>
          <cell r="E162" t="str">
            <v>LA1 / OKPARA</v>
          </cell>
          <cell r="F162" t="str">
            <v>SF2 / GOTERA-PITROU</v>
          </cell>
          <cell r="G162"/>
          <cell r="H162"/>
        </row>
        <row r="163">
          <cell r="A163">
            <v>13</v>
          </cell>
          <cell r="B163">
            <v>0</v>
          </cell>
          <cell r="C163" t="str">
            <v>US AVIATION UNDERWRTIERS, INCORPORATION</v>
          </cell>
          <cell r="D163" t="str">
            <v>LA2 / GUAN</v>
          </cell>
          <cell r="E163" t="str">
            <v>LA2 / GUAN</v>
          </cell>
          <cell r="F163"/>
          <cell r="G163"/>
          <cell r="H163"/>
        </row>
        <row r="164">
          <cell r="A164">
            <v>24651</v>
          </cell>
          <cell r="B164">
            <v>0</v>
          </cell>
          <cell r="C164" t="str">
            <v>US CAPITAL INSURANCE COMPANY (dba Multiplus I/C)</v>
          </cell>
          <cell r="D164" t="str">
            <v>LA1 / HUH</v>
          </cell>
          <cell r="E164" t="str">
            <v>LA1 / OKPARA</v>
          </cell>
          <cell r="F164"/>
          <cell r="G164"/>
          <cell r="H164"/>
        </row>
        <row r="165">
          <cell r="A165">
            <v>28497</v>
          </cell>
          <cell r="B165">
            <v>0</v>
          </cell>
          <cell r="C165" t="str">
            <v>USPLACE GLASS INSURANCE COMPANY</v>
          </cell>
          <cell r="D165" t="str">
            <v>LA2 / CHENG</v>
          </cell>
          <cell r="E165" t="str">
            <v>LA2 / CHENG</v>
          </cell>
          <cell r="F165"/>
          <cell r="G165"/>
          <cell r="H165"/>
        </row>
        <row r="166">
          <cell r="A166">
            <v>33812</v>
          </cell>
          <cell r="B166">
            <v>0</v>
          </cell>
          <cell r="C166" t="str">
            <v>VIRGINIA INSURANCE RECIPROCAL</v>
          </cell>
          <cell r="D166" t="str">
            <v>LA1 / HUH</v>
          </cell>
          <cell r="E166" t="str">
            <v>LA1 / OKPARA</v>
          </cell>
          <cell r="F166"/>
          <cell r="G166"/>
          <cell r="H166"/>
        </row>
        <row r="167">
          <cell r="A167">
            <v>10683</v>
          </cell>
          <cell r="B167">
            <v>0</v>
          </cell>
          <cell r="C167" t="str">
            <v>WAWANESA GENERAL INSURANCE COMPANY</v>
          </cell>
          <cell r="D167" t="str">
            <v>SF1 / POON</v>
          </cell>
          <cell r="E167" t="str">
            <v>SF1 / POON</v>
          </cell>
          <cell r="F167"/>
          <cell r="G167"/>
          <cell r="H167" t="str">
            <v>RAO / CHUN</v>
          </cell>
        </row>
        <row r="168">
          <cell r="A168">
            <v>15350</v>
          </cell>
          <cell r="B168">
            <v>0</v>
          </cell>
          <cell r="C168" t="str">
            <v>WEST BEND MUTUAL INSURANCE COMPANY</v>
          </cell>
          <cell r="D168" t="str">
            <v>SF1 / POON</v>
          </cell>
          <cell r="E168" t="str">
            <v>SF1 / POON</v>
          </cell>
          <cell r="F168"/>
          <cell r="G168"/>
          <cell r="H168"/>
        </row>
        <row r="169">
          <cell r="A169">
            <v>27502</v>
          </cell>
          <cell r="B169">
            <v>0</v>
          </cell>
          <cell r="C169" t="str">
            <v>WESTERN GENERAL INSURANCE COMPANY</v>
          </cell>
          <cell r="D169" t="str">
            <v>LA1 / RAHMAN</v>
          </cell>
          <cell r="E169" t="str">
            <v>LA1 / RAHMAN</v>
          </cell>
          <cell r="F169"/>
          <cell r="G169"/>
          <cell r="H169"/>
        </row>
        <row r="170">
          <cell r="A170">
            <v>29947</v>
          </cell>
          <cell r="B170">
            <v>0</v>
          </cell>
          <cell r="C170" t="str">
            <v>WESTERN GROWERS INSURANCE COMPANY</v>
          </cell>
          <cell r="D170" t="str">
            <v>LA1 / HUH</v>
          </cell>
          <cell r="E170" t="str">
            <v>LA1 / OKPARA</v>
          </cell>
          <cell r="F170"/>
          <cell r="G170"/>
          <cell r="H170"/>
        </row>
        <row r="171">
          <cell r="A171">
            <v>14150</v>
          </cell>
          <cell r="B171">
            <v>0</v>
          </cell>
          <cell r="C171" t="str">
            <v>WESTERN INTERNATIONAL INS CO (in liquidation 8-10-92)</v>
          </cell>
          <cell r="D171" t="str">
            <v>LA1 / HUH</v>
          </cell>
          <cell r="E171" t="str">
            <v>LA1 / OKPARA</v>
          </cell>
          <cell r="F171"/>
          <cell r="G171"/>
          <cell r="H171"/>
        </row>
        <row r="172">
          <cell r="A172">
            <v>34282</v>
          </cell>
          <cell r="B172">
            <v>0</v>
          </cell>
          <cell r="C172" t="str">
            <v>WESTERN SPECIALTY INSURANCE COMPANY</v>
          </cell>
          <cell r="D172" t="str">
            <v>SF1 / WONG</v>
          </cell>
          <cell r="E172" t="str">
            <v>SF1 / WONG</v>
          </cell>
          <cell r="F172"/>
          <cell r="G172"/>
          <cell r="H172"/>
        </row>
        <row r="173">
          <cell r="A173">
            <v>11523</v>
          </cell>
          <cell r="B173">
            <v>0</v>
          </cell>
          <cell r="C173" t="str">
            <v>WRIGHT NATIONAL FLOOD INSURANCE COMPANY</v>
          </cell>
          <cell r="D173" t="str">
            <v>LA1 / HUH</v>
          </cell>
          <cell r="E173" t="str">
            <v>LA1 / OKPARA</v>
          </cell>
          <cell r="F173" t="str">
            <v>SF2 / GOTERA-PITROU</v>
          </cell>
          <cell r="G173"/>
          <cell r="H173"/>
        </row>
        <row r="174">
          <cell r="A174">
            <v>30325</v>
          </cell>
          <cell r="B174">
            <v>0</v>
          </cell>
          <cell r="C174" t="str">
            <v>ZALE INDEMNITY COMPANY</v>
          </cell>
          <cell r="D174" t="str">
            <v>SF1 / POON</v>
          </cell>
          <cell r="E174" t="str">
            <v>SF1 / POON</v>
          </cell>
          <cell r="F174"/>
          <cell r="G174"/>
          <cell r="H174"/>
        </row>
        <row r="175">
          <cell r="A175">
            <v>88888</v>
          </cell>
          <cell r="B175">
            <v>0</v>
          </cell>
          <cell r="C175" t="str">
            <v>INSURANCE SERVICES OFFICES, INC (AO)</v>
          </cell>
          <cell r="D175" t="str">
            <v>LA3/ ZHAO</v>
          </cell>
          <cell r="E175" t="str">
            <v>LA3/ ZHAO</v>
          </cell>
          <cell r="F175"/>
          <cell r="G175"/>
          <cell r="H175"/>
        </row>
        <row r="176">
          <cell r="A176">
            <v>36153</v>
          </cell>
          <cell r="B176">
            <v>1</v>
          </cell>
          <cell r="C176" t="str">
            <v>AETNA INSURANCE COMPANY OF CONNECTICUT</v>
          </cell>
          <cell r="D176" t="str">
            <v>LA1 / HUH</v>
          </cell>
          <cell r="E176" t="str">
            <v>LA1 / AHN</v>
          </cell>
          <cell r="F176"/>
          <cell r="G176"/>
          <cell r="H176"/>
        </row>
        <row r="177">
          <cell r="A177">
            <v>34983</v>
          </cell>
          <cell r="B177">
            <v>2</v>
          </cell>
          <cell r="C177" t="str">
            <v>AMWEST SURETY INSURANCE COMPANY</v>
          </cell>
          <cell r="D177" t="str">
            <v>LA2 / BAUTISTA</v>
          </cell>
          <cell r="E177" t="str">
            <v>LA2 / BAUTISTA</v>
          </cell>
          <cell r="F177"/>
          <cell r="G177"/>
          <cell r="H177"/>
        </row>
        <row r="178">
          <cell r="A178">
            <v>42633</v>
          </cell>
          <cell r="B178">
            <v>2</v>
          </cell>
          <cell r="C178" t="str">
            <v>FAR WEST INSURANCE COMPANY</v>
          </cell>
          <cell r="D178" t="str">
            <v>LA2 / BAUTISTA</v>
          </cell>
          <cell r="E178" t="str">
            <v>LA2 / BAUTISTA</v>
          </cell>
          <cell r="F178"/>
          <cell r="G178"/>
          <cell r="H178"/>
        </row>
        <row r="179">
          <cell r="A179">
            <v>13935</v>
          </cell>
          <cell r="B179">
            <v>7</v>
          </cell>
          <cell r="C179" t="str">
            <v>FEDERATED MUTUAL INSURANCE COMPANY</v>
          </cell>
          <cell r="D179" t="str">
            <v>LA1 / RAHMAN</v>
          </cell>
          <cell r="E179" t="str">
            <v>LA1 / RAHMAN</v>
          </cell>
          <cell r="F179" t="str">
            <v>SF2 / TRANZOR</v>
          </cell>
          <cell r="G179" t="str">
            <v>RAO / SANANDAJIFAR</v>
          </cell>
          <cell r="H179" t="str">
            <v>RAO / SANANDAJIFAR</v>
          </cell>
        </row>
        <row r="180">
          <cell r="A180">
            <v>28304</v>
          </cell>
          <cell r="B180">
            <v>7</v>
          </cell>
          <cell r="C180" t="str">
            <v>FEDERATED SERVICE INSURANCE COMPANY</v>
          </cell>
          <cell r="D180" t="str">
            <v>LA1 / RAHMAN</v>
          </cell>
          <cell r="E180" t="str">
            <v>LA1 / RAHMAN</v>
          </cell>
          <cell r="F180" t="str">
            <v>SF2 / TRANZOR</v>
          </cell>
          <cell r="G180" t="str">
            <v>RAO / SANANDAJIFAR</v>
          </cell>
          <cell r="H180" t="str">
            <v>RAO / SANANDAJIFAR</v>
          </cell>
        </row>
        <row r="181">
          <cell r="A181">
            <v>19240</v>
          </cell>
          <cell r="B181">
            <v>8</v>
          </cell>
          <cell r="C181" t="str">
            <v>ALLSTATE INDEMNITY COMPANY</v>
          </cell>
          <cell r="D181" t="str">
            <v>LA3 / SAPIN</v>
          </cell>
          <cell r="E181" t="str">
            <v>LA3 / SAPIN</v>
          </cell>
          <cell r="F181" t="str">
            <v>SF2 / TRANZOR</v>
          </cell>
          <cell r="G181"/>
          <cell r="H181" t="str">
            <v>RAO / SANANDAJIFAR</v>
          </cell>
        </row>
        <row r="182">
          <cell r="A182">
            <v>19232</v>
          </cell>
          <cell r="B182">
            <v>8</v>
          </cell>
          <cell r="C182" t="str">
            <v>ALLSTATE INSURANCE COMPANY</v>
          </cell>
          <cell r="D182" t="str">
            <v>LA3 / SAPIN</v>
          </cell>
          <cell r="E182" t="str">
            <v>LA3 / SAPIN</v>
          </cell>
          <cell r="F182" t="str">
            <v>SF2 / TRANZOR</v>
          </cell>
          <cell r="G182"/>
          <cell r="H182"/>
        </row>
        <row r="183">
          <cell r="A183">
            <v>36455</v>
          </cell>
          <cell r="B183">
            <v>8</v>
          </cell>
          <cell r="C183" t="str">
            <v>ALLSTATE NORTHBROOK INDEMNITY COMPANY</v>
          </cell>
          <cell r="D183" t="str">
            <v>LA3 / SAPIN</v>
          </cell>
          <cell r="E183" t="str">
            <v>LA3 / SAPIN</v>
          </cell>
          <cell r="F183" t="str">
            <v>SF2 / TRANZOR</v>
          </cell>
          <cell r="G183"/>
          <cell r="H183"/>
        </row>
        <row r="184">
          <cell r="A184">
            <v>17230</v>
          </cell>
          <cell r="B184">
            <v>8</v>
          </cell>
          <cell r="C184" t="str">
            <v>ALLSTATE PROPERTY AND CASUALTY INSURANCE COMPANY</v>
          </cell>
          <cell r="D184" t="str">
            <v>LA3 / SAPIN</v>
          </cell>
          <cell r="E184" t="str">
            <v>LA3 / SAPIN</v>
          </cell>
          <cell r="F184" t="str">
            <v>SF2 / TRANZOR</v>
          </cell>
          <cell r="G184"/>
          <cell r="H184"/>
        </row>
        <row r="185">
          <cell r="A185">
            <v>26905</v>
          </cell>
          <cell r="B185">
            <v>8</v>
          </cell>
          <cell r="C185" t="str">
            <v>CENTURY-NATIONAL INSURANCE COMPANY</v>
          </cell>
          <cell r="D185" t="str">
            <v>LA3 / SAPIN</v>
          </cell>
          <cell r="E185" t="str">
            <v>LA3 / SAPIN</v>
          </cell>
          <cell r="F185" t="str">
            <v>SF2 / TRANZOR</v>
          </cell>
          <cell r="G185"/>
          <cell r="H185"/>
        </row>
        <row r="186">
          <cell r="A186">
            <v>42781</v>
          </cell>
          <cell r="B186">
            <v>8</v>
          </cell>
          <cell r="C186" t="str">
            <v>DIRECT GENERAL INSURANCE COMPANY</v>
          </cell>
          <cell r="D186" t="str">
            <v>LA3 / SAPIN</v>
          </cell>
          <cell r="E186" t="str">
            <v>LA3 / SAPIN</v>
          </cell>
          <cell r="F186" t="str">
            <v>SF2 / TRANZOR</v>
          </cell>
          <cell r="G186"/>
          <cell r="H186"/>
        </row>
        <row r="187">
          <cell r="A187">
            <v>10358</v>
          </cell>
          <cell r="B187">
            <v>8</v>
          </cell>
          <cell r="C187" t="str">
            <v>ENCOMPASS INSURANCE COMPANY</v>
          </cell>
          <cell r="D187" t="str">
            <v>LA3 / SAPIN</v>
          </cell>
          <cell r="E187" t="str">
            <v>LA3 / SAPIN</v>
          </cell>
          <cell r="F187" t="str">
            <v>SF2 / TRANZOR</v>
          </cell>
          <cell r="G187"/>
          <cell r="H187" t="str">
            <v>RAO / SANANDAJIFAR</v>
          </cell>
        </row>
        <row r="188">
          <cell r="A188">
            <v>25712</v>
          </cell>
          <cell r="B188">
            <v>8</v>
          </cell>
          <cell r="C188" t="str">
            <v>ESURANCE INSURANCE COMPANY</v>
          </cell>
          <cell r="D188" t="str">
            <v>LA3 / SAPIN</v>
          </cell>
          <cell r="E188" t="str">
            <v>LA3 / SAPIN</v>
          </cell>
          <cell r="F188" t="str">
            <v>SF2 / TRANZOR</v>
          </cell>
          <cell r="G188"/>
          <cell r="H188"/>
        </row>
        <row r="189">
          <cell r="A189">
            <v>30210</v>
          </cell>
          <cell r="B189">
            <v>8</v>
          </cell>
          <cell r="C189" t="str">
            <v>ESURANCE PROPERTY AND CASUALTY INSURANCE COMPANY</v>
          </cell>
          <cell r="D189" t="str">
            <v>LA3 / SAPIN</v>
          </cell>
          <cell r="E189" t="str">
            <v>LA3 / SAPIN</v>
          </cell>
          <cell r="F189" t="str">
            <v>SF2 / TRANZOR</v>
          </cell>
          <cell r="G189" t="str">
            <v>RAO / NGUYEN</v>
          </cell>
          <cell r="H189" t="str">
            <v>RAO / NGUYEN</v>
          </cell>
        </row>
        <row r="190">
          <cell r="A190">
            <v>29980</v>
          </cell>
          <cell r="B190">
            <v>8</v>
          </cell>
          <cell r="C190" t="str">
            <v>FIRST COLONIAL INSURANCE COMPANY</v>
          </cell>
          <cell r="D190" t="str">
            <v>LA3 / SAPIN</v>
          </cell>
          <cell r="E190" t="str">
            <v>LA3 / SAPIN</v>
          </cell>
          <cell r="F190" t="str">
            <v>SF2 / TRANZOR</v>
          </cell>
          <cell r="G190"/>
          <cell r="H190"/>
        </row>
        <row r="191">
          <cell r="A191">
            <v>29742</v>
          </cell>
          <cell r="B191">
            <v>8</v>
          </cell>
          <cell r="C191" t="str">
            <v>INTEGON NATIONAL INSURANCE COMPANY</v>
          </cell>
          <cell r="D191" t="str">
            <v>LA3 / SAPIN</v>
          </cell>
          <cell r="E191" t="str">
            <v>LA3 / SAPIN</v>
          </cell>
          <cell r="F191" t="str">
            <v>SF2 / TRANZOR</v>
          </cell>
          <cell r="G191"/>
          <cell r="H191"/>
        </row>
        <row r="192">
          <cell r="A192">
            <v>31488</v>
          </cell>
          <cell r="B192">
            <v>8</v>
          </cell>
          <cell r="C192" t="str">
            <v>INTEGON PREFERRED INSURANCE COMPANY</v>
          </cell>
          <cell r="D192" t="str">
            <v>LA3 / SAPIN</v>
          </cell>
          <cell r="E192" t="str">
            <v>LA3 / SAPIN</v>
          </cell>
          <cell r="F192" t="str">
            <v>SF2 / TRANZOR</v>
          </cell>
          <cell r="G192"/>
          <cell r="H192"/>
        </row>
        <row r="193">
          <cell r="A193">
            <v>38660</v>
          </cell>
          <cell r="B193">
            <v>8</v>
          </cell>
          <cell r="C193" t="str">
            <v>MIC GENERAL INSURANCE CORPORATION</v>
          </cell>
          <cell r="D193" t="str">
            <v>LA3 / SAPIN</v>
          </cell>
          <cell r="E193" t="str">
            <v>LA3 / SAPIN</v>
          </cell>
          <cell r="F193" t="str">
            <v>SF2 / TRANZOR</v>
          </cell>
          <cell r="G193"/>
          <cell r="H193"/>
        </row>
        <row r="194">
          <cell r="A194">
            <v>16217</v>
          </cell>
          <cell r="B194">
            <v>8</v>
          </cell>
          <cell r="C194" t="str">
            <v>NATIONAL FARMERS UNION PROPERTY AND CASUALTY COMPANY</v>
          </cell>
          <cell r="D194" t="str">
            <v>LA3 / SAPIN</v>
          </cell>
          <cell r="E194" t="str">
            <v>LA3 / SAPIN</v>
          </cell>
          <cell r="F194" t="str">
            <v>SF2 / TRANZOR</v>
          </cell>
          <cell r="G194"/>
          <cell r="H194"/>
        </row>
        <row r="195">
          <cell r="A195">
            <v>42447</v>
          </cell>
          <cell r="B195">
            <v>8</v>
          </cell>
          <cell r="C195" t="str">
            <v>NATIONAL GENERAL ASSURANCE COMPANY</v>
          </cell>
          <cell r="D195" t="str">
            <v>LA3 / SAPIN</v>
          </cell>
          <cell r="E195" t="str">
            <v>LA3 / SAPIN</v>
          </cell>
          <cell r="F195" t="str">
            <v>SF2 / TRANZOR</v>
          </cell>
          <cell r="G195"/>
          <cell r="H195"/>
        </row>
        <row r="196">
          <cell r="A196">
            <v>23728</v>
          </cell>
          <cell r="B196">
            <v>8</v>
          </cell>
          <cell r="C196" t="str">
            <v>NATIONAL GENERAL INSURANCE COMPANY</v>
          </cell>
          <cell r="D196" t="str">
            <v>LA3 / SAPIN</v>
          </cell>
          <cell r="E196" t="str">
            <v>LA3 / SAPIN</v>
          </cell>
          <cell r="F196" t="str">
            <v>SF2 / TRANZOR</v>
          </cell>
          <cell r="G196"/>
          <cell r="H196"/>
        </row>
        <row r="197">
          <cell r="A197">
            <v>11044</v>
          </cell>
          <cell r="B197">
            <v>8</v>
          </cell>
          <cell r="C197" t="str">
            <v>NATIONAL GENERAL INSURANCE ONLINE, INC.</v>
          </cell>
          <cell r="D197" t="str">
            <v>LA3 / SAPIN</v>
          </cell>
          <cell r="E197" t="str">
            <v>LA3 / SAPIN</v>
          </cell>
          <cell r="F197" t="str">
            <v>SF2 / TRANZOR</v>
          </cell>
          <cell r="G197"/>
          <cell r="H197"/>
        </row>
        <row r="198">
          <cell r="A198">
            <v>12832</v>
          </cell>
          <cell r="B198">
            <v>8</v>
          </cell>
          <cell r="C198" t="str">
            <v>NATIONAL GENERAL PREMIER INSURANCE COMPANY</v>
          </cell>
          <cell r="D198" t="str">
            <v>LA3 / SAPIN</v>
          </cell>
          <cell r="E198" t="str">
            <v>LA3 / SAPIN</v>
          </cell>
          <cell r="F198" t="str">
            <v>SF2 / GOTERA-PITROU</v>
          </cell>
          <cell r="G198" t="str">
            <v>RAO / YE</v>
          </cell>
          <cell r="H198" t="str">
            <v>RAO / YE</v>
          </cell>
        </row>
        <row r="199">
          <cell r="A199">
            <v>25405</v>
          </cell>
          <cell r="B199">
            <v>8</v>
          </cell>
          <cell r="C199" t="str">
            <v>SAFE AUTO INSURANCE COMPANY</v>
          </cell>
          <cell r="D199" t="str">
            <v>LA3 / SAPIN</v>
          </cell>
          <cell r="E199" t="str">
            <v>LA3 / SAPIN</v>
          </cell>
          <cell r="F199" t="str">
            <v>SF2 / GOTERA-PITROU</v>
          </cell>
          <cell r="G199"/>
          <cell r="H199"/>
        </row>
        <row r="200">
          <cell r="A200">
            <v>19402</v>
          </cell>
          <cell r="B200">
            <v>12</v>
          </cell>
          <cell r="C200" t="str">
            <v>AIG PROPERTY CASUALTY COMPANY</v>
          </cell>
          <cell r="D200" t="str">
            <v>LA1 / RAHMAN</v>
          </cell>
          <cell r="E200" t="str">
            <v>LA1 / RAHMAN</v>
          </cell>
          <cell r="F200" t="str">
            <v>SF2 / GOTERA-PITROU</v>
          </cell>
          <cell r="G200"/>
          <cell r="H200"/>
        </row>
        <row r="201">
          <cell r="A201">
            <v>19399</v>
          </cell>
          <cell r="B201">
            <v>12</v>
          </cell>
          <cell r="C201" t="str">
            <v>AIU INSURANCE COMPANY</v>
          </cell>
          <cell r="D201" t="str">
            <v>LA1 / RAHMAN</v>
          </cell>
          <cell r="E201" t="str">
            <v>LA1 / RAHMAN</v>
          </cell>
          <cell r="F201" t="str">
            <v>SF2 / GOTERA-PITROU</v>
          </cell>
          <cell r="G201"/>
          <cell r="H201"/>
        </row>
        <row r="202">
          <cell r="A202">
            <v>19380</v>
          </cell>
          <cell r="B202">
            <v>12</v>
          </cell>
          <cell r="C202" t="str">
            <v>AMERICAN HOME ASSURANCE COMPANY</v>
          </cell>
          <cell r="D202" t="str">
            <v>LA1 / RAHMAN</v>
          </cell>
          <cell r="E202" t="str">
            <v>LA1 / RAHMAN</v>
          </cell>
          <cell r="F202" t="str">
            <v>SF2 / GOTERA-PITROU</v>
          </cell>
          <cell r="G202"/>
          <cell r="H202"/>
        </row>
        <row r="203">
          <cell r="A203">
            <v>26611</v>
          </cell>
          <cell r="B203">
            <v>12</v>
          </cell>
          <cell r="C203" t="str">
            <v>BLACKBOARD INSURANCE COMPANY</v>
          </cell>
          <cell r="D203" t="str">
            <v>LA1 / RAHMAN</v>
          </cell>
          <cell r="E203" t="str">
            <v>LA1 / RAHMAN</v>
          </cell>
          <cell r="F203" t="str">
            <v>SF2 / GOTERA-PITROU</v>
          </cell>
          <cell r="G203"/>
          <cell r="H203"/>
        </row>
        <row r="204">
          <cell r="A204">
            <v>19410</v>
          </cell>
          <cell r="B204">
            <v>12</v>
          </cell>
          <cell r="C204" t="str">
            <v>COMMERCE AND INDUSTRY INSURANCE COMPANY</v>
          </cell>
          <cell r="D204" t="str">
            <v>LA1 / RAHMAN</v>
          </cell>
          <cell r="E204" t="str">
            <v>LA1 / RAHMAN</v>
          </cell>
          <cell r="F204" t="str">
            <v>SF2 / GOTERA-PITROU</v>
          </cell>
          <cell r="G204"/>
          <cell r="H204"/>
        </row>
        <row r="205">
          <cell r="A205">
            <v>23809</v>
          </cell>
          <cell r="B205">
            <v>12</v>
          </cell>
          <cell r="C205" t="str">
            <v>GRANITE STATE INSURANCE COMPANY</v>
          </cell>
          <cell r="D205" t="str">
            <v>LA1 / RAHMAN</v>
          </cell>
          <cell r="E205" t="str">
            <v>LA1 / RAHMAN</v>
          </cell>
          <cell r="F205" t="str">
            <v>SF2 / GOTERA-PITROU</v>
          </cell>
          <cell r="G205"/>
          <cell r="H205"/>
        </row>
        <row r="206">
          <cell r="A206">
            <v>19429</v>
          </cell>
          <cell r="B206">
            <v>12</v>
          </cell>
          <cell r="C206" t="str">
            <v>INSURANCE COMPANY OF THE STATE OF PENNSYLVANIA</v>
          </cell>
          <cell r="D206" t="str">
            <v>LA1 / RAHMAN</v>
          </cell>
          <cell r="E206" t="str">
            <v>LA1 / RAHMAN</v>
          </cell>
          <cell r="F206" t="str">
            <v>SF2 / GOTERA-PITROU</v>
          </cell>
          <cell r="G206"/>
          <cell r="H206"/>
        </row>
        <row r="207">
          <cell r="A207">
            <v>19445</v>
          </cell>
          <cell r="B207">
            <v>12</v>
          </cell>
          <cell r="C207" t="str">
            <v>NATIONAL UNION FIRE INSURANCE COMPANY OF PITTSBURGH, PA</v>
          </cell>
          <cell r="D207" t="str">
            <v>LA1 / RAHMAN</v>
          </cell>
          <cell r="E207" t="str">
            <v>LA1 / RAHMAN</v>
          </cell>
          <cell r="F207" t="str">
            <v>SF2 / GOTERA-PITROU</v>
          </cell>
          <cell r="G207"/>
          <cell r="H207"/>
        </row>
        <row r="208">
          <cell r="A208">
            <v>23841</v>
          </cell>
          <cell r="B208">
            <v>12</v>
          </cell>
          <cell r="C208" t="str">
            <v>NEW HAMPSHIRE INSURANCE COMPANY</v>
          </cell>
          <cell r="D208" t="str">
            <v>LA1 / RAHMAN</v>
          </cell>
          <cell r="E208" t="str">
            <v>LA1 / RAHMAN</v>
          </cell>
          <cell r="F208" t="str">
            <v>SF2 / GOTERA-PITROU</v>
          </cell>
          <cell r="G208"/>
          <cell r="H208"/>
        </row>
        <row r="209">
          <cell r="A209">
            <v>40436</v>
          </cell>
          <cell r="B209">
            <v>12</v>
          </cell>
          <cell r="C209" t="str">
            <v>STRATFORD INSURANCE COMPANY</v>
          </cell>
          <cell r="D209" t="str">
            <v>LA1 / RAHMAN</v>
          </cell>
          <cell r="E209" t="str">
            <v>LA1 / RAHMAN</v>
          </cell>
          <cell r="F209" t="str">
            <v>SF2 / GOTERA-PITROU</v>
          </cell>
          <cell r="G209"/>
          <cell r="H209"/>
        </row>
        <row r="210">
          <cell r="A210">
            <v>19453</v>
          </cell>
          <cell r="B210">
            <v>12</v>
          </cell>
          <cell r="C210" t="str">
            <v>TRANSATLANTIC REINSURANCE COMPANY</v>
          </cell>
          <cell r="D210" t="str">
            <v>LA1 / RAHMAN</v>
          </cell>
          <cell r="E210" t="str">
            <v>LA1 / RAHMAN</v>
          </cell>
          <cell r="F210"/>
          <cell r="G210"/>
          <cell r="H210"/>
        </row>
        <row r="211">
          <cell r="A211">
            <v>15873</v>
          </cell>
          <cell r="B211">
            <v>12</v>
          </cell>
          <cell r="C211" t="str">
            <v>UNITED GUARANTY RESIDENTIAL INSURANCE COMPANY</v>
          </cell>
          <cell r="D211" t="str">
            <v>LA1 / RAHMAN</v>
          </cell>
          <cell r="E211" t="str">
            <v>LA1 / RAHMAN</v>
          </cell>
          <cell r="F211"/>
          <cell r="G211"/>
          <cell r="H211"/>
        </row>
        <row r="212">
          <cell r="A212">
            <v>10111</v>
          </cell>
          <cell r="B212">
            <v>19</v>
          </cell>
          <cell r="C212" t="str">
            <v>AMERICAN BANKERS INSURANCE COMPANY OF FLORIDA</v>
          </cell>
          <cell r="D212" t="str">
            <v>LA1 / HUH</v>
          </cell>
          <cell r="E212" t="str">
            <v>LA1 / AHN</v>
          </cell>
          <cell r="F212"/>
          <cell r="G212"/>
          <cell r="H212"/>
        </row>
        <row r="213">
          <cell r="A213">
            <v>42978</v>
          </cell>
          <cell r="B213">
            <v>19</v>
          </cell>
          <cell r="C213" t="str">
            <v>AMERICAN SECURITY INSURANCE COMPANY</v>
          </cell>
          <cell r="D213" t="str">
            <v>LA1 / HUH</v>
          </cell>
          <cell r="E213" t="str">
            <v>LA1 / AHN</v>
          </cell>
          <cell r="F213"/>
          <cell r="G213"/>
          <cell r="H213"/>
        </row>
        <row r="214">
          <cell r="A214">
            <v>42986</v>
          </cell>
          <cell r="B214">
            <v>19</v>
          </cell>
          <cell r="C214" t="str">
            <v>STANDARD GUARANTY INSURANCE COMPANY</v>
          </cell>
          <cell r="D214" t="str">
            <v>LA1 / HUH</v>
          </cell>
          <cell r="E214" t="str">
            <v>LA1 / AHN</v>
          </cell>
          <cell r="F214"/>
          <cell r="G214"/>
          <cell r="H214"/>
        </row>
        <row r="215">
          <cell r="A215">
            <v>40827</v>
          </cell>
          <cell r="B215">
            <v>19</v>
          </cell>
          <cell r="C215" t="str">
            <v>VIRGINIA SURETY COMPANY, INC.</v>
          </cell>
          <cell r="D215" t="str">
            <v>LA1 / HUH</v>
          </cell>
          <cell r="E215" t="str">
            <v>LA1 / AHN</v>
          </cell>
          <cell r="F215"/>
          <cell r="G215"/>
          <cell r="H215"/>
        </row>
        <row r="216">
          <cell r="A216">
            <v>35971</v>
          </cell>
          <cell r="B216">
            <v>19</v>
          </cell>
          <cell r="C216" t="str">
            <v>VOYAGER PROPERTY AND CASUALTY INSURANCE</v>
          </cell>
          <cell r="D216" t="str">
            <v>LA1 / HUH</v>
          </cell>
          <cell r="E216" t="str">
            <v>LA1 / AHN</v>
          </cell>
          <cell r="F216"/>
          <cell r="G216"/>
          <cell r="H216"/>
        </row>
        <row r="217">
          <cell r="A217">
            <v>38245</v>
          </cell>
          <cell r="B217">
            <v>23</v>
          </cell>
          <cell r="C217" t="str">
            <v>BCS INSURANCE COMPANY</v>
          </cell>
          <cell r="D217" t="str">
            <v>LA2 / CHENG</v>
          </cell>
          <cell r="E217" t="str">
            <v>LA2 / CHENG</v>
          </cell>
          <cell r="F217"/>
          <cell r="G217"/>
          <cell r="H217"/>
        </row>
        <row r="218">
          <cell r="A218">
            <v>19895</v>
          </cell>
          <cell r="B218">
            <v>24</v>
          </cell>
          <cell r="C218" t="str">
            <v>ATLANTIC MUTUAL INSURANCE COMPANY</v>
          </cell>
          <cell r="D218" t="str">
            <v>SF1 / WONG</v>
          </cell>
          <cell r="E218" t="str">
            <v>SF1 / WONG</v>
          </cell>
          <cell r="F218"/>
          <cell r="G218"/>
          <cell r="H218"/>
        </row>
        <row r="219">
          <cell r="A219">
            <v>19909</v>
          </cell>
          <cell r="B219">
            <v>24</v>
          </cell>
          <cell r="C219" t="str">
            <v>CENTENNIAL INSURANCE COMPANY</v>
          </cell>
          <cell r="D219" t="str">
            <v>SF1 / WONG</v>
          </cell>
          <cell r="E219" t="str">
            <v>SF1 / WONG</v>
          </cell>
          <cell r="F219"/>
          <cell r="G219"/>
          <cell r="H219"/>
        </row>
        <row r="220">
          <cell r="A220">
            <v>37451</v>
          </cell>
          <cell r="B220">
            <v>26</v>
          </cell>
          <cell r="C220" t="str">
            <v>MOTOR CLUB OF AMERICA INSURANCE COMPANY</v>
          </cell>
          <cell r="D220" t="str">
            <v>LA1 / HUH</v>
          </cell>
          <cell r="E220" t="str">
            <v>LA1 / OKPARA</v>
          </cell>
          <cell r="F220" t="str">
            <v>SF2 / TRANZOR</v>
          </cell>
          <cell r="G220"/>
          <cell r="H220"/>
        </row>
        <row r="221">
          <cell r="A221">
            <v>19976</v>
          </cell>
          <cell r="B221">
            <v>28</v>
          </cell>
          <cell r="C221" t="str">
            <v>AMICA MUTUAL INSURANCE COMPANY</v>
          </cell>
          <cell r="D221" t="str">
            <v>SF1 / HILL</v>
          </cell>
          <cell r="E221" t="str">
            <v>SF1 / HILL</v>
          </cell>
          <cell r="F221" t="str">
            <v>SF2 / TRANZOR</v>
          </cell>
          <cell r="G221"/>
          <cell r="H221"/>
        </row>
        <row r="222">
          <cell r="A222">
            <v>42390</v>
          </cell>
          <cell r="B222">
            <v>31</v>
          </cell>
          <cell r="C222" t="str">
            <v>AMGUARD INSURANCE COMPANY</v>
          </cell>
          <cell r="D222" t="str">
            <v>SF1 / HILL</v>
          </cell>
          <cell r="E222" t="str">
            <v>SF1 / HILL</v>
          </cell>
          <cell r="F222" t="str">
            <v>SF2 / TRANZOR</v>
          </cell>
          <cell r="G222"/>
          <cell r="H222"/>
        </row>
        <row r="223">
          <cell r="A223">
            <v>10391</v>
          </cell>
          <cell r="B223">
            <v>31</v>
          </cell>
          <cell r="C223" t="str">
            <v>BERKSHIRE HATHAWAY DIRECT INSURANCE COMPANY</v>
          </cell>
          <cell r="D223" t="str">
            <v>SF1 / HILL</v>
          </cell>
          <cell r="E223" t="str">
            <v>SF1 / HILL</v>
          </cell>
          <cell r="F223" t="str">
            <v>SF2 / TRANZOR</v>
          </cell>
          <cell r="G223"/>
          <cell r="H223"/>
        </row>
        <row r="224">
          <cell r="A224">
            <v>22276</v>
          </cell>
          <cell r="B224">
            <v>31</v>
          </cell>
          <cell r="C224" t="str">
            <v>BERKSHIRE HATHAWAY SPECIALTY INSURANCE COMPANY</v>
          </cell>
          <cell r="D224" t="str">
            <v>SF1 / HILL</v>
          </cell>
          <cell r="E224" t="str">
            <v>SF1 / HILL</v>
          </cell>
          <cell r="F224" t="str">
            <v>SF2 / TRANZOR</v>
          </cell>
          <cell r="G224"/>
          <cell r="H224"/>
        </row>
        <row r="225">
          <cell r="A225">
            <v>34274</v>
          </cell>
          <cell r="B225">
            <v>31</v>
          </cell>
          <cell r="C225" t="str">
            <v>CENTRAL STATES INDEMNITY COMPANY OF OMAHA</v>
          </cell>
          <cell r="D225" t="str">
            <v>SF1 / HILL</v>
          </cell>
          <cell r="E225" t="str">
            <v>SF1 / HILL</v>
          </cell>
          <cell r="F225" t="str">
            <v>SF2 / TRANZOR</v>
          </cell>
          <cell r="G225"/>
          <cell r="H225"/>
        </row>
        <row r="226">
          <cell r="A226">
            <v>27812</v>
          </cell>
          <cell r="B226">
            <v>31</v>
          </cell>
          <cell r="C226" t="str">
            <v>COLUMBIA INSURANCE COMPANY</v>
          </cell>
          <cell r="D226" t="str">
            <v>SF1 / HILL</v>
          </cell>
          <cell r="E226" t="str">
            <v>SF1 / HILL</v>
          </cell>
          <cell r="F226" t="str">
            <v>SF2 / TRANZOR</v>
          </cell>
          <cell r="G226"/>
          <cell r="H226"/>
        </row>
        <row r="227">
          <cell r="A227">
            <v>10855</v>
          </cell>
          <cell r="B227">
            <v>31</v>
          </cell>
          <cell r="C227" t="str">
            <v>CYPRESS INSURANCE COMPANY</v>
          </cell>
          <cell r="D227" t="str">
            <v>SF1 / HILL</v>
          </cell>
          <cell r="E227" t="str">
            <v>SF1 / HILL</v>
          </cell>
          <cell r="F227" t="str">
            <v>SF2 / TRANZOR</v>
          </cell>
          <cell r="G227"/>
          <cell r="H227" t="str">
            <v>RAO / ZHOU</v>
          </cell>
        </row>
        <row r="228">
          <cell r="A228">
            <v>39136</v>
          </cell>
          <cell r="B228">
            <v>31</v>
          </cell>
          <cell r="C228" t="str">
            <v>FINIAL REINSURANCE COMPANY</v>
          </cell>
          <cell r="D228" t="str">
            <v>SF1 / HILL</v>
          </cell>
          <cell r="E228" t="str">
            <v>SF1 / HILL</v>
          </cell>
          <cell r="F228" t="str">
            <v>SF2 / TRANZOR</v>
          </cell>
          <cell r="G228"/>
          <cell r="H228" t="str">
            <v>RAO / ZHOU</v>
          </cell>
        </row>
        <row r="229">
          <cell r="A229">
            <v>41491</v>
          </cell>
          <cell r="B229">
            <v>31</v>
          </cell>
          <cell r="C229" t="str">
            <v>GEICO CASUALTY COMPANY</v>
          </cell>
          <cell r="D229" t="str">
            <v>SF1 / HILL</v>
          </cell>
          <cell r="E229" t="str">
            <v>SF1 / HILL</v>
          </cell>
          <cell r="F229" t="str">
            <v>SF2 / TRANZOR</v>
          </cell>
          <cell r="G229"/>
          <cell r="H229" t="str">
            <v>RAO / ZHOU</v>
          </cell>
        </row>
        <row r="230">
          <cell r="A230">
            <v>35882</v>
          </cell>
          <cell r="B230">
            <v>31</v>
          </cell>
          <cell r="C230" t="str">
            <v>GEICO GENERAL INSURANCE COMPANY</v>
          </cell>
          <cell r="D230" t="str">
            <v>SF1 / HILL</v>
          </cell>
          <cell r="E230" t="str">
            <v>SF1 / HILL</v>
          </cell>
          <cell r="F230" t="str">
            <v>SF2 / TRANZOR</v>
          </cell>
          <cell r="G230"/>
          <cell r="H230"/>
        </row>
        <row r="231">
          <cell r="A231">
            <v>22055</v>
          </cell>
          <cell r="B231">
            <v>31</v>
          </cell>
          <cell r="C231" t="str">
            <v>GEICO INDEMNITY COMPANY</v>
          </cell>
          <cell r="D231" t="str">
            <v>SF1 / HILL</v>
          </cell>
          <cell r="E231" t="str">
            <v>SF1 / HILL</v>
          </cell>
          <cell r="F231" t="str">
            <v>SF2 / TRANZOR</v>
          </cell>
          <cell r="G231"/>
          <cell r="H231"/>
        </row>
        <row r="232">
          <cell r="A232">
            <v>37923</v>
          </cell>
          <cell r="B232">
            <v>31</v>
          </cell>
          <cell r="C232" t="str">
            <v>GEICO MARINE INSURANCE COMPANY</v>
          </cell>
          <cell r="D232" t="str">
            <v>SF1 / HILL</v>
          </cell>
          <cell r="E232" t="str">
            <v>SF1 / HILL</v>
          </cell>
          <cell r="F232" t="str">
            <v>SF2 / TRANZOR</v>
          </cell>
          <cell r="G232"/>
          <cell r="H232"/>
        </row>
        <row r="233">
          <cell r="A233">
            <v>22039</v>
          </cell>
          <cell r="B233">
            <v>31</v>
          </cell>
          <cell r="C233" t="str">
            <v>GENERAL REINSURANCE CORPORATION</v>
          </cell>
          <cell r="D233" t="str">
            <v>SF1 / HILL</v>
          </cell>
          <cell r="E233" t="str">
            <v>SF1 / HILL</v>
          </cell>
          <cell r="F233" t="str">
            <v>SF2 / TRANZOR</v>
          </cell>
          <cell r="G233"/>
          <cell r="H233"/>
        </row>
        <row r="234">
          <cell r="A234">
            <v>11967</v>
          </cell>
          <cell r="B234">
            <v>31</v>
          </cell>
          <cell r="C234" t="str">
            <v>GENERAL STAR NATIONAL INSURANCE COMPANY</v>
          </cell>
          <cell r="D234" t="str">
            <v>SF1 / HILL</v>
          </cell>
          <cell r="E234" t="str">
            <v>SF1 / HILL</v>
          </cell>
          <cell r="F234" t="str">
            <v>SF2 / TRANZOR</v>
          </cell>
          <cell r="G234"/>
          <cell r="H234" t="str">
            <v>RAO / ZHOU</v>
          </cell>
        </row>
        <row r="235">
          <cell r="A235">
            <v>38962</v>
          </cell>
          <cell r="B235">
            <v>31</v>
          </cell>
          <cell r="C235" t="str">
            <v>GENESIS INSURANCE COMPANY</v>
          </cell>
          <cell r="D235" t="str">
            <v>SF1 / HILL</v>
          </cell>
          <cell r="E235" t="str">
            <v>SF1 / HILL</v>
          </cell>
          <cell r="F235" t="str">
            <v>SF2 / TRANZOR</v>
          </cell>
          <cell r="G235"/>
          <cell r="H235"/>
        </row>
        <row r="236">
          <cell r="A236">
            <v>22063</v>
          </cell>
          <cell r="B236">
            <v>31</v>
          </cell>
          <cell r="C236" t="str">
            <v>GOVERNMENT EMPLOYEES INSURANCE COMPANY</v>
          </cell>
          <cell r="D236" t="str">
            <v>SF1 / HILL</v>
          </cell>
          <cell r="E236" t="str">
            <v>SF1 / HILL</v>
          </cell>
          <cell r="F236" t="str">
            <v>SF2 / TRANZOR</v>
          </cell>
          <cell r="G236"/>
          <cell r="H236"/>
        </row>
        <row r="237">
          <cell r="A237">
            <v>11843</v>
          </cell>
          <cell r="B237">
            <v>31</v>
          </cell>
          <cell r="C237" t="str">
            <v>MEDICAL PROTECTIVE COMPANY</v>
          </cell>
          <cell r="D237" t="str">
            <v>SF2 / TRANZOR</v>
          </cell>
          <cell r="E237" t="str">
            <v>SF2 / TRANZOR</v>
          </cell>
          <cell r="F237" t="str">
            <v>SF2 / TRANZOR</v>
          </cell>
          <cell r="G237"/>
          <cell r="H237"/>
        </row>
        <row r="238">
          <cell r="A238">
            <v>14420</v>
          </cell>
          <cell r="B238">
            <v>31</v>
          </cell>
          <cell r="C238" t="str">
            <v>MOUNT VERNON SPECIALTY INSURANCE COMPANY</v>
          </cell>
          <cell r="D238" t="str">
            <v>SF1 / HILL</v>
          </cell>
          <cell r="E238" t="str">
            <v>SF1 / HILL</v>
          </cell>
          <cell r="F238" t="str">
            <v>SF2 / TRANZOR</v>
          </cell>
          <cell r="G238"/>
          <cell r="H238"/>
        </row>
        <row r="239">
          <cell r="A239">
            <v>20087</v>
          </cell>
          <cell r="B239">
            <v>31</v>
          </cell>
          <cell r="C239" t="str">
            <v>NATIONAL INDEMNITY COMPANY</v>
          </cell>
          <cell r="D239" t="str">
            <v>SF1 / HILL</v>
          </cell>
          <cell r="E239" t="str">
            <v>SF1 / HILL</v>
          </cell>
          <cell r="F239" t="str">
            <v>SF2 / TRANZOR</v>
          </cell>
          <cell r="G239"/>
          <cell r="H239"/>
        </row>
        <row r="240">
          <cell r="A240">
            <v>20052</v>
          </cell>
          <cell r="B240">
            <v>31</v>
          </cell>
          <cell r="C240" t="str">
            <v>NATIONAL LIABILITY AND FIRE INSURANCE COMPANY</v>
          </cell>
          <cell r="D240" t="str">
            <v>SF1 / HILL</v>
          </cell>
          <cell r="E240" t="str">
            <v>SF1 / HILL</v>
          </cell>
          <cell r="F240" t="str">
            <v>SF2 / TRANZOR</v>
          </cell>
          <cell r="G240"/>
          <cell r="H240"/>
        </row>
        <row r="241">
          <cell r="A241">
            <v>37060</v>
          </cell>
          <cell r="B241">
            <v>31</v>
          </cell>
          <cell r="C241" t="str">
            <v>OLD UNITED CASUALTY COMPANY</v>
          </cell>
          <cell r="D241" t="str">
            <v>SF1 / HILL</v>
          </cell>
          <cell r="E241" t="str">
            <v>SF1 / HILL</v>
          </cell>
          <cell r="F241" t="str">
            <v>SF2 / TRANZOR</v>
          </cell>
          <cell r="G241"/>
          <cell r="H241"/>
        </row>
        <row r="242">
          <cell r="A242">
            <v>11673</v>
          </cell>
          <cell r="B242">
            <v>31</v>
          </cell>
          <cell r="C242" t="str">
            <v>REDWOOD FIRE AND CASUALTY INSURANCE COMPANY</v>
          </cell>
          <cell r="D242" t="str">
            <v>SF1 / HILL</v>
          </cell>
          <cell r="E242" t="str">
            <v>SF1 / HILL</v>
          </cell>
          <cell r="F242" t="str">
            <v>SF2 / TRANZOR</v>
          </cell>
          <cell r="G242"/>
          <cell r="H242"/>
        </row>
        <row r="243">
          <cell r="A243">
            <v>35416</v>
          </cell>
          <cell r="B243">
            <v>31</v>
          </cell>
          <cell r="C243" t="str">
            <v>U.S. UNDERWRITERS INSURANCE COMPANY</v>
          </cell>
          <cell r="D243" t="str">
            <v>SF1 / HILL</v>
          </cell>
          <cell r="E243" t="str">
            <v>SF1 / HILL</v>
          </cell>
          <cell r="F243" t="str">
            <v>SF2 / TRANZOR</v>
          </cell>
          <cell r="G243"/>
          <cell r="H243"/>
        </row>
        <row r="244">
          <cell r="A244">
            <v>25895</v>
          </cell>
          <cell r="B244">
            <v>31</v>
          </cell>
          <cell r="C244" t="str">
            <v>UNITED STATES LIABILITY INSURANCE COMPANY</v>
          </cell>
          <cell r="D244" t="str">
            <v>SF1 / HILL</v>
          </cell>
          <cell r="E244" t="str">
            <v>SF1 / HILL</v>
          </cell>
          <cell r="F244"/>
          <cell r="G244"/>
          <cell r="H244"/>
        </row>
        <row r="245">
          <cell r="A245">
            <v>20931</v>
          </cell>
          <cell r="B245">
            <v>31</v>
          </cell>
          <cell r="C245" t="str">
            <v>WELLFLEET NEW YORK INSURANCE COMPANY</v>
          </cell>
          <cell r="D245" t="str">
            <v>SF1 / HILL</v>
          </cell>
          <cell r="E245" t="str">
            <v>SF1 / HILL</v>
          </cell>
          <cell r="F245"/>
          <cell r="G245"/>
          <cell r="H245"/>
        </row>
        <row r="246">
          <cell r="A246">
            <v>27464</v>
          </cell>
          <cell r="B246">
            <v>33</v>
          </cell>
          <cell r="C246" t="str">
            <v>CALIFORNIA CASUALTY &amp; FIRE INSURANCE COMPANY</v>
          </cell>
          <cell r="D246" t="str">
            <v>LA1 / HUH</v>
          </cell>
          <cell r="E246" t="str">
            <v>LA1 / OKPARA</v>
          </cell>
          <cell r="F246"/>
          <cell r="G246"/>
          <cell r="H246"/>
        </row>
        <row r="247">
          <cell r="A247">
            <v>35955</v>
          </cell>
          <cell r="B247">
            <v>33</v>
          </cell>
          <cell r="C247" t="str">
            <v>CALIFORNIA CASUALTY GENERAL INSURANCE COMPANY</v>
          </cell>
          <cell r="D247" t="str">
            <v>LA1 / HUH</v>
          </cell>
          <cell r="E247" t="str">
            <v>LA1 / OKPARA</v>
          </cell>
          <cell r="F247"/>
          <cell r="G247"/>
          <cell r="H247"/>
        </row>
        <row r="248">
          <cell r="A248">
            <v>20117</v>
          </cell>
          <cell r="B248">
            <v>33</v>
          </cell>
          <cell r="C248" t="str">
            <v>CALIFORNIA CASUALTY INDEMNITY EXCHANGE</v>
          </cell>
          <cell r="D248" t="str">
            <v>LA1 / HUH</v>
          </cell>
          <cell r="E248" t="str">
            <v>LA1 / OKPARA</v>
          </cell>
          <cell r="F248"/>
          <cell r="G248"/>
          <cell r="H248"/>
        </row>
        <row r="249">
          <cell r="A249">
            <v>20125</v>
          </cell>
          <cell r="B249">
            <v>33</v>
          </cell>
          <cell r="C249" t="str">
            <v>CALIFORNIA CASUALTY INSURANCE COMPANY</v>
          </cell>
          <cell r="D249" t="str">
            <v>LA1 / HUH</v>
          </cell>
          <cell r="E249" t="str">
            <v>LA1 / OKPARA</v>
          </cell>
          <cell r="F249"/>
          <cell r="G249"/>
          <cell r="H249"/>
        </row>
        <row r="250">
          <cell r="A250">
            <v>20222</v>
          </cell>
          <cell r="B250">
            <v>36</v>
          </cell>
          <cell r="C250" t="str">
            <v>ALL AMERICA INSURANCE COMPANY</v>
          </cell>
          <cell r="D250" t="str">
            <v>LA2 / LEE</v>
          </cell>
          <cell r="E250" t="str">
            <v>LA2 / LEE</v>
          </cell>
          <cell r="F250" t="str">
            <v>SF2 / GOTERA-PITROU</v>
          </cell>
          <cell r="G250"/>
          <cell r="H250"/>
        </row>
        <row r="251">
          <cell r="A251">
            <v>20230</v>
          </cell>
          <cell r="B251">
            <v>36</v>
          </cell>
          <cell r="C251" t="str">
            <v>CENTRAL MUTUAL INSURANCE COMPANY</v>
          </cell>
          <cell r="D251" t="str">
            <v>LA2 / LEE</v>
          </cell>
          <cell r="E251" t="str">
            <v>LA2 / LEE</v>
          </cell>
          <cell r="F251" t="str">
            <v>SF2 / GOTERA-PITROU</v>
          </cell>
          <cell r="G251"/>
          <cell r="H251"/>
        </row>
        <row r="252">
          <cell r="A252">
            <v>10826</v>
          </cell>
          <cell r="B252">
            <v>41</v>
          </cell>
          <cell r="C252" t="str">
            <v>TRAVCAL INDEMNITY COMPANY</v>
          </cell>
          <cell r="D252" t="str">
            <v>SF1 / HILL</v>
          </cell>
          <cell r="E252" t="str">
            <v>SF1 / HILL</v>
          </cell>
          <cell r="F252"/>
          <cell r="G252"/>
          <cell r="H252"/>
        </row>
        <row r="253">
          <cell r="A253">
            <v>10827</v>
          </cell>
          <cell r="B253">
            <v>41</v>
          </cell>
          <cell r="C253" t="str">
            <v>TRAVCAL SECURE INSURANCE COMPANY</v>
          </cell>
          <cell r="D253" t="str">
            <v>SF1 / HILL</v>
          </cell>
          <cell r="E253" t="str">
            <v>SF1 / HILL</v>
          </cell>
          <cell r="F253"/>
          <cell r="G253"/>
          <cell r="H253"/>
        </row>
        <row r="254">
          <cell r="A254">
            <v>20982</v>
          </cell>
          <cell r="B254">
            <v>50</v>
          </cell>
          <cell r="C254" t="str">
            <v>COUNTRY CASUALTY INSURANCE COMPANY</v>
          </cell>
          <cell r="D254" t="str">
            <v>LA1 / HUH</v>
          </cell>
          <cell r="E254" t="str">
            <v>LA1 / AHN</v>
          </cell>
          <cell r="F254"/>
          <cell r="G254"/>
          <cell r="H254"/>
        </row>
        <row r="255">
          <cell r="A255">
            <v>20990</v>
          </cell>
          <cell r="B255">
            <v>50</v>
          </cell>
          <cell r="C255" t="str">
            <v>COUNTRY MUTUAL INSURANCE COMPANY</v>
          </cell>
          <cell r="D255" t="str">
            <v>LA1 / HUH</v>
          </cell>
          <cell r="E255" t="str">
            <v>LA1 / AHN</v>
          </cell>
          <cell r="F255"/>
          <cell r="G255"/>
          <cell r="H255"/>
        </row>
        <row r="256">
          <cell r="A256">
            <v>21008</v>
          </cell>
          <cell r="B256">
            <v>50</v>
          </cell>
          <cell r="C256" t="str">
            <v>COUNTRY PREFERRED INSURANCE COMPANY</v>
          </cell>
          <cell r="D256" t="str">
            <v>LA1 / HUH</v>
          </cell>
          <cell r="E256" t="str">
            <v>LA1 / AHN</v>
          </cell>
          <cell r="F256"/>
          <cell r="G256"/>
          <cell r="H256"/>
        </row>
        <row r="257">
          <cell r="A257">
            <v>14206</v>
          </cell>
          <cell r="B257">
            <v>50</v>
          </cell>
          <cell r="C257" t="str">
            <v>HOLYOKE MUTUAL INSURANCE COMPANY IN SALEM</v>
          </cell>
          <cell r="D257" t="str">
            <v>LA1 / HUH</v>
          </cell>
          <cell r="E257" t="str">
            <v>LA1 / AHN</v>
          </cell>
          <cell r="F257"/>
          <cell r="G257"/>
          <cell r="H257"/>
        </row>
        <row r="258">
          <cell r="A258">
            <v>21237</v>
          </cell>
          <cell r="B258">
            <v>56</v>
          </cell>
          <cell r="C258" t="str">
            <v>CASUALTY RECIPROCAL EXCHANGE</v>
          </cell>
          <cell r="D258" t="str">
            <v>LA1 / HUH</v>
          </cell>
          <cell r="E258" t="str">
            <v>LA1 / OKPARA</v>
          </cell>
          <cell r="F258"/>
          <cell r="G258"/>
          <cell r="H258"/>
        </row>
        <row r="259">
          <cell r="A259">
            <v>21288</v>
          </cell>
          <cell r="B259">
            <v>57</v>
          </cell>
          <cell r="C259" t="str">
            <v>ELECTRIC MUTUAL LIABILITY INSURANCE COMPANY</v>
          </cell>
          <cell r="D259" t="str">
            <v>SF1 / HILL</v>
          </cell>
          <cell r="E259" t="str">
            <v>SF1 / HILL</v>
          </cell>
          <cell r="F259"/>
          <cell r="G259"/>
          <cell r="H259"/>
        </row>
        <row r="260">
          <cell r="A260">
            <v>10863</v>
          </cell>
          <cell r="B260">
            <v>62</v>
          </cell>
          <cell r="C260" t="str">
            <v>DAKOTA FIRE INSURANCE COMPANY</v>
          </cell>
          <cell r="D260" t="str">
            <v>LA2 / LEE</v>
          </cell>
          <cell r="E260" t="str">
            <v>LA2 / LEE</v>
          </cell>
          <cell r="F260"/>
          <cell r="G260"/>
          <cell r="H260"/>
        </row>
        <row r="261">
          <cell r="A261">
            <v>21407</v>
          </cell>
          <cell r="B261">
            <v>62</v>
          </cell>
          <cell r="C261" t="str">
            <v>EMCASCO INSURANCE COMPANY</v>
          </cell>
          <cell r="D261" t="str">
            <v>LA2 / LEE</v>
          </cell>
          <cell r="E261" t="str">
            <v>LA2 / LEE</v>
          </cell>
          <cell r="F261"/>
          <cell r="G261"/>
          <cell r="H261"/>
        </row>
        <row r="262">
          <cell r="A262">
            <v>21415</v>
          </cell>
          <cell r="B262">
            <v>62</v>
          </cell>
          <cell r="C262" t="str">
            <v>EMPLOYERS MUTUAL CASUALTY COMPANY</v>
          </cell>
          <cell r="D262" t="str">
            <v>LA2 / LEE</v>
          </cell>
          <cell r="E262" t="str">
            <v>LA2 / LEE</v>
          </cell>
          <cell r="F262"/>
          <cell r="G262"/>
          <cell r="H262"/>
        </row>
        <row r="263">
          <cell r="A263">
            <v>10014</v>
          </cell>
          <cell r="B263">
            <v>65</v>
          </cell>
          <cell r="C263" t="str">
            <v>AFFILIATED FM INSURANCE COMPANY</v>
          </cell>
          <cell r="D263" t="str">
            <v>SF1 / WONG</v>
          </cell>
          <cell r="E263" t="str">
            <v>SF1 / WONG</v>
          </cell>
          <cell r="F263"/>
          <cell r="G263"/>
          <cell r="H263"/>
        </row>
        <row r="264">
          <cell r="A264">
            <v>10316</v>
          </cell>
          <cell r="B264">
            <v>65</v>
          </cell>
          <cell r="C264" t="str">
            <v>APPALACHIAN INSURANCE COMPANY</v>
          </cell>
          <cell r="D264" t="str">
            <v>SF1 / WONG</v>
          </cell>
          <cell r="E264" t="str">
            <v>SF1 / WONG</v>
          </cell>
          <cell r="F264" t="str">
            <v>SF2 / GOTERA-PITROU</v>
          </cell>
          <cell r="G264"/>
          <cell r="H264"/>
        </row>
        <row r="265">
          <cell r="A265">
            <v>21482</v>
          </cell>
          <cell r="B265">
            <v>65</v>
          </cell>
          <cell r="C265" t="str">
            <v>FACTORY MUTUAL INSURANCE COMPANY</v>
          </cell>
          <cell r="D265" t="str">
            <v>SF1 / WONG</v>
          </cell>
          <cell r="E265" t="str">
            <v>SF1 / WONG</v>
          </cell>
          <cell r="F265" t="str">
            <v>SF2 / GOTERA-PITROU</v>
          </cell>
          <cell r="G265"/>
          <cell r="H265"/>
        </row>
        <row r="266">
          <cell r="A266">
            <v>36404</v>
          </cell>
          <cell r="B266">
            <v>69</v>
          </cell>
          <cell r="C266" t="str">
            <v>21ST CENTURY CASUALTY COMPANY</v>
          </cell>
          <cell r="D266" t="str">
            <v>LA2 / BAUTISTA</v>
          </cell>
          <cell r="E266" t="str">
            <v>LA2 / BAUTISTA</v>
          </cell>
          <cell r="F266" t="str">
            <v>SF2 / GOTERA-PITROU</v>
          </cell>
          <cell r="G266"/>
          <cell r="H266"/>
        </row>
        <row r="267">
          <cell r="A267">
            <v>34789</v>
          </cell>
          <cell r="B267">
            <v>69</v>
          </cell>
          <cell r="C267" t="str">
            <v>21ST CENTURY CENTENNIAL INSURANCE COMPANY</v>
          </cell>
          <cell r="D267" t="str">
            <v>LA2 / BAUTISTA</v>
          </cell>
          <cell r="E267" t="str">
            <v>LA2 / BAUTISTA</v>
          </cell>
          <cell r="F267" t="str">
            <v>SF2 / GOTERA-PITROU</v>
          </cell>
          <cell r="G267"/>
          <cell r="H267" t="str">
            <v>RAO / KUO</v>
          </cell>
        </row>
        <row r="268">
          <cell r="A268">
            <v>43974</v>
          </cell>
          <cell r="B268">
            <v>69</v>
          </cell>
          <cell r="C268" t="str">
            <v>21ST CENTURY INDEMNITY INSURANCE COMPANY</v>
          </cell>
          <cell r="D268" t="str">
            <v>LA2 / BAUTISTA</v>
          </cell>
          <cell r="E268" t="str">
            <v>LA2 / BAUTISTA</v>
          </cell>
          <cell r="F268" t="str">
            <v>SF2 / GOTERA-PITROU</v>
          </cell>
          <cell r="G268"/>
          <cell r="H268"/>
        </row>
        <row r="269">
          <cell r="A269">
            <v>12963</v>
          </cell>
          <cell r="B269">
            <v>69</v>
          </cell>
          <cell r="C269" t="str">
            <v>21ST CENTURY INSURANCE COMPANY</v>
          </cell>
          <cell r="D269" t="str">
            <v>LA2 / BAUTISTA</v>
          </cell>
          <cell r="E269" t="str">
            <v>LA2 / BAUTISTA</v>
          </cell>
          <cell r="F269" t="str">
            <v>SF2 / GOTERA-PITROU</v>
          </cell>
          <cell r="G269"/>
          <cell r="H269"/>
        </row>
        <row r="270">
          <cell r="A270">
            <v>32220</v>
          </cell>
          <cell r="B270">
            <v>69</v>
          </cell>
          <cell r="C270" t="str">
            <v>21ST CENTURY NORTH AMERICA INSURANCE COMPANY</v>
          </cell>
          <cell r="D270" t="str">
            <v>LA2 / BAUTISTA</v>
          </cell>
          <cell r="E270" t="str">
            <v>LA2 / BAUTISTA</v>
          </cell>
          <cell r="F270" t="str">
            <v>SF2 / GOTERA-PITROU</v>
          </cell>
          <cell r="G270"/>
          <cell r="H270"/>
        </row>
        <row r="271">
          <cell r="A271">
            <v>20796</v>
          </cell>
          <cell r="B271">
            <v>69</v>
          </cell>
          <cell r="C271" t="str">
            <v>21ST CENTURY PREMIER INSURANCE COMPANY</v>
          </cell>
          <cell r="D271" t="str">
            <v>LA2 / BAUTISTA</v>
          </cell>
          <cell r="E271" t="str">
            <v>LA2 / BAUTISTA</v>
          </cell>
          <cell r="F271" t="str">
            <v>SF2 / GOTERA-PITROU</v>
          </cell>
          <cell r="G271"/>
          <cell r="H271" t="str">
            <v>RAO / KUO</v>
          </cell>
        </row>
        <row r="272">
          <cell r="A272">
            <v>10315</v>
          </cell>
          <cell r="B272">
            <v>69</v>
          </cell>
          <cell r="C272" t="str">
            <v>CIVIC PROPERTY AND CASUALTY COMPANY</v>
          </cell>
          <cell r="D272" t="str">
            <v>LA2 / BAUTISTA</v>
          </cell>
          <cell r="E272" t="str">
            <v>LA2 / BAUTISTA</v>
          </cell>
          <cell r="F272" t="str">
            <v>SF2 / GOTERA-PITROU</v>
          </cell>
          <cell r="G272"/>
          <cell r="H272"/>
        </row>
        <row r="273">
          <cell r="A273">
            <v>25089</v>
          </cell>
          <cell r="B273">
            <v>69</v>
          </cell>
          <cell r="C273" t="str">
            <v>COAST NATIONAL INSURANCE COMPANY</v>
          </cell>
          <cell r="D273" t="str">
            <v>LA2 / BAUTISTA</v>
          </cell>
          <cell r="E273" t="str">
            <v>LA2 / BAUTISTA</v>
          </cell>
          <cell r="F273" t="str">
            <v>SF2 / GOTERA-PITROU</v>
          </cell>
          <cell r="G273"/>
          <cell r="H273"/>
        </row>
        <row r="274">
          <cell r="A274">
            <v>22926</v>
          </cell>
          <cell r="B274">
            <v>69</v>
          </cell>
          <cell r="C274" t="str">
            <v>ECONOMY FIRE AND CASUALTY COMPANY</v>
          </cell>
          <cell r="D274" t="str">
            <v>LA2 / BAUTISTA</v>
          </cell>
          <cell r="E274" t="str">
            <v>LA2 / BAUTISTA</v>
          </cell>
          <cell r="F274" t="str">
            <v>SF2 / GOTERA-PITROU</v>
          </cell>
          <cell r="G274"/>
          <cell r="H274"/>
        </row>
        <row r="275">
          <cell r="A275">
            <v>10318</v>
          </cell>
          <cell r="B275">
            <v>69</v>
          </cell>
          <cell r="C275" t="str">
            <v>EXACT PROPERTY &amp; CASUALTY COMPANY</v>
          </cell>
          <cell r="D275" t="str">
            <v>LA2 / BAUTISTA</v>
          </cell>
          <cell r="E275" t="str">
            <v>LA2 / BAUTISTA</v>
          </cell>
          <cell r="F275" t="str">
            <v>SF2 / GOTERA-PITROU</v>
          </cell>
          <cell r="G275"/>
          <cell r="H275"/>
        </row>
        <row r="276">
          <cell r="A276">
            <v>21636</v>
          </cell>
          <cell r="B276">
            <v>69</v>
          </cell>
          <cell r="C276" t="str">
            <v>FARMERS INSURANCE COMPANY OF OREGON</v>
          </cell>
          <cell r="D276" t="str">
            <v>LA2 / BAUTISTA</v>
          </cell>
          <cell r="E276" t="str">
            <v>LA2 / BAUTISTA</v>
          </cell>
          <cell r="F276" t="str">
            <v>SF2 / GOTERA-PITROU</v>
          </cell>
          <cell r="G276" t="str">
            <v>RAO / KUO</v>
          </cell>
          <cell r="H276" t="str">
            <v>RAO / KUO</v>
          </cell>
        </row>
        <row r="277">
          <cell r="A277">
            <v>21628</v>
          </cell>
          <cell r="B277">
            <v>69</v>
          </cell>
          <cell r="C277" t="str">
            <v>FARMERS INSURANCE COMPANY, INC</v>
          </cell>
          <cell r="D277" t="str">
            <v>LA2 / BAUTISTA</v>
          </cell>
          <cell r="E277" t="str">
            <v>LA2 / BAUTISTA</v>
          </cell>
          <cell r="F277" t="str">
            <v>SF2 / GOTERA-PITROU</v>
          </cell>
          <cell r="G277"/>
          <cell r="H277"/>
        </row>
        <row r="278">
          <cell r="A278">
            <v>21652</v>
          </cell>
          <cell r="B278">
            <v>69</v>
          </cell>
          <cell r="C278" t="str">
            <v>FARMERS INSURANCE EXCHANGE</v>
          </cell>
          <cell r="D278" t="str">
            <v>LA2 / BAUTISTA</v>
          </cell>
          <cell r="E278" t="str">
            <v>LA2 / BAUTISTA</v>
          </cell>
          <cell r="F278" t="str">
            <v>SF2 / GOTERA-PITROU</v>
          </cell>
          <cell r="G278" t="str">
            <v>RAO / KUO</v>
          </cell>
          <cell r="H278"/>
        </row>
        <row r="279">
          <cell r="A279">
            <v>43699</v>
          </cell>
          <cell r="B279">
            <v>69</v>
          </cell>
          <cell r="C279" t="str">
            <v>FARMERS SPECIALTY INSURANCE COMPANY</v>
          </cell>
          <cell r="D279" t="str">
            <v>LA2 / BAUTISTA</v>
          </cell>
          <cell r="E279" t="str">
            <v>LA2 / BAUTISTA</v>
          </cell>
          <cell r="F279" t="str">
            <v>SF2 / GOTERA-PITROU</v>
          </cell>
          <cell r="G279" t="str">
            <v>RAO / KUO</v>
          </cell>
          <cell r="H279"/>
        </row>
        <row r="280">
          <cell r="A280">
            <v>21660</v>
          </cell>
          <cell r="B280">
            <v>69</v>
          </cell>
          <cell r="C280" t="str">
            <v>FIRE INSURANCE EXCHANGE</v>
          </cell>
          <cell r="D280" t="str">
            <v>LA2 / BAUTISTA</v>
          </cell>
          <cell r="E280" t="str">
            <v>LA2 / BAUTISTA</v>
          </cell>
          <cell r="F280" t="str">
            <v>SF2 / GOTERA-PITROU</v>
          </cell>
          <cell r="G280"/>
          <cell r="H280"/>
        </row>
        <row r="281">
          <cell r="A281">
            <v>11185</v>
          </cell>
          <cell r="B281">
            <v>69</v>
          </cell>
          <cell r="C281" t="str">
            <v>FOREMOST INSURANCE COMPANY GRAND RAPIDS MICHIGAN</v>
          </cell>
          <cell r="D281" t="str">
            <v>LA2 / BAUTISTA</v>
          </cell>
          <cell r="E281" t="str">
            <v>LA2 / BAUTISTA</v>
          </cell>
          <cell r="F281" t="str">
            <v>SF2 / GOTERA-PITROU</v>
          </cell>
          <cell r="G281"/>
          <cell r="H281"/>
        </row>
        <row r="282">
          <cell r="A282">
            <v>11800</v>
          </cell>
          <cell r="B282">
            <v>69</v>
          </cell>
          <cell r="C282" t="str">
            <v>FOREMOST PROPERTY AND CASUALTY INSURANCE COMPANY</v>
          </cell>
          <cell r="D282" t="str">
            <v>LA2 / BAUTISTA</v>
          </cell>
          <cell r="E282" t="str">
            <v>LA2 / BAUTISTA</v>
          </cell>
          <cell r="F282" t="str">
            <v>SF2 / GOTERA-PITROU</v>
          </cell>
          <cell r="G282"/>
          <cell r="H282"/>
        </row>
        <row r="283">
          <cell r="A283">
            <v>41513</v>
          </cell>
          <cell r="B283">
            <v>69</v>
          </cell>
          <cell r="C283" t="str">
            <v>FOREMOST SIGNALINRE INSURANCE COMPANY</v>
          </cell>
          <cell r="D283" t="str">
            <v>LA2 / BAUTISTA</v>
          </cell>
          <cell r="E283" t="str">
            <v>LA2 / BAUTISTA</v>
          </cell>
          <cell r="F283" t="str">
            <v>SF2 / GOTERA-PITROU</v>
          </cell>
          <cell r="G283"/>
          <cell r="H283"/>
        </row>
        <row r="284">
          <cell r="A284">
            <v>25321</v>
          </cell>
          <cell r="B284">
            <v>69</v>
          </cell>
          <cell r="C284" t="str">
            <v xml:space="preserve">FARMERS DIRECT PROPERTY AND CASUALTY INSURANCE COMPANY </v>
          </cell>
          <cell r="D284" t="str">
            <v>LA2 / BAUTISTA</v>
          </cell>
          <cell r="E284" t="str">
            <v>LA2 / BAUTISTA</v>
          </cell>
          <cell r="F284" t="str">
            <v>SF2 / GOTERA-PITROU</v>
          </cell>
          <cell r="G284"/>
          <cell r="H284"/>
        </row>
        <row r="285">
          <cell r="A285">
            <v>25321</v>
          </cell>
          <cell r="B285">
            <v>69</v>
          </cell>
          <cell r="C285" t="str">
            <v>METROPOLITAN DIRECT PROPERTY AND CASUALTY INSURANCE COMPANY (name changed to Farmers Direct Property and Casualty Insurance Company issued Sept 22, 2021)</v>
          </cell>
          <cell r="D285" t="str">
            <v>LA2 / BAUTISTA</v>
          </cell>
          <cell r="E285" t="str">
            <v>LA2 / BAUTISTA</v>
          </cell>
          <cell r="F285" t="str">
            <v>SF2 / GOTERA-PITROU</v>
          </cell>
          <cell r="G285"/>
          <cell r="H285"/>
        </row>
        <row r="286">
          <cell r="A286">
            <v>34339</v>
          </cell>
          <cell r="B286">
            <v>69</v>
          </cell>
          <cell r="C286" t="str">
            <v xml:space="preserve">FARMERS GROUP PROPERTY AND INSURANCE COMPANY </v>
          </cell>
          <cell r="D286" t="str">
            <v>LA2 / BAUTISTA</v>
          </cell>
          <cell r="E286" t="str">
            <v>LA2 / BAUTISTA</v>
          </cell>
          <cell r="F286" t="str">
            <v>SF2 / GOTERA-PITROU</v>
          </cell>
          <cell r="G286" t="str">
            <v>RAO / KUO</v>
          </cell>
          <cell r="H286" t="str">
            <v>RAO / KUO</v>
          </cell>
        </row>
        <row r="287">
          <cell r="A287">
            <v>34339</v>
          </cell>
          <cell r="B287">
            <v>69</v>
          </cell>
          <cell r="C287" t="str">
            <v>METROPOLITAN GROUP PROPERTY AND CASUALTY INSURANCE COMPANY (Name changed to Farmers Group Property and Insurance Company issued Sept 22, 2021)</v>
          </cell>
          <cell r="D287" t="str">
            <v>LA2 / BAUTISTA</v>
          </cell>
          <cell r="E287" t="str">
            <v>LA2 / BAUTISTA</v>
          </cell>
          <cell r="F287" t="str">
            <v>SF2 / GOTERA-PITROU</v>
          </cell>
          <cell r="G287"/>
          <cell r="H287"/>
        </row>
        <row r="288">
          <cell r="A288">
            <v>21687</v>
          </cell>
          <cell r="B288">
            <v>69</v>
          </cell>
          <cell r="C288" t="str">
            <v xml:space="preserve">MID CENTURY INSURANCE COMPANY </v>
          </cell>
          <cell r="D288" t="str">
            <v>LA2 / BAUTISTA</v>
          </cell>
          <cell r="E288" t="str">
            <v>LA2 / BAUTISTA</v>
          </cell>
          <cell r="F288" t="str">
            <v>SF2 / GOTERA-PITROU</v>
          </cell>
          <cell r="G288"/>
          <cell r="H288"/>
        </row>
        <row r="289">
          <cell r="A289">
            <v>10317</v>
          </cell>
          <cell r="B289">
            <v>69</v>
          </cell>
          <cell r="C289" t="str">
            <v>NEIGHBORHOOD SPIRIT PROPERTY &amp; CASUALTY COMPANY</v>
          </cell>
          <cell r="D289" t="str">
            <v>LA2 / BAUTISTA</v>
          </cell>
          <cell r="E289" t="str">
            <v>LA2 / BAUTISTA</v>
          </cell>
          <cell r="F289"/>
          <cell r="G289"/>
          <cell r="H289"/>
        </row>
        <row r="290">
          <cell r="A290">
            <v>21709</v>
          </cell>
          <cell r="B290">
            <v>69</v>
          </cell>
          <cell r="C290" t="str">
            <v>TRUCK INSURANCE EXCHANGE</v>
          </cell>
          <cell r="D290" t="str">
            <v>LA2 / BAUTISTA</v>
          </cell>
          <cell r="E290" t="str">
            <v>LA2 / BAUTISTA</v>
          </cell>
          <cell r="F290"/>
          <cell r="G290"/>
          <cell r="H290"/>
        </row>
        <row r="291">
          <cell r="A291">
            <v>37710</v>
          </cell>
          <cell r="B291">
            <v>70</v>
          </cell>
          <cell r="C291" t="str">
            <v>FIRST AMERICAN PROPERTY &amp; CASUALTY INSURANCE COMPANY</v>
          </cell>
          <cell r="D291" t="str">
            <v>LA2 / GUAN</v>
          </cell>
          <cell r="E291" t="str">
            <v>LA2 / GUAN</v>
          </cell>
          <cell r="F291"/>
          <cell r="G291"/>
          <cell r="H291"/>
        </row>
        <row r="292">
          <cell r="A292">
            <v>34525</v>
          </cell>
          <cell r="B292">
            <v>70</v>
          </cell>
          <cell r="C292" t="str">
            <v>FIRST AMERICAN SPECIALTY INSURANCE COMPANY</v>
          </cell>
          <cell r="D292" t="str">
            <v>LA2 / GUAN</v>
          </cell>
          <cell r="E292" t="str">
            <v>LA2 / GUAN</v>
          </cell>
          <cell r="F292"/>
          <cell r="G292"/>
          <cell r="H292"/>
        </row>
        <row r="293">
          <cell r="A293">
            <v>10759</v>
          </cell>
          <cell r="B293">
            <v>71</v>
          </cell>
          <cell r="C293" t="str">
            <v>UNIVERSAL NORTH AMERICA INSURANCE COMPANY</v>
          </cell>
          <cell r="D293" t="str">
            <v>SF1 / POON</v>
          </cell>
          <cell r="E293" t="str">
            <v>SF1 / POON</v>
          </cell>
          <cell r="F293" t="str">
            <v>SF2 / GOTERA-PITROU</v>
          </cell>
          <cell r="G293"/>
          <cell r="H293"/>
        </row>
        <row r="294">
          <cell r="A294">
            <v>21768</v>
          </cell>
          <cell r="B294">
            <v>72</v>
          </cell>
          <cell r="C294" t="str">
            <v>NORTHEASTERN INSURANCE COMPANY OF HARTFORD</v>
          </cell>
          <cell r="D294" t="str">
            <v>LA1 / HUH</v>
          </cell>
          <cell r="E294" t="str">
            <v>LA1 / AHN</v>
          </cell>
          <cell r="F294" t="str">
            <v>SF2 / GOTERA-PITROU</v>
          </cell>
          <cell r="G294"/>
          <cell r="H294"/>
        </row>
        <row r="295">
          <cell r="A295">
            <v>11123</v>
          </cell>
          <cell r="B295">
            <v>74</v>
          </cell>
          <cell r="C295" t="str">
            <v>SAFETY FIRST INSURANCE COMPANY</v>
          </cell>
          <cell r="D295" t="str">
            <v>LA1 / HUH</v>
          </cell>
          <cell r="E295" t="str">
            <v>LA1 / AHN</v>
          </cell>
          <cell r="F295"/>
          <cell r="G295"/>
          <cell r="H295"/>
        </row>
        <row r="296">
          <cell r="A296">
            <v>15105</v>
          </cell>
          <cell r="B296">
            <v>74</v>
          </cell>
          <cell r="C296" t="str">
            <v>SAFETY NATIONAL CASUALTY CORPORATION</v>
          </cell>
          <cell r="D296" t="str">
            <v>LA1 / HUH</v>
          </cell>
          <cell r="E296" t="str">
            <v>LA1 / AHN</v>
          </cell>
          <cell r="F296"/>
          <cell r="G296"/>
          <cell r="H296"/>
        </row>
        <row r="297">
          <cell r="A297">
            <v>22004</v>
          </cell>
          <cell r="B297">
            <v>79</v>
          </cell>
          <cell r="C297" t="str">
            <v>CIM INSURANCE CORPORATION</v>
          </cell>
          <cell r="D297" t="str">
            <v>LA1 / HUH</v>
          </cell>
          <cell r="E297" t="str">
            <v>LA1 / OKPARA</v>
          </cell>
          <cell r="F297"/>
          <cell r="G297"/>
          <cell r="H297"/>
        </row>
        <row r="298">
          <cell r="A298">
            <v>38601</v>
          </cell>
          <cell r="B298">
            <v>79</v>
          </cell>
          <cell r="C298" t="str">
            <v>MIC PROPERTY AND CASUALTY INSURANCE CORPORATION</v>
          </cell>
          <cell r="D298" t="str">
            <v>LA1 / HUH</v>
          </cell>
          <cell r="E298" t="str">
            <v>LA1 / OKPARA</v>
          </cell>
          <cell r="F298" t="str">
            <v>SF2 / GOTERA-PITROU</v>
          </cell>
          <cell r="G298"/>
          <cell r="H298"/>
        </row>
        <row r="299">
          <cell r="A299">
            <v>22012</v>
          </cell>
          <cell r="B299">
            <v>79</v>
          </cell>
          <cell r="C299" t="str">
            <v>MOTORS INSURANCE CORPORATION</v>
          </cell>
          <cell r="D299" t="str">
            <v>LA1 / HUH</v>
          </cell>
          <cell r="E299" t="str">
            <v>LA1 / OKPARA</v>
          </cell>
          <cell r="F299" t="str">
            <v>SF2 / GOTERA-PITROU</v>
          </cell>
          <cell r="G299"/>
          <cell r="H299"/>
        </row>
        <row r="300">
          <cell r="A300">
            <v>22101</v>
          </cell>
          <cell r="B300">
            <v>83</v>
          </cell>
          <cell r="C300" t="str">
            <v>GRANGE INSURANCE ASSOCIATION</v>
          </cell>
          <cell r="D300" t="str">
            <v>SAC / TAM</v>
          </cell>
          <cell r="E300" t="str">
            <v>SAC / TAM</v>
          </cell>
          <cell r="F300" t="str">
            <v>SF2 / GOTERA-PITROU</v>
          </cell>
          <cell r="G300"/>
          <cell r="H300"/>
        </row>
        <row r="301">
          <cell r="A301">
            <v>22128</v>
          </cell>
          <cell r="B301">
            <v>83</v>
          </cell>
          <cell r="C301" t="str">
            <v>GRANWEST PROPERTY &amp; CASUALTY</v>
          </cell>
          <cell r="D301" t="str">
            <v>SAC / TAM</v>
          </cell>
          <cell r="E301" t="str">
            <v>SAC / TAM</v>
          </cell>
          <cell r="F301" t="str">
            <v>SF2 / GOTERA-PITROU</v>
          </cell>
          <cell r="G301"/>
          <cell r="H301"/>
        </row>
        <row r="302">
          <cell r="A302">
            <v>41858</v>
          </cell>
          <cell r="B302">
            <v>84</v>
          </cell>
          <cell r="C302" t="str">
            <v>AMERICAN DYNASTY SURPLUS LINES INSURANCE COMPANY</v>
          </cell>
          <cell r="D302" t="str">
            <v>LA1 / RAHMAN</v>
          </cell>
          <cell r="E302" t="str">
            <v>LA1 / RAHMAN</v>
          </cell>
          <cell r="F302" t="str">
            <v>SF2 / GOTERA-PITROU</v>
          </cell>
          <cell r="G302"/>
          <cell r="H302"/>
        </row>
        <row r="303">
          <cell r="A303">
            <v>15920</v>
          </cell>
          <cell r="B303">
            <v>84</v>
          </cell>
          <cell r="C303" t="str">
            <v>AMERICAN EAGLE INSURANCE COMPANY</v>
          </cell>
          <cell r="D303" t="str">
            <v>LA1 / RAHMAN</v>
          </cell>
          <cell r="E303" t="str">
            <v>LA1 / RAHMAN</v>
          </cell>
          <cell r="F303" t="str">
            <v>SF2 / GOTERA-PITROU</v>
          </cell>
          <cell r="G303"/>
          <cell r="H303"/>
        </row>
        <row r="304">
          <cell r="A304">
            <v>37990</v>
          </cell>
          <cell r="B304">
            <v>84</v>
          </cell>
          <cell r="C304" t="str">
            <v>AMERICAN EMPIRE INSURANCE COMPANY</v>
          </cell>
          <cell r="D304" t="str">
            <v>LA1 / RAHMAN</v>
          </cell>
          <cell r="E304" t="str">
            <v>LA1 / RAHMAN</v>
          </cell>
          <cell r="F304" t="str">
            <v>SF2 / GOTERA-PITROU</v>
          </cell>
          <cell r="G304"/>
          <cell r="H304"/>
        </row>
        <row r="305">
          <cell r="A305">
            <v>31153</v>
          </cell>
          <cell r="B305">
            <v>84</v>
          </cell>
          <cell r="C305" t="str">
            <v>EAGLE AMERICAN INSURANCE COMPANY (dba Sandstone Insurance Company)</v>
          </cell>
          <cell r="D305" t="str">
            <v>LA1 / RAHMAN</v>
          </cell>
          <cell r="E305" t="str">
            <v>LA1 / RAHMAN</v>
          </cell>
          <cell r="F305" t="str">
            <v>SF2 / GOTERA-PITROU</v>
          </cell>
          <cell r="G305"/>
          <cell r="H305"/>
        </row>
        <row r="306">
          <cell r="A306">
            <v>26832</v>
          </cell>
          <cell r="B306">
            <v>84</v>
          </cell>
          <cell r="C306" t="str">
            <v>GREAT AMERICAN ALLIANCE INSURANCE COMPANY</v>
          </cell>
          <cell r="D306" t="str">
            <v>LA1 / RAHMAN</v>
          </cell>
          <cell r="E306" t="str">
            <v>LA1 / RAHMAN</v>
          </cell>
          <cell r="F306" t="str">
            <v>SF2 / GOTERA-PITROU</v>
          </cell>
          <cell r="G306"/>
          <cell r="H306"/>
        </row>
        <row r="307">
          <cell r="A307">
            <v>26344</v>
          </cell>
          <cell r="B307">
            <v>84</v>
          </cell>
          <cell r="C307" t="str">
            <v>GREAT AMERICAN ASSURANCE COMPANY</v>
          </cell>
          <cell r="D307" t="str">
            <v>LA1 / RAHMAN</v>
          </cell>
          <cell r="E307" t="str">
            <v>LA1 / RAHMAN</v>
          </cell>
          <cell r="F307" t="str">
            <v>SF2 / GOTERA-PITROU</v>
          </cell>
          <cell r="G307"/>
          <cell r="H307"/>
        </row>
        <row r="308">
          <cell r="A308">
            <v>10646</v>
          </cell>
          <cell r="B308">
            <v>84</v>
          </cell>
          <cell r="C308" t="str">
            <v>GREAT AMERICAN CONTEMPORARY AMERICAN INSURANCE COMPANY</v>
          </cell>
          <cell r="D308" t="str">
            <v>LA1 / RAHMAN</v>
          </cell>
          <cell r="E308" t="str">
            <v>LA1 / RAHMAN</v>
          </cell>
          <cell r="F308" t="str">
            <v>SF2 / GOTERA-PITROU</v>
          </cell>
          <cell r="G308"/>
          <cell r="H308"/>
        </row>
        <row r="309">
          <cell r="A309">
            <v>16691</v>
          </cell>
          <cell r="B309">
            <v>84</v>
          </cell>
          <cell r="C309" t="str">
            <v>GREAT AMERICAN INSURANCE COMPANY</v>
          </cell>
          <cell r="D309" t="str">
            <v>LA1 / RAHMAN</v>
          </cell>
          <cell r="E309" t="str">
            <v>LA1 / RAHMAN</v>
          </cell>
          <cell r="F309" t="str">
            <v>SF2 / GOTERA-PITROU</v>
          </cell>
          <cell r="G309"/>
          <cell r="H309"/>
        </row>
        <row r="310">
          <cell r="A310">
            <v>22136</v>
          </cell>
          <cell r="B310">
            <v>84</v>
          </cell>
          <cell r="C310" t="str">
            <v>GREAT AMERICAN INSURANCE COMPANY OF NEW YORK</v>
          </cell>
          <cell r="D310" t="str">
            <v>LA1 / RAHMAN</v>
          </cell>
          <cell r="E310" t="str">
            <v>LA1 / RAHMAN</v>
          </cell>
          <cell r="F310" t="str">
            <v>SF2 / GOTERA-PITROU</v>
          </cell>
          <cell r="G310"/>
          <cell r="H310"/>
        </row>
        <row r="311">
          <cell r="A311">
            <v>38580</v>
          </cell>
          <cell r="B311">
            <v>84</v>
          </cell>
          <cell r="C311" t="str">
            <v>GREAT AMERICAN PROTECTION INSURANCE COMPANY</v>
          </cell>
          <cell r="D311" t="str">
            <v>LA1 / RAHMAN</v>
          </cell>
          <cell r="E311" t="str">
            <v>LA1 / RAHMAN</v>
          </cell>
          <cell r="F311" t="str">
            <v>SF2 / GOTERA-PITROU</v>
          </cell>
          <cell r="G311"/>
          <cell r="H311"/>
        </row>
        <row r="312">
          <cell r="A312">
            <v>31135</v>
          </cell>
          <cell r="B312">
            <v>84</v>
          </cell>
          <cell r="C312" t="str">
            <v>GREAT AMERICAN SECURITY INSURANCE CO.</v>
          </cell>
          <cell r="D312" t="str">
            <v>LA1 / RAHMAN</v>
          </cell>
          <cell r="E312" t="str">
            <v>LA1 / RAHMAN</v>
          </cell>
          <cell r="F312" t="str">
            <v>SF2 / GOTERA-PITROU</v>
          </cell>
          <cell r="G312"/>
          <cell r="H312"/>
        </row>
        <row r="313">
          <cell r="A313">
            <v>33723</v>
          </cell>
          <cell r="B313">
            <v>84</v>
          </cell>
          <cell r="C313" t="str">
            <v>GREAT AMERICAN SPIRIT INSURANCE COMPANY</v>
          </cell>
          <cell r="D313" t="str">
            <v>LA1 / RAHMAN</v>
          </cell>
          <cell r="E313" t="str">
            <v>LA1 / RAHMAN</v>
          </cell>
          <cell r="F313" t="str">
            <v>SF2 / GOTERA-PITROU</v>
          </cell>
          <cell r="G313"/>
          <cell r="H313"/>
        </row>
        <row r="314">
          <cell r="A314">
            <v>15380</v>
          </cell>
          <cell r="B314">
            <v>84</v>
          </cell>
          <cell r="C314" t="str">
            <v>MID-CONTINENT ASSURANCE COMPANY</v>
          </cell>
          <cell r="D314" t="str">
            <v>LA1 / RAHMAN</v>
          </cell>
          <cell r="E314" t="str">
            <v>LA1 / RAHMAN</v>
          </cell>
          <cell r="F314" t="str">
            <v>SF2 / GOTERA-PITROU</v>
          </cell>
          <cell r="G314"/>
          <cell r="H314"/>
        </row>
        <row r="315">
          <cell r="A315">
            <v>23418</v>
          </cell>
          <cell r="B315">
            <v>84</v>
          </cell>
          <cell r="C315" t="str">
            <v>MID-CONTINENT CASUALTY COMPANY</v>
          </cell>
          <cell r="D315" t="str">
            <v>LA1 / RAHMAN</v>
          </cell>
          <cell r="E315" t="str">
            <v>LA1 / RAHMAN</v>
          </cell>
          <cell r="F315" t="str">
            <v>SF2 / GOTERA-PITROU</v>
          </cell>
          <cell r="G315"/>
          <cell r="H315"/>
        </row>
        <row r="316">
          <cell r="A316">
            <v>32620</v>
          </cell>
          <cell r="B316">
            <v>84</v>
          </cell>
          <cell r="C316" t="str">
            <v>NATIONAL INTERSTATE INSURANCE COMPANY</v>
          </cell>
          <cell r="D316" t="str">
            <v>LA1 / RAHMAN</v>
          </cell>
          <cell r="E316" t="str">
            <v>LA1 / RAHMAN</v>
          </cell>
          <cell r="F316" t="str">
            <v>SF2 / GOTERA-PITROU</v>
          </cell>
          <cell r="G316"/>
          <cell r="H316"/>
        </row>
        <row r="317">
          <cell r="A317">
            <v>22179</v>
          </cell>
          <cell r="B317">
            <v>84</v>
          </cell>
          <cell r="C317" t="str">
            <v>REPUBLIC INDEMNITY COMPANY OF AMERICA</v>
          </cell>
          <cell r="D317" t="str">
            <v>LA1 / RAHMAN</v>
          </cell>
          <cell r="E317" t="str">
            <v>LA1 / RAHMAN</v>
          </cell>
          <cell r="F317" t="str">
            <v>SF2 / GOTERA-PITROU</v>
          </cell>
          <cell r="G317"/>
          <cell r="H317"/>
        </row>
        <row r="318">
          <cell r="A318">
            <v>43753</v>
          </cell>
          <cell r="B318">
            <v>84</v>
          </cell>
          <cell r="C318" t="str">
            <v>REPUBLIC INDEMNITY COMPANY OF CALIFORNIA</v>
          </cell>
          <cell r="D318" t="str">
            <v>LA1 / RAHMAN</v>
          </cell>
          <cell r="E318" t="str">
            <v>LA1 / RAHMAN</v>
          </cell>
          <cell r="F318" t="str">
            <v>SF2 / GOTERA-PITROU</v>
          </cell>
          <cell r="G318"/>
          <cell r="H318"/>
        </row>
        <row r="319">
          <cell r="A319">
            <v>31153</v>
          </cell>
          <cell r="B319">
            <v>84</v>
          </cell>
          <cell r="C319" t="str">
            <v>SANDSTONE INSURANCE COMPANY (See Eagle American Insurance Company)</v>
          </cell>
          <cell r="D319" t="str">
            <v>LA1 / RAHMAN</v>
          </cell>
          <cell r="E319" t="str">
            <v>LA1 / RAHMAN</v>
          </cell>
          <cell r="F319" t="str">
            <v>SF2 / GOTERA-PITROU</v>
          </cell>
          <cell r="G319"/>
          <cell r="H319"/>
        </row>
        <row r="320">
          <cell r="A320">
            <v>41106</v>
          </cell>
          <cell r="B320">
            <v>84</v>
          </cell>
          <cell r="C320" t="str">
            <v>TRIUMPHE CASUALTY COMPANY</v>
          </cell>
          <cell r="D320" t="str">
            <v>LA1 / RAHMAN</v>
          </cell>
          <cell r="E320" t="str">
            <v>LA1 / RAHMAN</v>
          </cell>
          <cell r="F320" t="str">
            <v>SF2 / GOTERA-PITROU</v>
          </cell>
          <cell r="G320"/>
          <cell r="H320"/>
        </row>
        <row r="321">
          <cell r="A321">
            <v>21172</v>
          </cell>
          <cell r="B321">
            <v>84</v>
          </cell>
          <cell r="C321" t="str">
            <v>VANLINER INSURANCE COMPANY</v>
          </cell>
          <cell r="D321" t="str">
            <v>LA1 / RAHMAN</v>
          </cell>
          <cell r="E321" t="str">
            <v>LA1 / RAHMAN</v>
          </cell>
          <cell r="F321" t="str">
            <v>SF2 / GOTERA-PITROU</v>
          </cell>
          <cell r="G321"/>
          <cell r="H321"/>
        </row>
        <row r="322">
          <cell r="A322">
            <v>41840</v>
          </cell>
          <cell r="B322">
            <v>88</v>
          </cell>
          <cell r="C322" t="str">
            <v>ALLMERICA FINANCIAL BENEFIT INSURANCE COMPANY</v>
          </cell>
          <cell r="D322" t="str">
            <v>LA1 / HUH</v>
          </cell>
          <cell r="E322" t="str">
            <v>LA1 / AHN</v>
          </cell>
          <cell r="F322" t="str">
            <v>SF2 / GOTERA-PITROU</v>
          </cell>
          <cell r="G322"/>
          <cell r="H322"/>
        </row>
        <row r="323">
          <cell r="A323">
            <v>12260</v>
          </cell>
          <cell r="B323">
            <v>88</v>
          </cell>
          <cell r="C323" t="str">
            <v>CAMPMED CASUALTY &amp; INDEMNITY COMPANY, INC.</v>
          </cell>
          <cell r="D323" t="str">
            <v>LA1 / HUH</v>
          </cell>
          <cell r="E323" t="str">
            <v>LA1 / AHN</v>
          </cell>
          <cell r="F323" t="str">
            <v>SF2 / GOTERA-PITROU</v>
          </cell>
          <cell r="G323"/>
          <cell r="H323"/>
        </row>
        <row r="324">
          <cell r="A324">
            <v>31534</v>
          </cell>
          <cell r="B324">
            <v>88</v>
          </cell>
          <cell r="C324" t="str">
            <v>CITIZENS INSURANCE COMPANY OF AMERICA</v>
          </cell>
          <cell r="D324" t="str">
            <v>LA1 / HUH</v>
          </cell>
          <cell r="E324" t="str">
            <v>LA1 / AHN</v>
          </cell>
          <cell r="F324" t="str">
            <v>SF2 / GOTERA-PITROU</v>
          </cell>
          <cell r="G324"/>
          <cell r="H324"/>
        </row>
        <row r="325">
          <cell r="A325">
            <v>36064</v>
          </cell>
          <cell r="B325">
            <v>88</v>
          </cell>
          <cell r="C325" t="str">
            <v>HANOVER AMERICAN INSURANCE COMPANY (THE)</v>
          </cell>
          <cell r="D325" t="str">
            <v>LA1 / HUH</v>
          </cell>
          <cell r="E325" t="str">
            <v>LA1 / AHN</v>
          </cell>
          <cell r="F325" t="str">
            <v>SF2 / GOTERA-PITROU</v>
          </cell>
          <cell r="G325"/>
          <cell r="H325"/>
        </row>
        <row r="326">
          <cell r="A326">
            <v>22292</v>
          </cell>
          <cell r="B326">
            <v>88</v>
          </cell>
          <cell r="C326" t="str">
            <v>HANOVER INSURANCE COMPANY</v>
          </cell>
          <cell r="D326" t="str">
            <v>LA1 / HUH</v>
          </cell>
          <cell r="E326" t="str">
            <v>LA1 / AHN</v>
          </cell>
          <cell r="F326" t="str">
            <v>SF2 / GOTERA-PITROU</v>
          </cell>
          <cell r="G326"/>
          <cell r="H326"/>
        </row>
        <row r="327">
          <cell r="A327">
            <v>22306</v>
          </cell>
          <cell r="B327">
            <v>88</v>
          </cell>
          <cell r="C327" t="str">
            <v>MASSACHUSETTS BAY INSURANCE COMPANY</v>
          </cell>
          <cell r="D327" t="str">
            <v>LA1 / HUH</v>
          </cell>
          <cell r="E327" t="str">
            <v>LA1 / AHN</v>
          </cell>
          <cell r="F327" t="str">
            <v>SF2 / GOTERA-PITROU</v>
          </cell>
          <cell r="G327"/>
          <cell r="H327"/>
        </row>
        <row r="328">
          <cell r="A328">
            <v>42552</v>
          </cell>
          <cell r="B328">
            <v>88</v>
          </cell>
          <cell r="C328" t="str">
            <v>NOVA CASUALTY COMPANY</v>
          </cell>
          <cell r="D328" t="str">
            <v>LA1 / HUH</v>
          </cell>
          <cell r="E328" t="str">
            <v>LA1 / AHN</v>
          </cell>
          <cell r="F328" t="str">
            <v>SF2 / GOTERA-PITROU</v>
          </cell>
          <cell r="G328"/>
          <cell r="H328"/>
        </row>
        <row r="329">
          <cell r="A329">
            <v>10815</v>
          </cell>
          <cell r="B329">
            <v>88</v>
          </cell>
          <cell r="C329" t="str">
            <v>VERLAN FIRE INSURANCE COMPANY</v>
          </cell>
          <cell r="D329" t="str">
            <v>LA1 / HUH</v>
          </cell>
          <cell r="E329" t="str">
            <v>LA1 / AHN</v>
          </cell>
          <cell r="F329" t="str">
            <v>SF2 / GOTERA-PITROU</v>
          </cell>
          <cell r="G329"/>
          <cell r="H329"/>
        </row>
        <row r="330">
          <cell r="A330">
            <v>21822</v>
          </cell>
          <cell r="B330">
            <v>91</v>
          </cell>
          <cell r="C330" t="str">
            <v>FIRST STATE INSURANCE COMPANY</v>
          </cell>
          <cell r="D330" t="str">
            <v>SAC / VISWANATHAN</v>
          </cell>
          <cell r="E330" t="str">
            <v>SAC / VISWANATHAN</v>
          </cell>
          <cell r="F330" t="str">
            <v>SF2 / GOTERA-PITROU</v>
          </cell>
          <cell r="G330"/>
          <cell r="H330" t="str">
            <v>RAO / KUO</v>
          </cell>
        </row>
        <row r="331">
          <cell r="A331">
            <v>22357</v>
          </cell>
          <cell r="B331">
            <v>91</v>
          </cell>
          <cell r="C331" t="str">
            <v>HARTFORD ACCIDENT AND INDEMNITY COMPANY</v>
          </cell>
          <cell r="D331" t="str">
            <v>SAC / VISWANATHAN</v>
          </cell>
          <cell r="E331" t="str">
            <v>SAC / VISWANATHAN</v>
          </cell>
          <cell r="F331" t="str">
            <v>SF2 / GOTERA-PITROU</v>
          </cell>
          <cell r="G331"/>
          <cell r="H331"/>
        </row>
        <row r="332">
          <cell r="A332">
            <v>29424</v>
          </cell>
          <cell r="B332">
            <v>91</v>
          </cell>
          <cell r="C332" t="str">
            <v>HARTFORD CASUALTY INSURANCE COMPANY</v>
          </cell>
          <cell r="D332" t="str">
            <v>SAC / VISWANATHAN</v>
          </cell>
          <cell r="E332" t="str">
            <v>SAC / VISWANATHAN</v>
          </cell>
          <cell r="F332" t="str">
            <v>SF2 / GOTERA-PITROU</v>
          </cell>
          <cell r="G332"/>
          <cell r="H332"/>
        </row>
        <row r="333">
          <cell r="A333">
            <v>19682</v>
          </cell>
          <cell r="B333">
            <v>91</v>
          </cell>
          <cell r="C333" t="str">
            <v>HARTFORD FIRE INSURANCE COMPANY</v>
          </cell>
          <cell r="D333" t="str">
            <v>SAC / VISWANATHAN</v>
          </cell>
          <cell r="E333" t="str">
            <v>SAC / VISWANATHAN</v>
          </cell>
          <cell r="F333" t="str">
            <v>SF2 / GOTERA-PITROU</v>
          </cell>
          <cell r="G333"/>
          <cell r="H333" t="str">
            <v>RAO / KUO</v>
          </cell>
        </row>
        <row r="334">
          <cell r="A334">
            <v>37478</v>
          </cell>
          <cell r="B334">
            <v>91</v>
          </cell>
          <cell r="C334" t="str">
            <v>HARTFORD INSURANCE COMPANY OF THE MIDWEST</v>
          </cell>
          <cell r="D334" t="str">
            <v>SAC / VISWANATHAN</v>
          </cell>
          <cell r="E334" t="str">
            <v>SAC / VISWANATHAN</v>
          </cell>
          <cell r="F334" t="str">
            <v>SF2 / GOTERA-PITROU</v>
          </cell>
          <cell r="G334"/>
          <cell r="H334"/>
        </row>
        <row r="335">
          <cell r="A335">
            <v>30104</v>
          </cell>
          <cell r="B335">
            <v>91</v>
          </cell>
          <cell r="C335" t="str">
            <v>HARTFORD UNDERWRITERS INSURANCE COMPANY</v>
          </cell>
          <cell r="D335" t="str">
            <v>SAC / VISWANATHAN</v>
          </cell>
          <cell r="E335" t="str">
            <v>SAC / VISWANATHAN</v>
          </cell>
          <cell r="F335" t="str">
            <v>SF2 / GOTERA-PITROU</v>
          </cell>
          <cell r="G335"/>
          <cell r="H335"/>
        </row>
        <row r="336">
          <cell r="A336">
            <v>10784</v>
          </cell>
          <cell r="B336">
            <v>91</v>
          </cell>
          <cell r="C336" t="str">
            <v>MAXUM CASUALTY INSURANCE COMPANY</v>
          </cell>
          <cell r="D336" t="str">
            <v>SAC / VISWANATHAN</v>
          </cell>
          <cell r="E336" t="str">
            <v>SAC / VISWANATHAN</v>
          </cell>
          <cell r="F336" t="str">
            <v>SF2 / GOTERA-PITROU</v>
          </cell>
          <cell r="G336"/>
          <cell r="H336"/>
        </row>
        <row r="337">
          <cell r="A337">
            <v>42307</v>
          </cell>
          <cell r="B337">
            <v>91</v>
          </cell>
          <cell r="C337" t="str">
            <v>NAVIGATORS INSURANCE COMPANY</v>
          </cell>
          <cell r="D337" t="str">
            <v>SAC / VISWANATHAN</v>
          </cell>
          <cell r="E337" t="str">
            <v>SAC / VISWANATHAN</v>
          </cell>
          <cell r="F337" t="str">
            <v>SF2 / GOTERA-PITROU</v>
          </cell>
          <cell r="G337" t="str">
            <v>RAO / KUO</v>
          </cell>
          <cell r="H337"/>
        </row>
        <row r="338">
          <cell r="A338">
            <v>41629</v>
          </cell>
          <cell r="B338">
            <v>91</v>
          </cell>
          <cell r="C338" t="str">
            <v>NEW ENGLAND REINSURANCE CORPORATION</v>
          </cell>
          <cell r="D338" t="str">
            <v>SAC / VISWANATHAN</v>
          </cell>
          <cell r="E338" t="str">
            <v>SAC / VISWANATHAN</v>
          </cell>
          <cell r="F338" t="str">
            <v>SF2 / GOTERA-PITROU</v>
          </cell>
          <cell r="G338" t="str">
            <v>RAO / KUO</v>
          </cell>
          <cell r="H338"/>
        </row>
        <row r="339">
          <cell r="A339">
            <v>39608</v>
          </cell>
          <cell r="B339">
            <v>91</v>
          </cell>
          <cell r="C339" t="str">
            <v>NUTMEG INSURANCE COMPANY</v>
          </cell>
          <cell r="D339" t="str">
            <v>SAC / VISWANATHAN</v>
          </cell>
          <cell r="E339" t="str">
            <v>SAC / VISWANATHAN</v>
          </cell>
          <cell r="F339" t="str">
            <v>SF2 / GOTERA-PITROU</v>
          </cell>
          <cell r="G339"/>
          <cell r="H339"/>
        </row>
        <row r="340">
          <cell r="A340">
            <v>34690</v>
          </cell>
          <cell r="B340">
            <v>91</v>
          </cell>
          <cell r="C340" t="str">
            <v>PROPERTY AND CASUALTY INSURANCE COMPANY OF HARTFORD</v>
          </cell>
          <cell r="D340" t="str">
            <v>SAC / VISWANATHAN</v>
          </cell>
          <cell r="E340" t="str">
            <v>SAC / VISWANATHAN</v>
          </cell>
          <cell r="F340" t="str">
            <v>SF2 / GOTERA-PITROU</v>
          </cell>
          <cell r="G340" t="str">
            <v>RAO / KUO</v>
          </cell>
          <cell r="H340" t="str">
            <v>RAO / KUO</v>
          </cell>
        </row>
        <row r="341">
          <cell r="A341">
            <v>11000</v>
          </cell>
          <cell r="B341">
            <v>91</v>
          </cell>
          <cell r="C341" t="str">
            <v>SENTINEL INSURANCE COMPANY, LTD.</v>
          </cell>
          <cell r="D341" t="str">
            <v>SAC / VISWANATHAN</v>
          </cell>
          <cell r="E341" t="str">
            <v>SAC / VISWANATHAN</v>
          </cell>
          <cell r="F341" t="str">
            <v>SF2 / GOTERA-PITROU</v>
          </cell>
          <cell r="G341" t="str">
            <v>RAO / KUO</v>
          </cell>
          <cell r="H341" t="str">
            <v>RAO / KUO</v>
          </cell>
        </row>
        <row r="342">
          <cell r="A342">
            <v>27120</v>
          </cell>
          <cell r="B342">
            <v>91</v>
          </cell>
          <cell r="C342" t="str">
            <v>TRUMBULL INSURANCE COMPANY</v>
          </cell>
          <cell r="D342" t="str">
            <v>SAC / VISWANATHAN</v>
          </cell>
          <cell r="E342" t="str">
            <v>SAC / VISWANATHAN</v>
          </cell>
          <cell r="F342" t="str">
            <v>SF2 / GOTERA-PITROU</v>
          </cell>
          <cell r="G342"/>
          <cell r="H342"/>
        </row>
        <row r="343">
          <cell r="A343">
            <v>29459</v>
          </cell>
          <cell r="B343">
            <v>91</v>
          </cell>
          <cell r="C343" t="str">
            <v>TWIN CITY FIRE INSURANCE COMPANY</v>
          </cell>
          <cell r="D343" t="str">
            <v>SAC / VISWANATHAN</v>
          </cell>
          <cell r="E343" t="str">
            <v>SAC / VISWANATHAN</v>
          </cell>
          <cell r="F343" t="str">
            <v>SF2 / GOTERA-PITROU</v>
          </cell>
          <cell r="G343"/>
          <cell r="H343"/>
        </row>
        <row r="344">
          <cell r="A344">
            <v>44318</v>
          </cell>
          <cell r="B344">
            <v>98</v>
          </cell>
          <cell r="C344" t="str">
            <v>ADMIRAL INDEMNITY COMPANY</v>
          </cell>
          <cell r="D344" t="str">
            <v>SF1 / WONG</v>
          </cell>
          <cell r="E344" t="str">
            <v>SF1 / WONG</v>
          </cell>
          <cell r="F344" t="str">
            <v>SF2 / GOTERA-PITROU</v>
          </cell>
          <cell r="G344"/>
          <cell r="H344"/>
        </row>
        <row r="345">
          <cell r="A345">
            <v>32603</v>
          </cell>
          <cell r="B345">
            <v>98</v>
          </cell>
          <cell r="C345" t="str">
            <v>BERKLEY INSURANCE COMPANY</v>
          </cell>
          <cell r="D345" t="str">
            <v>SF1 / WONG</v>
          </cell>
          <cell r="E345" t="str">
            <v>SF1 / WONG</v>
          </cell>
          <cell r="F345" t="str">
            <v>SF2 / GOTERA-PITROU</v>
          </cell>
          <cell r="G345"/>
          <cell r="H345"/>
        </row>
        <row r="346">
          <cell r="A346">
            <v>38911</v>
          </cell>
          <cell r="B346">
            <v>98</v>
          </cell>
          <cell r="C346" t="str">
            <v>BERKLEY NATIONAL INSURANCE COMPANY</v>
          </cell>
          <cell r="D346" t="str">
            <v>SF1 / WONG</v>
          </cell>
          <cell r="E346" t="str">
            <v>SF1 / WONG</v>
          </cell>
          <cell r="F346" t="str">
            <v>SF2 / GOTERA-PITROU</v>
          </cell>
          <cell r="G346"/>
          <cell r="H346"/>
        </row>
        <row r="347">
          <cell r="A347">
            <v>29580</v>
          </cell>
          <cell r="B347">
            <v>98</v>
          </cell>
          <cell r="C347" t="str">
            <v>BERKLEY REGIONAL INSURANCE COMPANY</v>
          </cell>
          <cell r="D347" t="str">
            <v>SF1 / WONG</v>
          </cell>
          <cell r="E347" t="str">
            <v>SF1 / WONG</v>
          </cell>
          <cell r="F347" t="str">
            <v>SF2 / GOTERA-PITROU</v>
          </cell>
          <cell r="G347"/>
          <cell r="H347"/>
        </row>
        <row r="348">
          <cell r="A348">
            <v>10510</v>
          </cell>
          <cell r="B348">
            <v>98</v>
          </cell>
          <cell r="C348" t="str">
            <v>CAROLINA CASUALTY INSURANCE COMPANY</v>
          </cell>
          <cell r="D348" t="str">
            <v>SF1 / WONG</v>
          </cell>
          <cell r="E348" t="str">
            <v>SF1 / WONG</v>
          </cell>
          <cell r="F348" t="str">
            <v>SF2 / GOTERA-PITROU</v>
          </cell>
          <cell r="G348"/>
          <cell r="H348"/>
        </row>
        <row r="349">
          <cell r="A349">
            <v>25224</v>
          </cell>
          <cell r="B349">
            <v>98</v>
          </cell>
          <cell r="C349" t="str">
            <v>GREAT DIVIDE INSURANCE COMPANY</v>
          </cell>
          <cell r="D349" t="str">
            <v>SF1 / WONG</v>
          </cell>
          <cell r="E349" t="str">
            <v>SF1 / WONG</v>
          </cell>
          <cell r="F349" t="str">
            <v>SF2 / GOTERA-PITROU</v>
          </cell>
          <cell r="G349"/>
          <cell r="H349"/>
        </row>
        <row r="350">
          <cell r="A350">
            <v>10749</v>
          </cell>
          <cell r="B350">
            <v>98</v>
          </cell>
          <cell r="C350" t="str">
            <v>INTREPID INSURANCE COMPANY</v>
          </cell>
          <cell r="D350" t="str">
            <v>SF1 / WONG</v>
          </cell>
          <cell r="E350" t="str">
            <v>SF1 / WONG</v>
          </cell>
          <cell r="F350" t="str">
            <v>SF2 / GOTERA-PITROU</v>
          </cell>
          <cell r="G350"/>
          <cell r="H350"/>
        </row>
        <row r="351">
          <cell r="A351">
            <v>10885</v>
          </cell>
          <cell r="B351">
            <v>98</v>
          </cell>
          <cell r="C351" t="str">
            <v>KEY RISK INSURANCE COMPANY</v>
          </cell>
          <cell r="D351" t="str">
            <v>SF1 / WONG</v>
          </cell>
          <cell r="E351" t="str">
            <v>SF1 / WONG</v>
          </cell>
          <cell r="F351" t="str">
            <v>SF2 / GOTERA-PITROU</v>
          </cell>
          <cell r="G351"/>
          <cell r="H351"/>
        </row>
        <row r="352">
          <cell r="A352">
            <v>23612</v>
          </cell>
          <cell r="B352">
            <v>98</v>
          </cell>
          <cell r="C352" t="str">
            <v>MIDWEST EMPLOYERS CASUALTY COMPANY</v>
          </cell>
          <cell r="D352" t="str">
            <v>SF1 / WONG</v>
          </cell>
          <cell r="E352" t="str">
            <v>SF1 / WONG</v>
          </cell>
          <cell r="F352" t="str">
            <v>SF2 / GOTERA-PITROU</v>
          </cell>
          <cell r="G352"/>
          <cell r="H352"/>
        </row>
        <row r="353">
          <cell r="A353">
            <v>36684</v>
          </cell>
          <cell r="B353">
            <v>98</v>
          </cell>
          <cell r="C353" t="str">
            <v>RIVERPORT INSURANCE COMPANY</v>
          </cell>
          <cell r="D353" t="str">
            <v>SF1 / WONG</v>
          </cell>
          <cell r="E353" t="str">
            <v>SF1 / WONG</v>
          </cell>
          <cell r="F353" t="str">
            <v>SF2 / GOTERA-PITROU</v>
          </cell>
          <cell r="G353"/>
          <cell r="H353"/>
        </row>
        <row r="354">
          <cell r="A354">
            <v>40045</v>
          </cell>
          <cell r="B354">
            <v>98</v>
          </cell>
          <cell r="C354" t="str">
            <v>STARNET INSURANCE COMPANY</v>
          </cell>
          <cell r="D354" t="str">
            <v>SF1 / WONG</v>
          </cell>
          <cell r="E354" t="str">
            <v>SF1 / WONG</v>
          </cell>
          <cell r="F354"/>
          <cell r="G354"/>
          <cell r="H354"/>
        </row>
        <row r="355">
          <cell r="A355">
            <v>31003</v>
          </cell>
          <cell r="B355">
            <v>98</v>
          </cell>
          <cell r="C355" t="str">
            <v>TRI-STATE INSURANCE COMPANY OF MINNESOTA</v>
          </cell>
          <cell r="D355" t="str">
            <v>SF1 / WONG</v>
          </cell>
          <cell r="E355" t="str">
            <v>SF1 / WONG</v>
          </cell>
          <cell r="F355" t="str">
            <v>SF2 / GOTERA-PITROU</v>
          </cell>
          <cell r="G355"/>
          <cell r="H355"/>
        </row>
        <row r="356">
          <cell r="A356">
            <v>29858</v>
          </cell>
          <cell r="B356">
            <v>105</v>
          </cell>
          <cell r="C356" t="str">
            <v>MORTGAGE GUARANTY INSURANCE CORPORATION</v>
          </cell>
          <cell r="D356" t="str">
            <v>LA1 / HUH</v>
          </cell>
          <cell r="E356" t="str">
            <v>LA1 / AHN</v>
          </cell>
          <cell r="F356" t="str">
            <v>SF2 / GOTERA-PITROU</v>
          </cell>
          <cell r="G356"/>
          <cell r="H356"/>
        </row>
        <row r="357">
          <cell r="A357">
            <v>30562</v>
          </cell>
          <cell r="B357">
            <v>108</v>
          </cell>
          <cell r="C357" t="str">
            <v>AMERICAN MANUFACLINRERS MUTUAL INSURANCE COMPANY</v>
          </cell>
          <cell r="D357" t="str">
            <v>LA1 / HUH</v>
          </cell>
          <cell r="E357" t="str">
            <v>LA1 / OKPARA</v>
          </cell>
          <cell r="F357" t="str">
            <v>SF2 / GOTERA-PITROU</v>
          </cell>
          <cell r="G357"/>
          <cell r="H357"/>
        </row>
        <row r="358">
          <cell r="A358">
            <v>22918</v>
          </cell>
          <cell r="B358">
            <v>108</v>
          </cell>
          <cell r="C358" t="str">
            <v>AMERICAN MOTORISTS INSURANCE COMPANY</v>
          </cell>
          <cell r="D358" t="str">
            <v>LA1 / HUH</v>
          </cell>
          <cell r="E358" t="str">
            <v>LA1 / OKPARA</v>
          </cell>
          <cell r="F358" t="str">
            <v>SF2 / GOTERA-PITROU</v>
          </cell>
          <cell r="G358"/>
          <cell r="H358"/>
        </row>
        <row r="359">
          <cell r="A359">
            <v>18910</v>
          </cell>
          <cell r="B359">
            <v>108</v>
          </cell>
          <cell r="C359" t="str">
            <v>AMERICAN PROTECTION INSURANCE COMPANY</v>
          </cell>
          <cell r="D359" t="str">
            <v>LA1 / HUH</v>
          </cell>
          <cell r="E359" t="str">
            <v>LA1 / OKPARA</v>
          </cell>
          <cell r="F359" t="str">
            <v>SF2 / GOTERA-PITROU</v>
          </cell>
          <cell r="G359"/>
          <cell r="H359"/>
        </row>
        <row r="360">
          <cell r="A360">
            <v>40991</v>
          </cell>
          <cell r="B360">
            <v>108</v>
          </cell>
          <cell r="C360" t="str">
            <v>KEMPER INDEMNITY INSURANCE COMPANY</v>
          </cell>
          <cell r="D360" t="str">
            <v>LA1 / HUH</v>
          </cell>
          <cell r="E360" t="str">
            <v>LA1 / OKPARA</v>
          </cell>
          <cell r="F360" t="str">
            <v>SF2 / GOTERA-PITROU</v>
          </cell>
          <cell r="G360"/>
          <cell r="H360"/>
        </row>
        <row r="361">
          <cell r="A361">
            <v>22977</v>
          </cell>
          <cell r="B361">
            <v>108</v>
          </cell>
          <cell r="C361" t="str">
            <v>LUMBERMENS MUTUAL CASUALTY COMPANY</v>
          </cell>
          <cell r="D361" t="str">
            <v>LA1 / HUH</v>
          </cell>
          <cell r="E361" t="str">
            <v>LA1 / OKPARA</v>
          </cell>
          <cell r="F361" t="str">
            <v>SF2 / GOTERA-PITROU</v>
          </cell>
          <cell r="G361"/>
          <cell r="H361"/>
        </row>
        <row r="362">
          <cell r="A362">
            <v>20524</v>
          </cell>
          <cell r="B362">
            <v>108</v>
          </cell>
          <cell r="C362" t="str">
            <v>SPECIALTY NATIONAL INSURANCE COMPANY</v>
          </cell>
          <cell r="D362" t="str">
            <v>LA1 / HUH</v>
          </cell>
          <cell r="E362" t="str">
            <v>LA1 / OKPARA</v>
          </cell>
          <cell r="F362" t="str">
            <v>SF2 / GOTERA-PITROU</v>
          </cell>
          <cell r="G362"/>
          <cell r="H362"/>
        </row>
        <row r="363">
          <cell r="A363">
            <v>19690</v>
          </cell>
          <cell r="B363">
            <v>111</v>
          </cell>
          <cell r="C363" t="str">
            <v>AMERICAN ECONOMY INSURANCE COMPANY</v>
          </cell>
          <cell r="D363" t="str">
            <v>LA2 / GUAN</v>
          </cell>
          <cell r="E363" t="str">
            <v>LA2 / GUAN</v>
          </cell>
          <cell r="F363" t="str">
            <v>SF2 / GOTERA-PITROU</v>
          </cell>
          <cell r="G363"/>
          <cell r="H363"/>
        </row>
        <row r="364">
          <cell r="A364">
            <v>24066</v>
          </cell>
          <cell r="B364">
            <v>111</v>
          </cell>
          <cell r="C364" t="str">
            <v>AMERICAN FIRE AND CASUALTY COMPANY</v>
          </cell>
          <cell r="D364" t="str">
            <v>LA2 / GUAN</v>
          </cell>
          <cell r="E364" t="str">
            <v>LA2 / GUAN</v>
          </cell>
          <cell r="F364" t="str">
            <v>SF2 / GOTERA-PITROU</v>
          </cell>
          <cell r="G364"/>
          <cell r="H364"/>
        </row>
        <row r="365">
          <cell r="A365">
            <v>19704</v>
          </cell>
          <cell r="B365">
            <v>111</v>
          </cell>
          <cell r="C365" t="str">
            <v>AMERICAN STATES INSURANCE COMPANY</v>
          </cell>
          <cell r="D365" t="str">
            <v>LA2 / GUAN</v>
          </cell>
          <cell r="E365" t="str">
            <v>LA2 / GUAN</v>
          </cell>
          <cell r="F365" t="str">
            <v>SF2 / GOTERA-PITROU</v>
          </cell>
          <cell r="G365"/>
          <cell r="H365"/>
        </row>
        <row r="366">
          <cell r="A366">
            <v>19712</v>
          </cell>
          <cell r="B366">
            <v>111</v>
          </cell>
          <cell r="C366" t="str">
            <v>AMERICAN STATES INSURANCE COMPANY OF TEXAS</v>
          </cell>
          <cell r="D366" t="str">
            <v>LA2 / GUAN</v>
          </cell>
          <cell r="E366" t="str">
            <v>LA2 / GUAN</v>
          </cell>
          <cell r="F366" t="str">
            <v>SF2 / GOTERA-PITROU</v>
          </cell>
          <cell r="G366"/>
          <cell r="H366"/>
        </row>
        <row r="367">
          <cell r="A367">
            <v>37214</v>
          </cell>
          <cell r="B367">
            <v>111</v>
          </cell>
          <cell r="C367" t="str">
            <v>AMERICAN STATES PREFERRED INSURANCE COMPANY</v>
          </cell>
          <cell r="D367" t="str">
            <v>LA2 / GUAN</v>
          </cell>
          <cell r="E367" t="str">
            <v>LA2 / GUAN</v>
          </cell>
          <cell r="F367" t="str">
            <v>SF2 / GOTERA-PITROU</v>
          </cell>
          <cell r="G367"/>
          <cell r="H367"/>
        </row>
        <row r="368">
          <cell r="A368">
            <v>21458</v>
          </cell>
          <cell r="B368">
            <v>111</v>
          </cell>
          <cell r="C368" t="str">
            <v>EMPLOYERS INSURANCE COMPANY OF WAUSAU</v>
          </cell>
          <cell r="D368" t="str">
            <v>LA2 / GUAN</v>
          </cell>
          <cell r="E368" t="str">
            <v>LA2 / GUAN</v>
          </cell>
          <cell r="F368" t="str">
            <v>SF2 / GOTERA-PITROU</v>
          </cell>
          <cell r="G368" t="str">
            <v>RAO / CIMINI</v>
          </cell>
          <cell r="H368" t="str">
            <v>RAO / CIMINI</v>
          </cell>
        </row>
        <row r="369">
          <cell r="A369">
            <v>33588</v>
          </cell>
          <cell r="B369">
            <v>111</v>
          </cell>
          <cell r="C369" t="str">
            <v>FIRST LIBERTY INSURANCE CORPORATION</v>
          </cell>
          <cell r="D369" t="str">
            <v>LA2 / GUAN</v>
          </cell>
          <cell r="E369" t="str">
            <v>LA2 / GUAN</v>
          </cell>
          <cell r="F369" t="str">
            <v>SF2 / GOTERA-PITROU</v>
          </cell>
          <cell r="G369" t="str">
            <v>RAO / CIMINI</v>
          </cell>
          <cell r="H369"/>
        </row>
        <row r="370">
          <cell r="A370">
            <v>24724</v>
          </cell>
          <cell r="B370">
            <v>111</v>
          </cell>
          <cell r="C370" t="str">
            <v>FIRST NATIONAL INSURANCE COMPANY OF AMERICA</v>
          </cell>
          <cell r="D370" t="str">
            <v>LA2 / GUAN</v>
          </cell>
          <cell r="E370" t="str">
            <v>LA2 / GUAN</v>
          </cell>
          <cell r="F370" t="str">
            <v>SF2 / GOTERA-PITROU</v>
          </cell>
          <cell r="G370"/>
          <cell r="H370"/>
        </row>
        <row r="371">
          <cell r="A371">
            <v>24732</v>
          </cell>
          <cell r="B371">
            <v>111</v>
          </cell>
          <cell r="C371" t="str">
            <v>GENERAL INSURANCE COMPANY OF AMERICA</v>
          </cell>
          <cell r="D371" t="str">
            <v>LA2 / GUAN</v>
          </cell>
          <cell r="E371" t="str">
            <v>LA2 / GUAN</v>
          </cell>
          <cell r="F371" t="str">
            <v>SF2 / GOTERA-PITROU</v>
          </cell>
          <cell r="G371"/>
          <cell r="H371"/>
        </row>
        <row r="372">
          <cell r="A372">
            <v>10375</v>
          </cell>
          <cell r="B372">
            <v>111</v>
          </cell>
          <cell r="C372" t="str">
            <v>GOLDEN EAGLE INSURANCE COMPANY (In Liquidation - 2/13/1998)</v>
          </cell>
          <cell r="D372" t="str">
            <v>LA2 / GUAN</v>
          </cell>
          <cell r="E372" t="str">
            <v>LA2 / GUAN</v>
          </cell>
          <cell r="F372" t="str">
            <v>SF2 / GOTERA-PITROU</v>
          </cell>
          <cell r="G372"/>
          <cell r="H372"/>
        </row>
        <row r="373">
          <cell r="A373">
            <v>10836</v>
          </cell>
          <cell r="B373">
            <v>111</v>
          </cell>
          <cell r="C373" t="str">
            <v>GOLDEN EAGLE INSURANCE CORPORATION</v>
          </cell>
          <cell r="D373" t="str">
            <v>LA2 / GUAN</v>
          </cell>
          <cell r="E373" t="str">
            <v>LA2 / GUAN</v>
          </cell>
          <cell r="F373" t="str">
            <v>SF2 / GOTERA-PITROU</v>
          </cell>
          <cell r="G373"/>
          <cell r="H373"/>
        </row>
        <row r="374">
          <cell r="A374">
            <v>26700</v>
          </cell>
          <cell r="B374">
            <v>111</v>
          </cell>
          <cell r="C374" t="str">
            <v>INSURANCE COMPANY OF ILLINOIS</v>
          </cell>
          <cell r="D374" t="str">
            <v>LA2 / GUAN</v>
          </cell>
          <cell r="E374" t="str">
            <v>LA2 / GUAN</v>
          </cell>
          <cell r="F374" t="str">
            <v>SF2 / GOTERA-PITROU</v>
          </cell>
          <cell r="G374" t="str">
            <v>RAO / CIMINI</v>
          </cell>
          <cell r="H374"/>
        </row>
        <row r="375">
          <cell r="A375">
            <v>23647</v>
          </cell>
          <cell r="B375">
            <v>111</v>
          </cell>
          <cell r="C375" t="str">
            <v>IRONSHORE INDEMNITY INC.</v>
          </cell>
          <cell r="D375" t="str">
            <v>LA2 / GUAN</v>
          </cell>
          <cell r="E375" t="str">
            <v>LA2 / GUAN</v>
          </cell>
          <cell r="F375" t="str">
            <v>SF2 / GOTERA-PITROU</v>
          </cell>
          <cell r="G375"/>
          <cell r="H375"/>
        </row>
        <row r="376">
          <cell r="A376">
            <v>42404</v>
          </cell>
          <cell r="B376">
            <v>111</v>
          </cell>
          <cell r="C376" t="str">
            <v>LIBERTY INSURANCE CORPORATION</v>
          </cell>
          <cell r="D376" t="str">
            <v>LA2 / GUAN</v>
          </cell>
          <cell r="E376" t="str">
            <v>LA2 / GUAN</v>
          </cell>
          <cell r="F376" t="str">
            <v>SF2 / GOTERA-PITROU</v>
          </cell>
          <cell r="G376"/>
          <cell r="H376" t="str">
            <v>RAO / CIMINI</v>
          </cell>
        </row>
        <row r="377">
          <cell r="A377">
            <v>19917</v>
          </cell>
          <cell r="B377">
            <v>111</v>
          </cell>
          <cell r="C377" t="str">
            <v>LIBERTY INSURANCE UNDERWRITERS, INC.</v>
          </cell>
          <cell r="D377" t="str">
            <v>LA2 / GUAN</v>
          </cell>
          <cell r="E377" t="str">
            <v>LA2 / GUAN</v>
          </cell>
          <cell r="F377" t="str">
            <v>SF2 / GOTERA-PITROU</v>
          </cell>
          <cell r="G377"/>
          <cell r="H377"/>
        </row>
        <row r="378">
          <cell r="A378">
            <v>23035</v>
          </cell>
          <cell r="B378">
            <v>111</v>
          </cell>
          <cell r="C378" t="str">
            <v>LIBERTY MUTUAL FIRE INSURANCE COMPANY</v>
          </cell>
          <cell r="D378" t="str">
            <v>LA2 / GUAN</v>
          </cell>
          <cell r="E378" t="str">
            <v>LA2 / GUAN</v>
          </cell>
          <cell r="F378" t="str">
            <v>SF2 / GOTERA-PITROU</v>
          </cell>
          <cell r="G378"/>
          <cell r="H378"/>
        </row>
        <row r="379">
          <cell r="A379">
            <v>23043</v>
          </cell>
          <cell r="B379">
            <v>111</v>
          </cell>
          <cell r="C379" t="str">
            <v>LIBERTY MUTUAL INSURANCE COMPANY</v>
          </cell>
          <cell r="D379" t="str">
            <v>LA2 / GUAN</v>
          </cell>
          <cell r="E379" t="str">
            <v>LA2 / GUAN</v>
          </cell>
          <cell r="F379" t="str">
            <v>SF2 / GOTERA-PITROU</v>
          </cell>
          <cell r="G379"/>
          <cell r="H379"/>
        </row>
        <row r="380">
          <cell r="A380">
            <v>36447</v>
          </cell>
          <cell r="B380">
            <v>111</v>
          </cell>
          <cell r="C380" t="str">
            <v>LM GENERAL INSURANCE COMPANY</v>
          </cell>
          <cell r="D380" t="str">
            <v>LA2 / GUAN</v>
          </cell>
          <cell r="E380" t="str">
            <v>LA2 / GUAN</v>
          </cell>
          <cell r="F380" t="str">
            <v>SF2 / GOTERA-PITROU</v>
          </cell>
          <cell r="G380"/>
          <cell r="H380"/>
        </row>
        <row r="381">
          <cell r="A381">
            <v>33600</v>
          </cell>
          <cell r="B381">
            <v>111</v>
          </cell>
          <cell r="C381" t="str">
            <v>LM INSURANCE CORPORATION</v>
          </cell>
          <cell r="D381" t="str">
            <v>LA2 / GUAN</v>
          </cell>
          <cell r="E381" t="str">
            <v>LA2 / GUAN</v>
          </cell>
          <cell r="F381" t="str">
            <v>SF2 / GOTERA-PITROU</v>
          </cell>
          <cell r="G381"/>
          <cell r="H381"/>
        </row>
        <row r="382">
          <cell r="A382">
            <v>32352</v>
          </cell>
          <cell r="B382">
            <v>111</v>
          </cell>
          <cell r="C382" t="str">
            <v>LM PROPERTY AND CASUALTY INSURANCE COMPANY</v>
          </cell>
          <cell r="D382" t="str">
            <v>LA2 / GUAN</v>
          </cell>
          <cell r="E382" t="str">
            <v>LA2 / GUAN</v>
          </cell>
          <cell r="F382" t="str">
            <v>SF2 / GOTERA-PITROU</v>
          </cell>
          <cell r="G382"/>
          <cell r="H382"/>
        </row>
        <row r="383">
          <cell r="A383">
            <v>24171</v>
          </cell>
          <cell r="B383">
            <v>111</v>
          </cell>
          <cell r="C383" t="str">
            <v>NETHERLANDS INSURANCE COMPANY</v>
          </cell>
          <cell r="D383" t="str">
            <v>LA2 / GUAN</v>
          </cell>
          <cell r="E383" t="str">
            <v>LA2 / GUAN</v>
          </cell>
          <cell r="F383" t="str">
            <v>SF2 / GOTERA-PITROU</v>
          </cell>
          <cell r="G383"/>
          <cell r="H383"/>
        </row>
        <row r="384">
          <cell r="A384">
            <v>24074</v>
          </cell>
          <cell r="B384">
            <v>111</v>
          </cell>
          <cell r="C384" t="str">
            <v>OHIO CASUALTY INSURANCE COMPANY (THE)</v>
          </cell>
          <cell r="D384" t="str">
            <v>LA2 / GUAN</v>
          </cell>
          <cell r="E384" t="str">
            <v>LA2 / GUAN</v>
          </cell>
          <cell r="F384" t="str">
            <v>SF2 / GOTERA-PITROU</v>
          </cell>
          <cell r="G384"/>
          <cell r="H384"/>
        </row>
        <row r="385">
          <cell r="A385">
            <v>24082</v>
          </cell>
          <cell r="B385">
            <v>111</v>
          </cell>
          <cell r="C385" t="str">
            <v>OHIO SECURITY INSURANCE COMPANY</v>
          </cell>
          <cell r="D385" t="str">
            <v>LA2 / GUAN</v>
          </cell>
          <cell r="E385" t="str">
            <v>LA2 / GUAN</v>
          </cell>
          <cell r="F385" t="str">
            <v>SF2 / GOTERA-PITROU</v>
          </cell>
          <cell r="G385"/>
          <cell r="H385"/>
        </row>
        <row r="386">
          <cell r="A386">
            <v>18333</v>
          </cell>
          <cell r="B386">
            <v>111</v>
          </cell>
          <cell r="C386" t="str">
            <v>PEERLESS INDEMNITY INSURANCE COMPANY</v>
          </cell>
          <cell r="D386" t="str">
            <v>LA2 / GUAN</v>
          </cell>
          <cell r="E386" t="str">
            <v>LA2 / GUAN</v>
          </cell>
          <cell r="F386" t="str">
            <v>SF2 / GOTERA-PITROU</v>
          </cell>
          <cell r="G386" t="str">
            <v>RAO / CIMINI</v>
          </cell>
          <cell r="H386" t="str">
            <v>RAO / CIMINI</v>
          </cell>
        </row>
        <row r="387">
          <cell r="A387">
            <v>24198</v>
          </cell>
          <cell r="B387">
            <v>111</v>
          </cell>
          <cell r="C387" t="str">
            <v>PEERLESS INSURANCE COMPANY</v>
          </cell>
          <cell r="D387" t="str">
            <v>LA2 / GUAN</v>
          </cell>
          <cell r="E387" t="str">
            <v>LA2 / GUAN</v>
          </cell>
          <cell r="F387" t="str">
            <v>SF2 / GOTERA-PITROU</v>
          </cell>
          <cell r="G387" t="str">
            <v>RAO / CIMINI</v>
          </cell>
          <cell r="H387"/>
        </row>
        <row r="388">
          <cell r="A388">
            <v>30945</v>
          </cell>
          <cell r="B388">
            <v>111</v>
          </cell>
          <cell r="C388" t="str">
            <v>PLAZA INSURANCE COMPANY (DBA PLAZA INDEMNITY COMPANY)</v>
          </cell>
          <cell r="D388" t="str">
            <v>LA2 / GUAN</v>
          </cell>
          <cell r="E388" t="str">
            <v>LA2 / GUAN</v>
          </cell>
          <cell r="F388" t="str">
            <v>SF2 / GOTERA-PITROU</v>
          </cell>
          <cell r="G388"/>
          <cell r="H388"/>
        </row>
        <row r="389">
          <cell r="A389">
            <v>24740</v>
          </cell>
          <cell r="B389">
            <v>111</v>
          </cell>
          <cell r="C389" t="str">
            <v>SAFECO INSURANCE COMPANY OF AMERICA</v>
          </cell>
          <cell r="D389" t="str">
            <v>LA2 / GUAN</v>
          </cell>
          <cell r="E389" t="str">
            <v>LA2 / GUAN</v>
          </cell>
          <cell r="F389" t="str">
            <v>SF2 / GOTERA-PITROU</v>
          </cell>
          <cell r="G389"/>
          <cell r="H389"/>
        </row>
        <row r="390">
          <cell r="A390">
            <v>39012</v>
          </cell>
          <cell r="B390">
            <v>111</v>
          </cell>
          <cell r="C390" t="str">
            <v>SAFECO INSURANCE COMPANY OF ILLINOIS</v>
          </cell>
          <cell r="D390" t="str">
            <v>LA2 / GUAN</v>
          </cell>
          <cell r="E390" t="str">
            <v>LA2 / GUAN</v>
          </cell>
          <cell r="F390" t="str">
            <v>SF2 / GOTERA-PITROU</v>
          </cell>
          <cell r="G390"/>
          <cell r="H390"/>
        </row>
        <row r="391">
          <cell r="A391">
            <v>26069</v>
          </cell>
          <cell r="B391">
            <v>111</v>
          </cell>
          <cell r="C391" t="str">
            <v>WAUSAU BUSINESS INSURANCE COMPANY</v>
          </cell>
          <cell r="D391" t="str">
            <v>LA2 / GUAN</v>
          </cell>
          <cell r="E391" t="str">
            <v>LA2 / GUAN</v>
          </cell>
          <cell r="F391" t="str">
            <v>SF2 / GOTERA-PITROU</v>
          </cell>
          <cell r="G391"/>
          <cell r="H391"/>
        </row>
        <row r="392">
          <cell r="A392">
            <v>26042</v>
          </cell>
          <cell r="B392">
            <v>111</v>
          </cell>
          <cell r="C392" t="str">
            <v>WAUSAU UNDERWRITERS INSURANCE COMPANY</v>
          </cell>
          <cell r="D392" t="str">
            <v>LA2 / GUAN</v>
          </cell>
          <cell r="E392" t="str">
            <v>LA2 / GUAN</v>
          </cell>
          <cell r="F392"/>
          <cell r="G392"/>
          <cell r="H392"/>
        </row>
        <row r="393">
          <cell r="A393">
            <v>44393</v>
          </cell>
          <cell r="B393">
            <v>111</v>
          </cell>
          <cell r="C393" t="str">
            <v>WEST AMERICAN INSURANCE COMPANY</v>
          </cell>
          <cell r="D393" t="str">
            <v>LA2 / GUAN</v>
          </cell>
          <cell r="E393" t="str">
            <v>LA2 / GUAN</v>
          </cell>
          <cell r="F393"/>
          <cell r="G393"/>
          <cell r="H393"/>
        </row>
        <row r="394">
          <cell r="A394">
            <v>19488</v>
          </cell>
          <cell r="B394">
            <v>124</v>
          </cell>
          <cell r="C394" t="str">
            <v>AMERISURE INSURANCE COMPANY</v>
          </cell>
          <cell r="D394" t="str">
            <v>LA2 / LEE</v>
          </cell>
          <cell r="E394" t="str">
            <v>LA2 / LEE</v>
          </cell>
          <cell r="F394"/>
          <cell r="G394"/>
          <cell r="H394"/>
        </row>
        <row r="395">
          <cell r="A395">
            <v>23396</v>
          </cell>
          <cell r="B395">
            <v>124</v>
          </cell>
          <cell r="C395" t="str">
            <v>AMERISURE MUTUAL INSURANCE COMPANY</v>
          </cell>
          <cell r="D395" t="str">
            <v>LA2 / LEE</v>
          </cell>
          <cell r="E395" t="str">
            <v>LA2 / LEE</v>
          </cell>
          <cell r="F395"/>
          <cell r="G395"/>
          <cell r="H395"/>
        </row>
        <row r="396">
          <cell r="A396">
            <v>15636</v>
          </cell>
          <cell r="B396">
            <v>130</v>
          </cell>
          <cell r="C396" t="str">
            <v>LUTHERAN BENEVOLENT INSURANCE EXCHANGE</v>
          </cell>
          <cell r="D396" t="str">
            <v>LA1 / HUH</v>
          </cell>
          <cell r="E396" t="str">
            <v>LA1 / OKPARA</v>
          </cell>
          <cell r="F396" t="str">
            <v>SF2 / TRANZOR</v>
          </cell>
          <cell r="G396"/>
          <cell r="H396" t="str">
            <v>RAO / CHUN</v>
          </cell>
        </row>
        <row r="397">
          <cell r="A397">
            <v>23523</v>
          </cell>
          <cell r="B397">
            <v>130</v>
          </cell>
          <cell r="C397" t="str">
            <v>MILLERS CASUALTY INSURANCE COMPANY</v>
          </cell>
          <cell r="D397" t="str">
            <v>LA1 / HUH</v>
          </cell>
          <cell r="E397" t="str">
            <v>LA1 / OKPARA</v>
          </cell>
          <cell r="F397" t="str">
            <v>SF2 / TRANZOR</v>
          </cell>
          <cell r="G397"/>
          <cell r="H397" t="str">
            <v>RAO / CHUN</v>
          </cell>
        </row>
        <row r="398">
          <cell r="A398">
            <v>10127</v>
          </cell>
          <cell r="B398">
            <v>140</v>
          </cell>
          <cell r="C398" t="str">
            <v>ALLIED INSURANCE COMPANY OF AMERICA</v>
          </cell>
          <cell r="D398" t="str">
            <v>LA2 / CHENG</v>
          </cell>
          <cell r="E398" t="str">
            <v>LA2 / CHENG</v>
          </cell>
          <cell r="F398" t="str">
            <v>SF2 / TRANZOR</v>
          </cell>
          <cell r="G398"/>
          <cell r="H398"/>
        </row>
        <row r="399">
          <cell r="A399">
            <v>42579</v>
          </cell>
          <cell r="B399">
            <v>140</v>
          </cell>
          <cell r="C399" t="str">
            <v>ALLIED PROPERTY AND CASUALTY INSURANCE COMPANY</v>
          </cell>
          <cell r="D399" t="str">
            <v>LA2 / CHENG</v>
          </cell>
          <cell r="E399" t="str">
            <v>LA2 / CHENG</v>
          </cell>
          <cell r="F399" t="str">
            <v>SF2 / TRANZOR</v>
          </cell>
          <cell r="G399" t="str">
            <v>RAO / CHUN</v>
          </cell>
          <cell r="H399" t="str">
            <v>RAO / CHUN</v>
          </cell>
        </row>
        <row r="400">
          <cell r="A400">
            <v>19100</v>
          </cell>
          <cell r="B400">
            <v>140</v>
          </cell>
          <cell r="C400" t="str">
            <v>AMCO INSURANCE COMPANY</v>
          </cell>
          <cell r="D400" t="str">
            <v>LA2 / CHENG</v>
          </cell>
          <cell r="E400" t="str">
            <v>LA2 / CHENG</v>
          </cell>
          <cell r="F400" t="str">
            <v>SF2 / TRANZOR</v>
          </cell>
          <cell r="G400"/>
          <cell r="H400" t="str">
            <v>RAO / CHUN</v>
          </cell>
        </row>
        <row r="401">
          <cell r="A401">
            <v>18961</v>
          </cell>
          <cell r="B401">
            <v>140</v>
          </cell>
          <cell r="C401" t="str">
            <v>CRESTBROOK INSURANCE COMPANY</v>
          </cell>
          <cell r="D401" t="str">
            <v>LA2 / CHENG</v>
          </cell>
          <cell r="E401" t="str">
            <v>LA2 / CHENG</v>
          </cell>
          <cell r="F401" t="str">
            <v>SF2 / TRANZOR</v>
          </cell>
          <cell r="G401"/>
          <cell r="H401"/>
        </row>
        <row r="402">
          <cell r="A402">
            <v>42587</v>
          </cell>
          <cell r="B402">
            <v>140</v>
          </cell>
          <cell r="C402" t="str">
            <v>DEPOSITORS INSURANCE COMPANY</v>
          </cell>
          <cell r="D402" t="str">
            <v>LA2 / CHENG</v>
          </cell>
          <cell r="E402" t="str">
            <v>LA2 / CHENG</v>
          </cell>
          <cell r="F402" t="str">
            <v>SF2 / TRANZOR</v>
          </cell>
          <cell r="G402"/>
          <cell r="H402"/>
        </row>
        <row r="403">
          <cell r="A403">
            <v>22209</v>
          </cell>
          <cell r="B403">
            <v>140</v>
          </cell>
          <cell r="C403" t="str">
            <v>FREEDOM SPECIALTY INSURANCE COMPANY</v>
          </cell>
          <cell r="D403" t="str">
            <v>LA2 / CHENG</v>
          </cell>
          <cell r="E403" t="str">
            <v>LA2 / CHENG</v>
          </cell>
          <cell r="F403" t="str">
            <v>SF2 / TRANZOR</v>
          </cell>
          <cell r="G403"/>
          <cell r="H403"/>
        </row>
        <row r="404">
          <cell r="A404">
            <v>11991</v>
          </cell>
          <cell r="B404">
            <v>140</v>
          </cell>
          <cell r="C404" t="str">
            <v>NATIONAL CASUALTY COMPANY</v>
          </cell>
          <cell r="D404" t="str">
            <v>LA2 / CHENG</v>
          </cell>
          <cell r="E404" t="str">
            <v>LA2 / CHENG</v>
          </cell>
          <cell r="F404" t="str">
            <v>SF2 / TRANZOR</v>
          </cell>
          <cell r="G404"/>
          <cell r="H404"/>
        </row>
        <row r="405">
          <cell r="A405">
            <v>28223</v>
          </cell>
          <cell r="B405">
            <v>140</v>
          </cell>
          <cell r="C405" t="str">
            <v>NATIONWIDE AGRIBUSINESS INSURANCE COMPANY</v>
          </cell>
          <cell r="D405" t="str">
            <v>LA2 / CHENG</v>
          </cell>
          <cell r="E405" t="str">
            <v>LA2 / CHENG</v>
          </cell>
          <cell r="F405" t="str">
            <v>SF2 / TRANZOR</v>
          </cell>
          <cell r="G405"/>
          <cell r="H405" t="str">
            <v>RAO / CHUN</v>
          </cell>
        </row>
        <row r="406">
          <cell r="A406">
            <v>23760</v>
          </cell>
          <cell r="B406">
            <v>140</v>
          </cell>
          <cell r="C406" t="str">
            <v>NATIONWIDE GENERAL INSURANCE COMPANY</v>
          </cell>
          <cell r="D406" t="str">
            <v>LA2 / CHENG</v>
          </cell>
          <cell r="E406" t="str">
            <v>LA2 / CHENG</v>
          </cell>
          <cell r="F406" t="str">
            <v>SF2 / TRANZOR</v>
          </cell>
          <cell r="G406"/>
          <cell r="H406"/>
        </row>
        <row r="407">
          <cell r="A407">
            <v>25453</v>
          </cell>
          <cell r="B407">
            <v>140</v>
          </cell>
          <cell r="C407" t="str">
            <v>NATIONWIDE INSURANCE COMPANY OF AMERICA</v>
          </cell>
          <cell r="D407" t="str">
            <v>LA2 / CHENG</v>
          </cell>
          <cell r="E407" t="str">
            <v>LA2 / CHENG</v>
          </cell>
          <cell r="F407" t="str">
            <v>SF2 / TRANZOR</v>
          </cell>
          <cell r="G407" t="str">
            <v>RAO / CHUN</v>
          </cell>
          <cell r="H407"/>
        </row>
        <row r="408">
          <cell r="A408">
            <v>23779</v>
          </cell>
          <cell r="B408">
            <v>140</v>
          </cell>
          <cell r="C408" t="str">
            <v>NATIONWIDE MUTUAL FIRE INSURANCE COMPANY</v>
          </cell>
          <cell r="D408" t="str">
            <v>LA2 / CHENG</v>
          </cell>
          <cell r="E408" t="str">
            <v>LA2 / CHENG</v>
          </cell>
          <cell r="F408" t="str">
            <v>SF2 / TRANZOR</v>
          </cell>
          <cell r="G408"/>
          <cell r="H408"/>
        </row>
        <row r="409">
          <cell r="A409">
            <v>23787</v>
          </cell>
          <cell r="B409">
            <v>140</v>
          </cell>
          <cell r="C409" t="str">
            <v>NATIONWIDE MUTUAL INSURANCE COMPANY</v>
          </cell>
          <cell r="D409" t="str">
            <v>LA2 / CHENG</v>
          </cell>
          <cell r="E409" t="str">
            <v>LA2 / CHENG</v>
          </cell>
          <cell r="F409" t="str">
            <v>SF2 / TRANZOR</v>
          </cell>
          <cell r="G409"/>
          <cell r="H409"/>
        </row>
        <row r="410">
          <cell r="A410">
            <v>37877</v>
          </cell>
          <cell r="B410">
            <v>140</v>
          </cell>
          <cell r="C410" t="str">
            <v>NATIONWIDE PROPERTY AND CASUALTY INSURANCE COMPANY</v>
          </cell>
          <cell r="D410" t="str">
            <v>LA2 / CHENG</v>
          </cell>
          <cell r="E410" t="str">
            <v>LA2 / CHENG</v>
          </cell>
          <cell r="F410" t="str">
            <v>SF2 / TRANZOR</v>
          </cell>
          <cell r="G410"/>
          <cell r="H410"/>
        </row>
        <row r="411">
          <cell r="A411">
            <v>15580</v>
          </cell>
          <cell r="B411">
            <v>140</v>
          </cell>
          <cell r="C411" t="str">
            <v>SCOTTSDALE INDEMNITY COMPANY</v>
          </cell>
          <cell r="D411" t="str">
            <v>LA2 / CHENG</v>
          </cell>
          <cell r="E411" t="str">
            <v>LA2 / CHENG</v>
          </cell>
          <cell r="F411" t="str">
            <v>SF2 / TRANZOR</v>
          </cell>
          <cell r="G411"/>
          <cell r="H411"/>
        </row>
        <row r="412">
          <cell r="A412">
            <v>42285</v>
          </cell>
          <cell r="B412">
            <v>140</v>
          </cell>
          <cell r="C412" t="str">
            <v xml:space="preserve">VETERINARY PET INSURANCE COMPANY  </v>
          </cell>
          <cell r="D412" t="str">
            <v>LA2 / CHENG</v>
          </cell>
          <cell r="E412" t="str">
            <v>LA2 / CHENG</v>
          </cell>
          <cell r="F412" t="str">
            <v>SF2 / GOTERA-PITROU</v>
          </cell>
          <cell r="G412"/>
          <cell r="H412"/>
        </row>
        <row r="413">
          <cell r="A413">
            <v>42889</v>
          </cell>
          <cell r="B413">
            <v>140</v>
          </cell>
          <cell r="C413" t="str">
            <v>VICTORIA FIRE &amp; CASUALTY COMPANY</v>
          </cell>
          <cell r="D413" t="str">
            <v>LA2 / CHENG</v>
          </cell>
          <cell r="E413" t="str">
            <v>LA2 / CHENG</v>
          </cell>
          <cell r="F413" t="str">
            <v>SF2 / GOTERA-PITROU</v>
          </cell>
          <cell r="G413"/>
          <cell r="H413"/>
        </row>
        <row r="414">
          <cell r="A414">
            <v>20095</v>
          </cell>
          <cell r="B414">
            <v>150</v>
          </cell>
          <cell r="C414" t="str">
            <v>BITCO GENERAL INSURANCE CORPORATION</v>
          </cell>
          <cell r="D414" t="str">
            <v>SAC / VISWANATHAN</v>
          </cell>
          <cell r="E414" t="str">
            <v>SAC / VISWANATHAN</v>
          </cell>
          <cell r="F414" t="str">
            <v>SF2 / GOTERA-PITROU</v>
          </cell>
          <cell r="G414"/>
          <cell r="H414"/>
        </row>
        <row r="415">
          <cell r="A415">
            <v>20109</v>
          </cell>
          <cell r="B415">
            <v>150</v>
          </cell>
          <cell r="C415" t="str">
            <v>BITCO NATIONAL INSURANCE COMPANY</v>
          </cell>
          <cell r="D415" t="str">
            <v>SAC / VISWANATHAN</v>
          </cell>
          <cell r="E415" t="str">
            <v>SAC / VISWANATHAN</v>
          </cell>
          <cell r="F415" t="str">
            <v>SF2 / GOTERA-PITROU</v>
          </cell>
          <cell r="G415"/>
          <cell r="H415"/>
        </row>
        <row r="416">
          <cell r="A416">
            <v>11371</v>
          </cell>
          <cell r="B416">
            <v>150</v>
          </cell>
          <cell r="C416" t="str">
            <v>GREAT WEST CASUALTY COMPANY</v>
          </cell>
          <cell r="D416" t="str">
            <v>SAC / VISWANATHAN</v>
          </cell>
          <cell r="E416" t="str">
            <v>SAC / VISWANATHAN</v>
          </cell>
          <cell r="F416" t="str">
            <v>SF2 / GOTERA-PITROU</v>
          </cell>
          <cell r="G416"/>
          <cell r="H416"/>
        </row>
        <row r="417">
          <cell r="A417">
            <v>36897</v>
          </cell>
          <cell r="B417">
            <v>150</v>
          </cell>
          <cell r="C417" t="str">
            <v>MANUFACTURERS ALLIANCE INSURANCE COMPANY</v>
          </cell>
          <cell r="D417" t="str">
            <v>SAC / VISWANATHAN</v>
          </cell>
          <cell r="E417" t="str">
            <v>SAC / VISWANATHAN</v>
          </cell>
          <cell r="F417" t="str">
            <v>SF2 / GOTERA-PITROU</v>
          </cell>
          <cell r="G417"/>
          <cell r="H417"/>
        </row>
        <row r="418">
          <cell r="A418">
            <v>24139</v>
          </cell>
          <cell r="B418">
            <v>150</v>
          </cell>
          <cell r="C418" t="str">
            <v>OLD REPUBLIC GENERAL INSURANCE CORPORATION</v>
          </cell>
          <cell r="D418" t="str">
            <v>SAC / VISWANATHAN</v>
          </cell>
          <cell r="E418" t="str">
            <v>SAC / VISWANATHAN</v>
          </cell>
          <cell r="F418" t="str">
            <v>SF2 / GOTERA-PITROU</v>
          </cell>
          <cell r="G418"/>
          <cell r="H418"/>
        </row>
        <row r="419">
          <cell r="A419">
            <v>24147</v>
          </cell>
          <cell r="B419">
            <v>150</v>
          </cell>
          <cell r="C419" t="str">
            <v>OLD REPUBLIC INSURANCE COMPANY</v>
          </cell>
          <cell r="D419" t="str">
            <v>SAC / VISWANATHAN</v>
          </cell>
          <cell r="E419" t="str">
            <v>SAC / VISWANATHAN</v>
          </cell>
          <cell r="F419" t="str">
            <v>SF2 / GOTERA-PITROU</v>
          </cell>
          <cell r="G419"/>
          <cell r="H419"/>
        </row>
        <row r="420">
          <cell r="A420">
            <v>35424</v>
          </cell>
          <cell r="B420">
            <v>150</v>
          </cell>
          <cell r="C420" t="str">
            <v>OLD REPUBLIC SECURITY ASSURANCE COMPANY</v>
          </cell>
          <cell r="D420" t="str">
            <v>SAC / VISWANATHAN</v>
          </cell>
          <cell r="E420" t="str">
            <v>SAC / VISWANATHAN</v>
          </cell>
          <cell r="F420" t="str">
            <v>SF2 / GOTERA-PITROU</v>
          </cell>
          <cell r="G420"/>
          <cell r="H420"/>
        </row>
        <row r="421">
          <cell r="A421">
            <v>40444</v>
          </cell>
          <cell r="B421">
            <v>150</v>
          </cell>
          <cell r="C421" t="str">
            <v>OLD REPUBLIC SURETY COMPANY</v>
          </cell>
          <cell r="D421" t="str">
            <v>SAC / VISWANATHAN</v>
          </cell>
          <cell r="E421" t="str">
            <v>SAC / VISWANATHAN</v>
          </cell>
          <cell r="F421" t="str">
            <v>SF2 / GOTERA-PITROU</v>
          </cell>
          <cell r="G421"/>
          <cell r="H421"/>
        </row>
        <row r="422">
          <cell r="A422">
            <v>12262</v>
          </cell>
          <cell r="B422">
            <v>150</v>
          </cell>
          <cell r="C422" t="str">
            <v>PENNSYLVANIA MANUFACTURERS' ASSOCIATION INSURANCE COMPANY</v>
          </cell>
          <cell r="D422" t="str">
            <v>SAC / VISWANATHAN</v>
          </cell>
          <cell r="E422" t="str">
            <v>SAC / VISWANATHAN</v>
          </cell>
          <cell r="F422" t="str">
            <v>SF2 / GOTERA-PITROU</v>
          </cell>
          <cell r="G422"/>
          <cell r="H422"/>
        </row>
        <row r="423">
          <cell r="A423">
            <v>41424</v>
          </cell>
          <cell r="B423">
            <v>150</v>
          </cell>
          <cell r="C423" t="str">
            <v>PENNSYLVANIA MANUFACTURERS INDEMNITY COMPANY</v>
          </cell>
          <cell r="D423" t="str">
            <v>SAC / VISWANATHAN</v>
          </cell>
          <cell r="E423" t="str">
            <v>SAC / VISWANATHAN</v>
          </cell>
          <cell r="F423" t="str">
            <v>SF2 / GOTERA-PITROU</v>
          </cell>
          <cell r="G423"/>
          <cell r="H423"/>
        </row>
        <row r="424">
          <cell r="A424">
            <v>28452</v>
          </cell>
          <cell r="B424">
            <v>150</v>
          </cell>
          <cell r="C424" t="str">
            <v>REPUBLIC MORTGAGE INSURANCE COMPANY</v>
          </cell>
          <cell r="D424" t="str">
            <v>SAC / VISWANATHAN</v>
          </cell>
          <cell r="E424" t="str">
            <v>SAC / VISWANATHAN</v>
          </cell>
          <cell r="F424" t="str">
            <v>SF2 / GOTERA-PITROU</v>
          </cell>
          <cell r="G424"/>
          <cell r="H424"/>
        </row>
        <row r="425">
          <cell r="A425">
            <v>16140</v>
          </cell>
          <cell r="B425">
            <v>155</v>
          </cell>
          <cell r="C425" t="str">
            <v>ASI SELECT AUTO INSURANCE CORPORATION (Withdrew as an insurer, effective August 30, 2021 )</v>
          </cell>
          <cell r="D425" t="str">
            <v>LA2 / BAUTISTA</v>
          </cell>
          <cell r="E425" t="str">
            <v>LA2 / BAUTISTA</v>
          </cell>
          <cell r="F425" t="str">
            <v>SF2 / GOTERA-PITROU</v>
          </cell>
          <cell r="G425"/>
          <cell r="H425"/>
        </row>
        <row r="426">
          <cell r="A426">
            <v>14042</v>
          </cell>
          <cell r="B426">
            <v>155</v>
          </cell>
          <cell r="C426" t="str">
            <v>ASI SELECT INSURANCE CORPORATION</v>
          </cell>
          <cell r="D426" t="str">
            <v>LA2 / BAUTISTA</v>
          </cell>
          <cell r="E426" t="str">
            <v>LA2 / BAUTISTA</v>
          </cell>
          <cell r="F426" t="str">
            <v>SF2 / GOTERA-PITROU</v>
          </cell>
          <cell r="G426"/>
          <cell r="H426" t="str">
            <v>RAO / ZHOU</v>
          </cell>
        </row>
        <row r="427">
          <cell r="A427">
            <v>10243</v>
          </cell>
          <cell r="B427">
            <v>155</v>
          </cell>
          <cell r="C427" t="str">
            <v>NATIONAL CONTINENTAL INSURANCE COMPANY</v>
          </cell>
          <cell r="D427" t="str">
            <v>LA2 / BAUTISTA</v>
          </cell>
          <cell r="E427" t="str">
            <v>LA2 / BAUTISTA</v>
          </cell>
          <cell r="F427" t="str">
            <v>SF2 / GOTERA-PITROU</v>
          </cell>
          <cell r="G427"/>
          <cell r="H427"/>
        </row>
        <row r="428">
          <cell r="A428">
            <v>11851</v>
          </cell>
          <cell r="B428">
            <v>155</v>
          </cell>
          <cell r="C428" t="str">
            <v>PROGRESSIVE ADVANCED INSURANCE COMPANY</v>
          </cell>
          <cell r="D428" t="str">
            <v>LA2 / BAUTISTA</v>
          </cell>
          <cell r="E428" t="str">
            <v>LA2 / BAUTISTA</v>
          </cell>
          <cell r="F428" t="str">
            <v>SF2 / GOTERA-PITROU</v>
          </cell>
          <cell r="G428"/>
          <cell r="H428" t="str">
            <v>RAO / ZHOU</v>
          </cell>
        </row>
        <row r="429">
          <cell r="A429">
            <v>24260</v>
          </cell>
          <cell r="B429">
            <v>155</v>
          </cell>
          <cell r="C429" t="str">
            <v>PROGRESSIVE CASUALTY INSURANCE COMPANY</v>
          </cell>
          <cell r="D429" t="str">
            <v>LA2 / BAUTISTA</v>
          </cell>
          <cell r="E429" t="str">
            <v>LA2 / BAUTISTA</v>
          </cell>
          <cell r="F429" t="str">
            <v>SF2 / GOTERA-PITROU</v>
          </cell>
          <cell r="G429"/>
          <cell r="H429"/>
        </row>
        <row r="430">
          <cell r="A430">
            <v>44288</v>
          </cell>
          <cell r="B430">
            <v>155</v>
          </cell>
          <cell r="C430" t="str">
            <v>PROGRESSIVE CHOICE INSURANCE COMPANY</v>
          </cell>
          <cell r="D430" t="str">
            <v>LA2 / BAUTISTA</v>
          </cell>
          <cell r="E430" t="str">
            <v>LA2 / BAUTISTA</v>
          </cell>
          <cell r="F430" t="str">
            <v>SF2 / GOTERA-PITROU</v>
          </cell>
          <cell r="G430"/>
          <cell r="H430"/>
        </row>
        <row r="431">
          <cell r="A431">
            <v>12879</v>
          </cell>
          <cell r="B431">
            <v>155</v>
          </cell>
          <cell r="C431" t="str">
            <v>PROGRESSIVE COMMERCIAL CASUALTY COMPANY</v>
          </cell>
          <cell r="D431" t="str">
            <v>LA2 / BAUTISTA</v>
          </cell>
          <cell r="E431" t="str">
            <v>LA2 / BAUTISTA</v>
          </cell>
          <cell r="F431" t="str">
            <v>SF2 / GOTERA-PITROU</v>
          </cell>
          <cell r="G431"/>
          <cell r="H431"/>
        </row>
        <row r="432">
          <cell r="A432">
            <v>16322</v>
          </cell>
          <cell r="B432">
            <v>155</v>
          </cell>
          <cell r="C432" t="str">
            <v>PROGRESSIVE DIRECT INSURANCE COMPANY</v>
          </cell>
          <cell r="D432" t="str">
            <v>LA2 / BAUTISTA</v>
          </cell>
          <cell r="E432" t="str">
            <v>LA2 / BAUTISTA</v>
          </cell>
          <cell r="F432" t="str">
            <v>SF2 / GOTERA-PITROU</v>
          </cell>
          <cell r="G432"/>
          <cell r="H432"/>
        </row>
        <row r="433">
          <cell r="A433">
            <v>10193</v>
          </cell>
          <cell r="B433">
            <v>155</v>
          </cell>
          <cell r="C433" t="str">
            <v>PROGRESSIVE EXPRESS INSURANCE COMPANY</v>
          </cell>
          <cell r="D433" t="str">
            <v>LA2 / BAUTISTA</v>
          </cell>
          <cell r="E433" t="str">
            <v>LA2 / BAUTISTA</v>
          </cell>
          <cell r="F433" t="str">
            <v>SF2 / GOTERA-PITROU</v>
          </cell>
          <cell r="G433"/>
          <cell r="H433" t="str">
            <v>RAO / ZHOU</v>
          </cell>
        </row>
        <row r="434">
          <cell r="A434">
            <v>42919</v>
          </cell>
          <cell r="B434">
            <v>155</v>
          </cell>
          <cell r="C434" t="str">
            <v>PROGRESSIVE NORTHWESTERN INSURANCE COMPANY</v>
          </cell>
          <cell r="D434" t="str">
            <v>LA2 / BAUTISTA</v>
          </cell>
          <cell r="E434" t="str">
            <v>LA2 / BAUTISTA</v>
          </cell>
          <cell r="F434" t="str">
            <v>SF2 / GOTERA-PITROU</v>
          </cell>
          <cell r="G434"/>
          <cell r="H434"/>
        </row>
        <row r="435">
          <cell r="A435">
            <v>10192</v>
          </cell>
          <cell r="B435">
            <v>155</v>
          </cell>
          <cell r="C435" t="str">
            <v>PROGRESSIVE SELECT INSURANCE COMPANY</v>
          </cell>
          <cell r="D435" t="str">
            <v>LA2 / BAUTISTA</v>
          </cell>
          <cell r="E435" t="str">
            <v>LA2 / BAUTISTA</v>
          </cell>
          <cell r="F435" t="str">
            <v>SF2 / GOTERA-PITROU</v>
          </cell>
          <cell r="G435"/>
          <cell r="H435" t="str">
            <v>RAO / ZHOU</v>
          </cell>
        </row>
        <row r="436">
          <cell r="A436">
            <v>32786</v>
          </cell>
          <cell r="B436">
            <v>155</v>
          </cell>
          <cell r="C436" t="str">
            <v>PROGRESSIVE SPECIALTY INSURANCE COMPANY</v>
          </cell>
          <cell r="D436" t="str">
            <v>LA2 / BAUTISTA</v>
          </cell>
          <cell r="E436" t="str">
            <v>LA2 / BAUTISTA</v>
          </cell>
          <cell r="F436" t="str">
            <v>SF2 / GOTERA-PITROU</v>
          </cell>
          <cell r="G436"/>
          <cell r="H436" t="str">
            <v>RAO / ZHOU</v>
          </cell>
        </row>
        <row r="437">
          <cell r="A437">
            <v>27804</v>
          </cell>
          <cell r="B437">
            <v>155</v>
          </cell>
          <cell r="C437" t="str">
            <v>PROGRESSIVE WEST INSURANCE COMPANY</v>
          </cell>
          <cell r="D437" t="str">
            <v>LA2 / BAUTISTA</v>
          </cell>
          <cell r="E437" t="str">
            <v>LA2 / BAUTISTA</v>
          </cell>
          <cell r="F437" t="str">
            <v>SF2 / GOTERA-PITROU</v>
          </cell>
          <cell r="G437"/>
          <cell r="H437"/>
        </row>
        <row r="438">
          <cell r="A438">
            <v>11770</v>
          </cell>
          <cell r="B438">
            <v>155</v>
          </cell>
          <cell r="C438" t="str">
            <v>UNITED FINANCIAL CASUALTY COMPANY</v>
          </cell>
          <cell r="D438" t="str">
            <v>LA2 / BAUTISTA</v>
          </cell>
          <cell r="E438" t="str">
            <v>LA2 / BAUTISTA</v>
          </cell>
          <cell r="F438" t="str">
            <v>SF2 / GOTERA-PITROU</v>
          </cell>
          <cell r="G438"/>
          <cell r="H438"/>
        </row>
        <row r="439">
          <cell r="A439">
            <v>19489</v>
          </cell>
          <cell r="B439">
            <v>158</v>
          </cell>
          <cell r="C439" t="str">
            <v>ALLIED WORLD ASSURANCE COMPANY (U.S.) INC.</v>
          </cell>
          <cell r="D439" t="str">
            <v>LA1 / HUH</v>
          </cell>
          <cell r="E439" t="str">
            <v>LA1 / AHN</v>
          </cell>
          <cell r="F439" t="str">
            <v>SF2 / GOTERA-PITROU</v>
          </cell>
          <cell r="G439"/>
          <cell r="H439"/>
        </row>
        <row r="440">
          <cell r="A440">
            <v>22730</v>
          </cell>
          <cell r="B440">
            <v>158</v>
          </cell>
          <cell r="C440" t="str">
            <v>ALLIED WORLD INSURANCE COMPANY</v>
          </cell>
          <cell r="D440" t="str">
            <v>LA1 / HUH</v>
          </cell>
          <cell r="E440" t="str">
            <v>LA1 / AHN</v>
          </cell>
          <cell r="F440" t="str">
            <v>SF2 / GOTERA-PITROU</v>
          </cell>
          <cell r="G440"/>
          <cell r="H440"/>
        </row>
        <row r="441">
          <cell r="A441">
            <v>16624</v>
          </cell>
          <cell r="B441">
            <v>158</v>
          </cell>
          <cell r="C441" t="str">
            <v>ALLIED WORLD SPECIALTY INSURANCE COMPANY</v>
          </cell>
          <cell r="D441" t="str">
            <v>LA1 / HUH</v>
          </cell>
          <cell r="E441" t="str">
            <v>LA1 / AHN</v>
          </cell>
          <cell r="F441" t="str">
            <v>SF2 / GOTERA-PITROU</v>
          </cell>
          <cell r="G441"/>
          <cell r="H441"/>
        </row>
        <row r="442">
          <cell r="A442">
            <v>31348</v>
          </cell>
          <cell r="B442">
            <v>158</v>
          </cell>
          <cell r="C442" t="str">
            <v>CRUM &amp; FORSTER INDEMNITY COMPANY</v>
          </cell>
          <cell r="D442" t="str">
            <v>LA1 / HUH</v>
          </cell>
          <cell r="E442" t="str">
            <v>LA1 / AHN</v>
          </cell>
          <cell r="F442" t="str">
            <v>SF2 / GOTERA-PITROU</v>
          </cell>
          <cell r="G442"/>
          <cell r="H442"/>
        </row>
        <row r="443">
          <cell r="A443">
            <v>25054</v>
          </cell>
          <cell r="B443">
            <v>158</v>
          </cell>
          <cell r="C443" t="str">
            <v>HUDSON INSURANCE COMPANY</v>
          </cell>
          <cell r="D443" t="str">
            <v>LA1 / HUH</v>
          </cell>
          <cell r="E443" t="str">
            <v>LA1 / AHN</v>
          </cell>
          <cell r="F443" t="str">
            <v>SF2 / GOTERA-PITROU</v>
          </cell>
          <cell r="G443"/>
          <cell r="H443"/>
        </row>
        <row r="444">
          <cell r="A444">
            <v>21105</v>
          </cell>
          <cell r="B444">
            <v>158</v>
          </cell>
          <cell r="C444" t="str">
            <v>NORTH RIVER INSURANCE COMPANY</v>
          </cell>
          <cell r="D444" t="str">
            <v>LA1 / HUH</v>
          </cell>
          <cell r="E444" t="str">
            <v>LA1 / AHN</v>
          </cell>
          <cell r="F444" t="str">
            <v>SF2 / GOTERA-PITROU</v>
          </cell>
          <cell r="G444"/>
          <cell r="H444"/>
        </row>
        <row r="445">
          <cell r="A445">
            <v>23680</v>
          </cell>
          <cell r="B445">
            <v>158</v>
          </cell>
          <cell r="C445" t="str">
            <v>ODYSSEY REINSURANCE COMPANY</v>
          </cell>
          <cell r="D445" t="str">
            <v>LA1 / HUH</v>
          </cell>
          <cell r="E445" t="str">
            <v>LA1 / AHN</v>
          </cell>
          <cell r="F445" t="str">
            <v>SF2 / GOTERA-PITROU</v>
          </cell>
          <cell r="G445"/>
          <cell r="H445"/>
        </row>
        <row r="446">
          <cell r="A446">
            <v>10936</v>
          </cell>
          <cell r="B446">
            <v>158</v>
          </cell>
          <cell r="C446" t="str">
            <v>SENECA INSURANCE COMPANY, INCORPORATION</v>
          </cell>
          <cell r="D446" t="str">
            <v>LA1 / HUH</v>
          </cell>
          <cell r="E446" t="str">
            <v>LA1 / AHN</v>
          </cell>
          <cell r="F446" t="str">
            <v>SF2 / GOTERA-PITROU</v>
          </cell>
          <cell r="G446"/>
          <cell r="H446"/>
        </row>
        <row r="447">
          <cell r="A447">
            <v>25534</v>
          </cell>
          <cell r="B447">
            <v>158</v>
          </cell>
          <cell r="C447" t="str">
            <v>TIG INSURANCE COMPANY</v>
          </cell>
          <cell r="D447" t="str">
            <v>LA1 / HUH</v>
          </cell>
          <cell r="E447" t="str">
            <v>LA1 / AHN</v>
          </cell>
          <cell r="F447" t="str">
            <v>SF2 / GOTERA-PITROU</v>
          </cell>
          <cell r="G447"/>
          <cell r="H447"/>
        </row>
        <row r="448">
          <cell r="A448">
            <v>21113</v>
          </cell>
          <cell r="B448">
            <v>158</v>
          </cell>
          <cell r="C448" t="str">
            <v>UNITED STATES FIRE INSURANCE COMPANY</v>
          </cell>
          <cell r="D448" t="str">
            <v>LA1 / HUH</v>
          </cell>
          <cell r="E448" t="str">
            <v>LA1 / AHN</v>
          </cell>
          <cell r="F448" t="str">
            <v>SF2 / GOTERA-PITROU</v>
          </cell>
          <cell r="G448"/>
          <cell r="H448"/>
        </row>
        <row r="449">
          <cell r="A449">
            <v>13269</v>
          </cell>
          <cell r="B449">
            <v>158</v>
          </cell>
          <cell r="C449" t="str">
            <v>ZENITH INSURANCE COMPANY</v>
          </cell>
          <cell r="D449" t="str">
            <v>LA1 / HUH</v>
          </cell>
          <cell r="E449" t="str">
            <v>LA1 / AHN</v>
          </cell>
          <cell r="F449" t="str">
            <v>SF2 / GOTERA-PITROU</v>
          </cell>
          <cell r="G449"/>
          <cell r="H449"/>
        </row>
        <row r="450">
          <cell r="A450">
            <v>30120</v>
          </cell>
          <cell r="B450">
            <v>158</v>
          </cell>
          <cell r="C450" t="str">
            <v>ZNAT INSURANCE COMPANY</v>
          </cell>
          <cell r="D450" t="str">
            <v>LA1 / HUH</v>
          </cell>
          <cell r="E450" t="str">
            <v>LA1 / AHN</v>
          </cell>
          <cell r="F450" t="str">
            <v>SF2 / GOTERA-PITROU</v>
          </cell>
          <cell r="G450"/>
          <cell r="H450"/>
        </row>
        <row r="451">
          <cell r="A451">
            <v>40592</v>
          </cell>
          <cell r="B451">
            <v>159</v>
          </cell>
          <cell r="C451" t="str">
            <v>RELIANCE NATIONAL INSURANCE COMPANY</v>
          </cell>
          <cell r="D451" t="str">
            <v>LA2 / LEE</v>
          </cell>
          <cell r="E451" t="str">
            <v>LA2 / LEE</v>
          </cell>
          <cell r="F451"/>
          <cell r="G451"/>
          <cell r="H451"/>
        </row>
        <row r="452">
          <cell r="A452">
            <v>41980</v>
          </cell>
          <cell r="B452">
            <v>159</v>
          </cell>
          <cell r="C452" t="str">
            <v>RELIANCE NATIONAL PROPERTY &amp; CASUALTY INSURANCE COMPANY</v>
          </cell>
          <cell r="D452" t="str">
            <v>LA2 / LEE</v>
          </cell>
          <cell r="E452" t="str">
            <v>LA2 / LEE</v>
          </cell>
          <cell r="F452" t="str">
            <v>SF2 / TRANZOR</v>
          </cell>
          <cell r="G452"/>
          <cell r="H452"/>
        </row>
        <row r="453">
          <cell r="A453">
            <v>18031</v>
          </cell>
          <cell r="B453">
            <v>161</v>
          </cell>
          <cell r="C453" t="str">
            <v>TOPA INSURANCE COMPANY</v>
          </cell>
          <cell r="D453" t="str">
            <v>LA2 / BAUTISTA</v>
          </cell>
          <cell r="E453" t="str">
            <v>LA2 / BAUTISTA</v>
          </cell>
          <cell r="F453"/>
          <cell r="G453"/>
          <cell r="H453"/>
        </row>
        <row r="454">
          <cell r="A454">
            <v>25879</v>
          </cell>
          <cell r="B454">
            <v>164</v>
          </cell>
          <cell r="C454" t="str">
            <v>FIDELITY AND GUARANTY INSURANCE UNDERWRITERS INCORPORATION</v>
          </cell>
          <cell r="D454" t="str">
            <v>SF2 / TRANZOR</v>
          </cell>
          <cell r="E454" t="str">
            <v>SF2 / TRANZOR</v>
          </cell>
          <cell r="F454"/>
          <cell r="G454"/>
          <cell r="H454"/>
        </row>
        <row r="455">
          <cell r="A455">
            <v>24945</v>
          </cell>
          <cell r="B455">
            <v>168</v>
          </cell>
          <cell r="C455" t="str">
            <v>CONSOLIDATED AMERICAN INSURANCE COMPANY</v>
          </cell>
          <cell r="D455" t="str">
            <v>LA2 / LEE</v>
          </cell>
          <cell r="E455" t="str">
            <v>LA2 / LEE</v>
          </cell>
          <cell r="F455" t="str">
            <v>SF2 / GOTERA-PITROU</v>
          </cell>
          <cell r="G455"/>
          <cell r="H455"/>
        </row>
        <row r="456">
          <cell r="A456">
            <v>24953</v>
          </cell>
          <cell r="B456">
            <v>168</v>
          </cell>
          <cell r="C456" t="str">
            <v>SOUTH CAROLINA INSURANCE COMPANY</v>
          </cell>
          <cell r="D456" t="str">
            <v>LA2 / LEE</v>
          </cell>
          <cell r="E456" t="str">
            <v>LA2 / LEE</v>
          </cell>
          <cell r="F456" t="str">
            <v>SF2 / GOTERA-PITROU</v>
          </cell>
          <cell r="G456"/>
          <cell r="H456"/>
        </row>
        <row r="457">
          <cell r="A457">
            <v>13978</v>
          </cell>
          <cell r="B457">
            <v>169</v>
          </cell>
          <cell r="C457" t="str">
            <v>FLORISTS MUTUAL INSURANCE COMPANY</v>
          </cell>
          <cell r="D457" t="str">
            <v>SF1 / WONG</v>
          </cell>
          <cell r="E457" t="str">
            <v>SF1 / WONG</v>
          </cell>
          <cell r="F457" t="str">
            <v>SF2 / GOTERA-PITROU</v>
          </cell>
          <cell r="G457"/>
          <cell r="H457"/>
        </row>
        <row r="458">
          <cell r="A458">
            <v>23434</v>
          </cell>
          <cell r="B458">
            <v>169</v>
          </cell>
          <cell r="C458" t="str">
            <v>MIDDLESEX INSURANCE COMPANY</v>
          </cell>
          <cell r="D458" t="str">
            <v>SF1 / WONG</v>
          </cell>
          <cell r="E458" t="str">
            <v>SF1 / WONG</v>
          </cell>
          <cell r="F458" t="str">
            <v>SF2 / GOTERA-PITROU</v>
          </cell>
          <cell r="G458"/>
          <cell r="H458"/>
        </row>
        <row r="459">
          <cell r="A459">
            <v>28460</v>
          </cell>
          <cell r="B459">
            <v>169</v>
          </cell>
          <cell r="C459" t="str">
            <v>SENTRY CASUALTY COMPANY</v>
          </cell>
          <cell r="D459" t="str">
            <v>SF1 / WONG</v>
          </cell>
          <cell r="E459" t="str">
            <v>SF1 / WONG</v>
          </cell>
          <cell r="F459" t="str">
            <v>SF2 / GOTERA-PITROU</v>
          </cell>
          <cell r="G459"/>
          <cell r="H459"/>
        </row>
        <row r="460">
          <cell r="A460">
            <v>24988</v>
          </cell>
          <cell r="B460">
            <v>169</v>
          </cell>
          <cell r="C460" t="str">
            <v>SENTRY INSURANCE, A MUTUAL COMPANY</v>
          </cell>
          <cell r="D460" t="str">
            <v>SF1 / WONG</v>
          </cell>
          <cell r="E460" t="str">
            <v>SF1 / WONG</v>
          </cell>
          <cell r="F460" t="str">
            <v>SF2 / GOTERA-PITROU</v>
          </cell>
          <cell r="G460"/>
          <cell r="H460"/>
        </row>
        <row r="461">
          <cell r="A461">
            <v>21180</v>
          </cell>
          <cell r="B461">
            <v>169</v>
          </cell>
          <cell r="C461" t="str">
            <v>SENTRY SELECT INSURANCE COMPANY</v>
          </cell>
          <cell r="D461" t="str">
            <v>SF1 / WONG</v>
          </cell>
          <cell r="E461" t="str">
            <v>SF1 / WONG</v>
          </cell>
          <cell r="F461" t="str">
            <v>SF2 / GOTERA-PITROU</v>
          </cell>
          <cell r="G461"/>
          <cell r="H461"/>
        </row>
        <row r="462">
          <cell r="A462">
            <v>25747</v>
          </cell>
          <cell r="B462">
            <v>169</v>
          </cell>
          <cell r="C462" t="str">
            <v>UNIGARD INSURANCE COMPANY</v>
          </cell>
          <cell r="D462" t="str">
            <v>SF1 / WONG</v>
          </cell>
          <cell r="E462" t="str">
            <v>SF1 / WONG</v>
          </cell>
          <cell r="F462"/>
          <cell r="G462"/>
          <cell r="H462"/>
        </row>
        <row r="463">
          <cell r="A463">
            <v>13137</v>
          </cell>
          <cell r="B463">
            <v>169</v>
          </cell>
          <cell r="C463" t="str">
            <v>VIKING INSURANCE COMPANY OF WISCONSIN</v>
          </cell>
          <cell r="D463" t="str">
            <v>SF1 / WONG</v>
          </cell>
          <cell r="E463" t="str">
            <v>SF1 / WONG</v>
          </cell>
          <cell r="F463" t="str">
            <v>SF2 / GOTERA-PITROU</v>
          </cell>
          <cell r="G463"/>
          <cell r="H463"/>
        </row>
        <row r="464">
          <cell r="A464">
            <v>25062</v>
          </cell>
          <cell r="B464">
            <v>172</v>
          </cell>
          <cell r="C464" t="str">
            <v>TOA REINSURANCE COMPANY OF AMERICA (THE)</v>
          </cell>
          <cell r="D464" t="str">
            <v>LA1 / HUH</v>
          </cell>
          <cell r="E464" t="str">
            <v>LA1 / AHN</v>
          </cell>
          <cell r="F464"/>
          <cell r="G464"/>
          <cell r="H464"/>
        </row>
        <row r="465">
          <cell r="A465">
            <v>16705</v>
          </cell>
          <cell r="B465">
            <v>173</v>
          </cell>
          <cell r="C465" t="str">
            <v>DEALERS ASSURANCE COMPANY</v>
          </cell>
          <cell r="D465" t="str">
            <v>SF2 / GOTERA-PITROU</v>
          </cell>
          <cell r="E465" t="str">
            <v>SF2 / GOTERA-PITROU</v>
          </cell>
          <cell r="F465" t="str">
            <v>SF2/ GOTERA-PITROU</v>
          </cell>
          <cell r="G465"/>
          <cell r="H465"/>
        </row>
        <row r="466">
          <cell r="A466">
            <v>40150</v>
          </cell>
          <cell r="B466">
            <v>176</v>
          </cell>
          <cell r="C466" t="str">
            <v>MGA INSURANCE COMPANY, INC.</v>
          </cell>
          <cell r="D466" t="str">
            <v>SF2/ GOTERA-PITROU</v>
          </cell>
          <cell r="E466" t="str">
            <v>SF2/ GOTERA/PITROU</v>
          </cell>
          <cell r="F466" t="str">
            <v>SF2 / GOTERA-PITROU</v>
          </cell>
          <cell r="G466" t="str">
            <v>RAO / UPPAL</v>
          </cell>
          <cell r="H466"/>
        </row>
        <row r="467">
          <cell r="A467">
            <v>25143</v>
          </cell>
          <cell r="B467">
            <v>176</v>
          </cell>
          <cell r="C467" t="str">
            <v>STATE FARM FIRE AND CASUALTY COMPANY</v>
          </cell>
          <cell r="D467" t="str">
            <v>SF2 / GOTERA-PITROU</v>
          </cell>
          <cell r="E467" t="str">
            <v>SF2 / GOTERA-PITROU</v>
          </cell>
          <cell r="F467" t="str">
            <v>SF2 / GOTERA-PITROU</v>
          </cell>
          <cell r="G467"/>
          <cell r="H467" t="str">
            <v>RAO / UPPAL</v>
          </cell>
        </row>
        <row r="468">
          <cell r="A468">
            <v>25151</v>
          </cell>
          <cell r="B468">
            <v>176</v>
          </cell>
          <cell r="C468" t="str">
            <v>STATE FARM GENERAL INSURANCE COMPANY</v>
          </cell>
          <cell r="D468" t="str">
            <v>SF2 / GOTERA-PITROU</v>
          </cell>
          <cell r="E468" t="str">
            <v>SF2 / GOTERA-PITROU</v>
          </cell>
          <cell r="F468" t="str">
            <v>SF2 / GOTERA-PITROU</v>
          </cell>
          <cell r="G468"/>
          <cell r="H468"/>
        </row>
        <row r="469">
          <cell r="A469">
            <v>25178</v>
          </cell>
          <cell r="B469">
            <v>176</v>
          </cell>
          <cell r="C469" t="str">
            <v>STATE FARM MUTUAL AUTOMOBILE INSURANCE COMPANY</v>
          </cell>
          <cell r="D469" t="str">
            <v>SF2 / GOTERA-PITROU</v>
          </cell>
          <cell r="E469" t="str">
            <v>SF2 / GOTERA-PITROU</v>
          </cell>
          <cell r="F469" t="str">
            <v>SF2 / GOTERA-PITROU</v>
          </cell>
          <cell r="G469"/>
          <cell r="H469"/>
        </row>
        <row r="470">
          <cell r="A470">
            <v>25038</v>
          </cell>
          <cell r="B470">
            <v>181</v>
          </cell>
          <cell r="C470" t="str">
            <v>NORTH AMERICAN CAPACITY INSURANCE COMPANY</v>
          </cell>
          <cell r="D470" t="str">
            <v>SF1 / HILL</v>
          </cell>
          <cell r="E470" t="str">
            <v>SF1 / HILL</v>
          </cell>
          <cell r="F470" t="str">
            <v>SF2 / GOTERA-PITROU</v>
          </cell>
          <cell r="G470"/>
          <cell r="H470"/>
        </row>
        <row r="471">
          <cell r="A471">
            <v>29700</v>
          </cell>
          <cell r="B471">
            <v>181</v>
          </cell>
          <cell r="C471" t="str">
            <v>NORTH AMERICAN ELITE INSURANCE COMPANY (name changed to Swiss Re Corporate Solutions Elite Insurance Corporation issued June 7, 2022)</v>
          </cell>
          <cell r="D471" t="str">
            <v>SF1 / HILL</v>
          </cell>
          <cell r="E471" t="str">
            <v>SF1 / HILL</v>
          </cell>
          <cell r="F471" t="str">
            <v>SF2 / GOTERA-PITROU</v>
          </cell>
          <cell r="G471"/>
          <cell r="H471"/>
        </row>
        <row r="472">
          <cell r="A472">
            <v>29874</v>
          </cell>
          <cell r="B472">
            <v>181</v>
          </cell>
          <cell r="C472" t="str">
            <v>SWISS RE CORPORATE SOLUTIONS AMERICA INSURANCE CORPORATION</v>
          </cell>
          <cell r="D472" t="str">
            <v>SF1 / HILL</v>
          </cell>
          <cell r="E472" t="str">
            <v>SF1 / HILL</v>
          </cell>
          <cell r="F472" t="str">
            <v>SF2 / GOTERA-PITROU</v>
          </cell>
          <cell r="G472"/>
          <cell r="H472"/>
        </row>
        <row r="473">
          <cell r="A473">
            <v>29700</v>
          </cell>
          <cell r="B473">
            <v>181</v>
          </cell>
          <cell r="C473" t="str">
            <v>SWISS RE CORPORATE SOLUTIONS ELITE INSURANCE CORPORATION (name changed from North American Elite Insurance Company issued June 7, 2022)</v>
          </cell>
          <cell r="D473" t="str">
            <v>SF1 / HILL</v>
          </cell>
          <cell r="E473" t="str">
            <v>SF1 / HILL</v>
          </cell>
          <cell r="F473" t="str">
            <v>SF2 / GOTERA-PITROU</v>
          </cell>
          <cell r="G473"/>
          <cell r="H473"/>
        </row>
        <row r="474">
          <cell r="A474">
            <v>25364</v>
          </cell>
          <cell r="B474">
            <v>181</v>
          </cell>
          <cell r="C474" t="str">
            <v>SWISS REINSURANCE AMERICA CORPORATION</v>
          </cell>
          <cell r="D474" t="str">
            <v>SF1 / HILL</v>
          </cell>
          <cell r="E474" t="str">
            <v>SF1 / HILL</v>
          </cell>
          <cell r="F474" t="str">
            <v>SF2 / GOTERA-PITROU</v>
          </cell>
          <cell r="G474"/>
          <cell r="H474"/>
        </row>
        <row r="475">
          <cell r="A475">
            <v>32778</v>
          </cell>
          <cell r="B475">
            <v>181</v>
          </cell>
          <cell r="C475" t="str">
            <v>SWISS RE CORPORATE SOLUTIONS PREMIER INSURANCE CORPORATION  (Name changed from Washington International Insurance Company Issued May 11, 2022)</v>
          </cell>
          <cell r="D475" t="str">
            <v>SF1 / HILL</v>
          </cell>
          <cell r="E475" t="str">
            <v>SF1 / HILL</v>
          </cell>
          <cell r="F475" t="str">
            <v>SF2 / GOTERA-PITROU</v>
          </cell>
          <cell r="G475"/>
          <cell r="H475"/>
        </row>
        <row r="476">
          <cell r="A476">
            <v>39845</v>
          </cell>
          <cell r="B476">
            <v>181</v>
          </cell>
          <cell r="C476" t="str">
            <v>WESTPORT INSURANCE CORPORATION</v>
          </cell>
          <cell r="D476" t="str">
            <v>SF1 / HILL</v>
          </cell>
          <cell r="E476" t="str">
            <v>SF1 / HILL</v>
          </cell>
          <cell r="F476" t="str">
            <v>SF2 / GOTERA-PITROU</v>
          </cell>
          <cell r="G476"/>
          <cell r="H476"/>
        </row>
        <row r="477">
          <cell r="A477">
            <v>20753</v>
          </cell>
          <cell r="B477">
            <v>189</v>
          </cell>
          <cell r="C477" t="str">
            <v>BANKERS AND SHIPPERS INSURANCE COMPANY OF NEW YORK</v>
          </cell>
          <cell r="D477" t="str">
            <v>LA1 / HUH</v>
          </cell>
          <cell r="E477" t="str">
            <v>LA1 / AHN</v>
          </cell>
          <cell r="F477" t="str">
            <v>SF2 / GOTERA-PITROU</v>
          </cell>
          <cell r="G477"/>
          <cell r="H477"/>
        </row>
        <row r="478">
          <cell r="A478">
            <v>30180</v>
          </cell>
          <cell r="B478">
            <v>194</v>
          </cell>
          <cell r="C478" t="str">
            <v>ASSURED GUARANTY CORPORATION</v>
          </cell>
          <cell r="D478" t="str">
            <v>SF1 / WONG</v>
          </cell>
          <cell r="E478" t="str">
            <v>SF1 / WONG</v>
          </cell>
          <cell r="F478" t="str">
            <v>SF2 / GOTERA-PITROU</v>
          </cell>
          <cell r="G478"/>
          <cell r="H478"/>
        </row>
        <row r="479">
          <cell r="A479">
            <v>18287</v>
          </cell>
          <cell r="B479">
            <v>194</v>
          </cell>
          <cell r="C479" t="str">
            <v>ASSURED GUARANTY MUNICIPAL CORP.</v>
          </cell>
          <cell r="D479" t="str">
            <v>SF1 / WONG</v>
          </cell>
          <cell r="E479" t="str">
            <v>SF1 / WONG</v>
          </cell>
          <cell r="F479" t="str">
            <v>SF2 / TRANZOR</v>
          </cell>
          <cell r="G479" t="str">
            <v>RAO / ZHOU</v>
          </cell>
          <cell r="H479" t="str">
            <v>RAO / ZHOU</v>
          </cell>
        </row>
        <row r="480">
          <cell r="A480">
            <v>13559</v>
          </cell>
          <cell r="B480">
            <v>194</v>
          </cell>
          <cell r="C480" t="str">
            <v>MUNICIPAL ASSURANCE CORP. (Merged with and into Assured Guaranty Municipal Corp. effective April 1, 2021)</v>
          </cell>
          <cell r="D480" t="str">
            <v>SF1 / WONG</v>
          </cell>
          <cell r="E480" t="str">
            <v>SF1 / WONG</v>
          </cell>
          <cell r="F480" t="str">
            <v>SF2 / TRANZOR</v>
          </cell>
          <cell r="G480" t="str">
            <v>RAO / ZHOU</v>
          </cell>
          <cell r="H480" t="str">
            <v>RAO / ZHOU</v>
          </cell>
        </row>
        <row r="481">
          <cell r="A481">
            <v>21253</v>
          </cell>
          <cell r="B481">
            <v>200</v>
          </cell>
          <cell r="C481" t="str">
            <v>GARRISON PROPERTY AND CASUALTY INSURANCE COMPANY</v>
          </cell>
          <cell r="D481" t="str">
            <v>SF2 / TRANZOR</v>
          </cell>
          <cell r="E481" t="str">
            <v>SF2 / TRANZOR</v>
          </cell>
          <cell r="F481" t="str">
            <v>SF2 / TRANZOR</v>
          </cell>
          <cell r="G481" t="str">
            <v>RAO / ZHOU</v>
          </cell>
          <cell r="H481" t="str">
            <v>RAO / ZHOU</v>
          </cell>
        </row>
        <row r="482">
          <cell r="A482">
            <v>25941</v>
          </cell>
          <cell r="B482">
            <v>200</v>
          </cell>
          <cell r="C482" t="str">
            <v>UNITED SERVICES AUTOMOBILE ASSOCIATION</v>
          </cell>
          <cell r="D482" t="str">
            <v>SF2 / TRANZOR</v>
          </cell>
          <cell r="E482" t="str">
            <v>SF2 / TRANZOR</v>
          </cell>
          <cell r="F482" t="str">
            <v>SF2 / TRANZOR</v>
          </cell>
          <cell r="G482" t="str">
            <v>RAO / ZHOU</v>
          </cell>
          <cell r="H482" t="str">
            <v>RAO / ZHOU</v>
          </cell>
        </row>
        <row r="483">
          <cell r="A483">
            <v>25968</v>
          </cell>
          <cell r="B483">
            <v>200</v>
          </cell>
          <cell r="C483" t="str">
            <v>USAA CASUALTY INSURANCE COMPANY</v>
          </cell>
          <cell r="D483" t="str">
            <v>SF2 / TRANZOR</v>
          </cell>
          <cell r="E483" t="str">
            <v>SF2 / TRANZOR</v>
          </cell>
          <cell r="F483" t="str">
            <v>SF2 / GOTERA-PITROU</v>
          </cell>
          <cell r="G483"/>
          <cell r="H483"/>
        </row>
        <row r="484">
          <cell r="A484">
            <v>18600</v>
          </cell>
          <cell r="B484">
            <v>200</v>
          </cell>
          <cell r="C484" t="str">
            <v>USAA GENERAL INDEMNITY COMPANY</v>
          </cell>
          <cell r="D484" t="str">
            <v>SF2 / TRANZOR</v>
          </cell>
          <cell r="E484" t="str">
            <v>SF2 / TRANZOR</v>
          </cell>
          <cell r="F484" t="str">
            <v>SF2 / GOTERA-PITROU</v>
          </cell>
          <cell r="G484"/>
          <cell r="H484"/>
        </row>
        <row r="485">
          <cell r="A485">
            <v>25984</v>
          </cell>
          <cell r="B485">
            <v>201</v>
          </cell>
          <cell r="C485" t="str">
            <v>GRAPHIC ARTS MUTUAL INSURANCE COMPANY</v>
          </cell>
          <cell r="D485" t="str">
            <v>SF2 / GOTERA-PITROU</v>
          </cell>
          <cell r="E485" t="str">
            <v>SF2 / GOTERA-PITROU</v>
          </cell>
          <cell r="F485"/>
          <cell r="G485"/>
          <cell r="H485"/>
        </row>
        <row r="486">
          <cell r="A486">
            <v>25976</v>
          </cell>
          <cell r="B486">
            <v>201</v>
          </cell>
          <cell r="C486" t="str">
            <v>UTICA MUTUAL INSURANCE COMPANY</v>
          </cell>
          <cell r="D486" t="str">
            <v>SF2 / GOTERA-PITROU</v>
          </cell>
          <cell r="E486" t="str">
            <v>SF2 / GOTERA-PITROU</v>
          </cell>
          <cell r="F486" t="str">
            <v>SF2 / GOTERA-PITROU</v>
          </cell>
          <cell r="G486"/>
          <cell r="H486"/>
        </row>
        <row r="487">
          <cell r="A487">
            <v>23566</v>
          </cell>
          <cell r="B487">
            <v>204</v>
          </cell>
          <cell r="C487" t="str">
            <v>MILLERS NATIONAL INSURANCE COMPANY</v>
          </cell>
          <cell r="D487" t="str">
            <v>LA2 / GUAN</v>
          </cell>
          <cell r="E487" t="str">
            <v>LA2 / GUAN</v>
          </cell>
          <cell r="F487" t="str">
            <v>SF2 / GOTERA-PITROU</v>
          </cell>
          <cell r="G487"/>
          <cell r="H487"/>
        </row>
        <row r="488">
          <cell r="A488">
            <v>26247</v>
          </cell>
          <cell r="B488">
            <v>212</v>
          </cell>
          <cell r="C488" t="str">
            <v>AMERICAN GUARANTEE AND LIABILITY INSURANCE COMPANY</v>
          </cell>
          <cell r="D488" t="str">
            <v>LA2 / LEE</v>
          </cell>
          <cell r="E488" t="str">
            <v>LA2 / LEE</v>
          </cell>
          <cell r="F488" t="str">
            <v>SF2 / GOTERA-PITROU</v>
          </cell>
          <cell r="G488"/>
          <cell r="H488"/>
        </row>
        <row r="489">
          <cell r="A489">
            <v>40142</v>
          </cell>
          <cell r="B489">
            <v>212</v>
          </cell>
          <cell r="C489" t="str">
            <v>AMERICAN ZURICH INSURANCE COMPANY</v>
          </cell>
          <cell r="D489" t="str">
            <v>LA2 / LEE</v>
          </cell>
          <cell r="E489" t="str">
            <v>LA2 / LEE</v>
          </cell>
          <cell r="F489" t="str">
            <v>SF2 / GOTERA-PITROU</v>
          </cell>
          <cell r="G489"/>
          <cell r="H489"/>
        </row>
        <row r="490">
          <cell r="A490">
            <v>34649</v>
          </cell>
          <cell r="B490">
            <v>212</v>
          </cell>
          <cell r="C490" t="str">
            <v>CENTRE INSURANCE COMPANY</v>
          </cell>
          <cell r="D490" t="str">
            <v>LA2 / LEE</v>
          </cell>
          <cell r="E490" t="str">
            <v>LA2 / LEE</v>
          </cell>
          <cell r="F490" t="str">
            <v>SF2 / GOTERA-PITROU</v>
          </cell>
          <cell r="G490"/>
          <cell r="H490"/>
        </row>
        <row r="491">
          <cell r="A491">
            <v>34347</v>
          </cell>
          <cell r="B491">
            <v>212</v>
          </cell>
          <cell r="C491" t="str">
            <v>COLONIAL AMERICAN CASUALTY AND SURETY COMPANY</v>
          </cell>
          <cell r="D491" t="str">
            <v>LA2 / LEE</v>
          </cell>
          <cell r="E491" t="str">
            <v>LA2 / LEE</v>
          </cell>
          <cell r="F491" t="str">
            <v>SF2 / GOTERA-PITROU</v>
          </cell>
          <cell r="G491"/>
          <cell r="H491"/>
        </row>
        <row r="492">
          <cell r="A492">
            <v>21326</v>
          </cell>
          <cell r="B492">
            <v>212</v>
          </cell>
          <cell r="C492" t="str">
            <v>EMPIRE FIRE AND MARINE INSURANCE COMPANY</v>
          </cell>
          <cell r="D492" t="str">
            <v>LA2 / LEE</v>
          </cell>
          <cell r="E492" t="str">
            <v>LA2 / LEE</v>
          </cell>
          <cell r="F492" t="str">
            <v>SF2 / GOTERA-PITROU</v>
          </cell>
          <cell r="G492"/>
          <cell r="H492"/>
        </row>
        <row r="493">
          <cell r="A493">
            <v>39306</v>
          </cell>
          <cell r="B493">
            <v>212</v>
          </cell>
          <cell r="C493" t="str">
            <v>FIDELITY AND DEPOSIT COMPANY OF MARYLAND</v>
          </cell>
          <cell r="D493" t="str">
            <v>LA2 / LEE</v>
          </cell>
          <cell r="E493" t="str">
            <v>LA2 / LEE</v>
          </cell>
          <cell r="F493" t="str">
            <v>SF2 / GOTERA-PITROU</v>
          </cell>
          <cell r="G493"/>
          <cell r="H493"/>
        </row>
        <row r="494">
          <cell r="A494">
            <v>22527</v>
          </cell>
          <cell r="B494">
            <v>212</v>
          </cell>
          <cell r="C494" t="str">
            <v>HOME INSURANCE COMPANY</v>
          </cell>
          <cell r="D494" t="str">
            <v>LA2 / LEE</v>
          </cell>
          <cell r="E494" t="str">
            <v>LA2 / LEE</v>
          </cell>
          <cell r="F494" t="str">
            <v>SF2 / GOTERA-PITROU</v>
          </cell>
          <cell r="G494"/>
          <cell r="H494"/>
        </row>
        <row r="495">
          <cell r="A495">
            <v>40363</v>
          </cell>
          <cell r="B495">
            <v>212</v>
          </cell>
          <cell r="C495" t="str">
            <v>HOME INSURANCE COMPANY OF WISCONSIN</v>
          </cell>
          <cell r="D495" t="str">
            <v>LA2 / LEE</v>
          </cell>
          <cell r="E495" t="str">
            <v>LA2 / LEE</v>
          </cell>
          <cell r="F495" t="str">
            <v>SF2 / GOTERA-PITROU</v>
          </cell>
          <cell r="G495"/>
          <cell r="H495"/>
        </row>
        <row r="496">
          <cell r="A496">
            <v>34649</v>
          </cell>
          <cell r="B496">
            <v>212</v>
          </cell>
          <cell r="C496" t="str">
            <v>LONDON GUARANTEE AND ACCIDENT COMPANY OF NEW YORK</v>
          </cell>
          <cell r="D496" t="str">
            <v>LA2 / LEE</v>
          </cell>
          <cell r="E496" t="str">
            <v>LA2 / LEE</v>
          </cell>
          <cell r="F496" t="str">
            <v>SF2 / GOTERA-PITROU</v>
          </cell>
          <cell r="G496"/>
          <cell r="H496"/>
        </row>
        <row r="497">
          <cell r="A497">
            <v>19321</v>
          </cell>
          <cell r="B497">
            <v>212</v>
          </cell>
          <cell r="C497" t="str">
            <v>MAINE BONDING AND CASUALTY COMPANY</v>
          </cell>
          <cell r="D497" t="str">
            <v>LA2 / LEE</v>
          </cell>
          <cell r="E497" t="str">
            <v>LA2 / LEE</v>
          </cell>
          <cell r="F497" t="str">
            <v>SF2 / GOTERA-PITROU</v>
          </cell>
          <cell r="G497"/>
          <cell r="H497"/>
        </row>
        <row r="498">
          <cell r="A498">
            <v>28519</v>
          </cell>
          <cell r="B498">
            <v>212</v>
          </cell>
          <cell r="C498" t="str">
            <v>MOUNTBATTEN SURETY COMPANY, INC.</v>
          </cell>
          <cell r="D498" t="str">
            <v>LA2 / LEE</v>
          </cell>
          <cell r="E498" t="str">
            <v>LA2 / LEE</v>
          </cell>
          <cell r="F498" t="str">
            <v>SF2 / GOTERA-PITROU</v>
          </cell>
          <cell r="G498"/>
          <cell r="H498"/>
        </row>
        <row r="499">
          <cell r="A499">
            <v>39039</v>
          </cell>
          <cell r="B499">
            <v>212</v>
          </cell>
          <cell r="C499" t="str">
            <v>RURAL COMMUNITY INSURANCE COMPANY</v>
          </cell>
          <cell r="D499" t="str">
            <v>LA2 / LEE</v>
          </cell>
          <cell r="E499" t="str">
            <v>LA2 / LEE</v>
          </cell>
          <cell r="F499" t="str">
            <v>SF2 / GOTERA-PITROU</v>
          </cell>
          <cell r="G499"/>
          <cell r="H499"/>
        </row>
        <row r="500">
          <cell r="A500">
            <v>41181</v>
          </cell>
          <cell r="B500">
            <v>212</v>
          </cell>
          <cell r="C500" t="str">
            <v>UNIVERSAL UNDERWRITERS INSURANCE COMPANY</v>
          </cell>
          <cell r="D500" t="str">
            <v>LA2 / LEE</v>
          </cell>
          <cell r="E500" t="str">
            <v>LA2 / LEE</v>
          </cell>
          <cell r="F500" t="str">
            <v>SF2 / GOTERA-PITROU</v>
          </cell>
          <cell r="G500"/>
          <cell r="H500"/>
        </row>
        <row r="501">
          <cell r="A501">
            <v>38032</v>
          </cell>
          <cell r="B501">
            <v>212</v>
          </cell>
          <cell r="C501" t="str">
            <v>US INTERNATIONAL REINSURANCE COMPANY</v>
          </cell>
          <cell r="D501" t="str">
            <v>LA2 / LEE</v>
          </cell>
          <cell r="E501" t="str">
            <v>LA2 / LEE</v>
          </cell>
          <cell r="F501" t="str">
            <v>SF2 / GOTERA-PITROU</v>
          </cell>
          <cell r="G501"/>
          <cell r="H501"/>
        </row>
        <row r="502">
          <cell r="A502">
            <v>16535</v>
          </cell>
          <cell r="B502">
            <v>212</v>
          </cell>
          <cell r="C502" t="str">
            <v xml:space="preserve">ZURICH AMERICAN INSURANCE COMPANY </v>
          </cell>
          <cell r="D502" t="str">
            <v>LA2 / LEE</v>
          </cell>
          <cell r="E502" t="str">
            <v>LA2 / LEE</v>
          </cell>
          <cell r="F502" t="str">
            <v>SF2 / GOTERA-PITROU</v>
          </cell>
          <cell r="G502"/>
          <cell r="H502" t="str">
            <v>RAO / NGUYEN</v>
          </cell>
        </row>
        <row r="503">
          <cell r="A503">
            <v>27855</v>
          </cell>
          <cell r="B503">
            <v>212</v>
          </cell>
          <cell r="C503" t="str">
            <v>ZURICH AMERICAN INSURANCE COMPANY OF ILLINOIS</v>
          </cell>
          <cell r="D503" t="str">
            <v>LA2 / LEE</v>
          </cell>
          <cell r="E503" t="str">
            <v>LA2 / LEE</v>
          </cell>
          <cell r="F503" t="str">
            <v>SF2 / GOTERA-PITROU</v>
          </cell>
          <cell r="G503"/>
          <cell r="H503" t="str">
            <v>RAO / NGUYEN</v>
          </cell>
        </row>
        <row r="504">
          <cell r="A504">
            <v>10920</v>
          </cell>
          <cell r="B504">
            <v>215</v>
          </cell>
          <cell r="C504" t="str">
            <v>ALLIANCE UNITED INSURANCE COMPANY</v>
          </cell>
          <cell r="D504" t="str">
            <v>SF1 / HILL</v>
          </cell>
          <cell r="E504" t="str">
            <v>SF1 / HILL</v>
          </cell>
          <cell r="F504" t="str">
            <v>SF2 / GOTERA-PITROU</v>
          </cell>
          <cell r="G504"/>
          <cell r="H504" t="str">
            <v>RAO / NGUYEN</v>
          </cell>
        </row>
        <row r="505">
          <cell r="A505">
            <v>19852</v>
          </cell>
          <cell r="B505">
            <v>215</v>
          </cell>
          <cell r="C505" t="str">
            <v>FINANCIAL INDEMNITY COMPANY</v>
          </cell>
          <cell r="D505" t="str">
            <v>SF1 / HILL</v>
          </cell>
          <cell r="E505" t="str">
            <v>SF1 / HILL</v>
          </cell>
          <cell r="F505" t="str">
            <v>SF2 / GOTERA-PITROU</v>
          </cell>
          <cell r="G505"/>
          <cell r="H505"/>
        </row>
        <row r="506">
          <cell r="A506">
            <v>22268</v>
          </cell>
          <cell r="B506">
            <v>215</v>
          </cell>
          <cell r="C506" t="str">
            <v>INFINITY INSURANCE COMPANY</v>
          </cell>
          <cell r="D506" t="str">
            <v>SF1 / HILL</v>
          </cell>
          <cell r="E506" t="str">
            <v>SF1 / HILL</v>
          </cell>
          <cell r="F506" t="str">
            <v>SF2 / GOTERA-PITROU</v>
          </cell>
          <cell r="G506"/>
          <cell r="H506" t="str">
            <v>RAO / NGUYEN</v>
          </cell>
        </row>
        <row r="507">
          <cell r="A507">
            <v>20260</v>
          </cell>
          <cell r="B507">
            <v>215</v>
          </cell>
          <cell r="C507" t="str">
            <v>INFINITY SELECT INSURANCE COMPANY</v>
          </cell>
          <cell r="D507" t="str">
            <v>SF1 / HILL</v>
          </cell>
          <cell r="E507" t="str">
            <v>SF1 / HILL</v>
          </cell>
          <cell r="F507" t="str">
            <v>SF2 / GOTERA-PITROU</v>
          </cell>
          <cell r="G507"/>
          <cell r="H507"/>
        </row>
        <row r="508">
          <cell r="A508">
            <v>39004</v>
          </cell>
          <cell r="B508">
            <v>215</v>
          </cell>
          <cell r="C508" t="str">
            <v>KEMPER FINANCIAL INDEMNITY CO</v>
          </cell>
          <cell r="D508" t="str">
            <v>SF1 / HILL</v>
          </cell>
          <cell r="E508" t="str">
            <v>SF1 / HILL</v>
          </cell>
          <cell r="F508" t="str">
            <v>SF2 / GOTERA-PITROU</v>
          </cell>
          <cell r="G508"/>
          <cell r="H508"/>
        </row>
        <row r="509">
          <cell r="A509">
            <v>10914</v>
          </cell>
          <cell r="B509">
            <v>215</v>
          </cell>
          <cell r="C509" t="str">
            <v>KEMPER INDEPENDENCE INSURANCE COMPANY</v>
          </cell>
          <cell r="D509" t="str">
            <v>SF1 / HILL</v>
          </cell>
          <cell r="E509" t="str">
            <v>SF1 / HILL</v>
          </cell>
          <cell r="F509" t="str">
            <v>SF2 / GOTERA-PITROU</v>
          </cell>
          <cell r="G509"/>
          <cell r="H509"/>
        </row>
        <row r="510">
          <cell r="A510">
            <v>31968</v>
          </cell>
          <cell r="B510">
            <v>215</v>
          </cell>
          <cell r="C510" t="str">
            <v>MERASTAR INSURANCE COMPANY</v>
          </cell>
          <cell r="D510" t="str">
            <v>SF1 / HILL</v>
          </cell>
          <cell r="E510" t="str">
            <v>SF1 / HILL</v>
          </cell>
          <cell r="F510" t="str">
            <v>SF2 / GOTERA-PITROU</v>
          </cell>
          <cell r="G510"/>
          <cell r="H510"/>
        </row>
        <row r="511">
          <cell r="A511">
            <v>43044</v>
          </cell>
          <cell r="B511">
            <v>215</v>
          </cell>
          <cell r="C511" t="str">
            <v>RESPONSE INSURANCE COMPANY</v>
          </cell>
          <cell r="D511" t="str">
            <v>SF1 / HILL</v>
          </cell>
          <cell r="E511" t="str">
            <v>SF1 / HILL</v>
          </cell>
          <cell r="F511" t="str">
            <v>SF2 / GOTERA-PITROU</v>
          </cell>
          <cell r="G511"/>
          <cell r="H511"/>
        </row>
        <row r="512">
          <cell r="A512">
            <v>26050</v>
          </cell>
          <cell r="B512">
            <v>215</v>
          </cell>
          <cell r="C512" t="str">
            <v>RESPONSE WORLDWIDE INSURANCE COMPANY</v>
          </cell>
          <cell r="D512" t="str">
            <v>SF1 / HILL</v>
          </cell>
          <cell r="E512" t="str">
            <v>SF1 / HILL</v>
          </cell>
          <cell r="F512" t="str">
            <v>SF2 / GOTERA-PITROU</v>
          </cell>
          <cell r="G512"/>
          <cell r="H512"/>
        </row>
        <row r="513">
          <cell r="A513">
            <v>19887</v>
          </cell>
          <cell r="B513">
            <v>215</v>
          </cell>
          <cell r="C513" t="str">
            <v>TRINITY UNIVERSAL INSURANCE COMPANY</v>
          </cell>
          <cell r="D513" t="str">
            <v>SF1 / HILL</v>
          </cell>
          <cell r="E513" t="str">
            <v>SF1 / HILL</v>
          </cell>
          <cell r="F513" t="str">
            <v>SF2 / GOTERA-PITROU</v>
          </cell>
          <cell r="G513"/>
          <cell r="H513"/>
        </row>
        <row r="514">
          <cell r="A514">
            <v>11142</v>
          </cell>
          <cell r="B514">
            <v>215</v>
          </cell>
          <cell r="C514" t="str">
            <v>UNITED CASUALTY INSURANCE COMPANY OF AMERICA</v>
          </cell>
          <cell r="D514" t="str">
            <v>SF1 / HILL</v>
          </cell>
          <cell r="E514" t="str">
            <v>SF1 / HILL</v>
          </cell>
          <cell r="F514" t="str">
            <v>SF2 / GOTERA-PITROU</v>
          </cell>
          <cell r="G514"/>
          <cell r="H514"/>
        </row>
        <row r="515">
          <cell r="A515">
            <v>16063</v>
          </cell>
          <cell r="B515">
            <v>215</v>
          </cell>
          <cell r="C515" t="str">
            <v>UNITRIN AUTO AND HOME INSURANCE COMPANY</v>
          </cell>
          <cell r="D515" t="str">
            <v>SF1 / HILL</v>
          </cell>
          <cell r="E515" t="str">
            <v>SF1 / HILL</v>
          </cell>
          <cell r="F515" t="str">
            <v>SF2 / GOTERA-PITROU</v>
          </cell>
          <cell r="G515"/>
          <cell r="H515"/>
        </row>
        <row r="516">
          <cell r="A516">
            <v>10226</v>
          </cell>
          <cell r="B516">
            <v>215</v>
          </cell>
          <cell r="C516" t="str">
            <v>UNITRIN DIRECT INSURANCE COMPANY</v>
          </cell>
          <cell r="D516" t="str">
            <v>SF1 / HILL</v>
          </cell>
          <cell r="E516" t="str">
            <v>SF1 / HILL</v>
          </cell>
          <cell r="F516" t="str">
            <v>SF2 / GOTERA-PITROU</v>
          </cell>
          <cell r="G516"/>
          <cell r="H516"/>
        </row>
        <row r="517">
          <cell r="A517">
            <v>10915</v>
          </cell>
          <cell r="B517">
            <v>215</v>
          </cell>
          <cell r="C517" t="str">
            <v>UNITRIN DIRECT PROPERTY &amp; CASUALTY COMPANY</v>
          </cell>
          <cell r="D517" t="str">
            <v>SF1 / HILL</v>
          </cell>
          <cell r="E517" t="str">
            <v>SF1 / HILL</v>
          </cell>
          <cell r="F517" t="str">
            <v>SF2 / GOTERA-PITROU</v>
          </cell>
          <cell r="G517"/>
          <cell r="H517"/>
        </row>
        <row r="518">
          <cell r="A518">
            <v>20265</v>
          </cell>
          <cell r="B518">
            <v>217</v>
          </cell>
          <cell r="C518" t="str">
            <v>PROTECTIVE NATIONAL INSURANCE COMPANY OF OMAHA</v>
          </cell>
          <cell r="D518" t="str">
            <v>LA2 / GUAN</v>
          </cell>
          <cell r="E518" t="str">
            <v>LA2 / GUAN</v>
          </cell>
          <cell r="F518" t="str">
            <v>SF2 / GOTERA-PITROU</v>
          </cell>
          <cell r="G518"/>
          <cell r="H518"/>
        </row>
        <row r="519">
          <cell r="A519">
            <v>20427</v>
          </cell>
          <cell r="B519">
            <v>218</v>
          </cell>
          <cell r="C519" t="str">
            <v>AMERICAN CASUALTY COMPANY OF READING, PENNSYLVANIA</v>
          </cell>
          <cell r="D519" t="str">
            <v>SF2 / GOTERA-PITROU</v>
          </cell>
          <cell r="E519" t="str">
            <v>SF2 / GOTERA-PITROU</v>
          </cell>
          <cell r="F519" t="str">
            <v>SF2 / GOTERA-PITROU</v>
          </cell>
          <cell r="G519"/>
          <cell r="H519"/>
        </row>
        <row r="520">
          <cell r="A520">
            <v>20443</v>
          </cell>
          <cell r="B520">
            <v>218</v>
          </cell>
          <cell r="C520" t="str">
            <v>CONTINENTAL CASUALTY COMPANY</v>
          </cell>
          <cell r="D520" t="str">
            <v>SF2 / GOTERA-PITROU</v>
          </cell>
          <cell r="E520" t="str">
            <v>SF2 / GOTERA-PITROU</v>
          </cell>
          <cell r="F520" t="str">
            <v>SF2 / GOTERA-PITROU</v>
          </cell>
          <cell r="G520"/>
          <cell r="H520"/>
        </row>
        <row r="521">
          <cell r="A521">
            <v>35289</v>
          </cell>
          <cell r="B521">
            <v>218</v>
          </cell>
          <cell r="C521" t="str">
            <v>CONTINENTAL INSURANCE COMPANY</v>
          </cell>
          <cell r="D521" t="str">
            <v>SF2 / GOTERA-PITROU</v>
          </cell>
          <cell r="E521" t="str">
            <v>SF2 / GOTERA-PITROU</v>
          </cell>
          <cell r="F521" t="str">
            <v>SF2 / GOTERA-PITROU</v>
          </cell>
          <cell r="G521"/>
          <cell r="H521"/>
        </row>
        <row r="522">
          <cell r="A522">
            <v>10201</v>
          </cell>
          <cell r="B522">
            <v>218</v>
          </cell>
          <cell r="C522" t="str">
            <v>GALWAY INSURANCE COMPANY</v>
          </cell>
          <cell r="D522" t="str">
            <v>SF2 / GOTERA-PITROU</v>
          </cell>
          <cell r="E522" t="str">
            <v>SF2 / GOTERA-PITROU</v>
          </cell>
          <cell r="F522" t="str">
            <v>SF2 / GOTERA-PITROU</v>
          </cell>
          <cell r="G522"/>
          <cell r="H522"/>
        </row>
        <row r="523">
          <cell r="A523">
            <v>20478</v>
          </cell>
          <cell r="B523">
            <v>218</v>
          </cell>
          <cell r="C523" t="str">
            <v>NATIONAL FIRE INSURANCE COMPANY OF HARTFORD</v>
          </cell>
          <cell r="D523" t="str">
            <v>SF2 / GOTERA-PITROU</v>
          </cell>
          <cell r="E523" t="str">
            <v>SF2 / GOTERA-PITROU</v>
          </cell>
          <cell r="F523" t="str">
            <v>SF2 / GOTERA-PITROU</v>
          </cell>
          <cell r="G523"/>
          <cell r="H523"/>
        </row>
        <row r="524">
          <cell r="A524">
            <v>37338</v>
          </cell>
          <cell r="B524">
            <v>218</v>
          </cell>
          <cell r="C524" t="str">
            <v>PACIFIC INSURANCE COMPANY</v>
          </cell>
          <cell r="D524" t="str">
            <v>SF2 / GOTERA-PITROU</v>
          </cell>
          <cell r="E524" t="str">
            <v>SF2 / GOTERA-PITROU</v>
          </cell>
          <cell r="F524" t="str">
            <v xml:space="preserve"> </v>
          </cell>
          <cell r="G524"/>
          <cell r="H524"/>
        </row>
        <row r="525">
          <cell r="A525">
            <v>24047</v>
          </cell>
          <cell r="B525">
            <v>218</v>
          </cell>
          <cell r="C525" t="str">
            <v>SURETY BONDING COMPANY OF AMERICA</v>
          </cell>
          <cell r="D525" t="str">
            <v>SF2 / GOTERA-PITROU</v>
          </cell>
          <cell r="E525" t="str">
            <v>SF2 / GOTERA-PITROU</v>
          </cell>
          <cell r="F525" t="str">
            <v>SF2 / GOTERA-PITROU</v>
          </cell>
          <cell r="G525"/>
          <cell r="H525"/>
        </row>
        <row r="526">
          <cell r="A526">
            <v>20494</v>
          </cell>
          <cell r="B526">
            <v>218</v>
          </cell>
          <cell r="C526" t="str">
            <v>TRANSPORTATION INSURANCE COMPANY</v>
          </cell>
          <cell r="D526" t="str">
            <v>SF2 / GOTERA-PITROU</v>
          </cell>
          <cell r="E526" t="str">
            <v>SF2 / GOTERA-PITROU</v>
          </cell>
          <cell r="F526" t="str">
            <v>SF2 / GOTERA-PITROU</v>
          </cell>
          <cell r="G526"/>
          <cell r="H526"/>
        </row>
        <row r="527">
          <cell r="A527">
            <v>13200</v>
          </cell>
          <cell r="B527">
            <v>218</v>
          </cell>
          <cell r="C527" t="str">
            <v>UNIVERSAL SURETY OF AMERICA</v>
          </cell>
          <cell r="D527" t="str">
            <v>SF2 / GOTERA-PITROU</v>
          </cell>
          <cell r="E527" t="str">
            <v>SF2 / GOTERA-PITROU</v>
          </cell>
          <cell r="F527" t="str">
            <v>SF2 / GOTERA-PITROU</v>
          </cell>
          <cell r="G527"/>
          <cell r="H527"/>
        </row>
        <row r="528">
          <cell r="A528">
            <v>20508</v>
          </cell>
          <cell r="B528">
            <v>218</v>
          </cell>
          <cell r="C528" t="str">
            <v>VALLEY FORGE INSURANCE COMPANY</v>
          </cell>
          <cell r="D528" t="str">
            <v>SF2 / GOTERA-PITROU</v>
          </cell>
          <cell r="E528" t="str">
            <v>SF2 / GOTERA-PITROU</v>
          </cell>
          <cell r="F528" t="str">
            <v>SF2 / GOTERA-PITROU</v>
          </cell>
          <cell r="G528"/>
          <cell r="H528"/>
        </row>
        <row r="529">
          <cell r="A529">
            <v>13188</v>
          </cell>
          <cell r="B529">
            <v>218</v>
          </cell>
          <cell r="C529" t="str">
            <v>WESTERN SURETY COMPANY</v>
          </cell>
          <cell r="D529" t="str">
            <v>SF2 / GOTERA-PITROU</v>
          </cell>
          <cell r="E529" t="str">
            <v>SF2 / GOTERA-PITROU</v>
          </cell>
          <cell r="F529" t="str">
            <v>SF2 / GOTERA-PITROU</v>
          </cell>
          <cell r="G529"/>
          <cell r="H529"/>
        </row>
        <row r="530">
          <cell r="A530">
            <v>20010</v>
          </cell>
          <cell r="B530">
            <v>225</v>
          </cell>
          <cell r="C530" t="str">
            <v>ACCEPTANCE INDEMNITY INSURANCE COMPANY</v>
          </cell>
          <cell r="D530" t="str">
            <v>SF1 / WONG</v>
          </cell>
          <cell r="E530" t="str">
            <v>SF1 / WONG</v>
          </cell>
          <cell r="F530" t="str">
            <v>SF2 / GOTERA-PITROU</v>
          </cell>
          <cell r="G530"/>
          <cell r="H530"/>
        </row>
        <row r="531">
          <cell r="A531">
            <v>13285</v>
          </cell>
          <cell r="B531">
            <v>225</v>
          </cell>
          <cell r="C531" t="str">
            <v>ALLEGHENY CASUALTY COMPANY</v>
          </cell>
          <cell r="D531" t="str">
            <v>SF1 / WONG</v>
          </cell>
          <cell r="E531" t="str">
            <v>SF1 / WONG</v>
          </cell>
          <cell r="F531" t="str">
            <v>SF2 / GOTERA-PITROU</v>
          </cell>
          <cell r="G531"/>
          <cell r="H531"/>
        </row>
        <row r="532">
          <cell r="A532">
            <v>10906</v>
          </cell>
          <cell r="B532">
            <v>225</v>
          </cell>
          <cell r="C532" t="str">
            <v>COMMERCIAL ALLIANCE INSURANCE COMPANY</v>
          </cell>
          <cell r="D532" t="str">
            <v>SF1 / WONG</v>
          </cell>
          <cell r="E532" t="str">
            <v>SF1 / WONG</v>
          </cell>
          <cell r="F532" t="str">
            <v>SF2 / GOTERA-PITROU</v>
          </cell>
          <cell r="G532"/>
          <cell r="H532"/>
        </row>
        <row r="533">
          <cell r="A533">
            <v>26433</v>
          </cell>
          <cell r="B533">
            <v>225</v>
          </cell>
          <cell r="C533" t="str">
            <v>HARCO NATIONAL INSURANCE COMPANY</v>
          </cell>
          <cell r="D533" t="str">
            <v>SF1 / WONG</v>
          </cell>
          <cell r="E533" t="str">
            <v>SF1 / WONG</v>
          </cell>
          <cell r="F533" t="str">
            <v>SF2 / GOTERA-PITROU</v>
          </cell>
          <cell r="G533"/>
          <cell r="H533"/>
        </row>
        <row r="534">
          <cell r="A534">
            <v>11592</v>
          </cell>
          <cell r="B534">
            <v>225</v>
          </cell>
          <cell r="C534" t="str">
            <v>INTERNATIONAL FIDELITY INSURANCE COMPANY</v>
          </cell>
          <cell r="D534" t="str">
            <v>SF1 / WONG</v>
          </cell>
          <cell r="E534" t="str">
            <v>SF1 / WONG</v>
          </cell>
          <cell r="F534" t="str">
            <v>SF2 / GOTERA-PITROU</v>
          </cell>
          <cell r="G534"/>
          <cell r="H534"/>
        </row>
        <row r="535">
          <cell r="A535">
            <v>23248</v>
          </cell>
          <cell r="B535">
            <v>225</v>
          </cell>
          <cell r="C535" t="str">
            <v>NORTH CAROLINA OCCIDENTAL FIRE &amp; CASUALTY COMPANY (see Occidental Fire &amp; Casualty Co. of NC)</v>
          </cell>
          <cell r="D535" t="str">
            <v>SF1 / WONG</v>
          </cell>
          <cell r="E535" t="str">
            <v>SF1 / WONG</v>
          </cell>
          <cell r="F535" t="str">
            <v>SF2 / GOTERA-PITROU</v>
          </cell>
          <cell r="G535"/>
          <cell r="H535"/>
        </row>
        <row r="536">
          <cell r="A536">
            <v>23248</v>
          </cell>
          <cell r="B536">
            <v>225</v>
          </cell>
          <cell r="C536" t="str">
            <v>OCCIDENTAL FIRE &amp; CASUALTY CO OF NC (dba North Carolina Occ'l)</v>
          </cell>
          <cell r="D536" t="str">
            <v>SF1 / WONG</v>
          </cell>
          <cell r="E536" t="str">
            <v>SF1 / WONG</v>
          </cell>
          <cell r="F536" t="str">
            <v>SF2 / GOTERA-PITROU</v>
          </cell>
          <cell r="G536"/>
          <cell r="H536"/>
        </row>
        <row r="537">
          <cell r="A537">
            <v>36560</v>
          </cell>
          <cell r="B537">
            <v>225</v>
          </cell>
          <cell r="C537" t="str">
            <v>SAFEPORT INSURANCE COMPANY</v>
          </cell>
          <cell r="D537" t="str">
            <v>SF1 / WONG</v>
          </cell>
          <cell r="E537" t="str">
            <v>SF1 / WONG</v>
          </cell>
          <cell r="F537" t="str">
            <v>SF2 / GOTERA-PITROU</v>
          </cell>
          <cell r="G537"/>
          <cell r="H537"/>
        </row>
        <row r="538">
          <cell r="A538">
            <v>36560</v>
          </cell>
          <cell r="B538">
            <v>225</v>
          </cell>
          <cell r="C538" t="str">
            <v>SERVICE INSURANCE COMPANY (Name changed to SafePort Insurance Company Issued January 28, 2021)</v>
          </cell>
          <cell r="D538" t="str">
            <v>SF1 / WONG</v>
          </cell>
          <cell r="E538" t="str">
            <v>SF1 / WONG</v>
          </cell>
          <cell r="F538" t="str">
            <v>SF2 / GOTERA-PITROU</v>
          </cell>
          <cell r="G538"/>
          <cell r="H538"/>
        </row>
        <row r="539">
          <cell r="A539">
            <v>28886</v>
          </cell>
          <cell r="B539">
            <v>225</v>
          </cell>
          <cell r="C539" t="str">
            <v xml:space="preserve">TRANSGUARD INSURANCE COMPANY OF AMERICA, INC. </v>
          </cell>
          <cell r="D539" t="str">
            <v>SF1 / WONG</v>
          </cell>
          <cell r="E539" t="str">
            <v>SF1 / WONG</v>
          </cell>
          <cell r="F539"/>
          <cell r="G539"/>
          <cell r="H539"/>
        </row>
        <row r="540">
          <cell r="A540">
            <v>13234</v>
          </cell>
          <cell r="B540">
            <v>225</v>
          </cell>
          <cell r="C540" t="str">
            <v>WILSHIRE INSURANCE COMPANY</v>
          </cell>
          <cell r="D540" t="str">
            <v>SF1 / WONG</v>
          </cell>
          <cell r="E540" t="str">
            <v>SF1 / WONG</v>
          </cell>
          <cell r="F540" t="str">
            <v>SF2 / TRANZOR</v>
          </cell>
          <cell r="G540"/>
          <cell r="H540"/>
        </row>
        <row r="541">
          <cell r="A541">
            <v>24120</v>
          </cell>
          <cell r="B541">
            <v>228</v>
          </cell>
          <cell r="C541" t="str">
            <v>WESTFIELD NATIONAL INSURANCE COMPANY</v>
          </cell>
          <cell r="D541" t="str">
            <v>LA2 / GUAN</v>
          </cell>
          <cell r="E541" t="str">
            <v>LA2 / GUAN</v>
          </cell>
          <cell r="F541" t="str">
            <v>SF2 / TRANZOR</v>
          </cell>
          <cell r="G541"/>
          <cell r="H541"/>
        </row>
        <row r="542">
          <cell r="A542">
            <v>87726</v>
          </cell>
          <cell r="B542">
            <v>241</v>
          </cell>
          <cell r="C542" t="str">
            <v>METLIFE INSURANCE COMPANY USA</v>
          </cell>
          <cell r="D542" t="str">
            <v>SF2 / TRANZOR</v>
          </cell>
          <cell r="E542" t="str">
            <v>SF2 / TRANZOR</v>
          </cell>
          <cell r="F542" t="str">
            <v>SF2 / TRANZOR</v>
          </cell>
          <cell r="G542"/>
          <cell r="H542"/>
        </row>
        <row r="543">
          <cell r="A543">
            <v>39950</v>
          </cell>
          <cell r="B543">
            <v>241</v>
          </cell>
          <cell r="C543" t="str">
            <v>METROPOLITAN GENERAL INSURANCE COMPANY</v>
          </cell>
          <cell r="D543" t="str">
            <v>SF2 / TRANZOR</v>
          </cell>
          <cell r="E543" t="str">
            <v>SF2 / TRANZOR</v>
          </cell>
          <cell r="F543" t="str">
            <v>SF2 / DEMESA</v>
          </cell>
          <cell r="G543"/>
          <cell r="H543"/>
        </row>
        <row r="544">
          <cell r="A544">
            <v>26298</v>
          </cell>
          <cell r="B544">
            <v>241</v>
          </cell>
          <cell r="C544" t="str">
            <v>METROPOLITIAN PROPERTY AND LIABILITY INSURANCE COMPANY</v>
          </cell>
          <cell r="D544" t="str">
            <v>SF2 / TRANZOR</v>
          </cell>
          <cell r="E544" t="str">
            <v>SF2 / TRANZOR</v>
          </cell>
          <cell r="F544" t="str">
            <v>SF2 / DEMESA</v>
          </cell>
          <cell r="G544"/>
          <cell r="H544"/>
        </row>
        <row r="545">
          <cell r="A545">
            <v>28665</v>
          </cell>
          <cell r="B545">
            <v>244</v>
          </cell>
          <cell r="C545" t="str">
            <v>CINCINNATI CASUALTY COMPANY (THE)</v>
          </cell>
          <cell r="D545" t="str">
            <v>LA1 / RAHMAN</v>
          </cell>
          <cell r="E545" t="str">
            <v>LA1 / RAHMAN</v>
          </cell>
          <cell r="F545" t="str">
            <v>SF2 / DEMESA</v>
          </cell>
          <cell r="G545"/>
          <cell r="H545"/>
        </row>
        <row r="546">
          <cell r="A546">
            <v>23280</v>
          </cell>
          <cell r="B546">
            <v>244</v>
          </cell>
          <cell r="C546" t="str">
            <v>CINCINNATI INDEMNITY COMPANY (THE)</v>
          </cell>
          <cell r="D546" t="str">
            <v>LA1 / RAHMAN</v>
          </cell>
          <cell r="E546" t="str">
            <v>LA1 / RAHMAN</v>
          </cell>
          <cell r="F546"/>
          <cell r="G546"/>
          <cell r="H546"/>
        </row>
        <row r="547">
          <cell r="A547">
            <v>10677</v>
          </cell>
          <cell r="B547">
            <v>244</v>
          </cell>
          <cell r="C547" t="str">
            <v>CINCINNATI INSURANCE COMPANY (THE)</v>
          </cell>
          <cell r="D547" t="str">
            <v>LA1 / RAHMAN</v>
          </cell>
          <cell r="E547" t="str">
            <v>LA1 / RAHMAN</v>
          </cell>
          <cell r="F547"/>
          <cell r="G547"/>
          <cell r="H547"/>
        </row>
        <row r="548">
          <cell r="A548">
            <v>14265</v>
          </cell>
          <cell r="B548">
            <v>246</v>
          </cell>
          <cell r="C548" t="str">
            <v>INDIANA LUMBERMENS MUTUAL INSURANCE COMPANY</v>
          </cell>
          <cell r="D548" t="str">
            <v>LA1 / HUH</v>
          </cell>
          <cell r="E548" t="str">
            <v>LA1 / OKPARA</v>
          </cell>
          <cell r="F548"/>
          <cell r="G548"/>
          <cell r="H548"/>
        </row>
        <row r="549">
          <cell r="A549">
            <v>14974</v>
          </cell>
          <cell r="B549">
            <v>246</v>
          </cell>
          <cell r="C549" t="str">
            <v>PENNSYLVANIA LUMBERMENS MUTUAL INSURANCE COMPANY</v>
          </cell>
          <cell r="D549" t="str">
            <v>LA1 / HUH</v>
          </cell>
          <cell r="E549" t="str">
            <v>LA1 / OKPARA</v>
          </cell>
          <cell r="F549"/>
          <cell r="G549"/>
          <cell r="H549"/>
        </row>
        <row r="550">
          <cell r="A550">
            <v>31453</v>
          </cell>
          <cell r="B550">
            <v>248</v>
          </cell>
          <cell r="C550" t="str">
            <v>FINANCIAL PACIFIC INSURANCE COMPANY</v>
          </cell>
          <cell r="D550" t="str">
            <v>LA2 / LEE</v>
          </cell>
          <cell r="E550" t="str">
            <v>LA2 / LEE</v>
          </cell>
          <cell r="F550"/>
          <cell r="G550"/>
          <cell r="H550"/>
        </row>
        <row r="551">
          <cell r="A551">
            <v>19526</v>
          </cell>
          <cell r="B551">
            <v>248</v>
          </cell>
          <cell r="C551" t="str">
            <v>UFG SPECIALTY INSURANCE COMPANY</v>
          </cell>
          <cell r="D551" t="str">
            <v>LA2 / LEE</v>
          </cell>
          <cell r="E551" t="str">
            <v>LA2 / LEE</v>
          </cell>
          <cell r="F551"/>
          <cell r="G551"/>
          <cell r="H551"/>
        </row>
        <row r="552">
          <cell r="A552">
            <v>13021</v>
          </cell>
          <cell r="B552">
            <v>248</v>
          </cell>
          <cell r="C552" t="str">
            <v>UNITED FIRE AND CASUALTY COMPANY</v>
          </cell>
          <cell r="D552" t="str">
            <v>LA2 / LEE</v>
          </cell>
          <cell r="E552" t="str">
            <v>LA2 / LEE</v>
          </cell>
          <cell r="F552"/>
          <cell r="G552"/>
          <cell r="H552"/>
        </row>
        <row r="553">
          <cell r="A553">
            <v>23582</v>
          </cell>
          <cell r="B553">
            <v>253</v>
          </cell>
          <cell r="C553" t="str">
            <v>HARLEYSVILLE INSURANCE COMPANY</v>
          </cell>
          <cell r="D553" t="str">
            <v>LA2 / LEE</v>
          </cell>
          <cell r="E553" t="str">
            <v>LA2 / LEE</v>
          </cell>
          <cell r="F553"/>
          <cell r="G553"/>
          <cell r="H553"/>
        </row>
        <row r="554">
          <cell r="A554">
            <v>16608</v>
          </cell>
          <cell r="B554">
            <v>256</v>
          </cell>
          <cell r="C554" t="str">
            <v>NEW YORK MARINE AND GENERAL INSURANCE COMPANY</v>
          </cell>
          <cell r="D554" t="str">
            <v>LA2 / LEE</v>
          </cell>
          <cell r="E554" t="str">
            <v>LA2 / LEE</v>
          </cell>
          <cell r="F554"/>
          <cell r="G554"/>
          <cell r="H554"/>
        </row>
        <row r="555">
          <cell r="A555">
            <v>12294</v>
          </cell>
          <cell r="B555">
            <v>256</v>
          </cell>
          <cell r="C555" t="str">
            <v>SOUTHWEST MARINE AND GENERAL INSURANCE COMPANY</v>
          </cell>
          <cell r="D555" t="str">
            <v>LA2 / LEE</v>
          </cell>
          <cell r="E555" t="str">
            <v>LA2 / LEE</v>
          </cell>
          <cell r="F555"/>
          <cell r="G555"/>
          <cell r="H555"/>
        </row>
        <row r="556">
          <cell r="A556">
            <v>12521</v>
          </cell>
          <cell r="B556">
            <v>257</v>
          </cell>
          <cell r="C556" t="str">
            <v>SAFEWAY INSURANCE COMPANY</v>
          </cell>
          <cell r="D556" t="str">
            <v>SF1 / HILL</v>
          </cell>
          <cell r="E556" t="str">
            <v>SF1 / HILL</v>
          </cell>
          <cell r="F556"/>
          <cell r="G556"/>
          <cell r="H556"/>
        </row>
        <row r="557">
          <cell r="A557">
            <v>10464</v>
          </cell>
          <cell r="B557">
            <v>262</v>
          </cell>
          <cell r="C557" t="str">
            <v>CANAL INSURANCE COMPANY</v>
          </cell>
          <cell r="D557" t="str">
            <v>LA1 / HUH</v>
          </cell>
          <cell r="E557" t="str">
            <v>LA1 / OKPARA</v>
          </cell>
          <cell r="F557" t="str">
            <v>SF2 / DEMESA</v>
          </cell>
          <cell r="G557"/>
          <cell r="H557"/>
        </row>
        <row r="558">
          <cell r="A558">
            <v>13331</v>
          </cell>
          <cell r="B558">
            <v>291</v>
          </cell>
          <cell r="C558" t="str">
            <v>MOTORISTS COMMERCIAL MUTUAL INSURANCE COMPANY</v>
          </cell>
          <cell r="D558" t="str">
            <v>LA1 / HUH</v>
          </cell>
          <cell r="E558" t="str">
            <v>LA1 / AHN</v>
          </cell>
          <cell r="F558" t="str">
            <v>SF2 / DEMESA</v>
          </cell>
          <cell r="G558"/>
          <cell r="H558"/>
        </row>
        <row r="559">
          <cell r="A559">
            <v>22578</v>
          </cell>
          <cell r="B559">
            <v>300</v>
          </cell>
          <cell r="C559" t="str">
            <v>HORACE MANN INSURANCE COMPANY</v>
          </cell>
          <cell r="D559" t="str">
            <v>SF2 / DEMESA</v>
          </cell>
          <cell r="E559" t="str">
            <v>SF2 / DEMESA</v>
          </cell>
          <cell r="F559" t="str">
            <v>SF2 / DEMESA</v>
          </cell>
          <cell r="G559"/>
          <cell r="H559"/>
        </row>
        <row r="560">
          <cell r="A560">
            <v>22756</v>
          </cell>
          <cell r="B560">
            <v>300</v>
          </cell>
          <cell r="C560" t="str">
            <v>HORACE MANN PROPERTY &amp; CASUALTY INS. CO.</v>
          </cell>
          <cell r="D560" t="str">
            <v>SF2 / DEMESA</v>
          </cell>
          <cell r="E560" t="str">
            <v>SF2 / DEMESA</v>
          </cell>
          <cell r="F560" t="str">
            <v>SF2 / GOTERA-PITROU</v>
          </cell>
          <cell r="G560"/>
          <cell r="H560"/>
        </row>
        <row r="561">
          <cell r="A561">
            <v>22683</v>
          </cell>
          <cell r="B561">
            <v>300</v>
          </cell>
          <cell r="C561" t="str">
            <v>TEACHERS INSURANCE COMPANY</v>
          </cell>
          <cell r="D561" t="str">
            <v>SF2 / DEMESA</v>
          </cell>
          <cell r="E561" t="str">
            <v>SF2 / DEMESA</v>
          </cell>
          <cell r="F561" t="str">
            <v>SF2 / GOTERA-PITROU</v>
          </cell>
          <cell r="G561"/>
          <cell r="H561"/>
        </row>
        <row r="562">
          <cell r="A562">
            <v>15032</v>
          </cell>
          <cell r="B562">
            <v>303</v>
          </cell>
          <cell r="C562" t="str">
            <v>GUIDEONE MUTUAL INSURANCE COMPANY</v>
          </cell>
          <cell r="D562" t="str">
            <v>SAC / MOLINA</v>
          </cell>
          <cell r="E562" t="str">
            <v>SAC / MOLINA</v>
          </cell>
          <cell r="F562" t="str">
            <v>SF2 / GOTERA-PITROU</v>
          </cell>
          <cell r="G562"/>
          <cell r="H562"/>
        </row>
        <row r="563">
          <cell r="A563">
            <v>14559</v>
          </cell>
          <cell r="B563">
            <v>303</v>
          </cell>
          <cell r="C563" t="str">
            <v>GUIDEONE SPECIALTY MUTUAL INSURANCE COMPANY</v>
          </cell>
          <cell r="D563" t="str">
            <v>SAC / MOLINA</v>
          </cell>
          <cell r="E563" t="str">
            <v>SAC / MOLINA</v>
          </cell>
          <cell r="F563"/>
          <cell r="G563"/>
          <cell r="H563"/>
        </row>
        <row r="564">
          <cell r="A564">
            <v>68241</v>
          </cell>
          <cell r="B564">
            <v>304</v>
          </cell>
          <cell r="C564" t="str">
            <v>PRUDENTIAL INSURANCE COMPANY OF AMERICA</v>
          </cell>
          <cell r="D564" t="str">
            <v>LA2 / BAUTISTA</v>
          </cell>
          <cell r="E564" t="str">
            <v>LA2 / BAUTISTA</v>
          </cell>
          <cell r="F564"/>
          <cell r="G564"/>
          <cell r="H564"/>
        </row>
        <row r="565">
          <cell r="A565">
            <v>10847</v>
          </cell>
          <cell r="B565">
            <v>306</v>
          </cell>
          <cell r="C565" t="str">
            <v>CUMIS INSURANCE  SOCIETY INCORPORATED</v>
          </cell>
          <cell r="D565" t="str">
            <v>LA1 / HUH</v>
          </cell>
          <cell r="E565" t="str">
            <v>LA1 / AHN</v>
          </cell>
          <cell r="F565"/>
          <cell r="G565"/>
          <cell r="H565"/>
        </row>
        <row r="566">
          <cell r="A566">
            <v>62626</v>
          </cell>
          <cell r="B566">
            <v>306</v>
          </cell>
          <cell r="C566" t="str">
            <v>CUNA MUTUAL INSURANCE SOCIETY INCORPORATION</v>
          </cell>
          <cell r="D566" t="str">
            <v>LA1 / HUH</v>
          </cell>
          <cell r="E566" t="str">
            <v>LA1 / AHN</v>
          </cell>
          <cell r="F566"/>
          <cell r="G566"/>
          <cell r="H566"/>
        </row>
        <row r="567">
          <cell r="A567">
            <v>14508</v>
          </cell>
          <cell r="B567">
            <v>309</v>
          </cell>
          <cell r="C567" t="str">
            <v>MICHIGAN MILLERS MUTUAL INSURANCE COMPANY</v>
          </cell>
          <cell r="D567" t="str">
            <v>SAC / MOLINA</v>
          </cell>
          <cell r="E567" t="str">
            <v>SAC / MOLINA</v>
          </cell>
          <cell r="F567"/>
          <cell r="G567"/>
          <cell r="H567"/>
        </row>
        <row r="568">
          <cell r="A568"/>
          <cell r="B568"/>
          <cell r="C568"/>
          <cell r="D568"/>
          <cell r="E568"/>
          <cell r="F568"/>
          <cell r="G568"/>
          <cell r="H568"/>
        </row>
        <row r="569">
          <cell r="A569">
            <v>15377</v>
          </cell>
          <cell r="B569">
            <v>309</v>
          </cell>
          <cell r="C569" t="str">
            <v>WESTERN NATIONAL MUTUAL INSURANCE COMPANY</v>
          </cell>
          <cell r="D569" t="str">
            <v>SAC / MOLINA</v>
          </cell>
          <cell r="E569" t="str">
            <v>SAC / MOLINA</v>
          </cell>
          <cell r="F569"/>
          <cell r="G569"/>
          <cell r="H569"/>
        </row>
        <row r="570">
          <cell r="A570">
            <v>33898</v>
          </cell>
          <cell r="B570">
            <v>313</v>
          </cell>
          <cell r="C570" t="str">
            <v>AEGIS SECURITY INSURANCE COMPANY</v>
          </cell>
          <cell r="D570" t="str">
            <v>LA1 / RAHMAN</v>
          </cell>
          <cell r="E570" t="str">
            <v>LA1 / RAHMAN</v>
          </cell>
          <cell r="F570"/>
          <cell r="G570"/>
          <cell r="H570"/>
        </row>
        <row r="571">
          <cell r="A571">
            <v>17965</v>
          </cell>
          <cell r="B571">
            <v>313</v>
          </cell>
          <cell r="C571" t="str">
            <v>AMERICAN SENTINEL INSURANCE COMPANY</v>
          </cell>
          <cell r="D571" t="str">
            <v>LA1 / RAHMAN</v>
          </cell>
          <cell r="E571" t="str">
            <v>LA1 / RAHMAN</v>
          </cell>
          <cell r="F571"/>
          <cell r="G571"/>
          <cell r="H571"/>
        </row>
        <row r="572">
          <cell r="A572">
            <v>10004</v>
          </cell>
          <cell r="B572">
            <v>313</v>
          </cell>
          <cell r="C572" t="str">
            <v>SEAVIEW INSURANCE COMPANY</v>
          </cell>
          <cell r="D572" t="str">
            <v>LA1 / RAHMAN</v>
          </cell>
          <cell r="E572" t="str">
            <v>LA1 / RAHMAN</v>
          </cell>
          <cell r="F572" t="str">
            <v>SF2 / GOTERA-PITROU</v>
          </cell>
          <cell r="G572"/>
          <cell r="H572"/>
        </row>
        <row r="573">
          <cell r="A573">
            <v>12114</v>
          </cell>
          <cell r="B573">
            <v>316</v>
          </cell>
          <cell r="C573" t="str">
            <v>NATIONAL SECURITY FIRE AND CASUALTY COMPANY</v>
          </cell>
          <cell r="D573" t="str">
            <v>LA2 / BAUTISTA</v>
          </cell>
          <cell r="E573" t="str">
            <v>LA2 / BAUTISTA</v>
          </cell>
          <cell r="F573" t="str">
            <v>SF2 / GOTERA-PITROU</v>
          </cell>
          <cell r="G573"/>
          <cell r="H573"/>
        </row>
        <row r="574">
          <cell r="A574">
            <v>10693</v>
          </cell>
          <cell r="B574">
            <v>323</v>
          </cell>
          <cell r="C574" t="str">
            <v>CIVIL SERVICE EMPLOYEES INSURANCE COMPANY</v>
          </cell>
          <cell r="D574" t="str">
            <v>SF2 / GOTERA-PITROU</v>
          </cell>
          <cell r="E574" t="str">
            <v>SF2 / GOTERA-PITROU</v>
          </cell>
          <cell r="F574"/>
          <cell r="G574"/>
          <cell r="H574"/>
        </row>
        <row r="575">
          <cell r="A575">
            <v>18953</v>
          </cell>
          <cell r="B575">
            <v>323</v>
          </cell>
          <cell r="C575" t="str">
            <v>CSE SAFEGUARD INSURANCE COMPANY</v>
          </cell>
          <cell r="D575" t="str">
            <v>SF2 / GOTERA-PITROU</v>
          </cell>
          <cell r="E575" t="str">
            <v>SF2 / GOTERA-PITROU</v>
          </cell>
          <cell r="F575" t="str">
            <v>SF2 / GOTERA-PITROU</v>
          </cell>
          <cell r="G575"/>
          <cell r="H575"/>
        </row>
        <row r="576">
          <cell r="A576">
            <v>10007</v>
          </cell>
          <cell r="B576">
            <v>333</v>
          </cell>
          <cell r="C576" t="str">
            <v>NEVADA GENERAL INSURANCE COMPANY</v>
          </cell>
          <cell r="D576" t="str">
            <v>LA2 / GUAN</v>
          </cell>
          <cell r="E576" t="str">
            <v>LA2 / GUAN</v>
          </cell>
          <cell r="F576" t="str">
            <v>SF2 / GOTERA-PITROU</v>
          </cell>
          <cell r="G576"/>
          <cell r="H576"/>
        </row>
        <row r="577">
          <cell r="A577">
            <v>10669</v>
          </cell>
          <cell r="B577">
            <v>344</v>
          </cell>
          <cell r="C577" t="str">
            <v>CHURCH INSURANCE COMPANY</v>
          </cell>
          <cell r="D577" t="str">
            <v>SF1 / HILL</v>
          </cell>
          <cell r="E577" t="str">
            <v>SF1 / HILL</v>
          </cell>
          <cell r="F577" t="str">
            <v>SF2 / GOTERA-PITROU</v>
          </cell>
          <cell r="G577"/>
          <cell r="H577"/>
        </row>
        <row r="578">
          <cell r="A578">
            <v>21261</v>
          </cell>
          <cell r="B578">
            <v>350</v>
          </cell>
          <cell r="C578" t="str">
            <v>ELECTRIC INSURANCE COMPANY</v>
          </cell>
          <cell r="D578" t="str">
            <v>LA1 / HUH</v>
          </cell>
          <cell r="E578" t="str">
            <v>LA1 / AHN</v>
          </cell>
          <cell r="F578" t="str">
            <v>SF2 / GOTERA-PITROU</v>
          </cell>
          <cell r="G578"/>
          <cell r="H578"/>
        </row>
        <row r="579">
          <cell r="A579">
            <v>16675</v>
          </cell>
          <cell r="B579">
            <v>350</v>
          </cell>
          <cell r="C579" t="str">
            <v>GENERAL ELECTRIC MORTGAGE INS CORP OF NORTH CAROLINA</v>
          </cell>
          <cell r="D579" t="str">
            <v>LA1 / HUH</v>
          </cell>
          <cell r="E579" t="str">
            <v>LA1 / AHN</v>
          </cell>
          <cell r="F579" t="str">
            <v>SF2 / GOTERA-PITROU</v>
          </cell>
          <cell r="G579"/>
          <cell r="H579"/>
        </row>
        <row r="580">
          <cell r="A580">
            <v>38458</v>
          </cell>
          <cell r="B580">
            <v>350</v>
          </cell>
          <cell r="C580" t="str">
            <v>GENERAL ELECTRIC MORTGAGE INSURANCE CORPORATION</v>
          </cell>
          <cell r="D580" t="str">
            <v>LA1 / HUH</v>
          </cell>
          <cell r="E580" t="str">
            <v>LA1 / AHN</v>
          </cell>
          <cell r="F580" t="str">
            <v>SF2 / GOTERA-PITROU</v>
          </cell>
          <cell r="G580"/>
          <cell r="H580"/>
        </row>
        <row r="581">
          <cell r="A581">
            <v>32077</v>
          </cell>
          <cell r="B581">
            <v>350</v>
          </cell>
          <cell r="C581" t="str">
            <v>HERITAGE CASUALTY INSURANCE COMPANY</v>
          </cell>
          <cell r="D581" t="str">
            <v>LA1 / HUH</v>
          </cell>
          <cell r="E581" t="str">
            <v>LA1 / AHN</v>
          </cell>
          <cell r="F581" t="str">
            <v>SF2 / GOTERA-PITROU</v>
          </cell>
          <cell r="G581"/>
          <cell r="H581"/>
        </row>
        <row r="582">
          <cell r="A582">
            <v>41998</v>
          </cell>
          <cell r="B582">
            <v>361</v>
          </cell>
          <cell r="C582" t="str">
            <v>AFH INSURANCE COMPANY (see American Family Home Insurance Company)</v>
          </cell>
          <cell r="D582" t="str">
            <v>LA1 / HUH</v>
          </cell>
          <cell r="E582" t="str">
            <v>LA1 / AHN</v>
          </cell>
          <cell r="F582" t="str">
            <v>SF2 / GOTERA-PITROU</v>
          </cell>
          <cell r="G582"/>
          <cell r="H582"/>
        </row>
        <row r="583">
          <cell r="A583">
            <v>19720</v>
          </cell>
          <cell r="B583">
            <v>361</v>
          </cell>
          <cell r="C583" t="str">
            <v>AMERICAN ALTERNATIVE INSURANCE CORPORATION</v>
          </cell>
          <cell r="D583" t="str">
            <v>LA1 / HUH</v>
          </cell>
          <cell r="E583" t="str">
            <v>LA1 / AHN</v>
          </cell>
          <cell r="F583" t="str">
            <v>SF2 / GOTERA-PITROU</v>
          </cell>
          <cell r="G583"/>
          <cell r="H583"/>
        </row>
        <row r="584">
          <cell r="A584">
            <v>23450</v>
          </cell>
          <cell r="B584">
            <v>361</v>
          </cell>
          <cell r="C584" t="str">
            <v>AMERICAN FAMILY HOME INSURANCE COMPANY (dba AFH Ins Co)</v>
          </cell>
          <cell r="D584" t="str">
            <v>LA1 / HUH</v>
          </cell>
          <cell r="E584" t="str">
            <v>LA1 / AHN</v>
          </cell>
          <cell r="F584" t="str">
            <v>SF2 / GOTERA-PITROU</v>
          </cell>
          <cell r="G584"/>
          <cell r="H584"/>
        </row>
        <row r="585">
          <cell r="A585">
            <v>23469</v>
          </cell>
          <cell r="B585">
            <v>361</v>
          </cell>
          <cell r="C585" t="str">
            <v>AMERICAN MODERN HOME INSURANCE CO (dba American Modern I/C)</v>
          </cell>
          <cell r="D585" t="str">
            <v>LA1 / HUH</v>
          </cell>
          <cell r="E585" t="str">
            <v>LA1 / AHN</v>
          </cell>
          <cell r="F585" t="str">
            <v>SF2 / GOTERA-PITROU</v>
          </cell>
          <cell r="G585"/>
          <cell r="H585"/>
        </row>
        <row r="586">
          <cell r="A586">
            <v>42722</v>
          </cell>
          <cell r="B586">
            <v>361</v>
          </cell>
          <cell r="C586" t="str">
            <v>AMERICAN MODERN PROPERTY AND CASUALTY INSURANCE COMPANY</v>
          </cell>
          <cell r="D586" t="str">
            <v>LA1 / HUH</v>
          </cell>
          <cell r="E586" t="str">
            <v>LA1 / AHN</v>
          </cell>
          <cell r="F586" t="str">
            <v>SF2 / GOTERA-PITROU</v>
          </cell>
          <cell r="G586"/>
          <cell r="H586"/>
        </row>
        <row r="587">
          <cell r="A587">
            <v>41998</v>
          </cell>
          <cell r="B587">
            <v>361</v>
          </cell>
          <cell r="C587" t="str">
            <v>AMERICAN SOUTHERN HOME INSURANCE COMPANY</v>
          </cell>
          <cell r="D587" t="str">
            <v>LA1 / HUH</v>
          </cell>
          <cell r="E587" t="str">
            <v>LA1 / AHN</v>
          </cell>
          <cell r="F587" t="str">
            <v>SF2 / GOTERA-PITROU</v>
          </cell>
          <cell r="G587"/>
          <cell r="H587"/>
        </row>
        <row r="588">
          <cell r="A588">
            <v>29530</v>
          </cell>
          <cell r="B588">
            <v>361</v>
          </cell>
          <cell r="C588" t="str">
            <v>DIGITAL AFFECT INSURANCE COMPANY</v>
          </cell>
          <cell r="D588" t="str">
            <v>LA1 / HUH</v>
          </cell>
          <cell r="E588" t="str">
            <v>LA1 / AHN</v>
          </cell>
          <cell r="F588" t="str">
            <v>SF2 / GOTERA-PITROU</v>
          </cell>
          <cell r="G588"/>
          <cell r="H588"/>
        </row>
        <row r="589">
          <cell r="A589">
            <v>34711</v>
          </cell>
          <cell r="B589">
            <v>361</v>
          </cell>
          <cell r="C589" t="str">
            <v>DIGITAL ADVANTAGE INSURANCE COMPANY</v>
          </cell>
          <cell r="D589" t="str">
            <v>LA1 / HUH</v>
          </cell>
          <cell r="E589" t="str">
            <v>LA1 / AHN</v>
          </cell>
          <cell r="F589" t="str">
            <v>SF2 / GOTERA-PITROU</v>
          </cell>
          <cell r="G589"/>
          <cell r="H589"/>
        </row>
        <row r="590">
          <cell r="A590">
            <v>16561</v>
          </cell>
          <cell r="B590">
            <v>361</v>
          </cell>
          <cell r="C590" t="str">
            <v>DIGITAL EDGE INSURANCE COMPANY</v>
          </cell>
          <cell r="D590" t="str">
            <v>LA1 / HUH</v>
          </cell>
          <cell r="E590" t="str">
            <v>LA1 / AHN</v>
          </cell>
          <cell r="F590" t="str">
            <v>SF2 / GOTERA-PITROU</v>
          </cell>
          <cell r="G590"/>
          <cell r="H590"/>
        </row>
        <row r="591">
          <cell r="A591">
            <v>11452</v>
          </cell>
          <cell r="B591">
            <v>361</v>
          </cell>
          <cell r="C591" t="str">
            <v>HARTFORD STEAM BOILER INSPECTION AND INSURANCE COMPANY</v>
          </cell>
          <cell r="D591" t="str">
            <v>LA1 / HUH</v>
          </cell>
          <cell r="E591" t="str">
            <v>LA1 / AHN</v>
          </cell>
          <cell r="F591" t="str">
            <v>SF2 / GOTERA-PITROU</v>
          </cell>
          <cell r="G591"/>
          <cell r="H591"/>
        </row>
        <row r="592">
          <cell r="A592">
            <v>29890</v>
          </cell>
          <cell r="B592">
            <v>361</v>
          </cell>
          <cell r="C592" t="str">
            <v>HARTFORD STEAM BOILER INSPECTION AND INSURANCE COMPANY OF CONNECTICUT (THE)</v>
          </cell>
          <cell r="D592" t="str">
            <v>LA1 / HUH</v>
          </cell>
          <cell r="E592" t="str">
            <v>LA1 / AHN</v>
          </cell>
          <cell r="F592" t="str">
            <v>SF2 / GOTERA-PITROU</v>
          </cell>
          <cell r="G592"/>
          <cell r="H592"/>
        </row>
        <row r="593">
          <cell r="A593">
            <v>10227</v>
          </cell>
          <cell r="B593">
            <v>361</v>
          </cell>
          <cell r="C593" t="str">
            <v>MUNICH REINSURANCE AMERICA, INC.</v>
          </cell>
          <cell r="D593" t="str">
            <v>LA1 / HUH</v>
          </cell>
          <cell r="E593" t="str">
            <v>LA1 / AHN</v>
          </cell>
          <cell r="F593" t="str">
            <v>SF2 / GOTERA-PITROU</v>
          </cell>
          <cell r="G593"/>
          <cell r="H593"/>
        </row>
        <row r="594">
          <cell r="A594">
            <v>12017</v>
          </cell>
          <cell r="B594">
            <v>361</v>
          </cell>
          <cell r="C594" t="str">
            <v>MUNICH REINSURANCE COMPANY</v>
          </cell>
          <cell r="D594" t="str">
            <v>LA1 / HUH</v>
          </cell>
          <cell r="E594" t="str">
            <v>LA1 / AHN</v>
          </cell>
          <cell r="F594"/>
          <cell r="G594"/>
          <cell r="H594"/>
        </row>
        <row r="595">
          <cell r="A595">
            <v>16285</v>
          </cell>
          <cell r="B595">
            <v>361</v>
          </cell>
          <cell r="C595" t="str">
            <v>NEXT INSURANCE US COMPANY</v>
          </cell>
          <cell r="D595" t="str">
            <v>LA1 / HUH</v>
          </cell>
          <cell r="E595" t="str">
            <v>LA1 / AHN</v>
          </cell>
          <cell r="F595" t="str">
            <v>SF2 / TRANZOR</v>
          </cell>
          <cell r="G595"/>
          <cell r="H595"/>
        </row>
        <row r="596">
          <cell r="A596">
            <v>80578</v>
          </cell>
          <cell r="B596">
            <v>367</v>
          </cell>
          <cell r="C596" t="str">
            <v>PHYSICIANS MUTUAL INSURANCE COMPANY</v>
          </cell>
          <cell r="D596" t="str">
            <v>LA1 / HUH</v>
          </cell>
          <cell r="E596" t="str">
            <v>LA1 / AHN</v>
          </cell>
          <cell r="F596"/>
          <cell r="G596"/>
          <cell r="H596"/>
        </row>
        <row r="597">
          <cell r="A597">
            <v>37621</v>
          </cell>
          <cell r="B597">
            <v>372</v>
          </cell>
          <cell r="C597" t="str">
            <v>TOYOTA MOTOR INSURANCE COMPANY</v>
          </cell>
          <cell r="D597" t="str">
            <v>LA2 / LEE</v>
          </cell>
          <cell r="E597" t="str">
            <v>LA2 / LEE</v>
          </cell>
          <cell r="F597"/>
          <cell r="G597"/>
          <cell r="H597"/>
        </row>
        <row r="598">
          <cell r="A598">
            <v>29017</v>
          </cell>
          <cell r="B598">
            <v>377</v>
          </cell>
          <cell r="C598" t="str">
            <v>PROFESSIONALS ADVOCATE INSURANCE COMPANY</v>
          </cell>
          <cell r="D598" t="str">
            <v>SF2 / TRANZOR</v>
          </cell>
          <cell r="E598" t="str">
            <v>SF2 / TRANZOR</v>
          </cell>
          <cell r="F598"/>
          <cell r="G598"/>
          <cell r="H598"/>
        </row>
        <row r="599">
          <cell r="A599">
            <v>12220</v>
          </cell>
          <cell r="B599">
            <v>407</v>
          </cell>
          <cell r="C599" t="str">
            <v>SUPERIOR INSURANCE COMPANY</v>
          </cell>
          <cell r="D599" t="str">
            <v>LA1 / HUH</v>
          </cell>
          <cell r="E599" t="str">
            <v>LA1 / AHN</v>
          </cell>
          <cell r="F599"/>
          <cell r="G599"/>
          <cell r="H599"/>
        </row>
        <row r="600">
          <cell r="A600">
            <v>39942</v>
          </cell>
          <cell r="B600">
            <v>408</v>
          </cell>
          <cell r="C600" t="str">
            <v>AMERICAN NATIONAL GENERAL INS COMPANY (dba ANPAC General I/C)</v>
          </cell>
          <cell r="D600" t="str">
            <v>SF1 / WONG</v>
          </cell>
          <cell r="E600" t="str">
            <v>SF1 / WONG</v>
          </cell>
          <cell r="F600"/>
          <cell r="G600"/>
          <cell r="H600"/>
        </row>
        <row r="601">
          <cell r="A601">
            <v>28401</v>
          </cell>
          <cell r="B601">
            <v>408</v>
          </cell>
          <cell r="C601" t="str">
            <v>AMERICAN NATIONAL PROPERTY AND CASUALTY COMPANY</v>
          </cell>
          <cell r="D601" t="str">
            <v>SF1 / WONG</v>
          </cell>
          <cell r="E601" t="str">
            <v>SF1 / WONG</v>
          </cell>
          <cell r="F601"/>
          <cell r="G601"/>
          <cell r="H601"/>
        </row>
        <row r="602">
          <cell r="A602">
            <v>39942</v>
          </cell>
          <cell r="B602">
            <v>408</v>
          </cell>
          <cell r="C602" t="str">
            <v>ANPAC GENERAL INSURANCE COMPANY (see American National General Insurance Company)</v>
          </cell>
          <cell r="D602" t="str">
            <v>SF1 / WONG</v>
          </cell>
          <cell r="E602" t="str">
            <v>SF1 / WONG</v>
          </cell>
          <cell r="F602"/>
          <cell r="G602"/>
          <cell r="H602"/>
        </row>
        <row r="603">
          <cell r="A603">
            <v>11048</v>
          </cell>
          <cell r="B603">
            <v>408</v>
          </cell>
          <cell r="C603" t="str">
            <v>PACIFIC PROPERTY AND CASUALTY COMPANY</v>
          </cell>
          <cell r="D603" t="str">
            <v>SF1 / WONG</v>
          </cell>
          <cell r="E603" t="str">
            <v>SF1 / WONG</v>
          </cell>
          <cell r="F603"/>
          <cell r="G603"/>
          <cell r="H603"/>
        </row>
        <row r="604">
          <cell r="A604">
            <v>19941</v>
          </cell>
          <cell r="B604">
            <v>411</v>
          </cell>
          <cell r="C604" t="str">
            <v>AMERICAN COMMERCE INSURANCE COMPANY</v>
          </cell>
          <cell r="D604" t="str">
            <v>LA2 / GUAN</v>
          </cell>
          <cell r="E604" t="str">
            <v>LA2 / GUAN</v>
          </cell>
          <cell r="F604"/>
          <cell r="G604"/>
          <cell r="H604"/>
        </row>
        <row r="605">
          <cell r="A605">
            <v>34754</v>
          </cell>
          <cell r="B605">
            <v>411</v>
          </cell>
          <cell r="C605" t="str">
            <v>COMMERCE INSURANCE COMPANY (THE)</v>
          </cell>
          <cell r="D605" t="str">
            <v>LA2 / GUAN</v>
          </cell>
          <cell r="E605" t="str">
            <v>LA2 / GUAN</v>
          </cell>
          <cell r="F605"/>
          <cell r="G605"/>
          <cell r="H605"/>
        </row>
        <row r="606">
          <cell r="A606">
            <v>13161</v>
          </cell>
          <cell r="B606">
            <v>411</v>
          </cell>
          <cell r="C606" t="str">
            <v>COMMERCE WEST INSURANCE COMPANY</v>
          </cell>
          <cell r="D606" t="str">
            <v>LA2 / GUAN</v>
          </cell>
          <cell r="E606" t="str">
            <v>LA2 / GUAN</v>
          </cell>
          <cell r="F606" t="str">
            <v>SF2 / DEMESA</v>
          </cell>
          <cell r="G606"/>
          <cell r="H606"/>
        </row>
        <row r="607">
          <cell r="A607">
            <v>23876</v>
          </cell>
          <cell r="B607">
            <v>411</v>
          </cell>
          <cell r="C607" t="str">
            <v>MAPFRE INSURANCE COMPANY</v>
          </cell>
          <cell r="D607" t="str">
            <v>LA2 / GUAN</v>
          </cell>
          <cell r="E607" t="str">
            <v>LA2 / GUAN</v>
          </cell>
          <cell r="F607" t="str">
            <v>SF2 / DEMESA</v>
          </cell>
          <cell r="G607"/>
          <cell r="H607"/>
        </row>
        <row r="608">
          <cell r="A608">
            <v>42617</v>
          </cell>
          <cell r="B608">
            <v>413</v>
          </cell>
          <cell r="C608" t="str">
            <v>MAG MUTUAL INSURANCE COMPANY</v>
          </cell>
          <cell r="D608" t="str">
            <v>SF2 / DEMESA</v>
          </cell>
          <cell r="E608" t="str">
            <v>SF2 / DEMESA</v>
          </cell>
          <cell r="F608" t="str">
            <v>SF2 / DEMESA</v>
          </cell>
          <cell r="G608"/>
          <cell r="H608"/>
        </row>
        <row r="609">
          <cell r="A609">
            <v>24350</v>
          </cell>
          <cell r="B609">
            <v>421</v>
          </cell>
          <cell r="C609" t="str">
            <v>TRIAD GUARANTY INSURANCE CORPORATION</v>
          </cell>
          <cell r="D609" t="str">
            <v>LA2 / LEE</v>
          </cell>
          <cell r="E609" t="str">
            <v>LA2 / LEE</v>
          </cell>
          <cell r="F609" t="str">
            <v>SF2 / GOTERA-PITROU</v>
          </cell>
          <cell r="G609"/>
          <cell r="H609"/>
        </row>
        <row r="610">
          <cell r="A610">
            <v>26581</v>
          </cell>
          <cell r="B610">
            <v>450</v>
          </cell>
          <cell r="C610" t="str">
            <v>INDEPENDENCE AMERICAN INSURANCE COMPANY</v>
          </cell>
          <cell r="D610" t="str">
            <v>SF1 / WONG</v>
          </cell>
          <cell r="E610" t="str">
            <v>SF1 / WONG</v>
          </cell>
          <cell r="F610" t="str">
            <v>SF2 / GOTERA-PITROU</v>
          </cell>
          <cell r="G610"/>
          <cell r="H610"/>
        </row>
        <row r="611">
          <cell r="A611">
            <v>19860</v>
          </cell>
          <cell r="B611">
            <v>457</v>
          </cell>
          <cell r="C611" t="str">
            <v>ARGONAUT GREAT CENTRAL INSURANCE COMPANY</v>
          </cell>
          <cell r="D611" t="str">
            <v>LA2 / CHENG</v>
          </cell>
          <cell r="E611" t="str">
            <v>LA2 / CHENG</v>
          </cell>
          <cell r="F611" t="str">
            <v>SF2 / GOTERA-PITROU</v>
          </cell>
          <cell r="G611"/>
          <cell r="H611"/>
        </row>
        <row r="612">
          <cell r="A612">
            <v>19801</v>
          </cell>
          <cell r="B612">
            <v>457</v>
          </cell>
          <cell r="C612" t="str">
            <v>ARGONAUT INSURANCE COMPANY</v>
          </cell>
          <cell r="D612" t="str">
            <v>LA2 / CHENG</v>
          </cell>
          <cell r="E612" t="str">
            <v>LA2 / CHENG</v>
          </cell>
          <cell r="F612" t="str">
            <v>SF2 / GOTERA-PITROU</v>
          </cell>
          <cell r="G612"/>
          <cell r="H612"/>
        </row>
        <row r="613">
          <cell r="A613">
            <v>19828</v>
          </cell>
          <cell r="B613">
            <v>457</v>
          </cell>
          <cell r="C613" t="str">
            <v>ARGONAUT-MIDWEST INSURANCE COMPANY</v>
          </cell>
          <cell r="D613" t="str">
            <v>LA2 / CHENG</v>
          </cell>
          <cell r="E613" t="str">
            <v>LA2 / CHENG</v>
          </cell>
          <cell r="F613" t="str">
            <v>SF2 / GOTERA-PITROU</v>
          </cell>
          <cell r="G613"/>
          <cell r="H613"/>
        </row>
        <row r="614">
          <cell r="A614">
            <v>36927</v>
          </cell>
          <cell r="B614">
            <v>457</v>
          </cell>
          <cell r="C614" t="str">
            <v>COLONY SPECIALTY INSURANCE COMPANY</v>
          </cell>
          <cell r="D614" t="str">
            <v>LA2 / CHENG</v>
          </cell>
          <cell r="E614" t="str">
            <v>LA2 / CHENG</v>
          </cell>
          <cell r="F614" t="str">
            <v>SF2 / GOTERA-PITROU</v>
          </cell>
          <cell r="G614"/>
          <cell r="H614"/>
        </row>
        <row r="615">
          <cell r="A615">
            <v>19860</v>
          </cell>
          <cell r="B615">
            <v>457</v>
          </cell>
          <cell r="C615" t="str">
            <v>GREAT CENTRAL INSURANCE COMPANY</v>
          </cell>
          <cell r="D615" t="str">
            <v>LA2 / CHENG</v>
          </cell>
          <cell r="E615" t="str">
            <v>LA2 / CHENG</v>
          </cell>
          <cell r="F615" t="str">
            <v>SF2 / TRANZOR</v>
          </cell>
          <cell r="G615"/>
          <cell r="H615"/>
        </row>
        <row r="616">
          <cell r="A616">
            <v>35769</v>
          </cell>
          <cell r="B616">
            <v>458</v>
          </cell>
          <cell r="C616" t="str">
            <v>PROTECTIVE PROPERTY &amp; CASUALTY INSURANCE COMPANY</v>
          </cell>
          <cell r="D616" t="str">
            <v>LA1 / HUH</v>
          </cell>
          <cell r="E616" t="str">
            <v>LA1 / AHN</v>
          </cell>
          <cell r="F616"/>
          <cell r="G616"/>
          <cell r="H616"/>
        </row>
        <row r="617">
          <cell r="A617">
            <v>40738</v>
          </cell>
          <cell r="B617">
            <v>464</v>
          </cell>
          <cell r="C617" t="str">
            <v>PHYSICIANS INSURANCE A MUTUAL COMPANY</v>
          </cell>
          <cell r="D617" t="str">
            <v>SF2 / TRANZOR</v>
          </cell>
          <cell r="E617" t="str">
            <v>SF2 / TRANZOR</v>
          </cell>
          <cell r="F617"/>
          <cell r="G617"/>
          <cell r="H617"/>
        </row>
        <row r="618">
          <cell r="A618">
            <v>35165</v>
          </cell>
          <cell r="B618">
            <v>468</v>
          </cell>
          <cell r="C618" t="str">
            <v>CORPA REINSURANCE COMPANY</v>
          </cell>
          <cell r="D618" t="str">
            <v>SF1 / HILL</v>
          </cell>
          <cell r="E618" t="str">
            <v>SF1 / HILL</v>
          </cell>
          <cell r="F618"/>
          <cell r="G618"/>
          <cell r="H618"/>
        </row>
        <row r="619">
          <cell r="A619">
            <v>10952</v>
          </cell>
          <cell r="B619">
            <v>468</v>
          </cell>
          <cell r="C619" t="str">
            <v>TRANSAMERICA CASUALTY INSURANCE COMPANY</v>
          </cell>
          <cell r="D619" t="str">
            <v>SF1 / HILL</v>
          </cell>
          <cell r="E619" t="str">
            <v>SF1 / HILL</v>
          </cell>
          <cell r="F619" t="str">
            <v>SF2 / GOTERA-PITROU</v>
          </cell>
          <cell r="G619" t="str">
            <v>RAO / WEHMUELLER</v>
          </cell>
          <cell r="H619" t="str">
            <v>RAO / WEHMUELLER</v>
          </cell>
        </row>
        <row r="620">
          <cell r="A620">
            <v>31232</v>
          </cell>
          <cell r="B620">
            <v>468</v>
          </cell>
          <cell r="C620" t="str">
            <v>WORK FIRST CASUALTY COMPANY</v>
          </cell>
          <cell r="D620" t="str">
            <v>SF1 / HILL</v>
          </cell>
          <cell r="E620" t="str">
            <v>SF1 / HILL</v>
          </cell>
          <cell r="F620" t="str">
            <v>SF2 / GOTERA-PITROU</v>
          </cell>
          <cell r="G620" t="str">
            <v>RAO / WEHMUELLER</v>
          </cell>
          <cell r="H620"/>
        </row>
        <row r="621">
          <cell r="A621">
            <v>29068</v>
          </cell>
          <cell r="B621">
            <v>473</v>
          </cell>
          <cell r="C621" t="str">
            <v>AMERICAN FAMILY CONNECT PROPERTY AND CASUALTY INSURANCE COMPANY</v>
          </cell>
          <cell r="D621" t="str">
            <v>LA1 / RAHMAN</v>
          </cell>
          <cell r="E621" t="str">
            <v>LA1 / RAHMAN</v>
          </cell>
          <cell r="F621" t="str">
            <v>SF2 / GOTERA-PITROU</v>
          </cell>
          <cell r="G621"/>
          <cell r="H621"/>
        </row>
        <row r="622">
          <cell r="A622">
            <v>11005</v>
          </cell>
          <cell r="B622">
            <v>473</v>
          </cell>
          <cell r="C622" t="str">
            <v>HOMESITE INSURANCE COMPANY OF CALIFORNIA</v>
          </cell>
          <cell r="D622" t="str">
            <v>LA1 / RAHMAN</v>
          </cell>
          <cell r="E622" t="str">
            <v>LA1 / RAHMAN</v>
          </cell>
          <cell r="F622" t="str">
            <v>SF2 / GOTERA-PITROU</v>
          </cell>
          <cell r="G622"/>
          <cell r="H622"/>
        </row>
        <row r="623">
          <cell r="A623">
            <v>13927</v>
          </cell>
          <cell r="B623">
            <v>473</v>
          </cell>
          <cell r="C623" t="str">
            <v>HOMESITE INSURANCE COMPANY OF THE MIDWEST</v>
          </cell>
          <cell r="D623" t="str">
            <v>LA1 / RAHMAN</v>
          </cell>
          <cell r="E623" t="str">
            <v>LA1 / RAHMAN</v>
          </cell>
          <cell r="F623" t="str">
            <v>SF2 / GOTERA-PITROU</v>
          </cell>
          <cell r="G623"/>
          <cell r="H623"/>
        </row>
        <row r="624">
          <cell r="A624">
            <v>27138</v>
          </cell>
          <cell r="B624">
            <v>473</v>
          </cell>
          <cell r="C624" t="str">
            <v>MIDVALE INDEMNITY COMPANY</v>
          </cell>
          <cell r="D624" t="str">
            <v>LA1 / RAHMAN</v>
          </cell>
          <cell r="E624" t="str">
            <v>LA1 / RAHMAN</v>
          </cell>
          <cell r="F624"/>
          <cell r="G624"/>
          <cell r="H624"/>
        </row>
        <row r="625">
          <cell r="A625">
            <v>37648</v>
          </cell>
          <cell r="B625">
            <v>473</v>
          </cell>
          <cell r="C625" t="str">
            <v>PERMANENT GENERAL ASSURANCE CORPORATION</v>
          </cell>
          <cell r="D625" t="str">
            <v>LA1 / RAHMAN</v>
          </cell>
          <cell r="E625" t="str">
            <v>LA1 / RAHMAN</v>
          </cell>
          <cell r="F625"/>
          <cell r="G625"/>
          <cell r="H625"/>
        </row>
        <row r="626">
          <cell r="A626">
            <v>10957</v>
          </cell>
          <cell r="B626">
            <v>479</v>
          </cell>
          <cell r="C626" t="str">
            <v>ALAMANCE INSURANCE COMPANY</v>
          </cell>
          <cell r="D626" t="str">
            <v>SF1 / POON</v>
          </cell>
          <cell r="E626" t="str">
            <v>SF1 / POON</v>
          </cell>
          <cell r="F626" t="str">
            <v>SF2 / TRANZOR</v>
          </cell>
          <cell r="G626"/>
          <cell r="H626"/>
        </row>
        <row r="627">
          <cell r="A627">
            <v>11177</v>
          </cell>
          <cell r="B627">
            <v>479</v>
          </cell>
          <cell r="C627" t="str">
            <v>FIRST FINANCIAL INSURANCE COMPANY</v>
          </cell>
          <cell r="D627" t="str">
            <v>SF1 / POON</v>
          </cell>
          <cell r="E627" t="str">
            <v>SF1 / POON</v>
          </cell>
          <cell r="F627" t="str">
            <v>SF2 / TRANZOR</v>
          </cell>
          <cell r="G627"/>
          <cell r="H627"/>
        </row>
        <row r="628">
          <cell r="A628">
            <v>10472</v>
          </cell>
          <cell r="B628">
            <v>501</v>
          </cell>
          <cell r="C628" t="str">
            <v>CAPITOL INDEMNITY CORPORATION</v>
          </cell>
          <cell r="D628" t="str">
            <v>SF2 / DEMESA</v>
          </cell>
          <cell r="E628" t="str">
            <v>SF2 / DEMESA</v>
          </cell>
          <cell r="F628" t="str">
            <v>SF2 / DEMESA</v>
          </cell>
          <cell r="G628"/>
          <cell r="H628"/>
        </row>
        <row r="629">
          <cell r="A629">
            <v>18619</v>
          </cell>
          <cell r="B629">
            <v>501</v>
          </cell>
          <cell r="C629" t="str">
            <v>PLATTE RIVER INSURANCE COMPANY</v>
          </cell>
          <cell r="D629" t="str">
            <v>SF2 / DEMESA</v>
          </cell>
          <cell r="E629" t="str">
            <v>SF2 / DEMESA</v>
          </cell>
          <cell r="F629" t="str">
            <v>SF2 / DEMESA</v>
          </cell>
          <cell r="G629"/>
          <cell r="H629"/>
        </row>
        <row r="630">
          <cell r="A630">
            <v>22314</v>
          </cell>
          <cell r="B630">
            <v>501</v>
          </cell>
          <cell r="C630" t="str">
            <v>RSUI INDEMNITY COMPANY</v>
          </cell>
          <cell r="D630" t="str">
            <v>SF2 / DEMESA</v>
          </cell>
          <cell r="E630" t="str">
            <v>SF2 / DEMESA</v>
          </cell>
          <cell r="F630" t="str">
            <v>SF2 / GOTERA-PITROU</v>
          </cell>
          <cell r="G630"/>
          <cell r="H630"/>
        </row>
        <row r="631">
          <cell r="A631">
            <v>37109</v>
          </cell>
          <cell r="B631">
            <v>503</v>
          </cell>
          <cell r="C631" t="str">
            <v>LANDCAR CASUALTY COMPANY</v>
          </cell>
          <cell r="D631" t="str">
            <v>SF2 / DEMESA</v>
          </cell>
          <cell r="E631" t="str">
            <v>SF2 / DEMESA</v>
          </cell>
          <cell r="F631"/>
          <cell r="G631"/>
          <cell r="H631"/>
        </row>
        <row r="632">
          <cell r="A632">
            <v>10801</v>
          </cell>
          <cell r="B632">
            <v>508</v>
          </cell>
          <cell r="C632" t="str">
            <v>FORTRESS INSURANCE COMPANY</v>
          </cell>
          <cell r="D632" t="str">
            <v>SF2 / GOTERA-PITROU</v>
          </cell>
          <cell r="E632" t="str">
            <v>SF2 / GOTERA-PITROU</v>
          </cell>
          <cell r="F632"/>
          <cell r="G632"/>
          <cell r="H632"/>
        </row>
        <row r="633">
          <cell r="A633">
            <v>10928</v>
          </cell>
          <cell r="B633">
            <v>515</v>
          </cell>
          <cell r="C633" t="str">
            <v>CAL EAGLE INSURANCE COMPANY (see Eagle Insurance Company)</v>
          </cell>
          <cell r="D633" t="str">
            <v>SF1 / HILL</v>
          </cell>
          <cell r="E633" t="str">
            <v>SF1 / HILL</v>
          </cell>
          <cell r="F633"/>
          <cell r="G633"/>
          <cell r="H633"/>
        </row>
        <row r="634">
          <cell r="A634">
            <v>10928</v>
          </cell>
          <cell r="B634">
            <v>515</v>
          </cell>
          <cell r="C634" t="str">
            <v>EAGLE INSURANCE COMPANY (dba Cal Eagle Insurance Company)</v>
          </cell>
          <cell r="D634" t="str">
            <v>SF1 / HILL</v>
          </cell>
          <cell r="E634" t="str">
            <v>SF1 / HILL</v>
          </cell>
          <cell r="F634"/>
          <cell r="G634"/>
          <cell r="H634"/>
        </row>
        <row r="635">
          <cell r="A635">
            <v>24643</v>
          </cell>
          <cell r="B635">
            <v>515</v>
          </cell>
          <cell r="C635" t="str">
            <v>NEWARK INSURANCE COMPANY</v>
          </cell>
          <cell r="D635" t="str">
            <v>SF1 / HILL</v>
          </cell>
          <cell r="E635" t="str">
            <v>SF1 / HILL</v>
          </cell>
          <cell r="F635"/>
          <cell r="G635"/>
          <cell r="H635"/>
        </row>
        <row r="636">
          <cell r="A636">
            <v>12254</v>
          </cell>
          <cell r="B636">
            <v>517</v>
          </cell>
          <cell r="C636" t="str">
            <v>GLENCAR INSURANCE COMPANY</v>
          </cell>
          <cell r="D636" t="str">
            <v>SF1 / WONG</v>
          </cell>
          <cell r="E636" t="str">
            <v>SF1 / WONG</v>
          </cell>
          <cell r="F636" t="str">
            <v>SF2 / GOTERA-PITROU</v>
          </cell>
          <cell r="G636"/>
          <cell r="H636"/>
        </row>
        <row r="637">
          <cell r="A637">
            <v>41343</v>
          </cell>
          <cell r="B637">
            <v>517</v>
          </cell>
          <cell r="C637" t="str">
            <v>HDI GLOBAL INSURANCE COMPANY</v>
          </cell>
          <cell r="D637" t="str">
            <v>SF1 / WONG</v>
          </cell>
          <cell r="E637" t="str">
            <v>SF1 / WONG</v>
          </cell>
          <cell r="F637"/>
          <cell r="G637"/>
          <cell r="H637"/>
        </row>
        <row r="638">
          <cell r="A638">
            <v>37524</v>
          </cell>
          <cell r="B638">
            <v>519</v>
          </cell>
          <cell r="C638" t="str">
            <v>CHARTER INDEMNITY COMPANY</v>
          </cell>
          <cell r="D638" t="str">
            <v>LA2 / GUAN</v>
          </cell>
          <cell r="E638" t="str">
            <v>LA2 / GUAN</v>
          </cell>
          <cell r="F638"/>
          <cell r="G638"/>
          <cell r="H638"/>
        </row>
        <row r="639">
          <cell r="A639">
            <v>12041</v>
          </cell>
          <cell r="B639">
            <v>528</v>
          </cell>
          <cell r="C639" t="str">
            <v>MBIA INSURANCE CORPORATION</v>
          </cell>
          <cell r="D639" t="str">
            <v>LA3 / ZHAO</v>
          </cell>
          <cell r="E639" t="str">
            <v>LA3 / ZHAO</v>
          </cell>
          <cell r="F639" t="str">
            <v>SF2 / GOTERA-PITROU</v>
          </cell>
          <cell r="G639"/>
          <cell r="H639"/>
        </row>
        <row r="640">
          <cell r="A640">
            <v>23825</v>
          </cell>
          <cell r="B640">
            <v>528</v>
          </cell>
          <cell r="C640" t="str">
            <v>NATIONAL PUBLIC FINANCE GUARANTEE CORPORATION</v>
          </cell>
          <cell r="D640" t="str">
            <v>LA3 / ZHAO</v>
          </cell>
          <cell r="E640" t="str">
            <v>LA3 / ZHAO</v>
          </cell>
          <cell r="F640" t="str">
            <v>SF2 / GOTERA-PITROU</v>
          </cell>
          <cell r="G640"/>
          <cell r="H640"/>
        </row>
        <row r="641">
          <cell r="A641">
            <v>18260</v>
          </cell>
          <cell r="B641">
            <v>553</v>
          </cell>
          <cell r="C641" t="str">
            <v>DESIGN PROFESSIONALS INSURANCE COMPANY</v>
          </cell>
          <cell r="D641" t="str">
            <v>LA1 / HUH</v>
          </cell>
          <cell r="E641" t="str">
            <v>LA1 / OKPARA</v>
          </cell>
          <cell r="F641" t="str">
            <v>SF2 / GOTERA-PITROU</v>
          </cell>
          <cell r="G641"/>
          <cell r="H641"/>
        </row>
        <row r="642">
          <cell r="A642">
            <v>32794</v>
          </cell>
          <cell r="B642">
            <v>553</v>
          </cell>
          <cell r="C642" t="str">
            <v>EMPLOYEE BENEFITS INSURANCE COMPANY</v>
          </cell>
          <cell r="D642" t="str">
            <v>LA1 / HUH</v>
          </cell>
          <cell r="E642" t="str">
            <v>LA1 / OKPARA</v>
          </cell>
          <cell r="F642" t="str">
            <v>SF2 / GOTERA-PITROU</v>
          </cell>
          <cell r="G642"/>
          <cell r="H642"/>
        </row>
        <row r="643">
          <cell r="A643">
            <v>40541</v>
          </cell>
          <cell r="B643">
            <v>553</v>
          </cell>
          <cell r="C643" t="str">
            <v>GROCERS INS CO (was United Employers I/C)</v>
          </cell>
          <cell r="D643" t="str">
            <v>LA1 / HUH</v>
          </cell>
          <cell r="E643" t="str">
            <v>LA1 / OKPARA</v>
          </cell>
          <cell r="F643"/>
          <cell r="G643"/>
          <cell r="H643"/>
        </row>
        <row r="644">
          <cell r="A644">
            <v>20354</v>
          </cell>
          <cell r="B644">
            <v>553</v>
          </cell>
          <cell r="C644" t="str">
            <v>SEA INSURANCE COMPANY OF AMERICA</v>
          </cell>
          <cell r="D644" t="str">
            <v>LA1 / HUH</v>
          </cell>
          <cell r="E644" t="str">
            <v>LA1 / OKPARA</v>
          </cell>
          <cell r="F644"/>
          <cell r="G644"/>
          <cell r="H644"/>
        </row>
        <row r="645">
          <cell r="A645">
            <v>13897</v>
          </cell>
          <cell r="B645">
            <v>569</v>
          </cell>
          <cell r="C645" t="str">
            <v>FARMERS MUTUAL HAIL INSURANCE COMPANY OF INDIANA</v>
          </cell>
          <cell r="D645" t="str">
            <v>LA1 / HUH</v>
          </cell>
          <cell r="E645" t="str">
            <v>LA1 / AHN</v>
          </cell>
          <cell r="F645"/>
          <cell r="G645"/>
          <cell r="H645"/>
        </row>
        <row r="646">
          <cell r="A646">
            <v>36781</v>
          </cell>
          <cell r="B646">
            <v>569</v>
          </cell>
          <cell r="C646" t="str">
            <v>FMH Ag RISK INSURANCE COMPANY</v>
          </cell>
          <cell r="D646" t="str">
            <v>LA1 / HUH</v>
          </cell>
          <cell r="E646" t="str">
            <v>LA1 / AHN</v>
          </cell>
          <cell r="F646"/>
          <cell r="G646"/>
          <cell r="H646"/>
        </row>
        <row r="647">
          <cell r="A647">
            <v>10166</v>
          </cell>
          <cell r="B647">
            <v>572</v>
          </cell>
          <cell r="C647" t="str">
            <v>ACCIDENT FUND INSURANCE COMPANY OF AMERICA</v>
          </cell>
          <cell r="D647" t="str">
            <v>LA1 / HUH</v>
          </cell>
          <cell r="E647" t="str">
            <v>LA1 / AHN</v>
          </cell>
          <cell r="F647"/>
          <cell r="G647"/>
          <cell r="H647"/>
        </row>
        <row r="648">
          <cell r="A648">
            <v>29157</v>
          </cell>
          <cell r="B648">
            <v>572</v>
          </cell>
          <cell r="C648" t="str">
            <v>UNITED WISCONSIN INSURANCE COMPANY</v>
          </cell>
          <cell r="D648" t="str">
            <v>LA1 / HUH</v>
          </cell>
          <cell r="E648" t="str">
            <v>LA1 / AHN</v>
          </cell>
          <cell r="F648"/>
          <cell r="G648"/>
          <cell r="H648"/>
        </row>
        <row r="649">
          <cell r="A649">
            <v>31089</v>
          </cell>
          <cell r="B649">
            <v>574</v>
          </cell>
          <cell r="C649" t="str">
            <v>REPWEST INSURANCE COMPANY</v>
          </cell>
          <cell r="D649" t="str">
            <v>LA1 / HUH</v>
          </cell>
          <cell r="E649" t="str">
            <v>LA1 / OKPARA</v>
          </cell>
          <cell r="F649"/>
          <cell r="G649"/>
          <cell r="H649"/>
        </row>
        <row r="650">
          <cell r="A650">
            <v>32115</v>
          </cell>
          <cell r="B650">
            <v>575</v>
          </cell>
          <cell r="C650" t="str">
            <v>PAULA INSURANCE COMPANY</v>
          </cell>
          <cell r="D650" t="str">
            <v>LA2 / LEE</v>
          </cell>
          <cell r="E650" t="str">
            <v>LA2 / LEE</v>
          </cell>
          <cell r="F650"/>
          <cell r="G650"/>
          <cell r="H650"/>
        </row>
        <row r="651">
          <cell r="A651">
            <v>10297</v>
          </cell>
          <cell r="B651">
            <v>602</v>
          </cell>
          <cell r="C651" t="str">
            <v>CREDIT GENERAL INDEMNITY</v>
          </cell>
          <cell r="D651" t="str">
            <v>LA1 / HUH</v>
          </cell>
          <cell r="E651" t="str">
            <v>LA1 / OKPARA</v>
          </cell>
          <cell r="F651"/>
          <cell r="G651"/>
          <cell r="H651"/>
        </row>
        <row r="652">
          <cell r="A652">
            <v>12912</v>
          </cell>
          <cell r="B652">
            <v>602</v>
          </cell>
          <cell r="C652" t="str">
            <v>CREDIT GENERAL INSURANCE COMPANY</v>
          </cell>
          <cell r="D652" t="str">
            <v>LA1 / HUH</v>
          </cell>
          <cell r="E652" t="str">
            <v>LA1 / OKPARA</v>
          </cell>
          <cell r="F652" t="str">
            <v>SF2 / GOTERA-PITROU</v>
          </cell>
          <cell r="G652"/>
          <cell r="H652"/>
        </row>
        <row r="653">
          <cell r="A653">
            <v>21830</v>
          </cell>
          <cell r="B653">
            <v>624</v>
          </cell>
          <cell r="C653" t="str">
            <v>NEW ENGLAND INSURANCE COMPANY</v>
          </cell>
          <cell r="D653" t="str">
            <v>SF1 / POON</v>
          </cell>
          <cell r="E653" t="str">
            <v>SF1 / POON</v>
          </cell>
          <cell r="F653" t="str">
            <v>SF2 / GOTERA-PITROU</v>
          </cell>
          <cell r="G653"/>
          <cell r="H653"/>
        </row>
        <row r="654">
          <cell r="A654">
            <v>22667</v>
          </cell>
          <cell r="B654">
            <v>626</v>
          </cell>
          <cell r="C654" t="str">
            <v>ACE AMERICAN INSURANCE COMPANY</v>
          </cell>
          <cell r="D654" t="str">
            <v>SF1 / POON</v>
          </cell>
          <cell r="E654" t="str">
            <v>SF1 / POON</v>
          </cell>
          <cell r="F654" t="str">
            <v>SF2 / GOTERA-PITROU</v>
          </cell>
          <cell r="G654"/>
          <cell r="H654"/>
        </row>
        <row r="655">
          <cell r="A655">
            <v>20702</v>
          </cell>
          <cell r="B655">
            <v>626</v>
          </cell>
          <cell r="C655" t="str">
            <v>ACE FIRE UNDERWRITERS INSURANCE COMPANY</v>
          </cell>
          <cell r="D655" t="str">
            <v>SF1 / POON</v>
          </cell>
          <cell r="E655" t="str">
            <v>SF1 / POON</v>
          </cell>
          <cell r="F655" t="str">
            <v>SF2 / GOTERA-PITROU</v>
          </cell>
          <cell r="G655"/>
          <cell r="H655"/>
        </row>
        <row r="656">
          <cell r="A656">
            <v>20699</v>
          </cell>
          <cell r="B656">
            <v>626</v>
          </cell>
          <cell r="C656" t="str">
            <v>ACE PROPERTY AND CASUALTY INSURANCE COMPANY</v>
          </cell>
          <cell r="D656" t="str">
            <v>SF1 / POON</v>
          </cell>
          <cell r="E656" t="str">
            <v>SF1 / POON</v>
          </cell>
          <cell r="F656" t="str">
            <v>SF2 / GOTERA-PITROU</v>
          </cell>
          <cell r="G656"/>
          <cell r="H656"/>
        </row>
        <row r="657">
          <cell r="A657">
            <v>42757</v>
          </cell>
          <cell r="B657">
            <v>626</v>
          </cell>
          <cell r="C657" t="str">
            <v>AGRI GENERAL INSURANCE COMPANY</v>
          </cell>
          <cell r="D657" t="str">
            <v>SF1 / POON</v>
          </cell>
          <cell r="E657" t="str">
            <v>SF1 / POON</v>
          </cell>
          <cell r="F657" t="str">
            <v>SF2 / GOTERA-PITROU</v>
          </cell>
          <cell r="G657" t="str">
            <v>RAO / UPPAL</v>
          </cell>
          <cell r="H657"/>
        </row>
        <row r="658">
          <cell r="A658">
            <v>36528</v>
          </cell>
          <cell r="B658">
            <v>626</v>
          </cell>
          <cell r="C658" t="str">
            <v>ALLIED INSURANCE COMPANY</v>
          </cell>
          <cell r="D658" t="str">
            <v>SF1 / POON</v>
          </cell>
          <cell r="E658" t="str">
            <v>SF1 / POON</v>
          </cell>
          <cell r="F658" t="str">
            <v>SF2 / GOTERA-PITROU</v>
          </cell>
          <cell r="G658"/>
          <cell r="H658"/>
        </row>
        <row r="659">
          <cell r="A659">
            <v>18279</v>
          </cell>
          <cell r="B659">
            <v>626</v>
          </cell>
          <cell r="C659" t="str">
            <v>BANKERS STANDARD INSURANCE COMPANY</v>
          </cell>
          <cell r="D659" t="str">
            <v>SF1 / POON</v>
          </cell>
          <cell r="E659" t="str">
            <v>SF1 / POON</v>
          </cell>
          <cell r="F659" t="str">
            <v>SF2 / GOTERA-PITROU</v>
          </cell>
          <cell r="G659"/>
          <cell r="H659"/>
        </row>
        <row r="660">
          <cell r="A660">
            <v>12777</v>
          </cell>
          <cell r="B660">
            <v>626</v>
          </cell>
          <cell r="C660" t="str">
            <v>CHUBB INDEMNITY INS CO (was Sun I/C of New York)</v>
          </cell>
          <cell r="D660" t="str">
            <v>SF1 / POON</v>
          </cell>
          <cell r="E660" t="str">
            <v>SF1 / POON</v>
          </cell>
          <cell r="F660" t="str">
            <v>SF2 / GOTERA-PITROU</v>
          </cell>
          <cell r="G660"/>
          <cell r="H660"/>
        </row>
        <row r="661">
          <cell r="A661">
            <v>10052</v>
          </cell>
          <cell r="B661">
            <v>626</v>
          </cell>
          <cell r="C661" t="str">
            <v>CHUBB NATIONAL INSURANCE COMPANY</v>
          </cell>
          <cell r="D661" t="str">
            <v>SF1 / POON</v>
          </cell>
          <cell r="E661" t="str">
            <v>SF1 / POON</v>
          </cell>
          <cell r="F661" t="str">
            <v>SF2 / GOTERA-PITROU</v>
          </cell>
          <cell r="G661"/>
          <cell r="H661"/>
        </row>
        <row r="662">
          <cell r="A662">
            <v>22675</v>
          </cell>
          <cell r="B662">
            <v>626</v>
          </cell>
          <cell r="C662" t="str">
            <v>CIGNA SPECIALTY INSURANCE COMPANY</v>
          </cell>
          <cell r="D662" t="str">
            <v>SF1 / POON</v>
          </cell>
          <cell r="E662" t="str">
            <v>SF1 / POON</v>
          </cell>
          <cell r="F662" t="str">
            <v>SF2 / GOTERA-PITROU</v>
          </cell>
          <cell r="G662" t="str">
            <v>RAO / UPPAL</v>
          </cell>
          <cell r="H662"/>
        </row>
        <row r="663">
          <cell r="A663">
            <v>35181</v>
          </cell>
          <cell r="B663">
            <v>626</v>
          </cell>
          <cell r="C663" t="str">
            <v>EXECUTIVE RISK INDEMNITY INC.</v>
          </cell>
          <cell r="D663" t="str">
            <v>SF1 / POON</v>
          </cell>
          <cell r="E663" t="str">
            <v>SF1 / POON</v>
          </cell>
          <cell r="F663" t="str">
            <v>SF2 / GOTERA-PITROU</v>
          </cell>
          <cell r="G663"/>
          <cell r="H663"/>
        </row>
        <row r="664">
          <cell r="A664">
            <v>20281</v>
          </cell>
          <cell r="B664">
            <v>626</v>
          </cell>
          <cell r="C664" t="str">
            <v>FEDERAL INSURANCE COMPANY</v>
          </cell>
          <cell r="D664" t="str">
            <v>SF1 / POON</v>
          </cell>
          <cell r="E664" t="str">
            <v>SF1 / POON</v>
          </cell>
          <cell r="F664" t="str">
            <v>SF2 / GOTERA-PITROU</v>
          </cell>
          <cell r="G664"/>
          <cell r="H664"/>
        </row>
        <row r="665">
          <cell r="A665">
            <v>20303</v>
          </cell>
          <cell r="B665">
            <v>626</v>
          </cell>
          <cell r="C665" t="str">
            <v>GREAT NORTHERN INSURANCE COMPANY</v>
          </cell>
          <cell r="D665" t="str">
            <v>SF1 / POON</v>
          </cell>
          <cell r="E665" t="str">
            <v>SF1 / POON</v>
          </cell>
          <cell r="F665" t="str">
            <v>SF2 / GOTERA-PITROU</v>
          </cell>
          <cell r="G665"/>
          <cell r="H665"/>
        </row>
        <row r="666">
          <cell r="A666">
            <v>43575</v>
          </cell>
          <cell r="B666">
            <v>626</v>
          </cell>
          <cell r="C666" t="str">
            <v>INDEMNITY INSURANCE COMPANY OF NORTH AMERICA</v>
          </cell>
          <cell r="D666" t="str">
            <v>SF1 / POON</v>
          </cell>
          <cell r="E666" t="str">
            <v>SF1 / POON</v>
          </cell>
          <cell r="F666" t="str">
            <v>SF2 / GOTERA-PITROU</v>
          </cell>
          <cell r="G666"/>
          <cell r="H666"/>
        </row>
        <row r="667">
          <cell r="A667">
            <v>22713</v>
          </cell>
          <cell r="B667">
            <v>626</v>
          </cell>
          <cell r="C667" t="str">
            <v>INSURANCE COMPANY OF NORTH AMERICA</v>
          </cell>
          <cell r="D667" t="str">
            <v>SF1 / POON</v>
          </cell>
          <cell r="E667" t="str">
            <v>SF1 / POON</v>
          </cell>
          <cell r="F667" t="str">
            <v>SF2 / GOTERA-PITROU</v>
          </cell>
          <cell r="G667" t="str">
            <v>RAO / UPPAL</v>
          </cell>
          <cell r="H667"/>
        </row>
        <row r="668">
          <cell r="A668">
            <v>22748</v>
          </cell>
          <cell r="B668">
            <v>626</v>
          </cell>
          <cell r="C668" t="str">
            <v>PACIFIC EMPLOYERS INSURANCE COMPANY</v>
          </cell>
          <cell r="D668" t="str">
            <v>SF1 / POON</v>
          </cell>
          <cell r="E668" t="str">
            <v>SF1 / POON</v>
          </cell>
          <cell r="F668" t="str">
            <v>SF2 / GOTERA-PITROU</v>
          </cell>
          <cell r="G668" t="str">
            <v>RAO / UPPAL</v>
          </cell>
          <cell r="H668"/>
        </row>
        <row r="669">
          <cell r="A669">
            <v>20346</v>
          </cell>
          <cell r="B669">
            <v>626</v>
          </cell>
          <cell r="C669" t="str">
            <v>PACIFIC INDEMNITY COMPANY</v>
          </cell>
          <cell r="D669" t="str">
            <v>SF1 / POON</v>
          </cell>
          <cell r="E669" t="str">
            <v>SF1 / POON</v>
          </cell>
          <cell r="F669" t="str">
            <v>SF2 / GOTERA-PITROU</v>
          </cell>
          <cell r="G669"/>
          <cell r="H669"/>
        </row>
        <row r="670">
          <cell r="A670">
            <v>20397</v>
          </cell>
          <cell r="B670">
            <v>626</v>
          </cell>
          <cell r="C670" t="str">
            <v>VIGILANT INSURANCE COMPANY</v>
          </cell>
          <cell r="D670" t="str">
            <v>SF1 / POON</v>
          </cell>
          <cell r="E670" t="str">
            <v>SF1 / POON</v>
          </cell>
          <cell r="F670"/>
          <cell r="G670"/>
          <cell r="H670"/>
        </row>
        <row r="671">
          <cell r="A671">
            <v>10030</v>
          </cell>
          <cell r="B671">
            <v>626</v>
          </cell>
          <cell r="C671" t="str">
            <v>WESTCHESTER FIRE INSURANCE COMPANY</v>
          </cell>
          <cell r="D671" t="str">
            <v>SF1 / POON</v>
          </cell>
          <cell r="E671" t="str">
            <v>SF1 / POON</v>
          </cell>
          <cell r="F671" t="str">
            <v>SF2 / GOTERA-PITROU</v>
          </cell>
          <cell r="G671"/>
          <cell r="H671"/>
        </row>
        <row r="672">
          <cell r="A672">
            <v>10817</v>
          </cell>
          <cell r="B672">
            <v>629</v>
          </cell>
          <cell r="C672" t="str">
            <v>PLATEAU CASUALTY INSURANCE COMPANY</v>
          </cell>
          <cell r="D672" t="str">
            <v>LA2 / CHENG</v>
          </cell>
          <cell r="E672" t="str">
            <v>LA2 / CHENG</v>
          </cell>
          <cell r="F672"/>
          <cell r="G672"/>
          <cell r="H672"/>
        </row>
        <row r="673">
          <cell r="A673">
            <v>14907</v>
          </cell>
          <cell r="B673">
            <v>645</v>
          </cell>
          <cell r="C673" t="str">
            <v>OREGON MUTUAL INSURANCE COMPANY</v>
          </cell>
          <cell r="D673" t="str">
            <v>SF2 / GOTERA-PITROU</v>
          </cell>
          <cell r="E673" t="str">
            <v>SF2 / GOTERA-PITROU</v>
          </cell>
          <cell r="F673"/>
          <cell r="G673" t="str">
            <v>RAO / NGUYEN</v>
          </cell>
          <cell r="H673" t="str">
            <v>RAO / NGUYEN</v>
          </cell>
        </row>
        <row r="674">
          <cell r="A674">
            <v>16810</v>
          </cell>
          <cell r="B674">
            <v>660</v>
          </cell>
          <cell r="C674" t="str">
            <v>AMERICAN MERCURY INSURANCE COMPANY</v>
          </cell>
          <cell r="D674" t="str">
            <v>LA1 / HUH</v>
          </cell>
          <cell r="E674" t="str">
            <v>LA1 / OKPARA</v>
          </cell>
          <cell r="F674"/>
          <cell r="G674"/>
          <cell r="H674"/>
        </row>
        <row r="675">
          <cell r="A675">
            <v>38342</v>
          </cell>
          <cell r="B675">
            <v>660</v>
          </cell>
          <cell r="C675" t="str">
            <v>CALIFORNIA AUTOMOBILE INSURANCE COMPANY</v>
          </cell>
          <cell r="D675" t="str">
            <v>LA1 / HUH</v>
          </cell>
          <cell r="E675" t="str">
            <v>LA1 / OKPARA</v>
          </cell>
          <cell r="F675"/>
          <cell r="G675"/>
          <cell r="H675"/>
        </row>
        <row r="676">
          <cell r="A676">
            <v>31046</v>
          </cell>
          <cell r="B676">
            <v>660</v>
          </cell>
          <cell r="C676" t="str">
            <v>CALIFORNIA GENERAL UNDERWRITERS INSURANCE COMPANY</v>
          </cell>
          <cell r="D676" t="str">
            <v>LA1 / HUH</v>
          </cell>
          <cell r="E676" t="str">
            <v>LA1 / OKPARA</v>
          </cell>
          <cell r="F676"/>
          <cell r="G676"/>
          <cell r="H676" t="str">
            <v>RAO / NGUYEN</v>
          </cell>
        </row>
        <row r="677">
          <cell r="A677">
            <v>11908</v>
          </cell>
          <cell r="B677">
            <v>660</v>
          </cell>
          <cell r="C677" t="str">
            <v>MERCURY CASUALTY COMPANY</v>
          </cell>
          <cell r="D677" t="str">
            <v>LA1 / HUH</v>
          </cell>
          <cell r="E677" t="str">
            <v>LA1 / OKPARA</v>
          </cell>
          <cell r="F677"/>
          <cell r="G677"/>
          <cell r="H677" t="str">
            <v>RAO / NGUYEN</v>
          </cell>
        </row>
        <row r="678">
          <cell r="A678">
            <v>27553</v>
          </cell>
          <cell r="B678">
            <v>660</v>
          </cell>
          <cell r="C678" t="str">
            <v>MERCURY INSURANCE COMPANY</v>
          </cell>
          <cell r="D678" t="str">
            <v>LA1 / HUH</v>
          </cell>
          <cell r="E678" t="str">
            <v>LA1 / OKPARA</v>
          </cell>
          <cell r="F678"/>
          <cell r="G678"/>
          <cell r="H678"/>
        </row>
        <row r="679">
          <cell r="A679">
            <v>13250</v>
          </cell>
          <cell r="B679">
            <v>660</v>
          </cell>
          <cell r="C679" t="str">
            <v>ORION INDEMNITY COMPANY</v>
          </cell>
          <cell r="D679" t="str">
            <v>LA1 / HUH</v>
          </cell>
          <cell r="E679" t="str">
            <v>LA1 / OKPARA</v>
          </cell>
          <cell r="F679" t="str">
            <v>SF2 / DEMESA</v>
          </cell>
          <cell r="G679"/>
          <cell r="H679"/>
        </row>
        <row r="680">
          <cell r="A680">
            <v>13250</v>
          </cell>
          <cell r="B680">
            <v>660</v>
          </cell>
          <cell r="C680" t="str">
            <v>WORKMENS AUTO INSURANCE COMPANY (name changed to ORION INDEMNITY COMPANY effective August 19, 2021)</v>
          </cell>
          <cell r="D680" t="str">
            <v>LA1 / HUH</v>
          </cell>
          <cell r="E680" t="str">
            <v>LA1 / OKPARA</v>
          </cell>
          <cell r="F680" t="str">
            <v>SF2 / DEMESA</v>
          </cell>
          <cell r="G680"/>
          <cell r="H680"/>
        </row>
        <row r="681">
          <cell r="A681">
            <v>39152</v>
          </cell>
          <cell r="B681">
            <v>681</v>
          </cell>
          <cell r="C681" t="str">
            <v>SERVICE AMERICAN INDEMNITY COMPANY</v>
          </cell>
          <cell r="D681" t="str">
            <v>SF2 / DEMESA</v>
          </cell>
          <cell r="E681" t="str">
            <v>SF2 / DEMESA</v>
          </cell>
          <cell r="F681"/>
          <cell r="G681"/>
          <cell r="H681"/>
        </row>
        <row r="682">
          <cell r="A682">
            <v>43389</v>
          </cell>
          <cell r="B682">
            <v>681</v>
          </cell>
          <cell r="C682" t="str">
            <v>SERVICE LLOYDS INSURANCE COMPANY, A STOCK COMPANY</v>
          </cell>
          <cell r="D682" t="str">
            <v>SF2 / DEMESA</v>
          </cell>
          <cell r="E682" t="str">
            <v>SF2 / DEMESA</v>
          </cell>
          <cell r="F682"/>
          <cell r="G682"/>
          <cell r="H682"/>
        </row>
        <row r="683">
          <cell r="A683">
            <v>13099</v>
          </cell>
          <cell r="B683">
            <v>685</v>
          </cell>
          <cell r="C683" t="str">
            <v>UTAH HOME FIRE INS CO</v>
          </cell>
          <cell r="D683" t="str">
            <v>SF1 / HILL</v>
          </cell>
          <cell r="E683" t="str">
            <v>SF1 / HILL</v>
          </cell>
          <cell r="F683"/>
          <cell r="G683"/>
          <cell r="H683"/>
        </row>
        <row r="684">
          <cell r="A684">
            <v>33162</v>
          </cell>
          <cell r="B684">
            <v>689</v>
          </cell>
          <cell r="C684" t="str">
            <v>BANKERS INS COMPANY (dba Western Bankers I/C)</v>
          </cell>
          <cell r="D684" t="str">
            <v>LA2 / GUAN</v>
          </cell>
          <cell r="E684" t="str">
            <v>LA2 / GUAN</v>
          </cell>
          <cell r="F684" t="str">
            <v>SF2 / GOTERA-PITROU</v>
          </cell>
          <cell r="G684"/>
          <cell r="H684"/>
        </row>
        <row r="685">
          <cell r="A685">
            <v>33162</v>
          </cell>
          <cell r="B685">
            <v>689</v>
          </cell>
          <cell r="C685" t="str">
            <v>WESTERN BANKERS INSURANCE COMPANY (see Bankers Insurance Company)</v>
          </cell>
          <cell r="D685" t="str">
            <v>LA2 / GUAN</v>
          </cell>
          <cell r="E685" t="str">
            <v>LA2 / GUAN</v>
          </cell>
          <cell r="F685" t="str">
            <v>SF2 / GOTERA-PITROU</v>
          </cell>
          <cell r="G685"/>
          <cell r="H685"/>
        </row>
        <row r="686">
          <cell r="A686">
            <v>11499</v>
          </cell>
          <cell r="B686">
            <v>690</v>
          </cell>
          <cell r="C686" t="str">
            <v>CENSTAT CASUALTY COMPANY</v>
          </cell>
          <cell r="D686" t="str">
            <v>SF1 / HILL</v>
          </cell>
          <cell r="E686" t="str">
            <v>SF1 / HILL</v>
          </cell>
          <cell r="F686" t="str">
            <v>SF2 / GOTERA-PITROU</v>
          </cell>
          <cell r="G686"/>
          <cell r="H686"/>
        </row>
        <row r="687">
          <cell r="A687">
            <v>42765</v>
          </cell>
          <cell r="B687">
            <v>707</v>
          </cell>
          <cell r="C687" t="str">
            <v xml:space="preserve">CENTURION CASUALTY COMPANY </v>
          </cell>
          <cell r="D687" t="str">
            <v>LA2/LEE</v>
          </cell>
          <cell r="E687" t="str">
            <v>LA2/LEE</v>
          </cell>
          <cell r="F687" t="str">
            <v>SF2 / GOTERA-PITROU</v>
          </cell>
          <cell r="G687"/>
          <cell r="H687"/>
        </row>
        <row r="688">
          <cell r="A688">
            <v>35718</v>
          </cell>
          <cell r="B688">
            <v>711</v>
          </cell>
          <cell r="C688" t="str">
            <v>PHICO INSURANCE COMPANY</v>
          </cell>
          <cell r="D688" t="str">
            <v>LA2 / GUAN</v>
          </cell>
          <cell r="E688" t="str">
            <v>LA2 / GUAN</v>
          </cell>
          <cell r="F688" t="str">
            <v>SF2 / GOTERA-PITROU</v>
          </cell>
          <cell r="G688"/>
          <cell r="H688"/>
        </row>
        <row r="689">
          <cell r="A689">
            <v>19623</v>
          </cell>
          <cell r="B689">
            <v>732</v>
          </cell>
          <cell r="C689" t="str">
            <v>AMERICAN SUMMIT INSURANCE COMPANY</v>
          </cell>
          <cell r="D689" t="str">
            <v>SF2 / GOTERA-PITROU</v>
          </cell>
          <cell r="E689" t="str">
            <v>SF2 / GOTERA-PITROU</v>
          </cell>
          <cell r="F689" t="str">
            <v>SF2 / GOTERA-PITROU</v>
          </cell>
          <cell r="G689"/>
          <cell r="H689"/>
        </row>
        <row r="690">
          <cell r="A690">
            <v>15474</v>
          </cell>
          <cell r="B690">
            <v>732</v>
          </cell>
          <cell r="C690" t="str">
            <v>NATIONAL LLOYDS INSURANCE COMPANY</v>
          </cell>
          <cell r="D690" t="str">
            <v>SF2 / GOTERA-PITROU</v>
          </cell>
          <cell r="E690" t="str">
            <v>SF2 / GOTERA-PITROU</v>
          </cell>
          <cell r="F690" t="str">
            <v>SF2 / GOTERA-PITROU</v>
          </cell>
          <cell r="G690"/>
          <cell r="H690"/>
        </row>
        <row r="691">
          <cell r="A691">
            <v>21903</v>
          </cell>
          <cell r="B691">
            <v>748</v>
          </cell>
          <cell r="C691" t="str">
            <v>PROCENTURY INSURANCE COMPANY</v>
          </cell>
          <cell r="D691" t="str">
            <v>LA1 / HUH</v>
          </cell>
          <cell r="E691" t="str">
            <v>LA1 / AHN</v>
          </cell>
          <cell r="F691" t="str">
            <v>SF2 / GOTERA-PITROU</v>
          </cell>
          <cell r="G691"/>
          <cell r="H691"/>
        </row>
        <row r="692">
          <cell r="A692">
            <v>18023</v>
          </cell>
          <cell r="B692">
            <v>748</v>
          </cell>
          <cell r="C692" t="str">
            <v>STAR INSURANCE COMPANY</v>
          </cell>
          <cell r="D692" t="str">
            <v>LA1 / HUH</v>
          </cell>
          <cell r="E692" t="str">
            <v>LA1 / AHN</v>
          </cell>
          <cell r="F692" t="str">
            <v>SF2 / GOTERA-PITROU</v>
          </cell>
          <cell r="G692"/>
          <cell r="H692"/>
        </row>
        <row r="693">
          <cell r="A693">
            <v>25780</v>
          </cell>
          <cell r="B693">
            <v>748</v>
          </cell>
          <cell r="C693" t="str">
            <v>WILLIAMSBURG NATIONAL INSURANCE COMPANY</v>
          </cell>
          <cell r="D693" t="str">
            <v>LA1 / HUH</v>
          </cell>
          <cell r="E693" t="str">
            <v>LA1 / AHN</v>
          </cell>
          <cell r="F693" t="str">
            <v>SF2 / GOTERA-PITROU</v>
          </cell>
          <cell r="G693"/>
          <cell r="H693"/>
        </row>
        <row r="694">
          <cell r="A694">
            <v>39322</v>
          </cell>
          <cell r="B694">
            <v>749</v>
          </cell>
          <cell r="C694" t="str">
            <v>GENERAL SECURITY NATIONAL INSURANCE COMPANY</v>
          </cell>
          <cell r="D694" t="str">
            <v>LA2 / LEE</v>
          </cell>
          <cell r="E694" t="str">
            <v>LA2 / LEE</v>
          </cell>
          <cell r="F694" t="str">
            <v>SF2 / GOTERA-PITROU</v>
          </cell>
          <cell r="G694"/>
          <cell r="H694"/>
        </row>
        <row r="695">
          <cell r="A695">
            <v>30058</v>
          </cell>
          <cell r="B695">
            <v>749</v>
          </cell>
          <cell r="C695" t="str">
            <v>SCOR REINSURANCE COMPANY</v>
          </cell>
          <cell r="D695" t="str">
            <v>LA2 / LEE</v>
          </cell>
          <cell r="E695" t="str">
            <v>LA2 / LEE</v>
          </cell>
          <cell r="F695" t="str">
            <v>SF2 / GOTERA-PITROU</v>
          </cell>
          <cell r="G695"/>
          <cell r="H695"/>
        </row>
        <row r="696">
          <cell r="A696">
            <v>22837</v>
          </cell>
          <cell r="B696">
            <v>761</v>
          </cell>
          <cell r="C696" t="str">
            <v>AGCS MARINE INSURANCE COMPANY</v>
          </cell>
          <cell r="D696" t="str">
            <v>SF1 / POON</v>
          </cell>
          <cell r="E696" t="str">
            <v>SF1 / POON</v>
          </cell>
          <cell r="F696" t="str">
            <v>SF2 / GOTERA-PITROU</v>
          </cell>
          <cell r="G696"/>
          <cell r="H696"/>
        </row>
        <row r="697">
          <cell r="A697">
            <v>35300</v>
          </cell>
          <cell r="B697">
            <v>761</v>
          </cell>
          <cell r="C697" t="str">
            <v>ALLIANZ GLOBAL RISKS US INSURANCE COMPANY</v>
          </cell>
          <cell r="D697" t="str">
            <v>SF1 / POON</v>
          </cell>
          <cell r="E697" t="str">
            <v>SF1 / POON</v>
          </cell>
          <cell r="F697" t="str">
            <v>SF2 / GOTERA-PITROU</v>
          </cell>
          <cell r="G697"/>
          <cell r="H697"/>
        </row>
        <row r="698">
          <cell r="A698">
            <v>21911</v>
          </cell>
          <cell r="B698">
            <v>761</v>
          </cell>
          <cell r="C698" t="str">
            <v>ALLIANZ REINSURANCE AMERICA, INC.</v>
          </cell>
          <cell r="D698" t="str">
            <v>SF1 / POON</v>
          </cell>
          <cell r="E698" t="str">
            <v>SF1 / POON</v>
          </cell>
          <cell r="F698" t="str">
            <v>SF2 / GOTERA-PITROU</v>
          </cell>
          <cell r="G698"/>
          <cell r="H698"/>
        </row>
        <row r="699">
          <cell r="A699">
            <v>36420</v>
          </cell>
          <cell r="B699">
            <v>761</v>
          </cell>
          <cell r="C699" t="str">
            <v>ALLIANZ UNDERWRITERS INSURANCE COMPANY</v>
          </cell>
          <cell r="D699" t="str">
            <v>SF1 / POON</v>
          </cell>
          <cell r="E699" t="str">
            <v>SF1 / POON</v>
          </cell>
          <cell r="F699" t="str">
            <v>SF2 / GOTERA-PITROU</v>
          </cell>
          <cell r="G699"/>
          <cell r="H699"/>
        </row>
        <row r="700">
          <cell r="A700">
            <v>21849</v>
          </cell>
          <cell r="B700">
            <v>761</v>
          </cell>
          <cell r="C700" t="str">
            <v>AMERICAN AUTOMOBILE INSURANCE COMPANY</v>
          </cell>
          <cell r="D700" t="str">
            <v>SF1 / POON</v>
          </cell>
          <cell r="E700" t="str">
            <v>SF1 / POON</v>
          </cell>
          <cell r="F700" t="str">
            <v>SF2 / GOTERA-PITROU</v>
          </cell>
          <cell r="G700"/>
          <cell r="H700"/>
        </row>
        <row r="701">
          <cell r="A701">
            <v>21857</v>
          </cell>
          <cell r="B701">
            <v>761</v>
          </cell>
          <cell r="C701" t="str">
            <v>AMERICAN INSURANCE COMPANY</v>
          </cell>
          <cell r="D701" t="str">
            <v>SF1 / POON</v>
          </cell>
          <cell r="E701" t="str">
            <v>SF1 / POON</v>
          </cell>
          <cell r="F701" t="str">
            <v>SF2 / GOTERA-PITROU</v>
          </cell>
          <cell r="G701"/>
          <cell r="H701"/>
        </row>
        <row r="702">
          <cell r="A702">
            <v>22810</v>
          </cell>
          <cell r="B702">
            <v>761</v>
          </cell>
          <cell r="C702" t="str">
            <v>CHICAGO INSURANCE COMPANY</v>
          </cell>
          <cell r="D702" t="str">
            <v>SF1 / POON</v>
          </cell>
          <cell r="E702" t="str">
            <v>SF1 / POON</v>
          </cell>
          <cell r="F702" t="str">
            <v>SF2 / GOTERA-PITROU</v>
          </cell>
          <cell r="G702"/>
          <cell r="H702"/>
        </row>
        <row r="703">
          <cell r="A703">
            <v>20516</v>
          </cell>
          <cell r="B703">
            <v>761</v>
          </cell>
          <cell r="C703" t="str">
            <v>EULER HERMES NORTH AMERICA INSURANCE COMPANY</v>
          </cell>
          <cell r="D703" t="str">
            <v>SF1 / POON</v>
          </cell>
          <cell r="E703" t="str">
            <v>SF1 / POON</v>
          </cell>
          <cell r="F703" t="str">
            <v>SF2 / GOTERA-PITROU</v>
          </cell>
          <cell r="G703"/>
          <cell r="H703"/>
        </row>
        <row r="704">
          <cell r="A704">
            <v>21873</v>
          </cell>
          <cell r="B704">
            <v>761</v>
          </cell>
          <cell r="C704" t="str">
            <v>FIREMAN'S FUND INSURANCE COMPANY</v>
          </cell>
          <cell r="D704" t="str">
            <v>SF1 / POON</v>
          </cell>
          <cell r="E704" t="str">
            <v>SF1 / POON</v>
          </cell>
          <cell r="F704" t="str">
            <v>SF2 / GOTERA-PITROU</v>
          </cell>
          <cell r="G704"/>
          <cell r="H704"/>
        </row>
        <row r="705">
          <cell r="A705">
            <v>11630</v>
          </cell>
          <cell r="B705">
            <v>761</v>
          </cell>
          <cell r="C705" t="str">
            <v>JEFFERSON INSURANCE COMPANY</v>
          </cell>
          <cell r="D705" t="str">
            <v>SF1 / POON</v>
          </cell>
          <cell r="E705" t="str">
            <v>SF1 / POON</v>
          </cell>
          <cell r="F705" t="str">
            <v>SF2 / GOTERA-PITROU</v>
          </cell>
          <cell r="G705"/>
          <cell r="H705"/>
        </row>
        <row r="706">
          <cell r="A706">
            <v>21881</v>
          </cell>
          <cell r="B706">
            <v>761</v>
          </cell>
          <cell r="C706" t="str">
            <v>NATIONAL SURETY CORPORATION</v>
          </cell>
          <cell r="D706" t="str">
            <v>SF1 / POON</v>
          </cell>
          <cell r="E706" t="str">
            <v>SF1 / POON</v>
          </cell>
          <cell r="F706" t="str">
            <v>SF2 / GOTERA-PITROU</v>
          </cell>
          <cell r="G706"/>
          <cell r="H706"/>
        </row>
        <row r="707">
          <cell r="A707">
            <v>35815</v>
          </cell>
          <cell r="B707">
            <v>763</v>
          </cell>
          <cell r="C707" t="str">
            <v>FORESTERS INDEMNITY COMPANY</v>
          </cell>
          <cell r="D707" t="str">
            <v>LA1 / HUH</v>
          </cell>
          <cell r="E707" t="str">
            <v>LA1 / OKPARA</v>
          </cell>
          <cell r="F707" t="str">
            <v>SF2 / GOTERA-PITROU</v>
          </cell>
          <cell r="G707"/>
          <cell r="H707"/>
        </row>
        <row r="708">
          <cell r="A708">
            <v>33790</v>
          </cell>
          <cell r="B708">
            <v>766</v>
          </cell>
          <cell r="C708" t="str">
            <v>COMMONWEALTH MORTGAGE ASSURANCE COMPANY</v>
          </cell>
          <cell r="D708" t="str">
            <v>LA2 / LEE</v>
          </cell>
          <cell r="E708" t="str">
            <v>LA2 / LEE</v>
          </cell>
          <cell r="F708"/>
          <cell r="G708"/>
          <cell r="H708"/>
        </row>
        <row r="709">
          <cell r="A709">
            <v>30872</v>
          </cell>
          <cell r="B709">
            <v>766</v>
          </cell>
          <cell r="C709" t="str">
            <v>RADIAN MORTGAGE ASSURANCE INC.</v>
          </cell>
          <cell r="D709" t="str">
            <v>LA2 / LEE</v>
          </cell>
          <cell r="E709" t="str">
            <v>LA2 / LEE</v>
          </cell>
          <cell r="F709" t="str">
            <v>SF2 / TRANZOR</v>
          </cell>
          <cell r="G709"/>
          <cell r="H709"/>
        </row>
        <row r="710">
          <cell r="A710">
            <v>27731</v>
          </cell>
          <cell r="B710">
            <v>772</v>
          </cell>
          <cell r="C710" t="str">
            <v>CITATION GENERAL INSURANCE COMPANY</v>
          </cell>
          <cell r="D710" t="str">
            <v>LA1 / HUH</v>
          </cell>
          <cell r="E710" t="str">
            <v>LA1 / AHN</v>
          </cell>
          <cell r="F710"/>
          <cell r="G710"/>
          <cell r="H710"/>
        </row>
        <row r="711">
          <cell r="A711">
            <v>13714</v>
          </cell>
          <cell r="B711">
            <v>775</v>
          </cell>
          <cell r="C711" t="str">
            <v>PHARMACISTS MUTUAL INSURANCE COMPANY</v>
          </cell>
          <cell r="D711" t="str">
            <v>SF2 / TRANZOR</v>
          </cell>
          <cell r="E711" t="str">
            <v>SF2 / TRANZOR</v>
          </cell>
          <cell r="F711" t="str">
            <v>SF2 / GOTERA-PITROU</v>
          </cell>
          <cell r="G711"/>
          <cell r="H711"/>
        </row>
        <row r="712">
          <cell r="A712">
            <v>37893</v>
          </cell>
          <cell r="B712">
            <v>781</v>
          </cell>
          <cell r="C712" t="str">
            <v>ULLICO CASUALTY COMPANY</v>
          </cell>
          <cell r="D712" t="str">
            <v>LA1 / HUH</v>
          </cell>
          <cell r="E712" t="str">
            <v>LA1 / OKPARA</v>
          </cell>
          <cell r="F712" t="str">
            <v>SF2 / GOTERA-PITROU</v>
          </cell>
          <cell r="G712"/>
          <cell r="H712"/>
        </row>
        <row r="713">
          <cell r="A713">
            <v>37206</v>
          </cell>
          <cell r="B713">
            <v>783</v>
          </cell>
          <cell r="C713" t="str">
            <v>CBIC BONDING AND INSURANCE COMPANY (see Contractors Bonding and Insurance Company)</v>
          </cell>
          <cell r="D713" t="str">
            <v>LA2 / BAUTISTA</v>
          </cell>
          <cell r="E713" t="str">
            <v>LA2 / BAUTISTA</v>
          </cell>
          <cell r="F713" t="str">
            <v>SF2 / GOTERA-PITROU</v>
          </cell>
          <cell r="G713"/>
          <cell r="H713"/>
        </row>
        <row r="714">
          <cell r="A714">
            <v>37206</v>
          </cell>
          <cell r="B714">
            <v>783</v>
          </cell>
          <cell r="C714" t="str">
            <v>CONTRACTORS BONDING AND INS CO (dba CBIC Bonding &amp; Ins Co.)</v>
          </cell>
          <cell r="D714" t="str">
            <v>LA2 / BAUTISTA</v>
          </cell>
          <cell r="E714" t="str">
            <v>LA2 / BAUTISTA</v>
          </cell>
          <cell r="F714" t="str">
            <v>SF2 / GOTERA-PITROU</v>
          </cell>
          <cell r="G714"/>
          <cell r="H714"/>
        </row>
        <row r="715">
          <cell r="A715">
            <v>13056</v>
          </cell>
          <cell r="B715">
            <v>783</v>
          </cell>
          <cell r="C715" t="str">
            <v>RLI INSURANCE COMPANY</v>
          </cell>
          <cell r="D715" t="str">
            <v>LA2 / BAUTISTA</v>
          </cell>
          <cell r="E715" t="str">
            <v>LA2 / BAUTISTA</v>
          </cell>
          <cell r="F715" t="str">
            <v>SF2 / GOTERA-PITROU</v>
          </cell>
          <cell r="G715"/>
          <cell r="H715"/>
        </row>
        <row r="716">
          <cell r="A716">
            <v>21296</v>
          </cell>
          <cell r="B716">
            <v>785</v>
          </cell>
          <cell r="C716" t="str">
            <v>ALTERRA AMERICA INSURANCE COMPANY ((Name changed to Pinnacle National Insurance Company, redomesticated to Texas, effective January 10, 2022)</v>
          </cell>
          <cell r="D716" t="str">
            <v>LA3 / SOTINGCO</v>
          </cell>
          <cell r="E716" t="str">
            <v>LA3 / SOTINGCO</v>
          </cell>
          <cell r="F716" t="str">
            <v>SF2 / GOTERA-PITROU</v>
          </cell>
          <cell r="G716"/>
          <cell r="H716"/>
        </row>
        <row r="717">
          <cell r="A717">
            <v>41335</v>
          </cell>
          <cell r="B717">
            <v>785</v>
          </cell>
          <cell r="C717" t="str">
            <v>CITY NATIONAL INSURANCE COMPANY</v>
          </cell>
          <cell r="D717" t="str">
            <v>LA3 / SOTINGCO</v>
          </cell>
          <cell r="E717" t="str">
            <v>LA3 / SOTINGCO</v>
          </cell>
          <cell r="F717" t="str">
            <v>SF2 / GOTERA-PITROU</v>
          </cell>
          <cell r="G717"/>
          <cell r="H717"/>
        </row>
        <row r="718">
          <cell r="A718">
            <v>37915</v>
          </cell>
          <cell r="B718">
            <v>785</v>
          </cell>
          <cell r="C718" t="str">
            <v>ESSENTIA INSURANCE COMPANY</v>
          </cell>
          <cell r="D718" t="str">
            <v>LA3 / SOTINGCO</v>
          </cell>
          <cell r="E718" t="str">
            <v>LA3 / SOTINGCO</v>
          </cell>
          <cell r="F718" t="str">
            <v>SF2 / GOTERA-PITROU</v>
          </cell>
          <cell r="G718"/>
          <cell r="H718"/>
        </row>
        <row r="719">
          <cell r="A719">
            <v>28932</v>
          </cell>
          <cell r="B719">
            <v>785</v>
          </cell>
          <cell r="C719" t="str">
            <v>MARKEL AMERICAN INSURANCE COMPANY</v>
          </cell>
          <cell r="D719" t="str">
            <v>LA3 / SOTINGCO</v>
          </cell>
          <cell r="E719" t="str">
            <v>LA3 / SOTINGCO</v>
          </cell>
          <cell r="F719" t="str">
            <v>SF2 / GOTERA-PITROU</v>
          </cell>
          <cell r="G719"/>
          <cell r="H719"/>
        </row>
        <row r="720">
          <cell r="A720">
            <v>10829</v>
          </cell>
          <cell r="B720">
            <v>785</v>
          </cell>
          <cell r="C720" t="str">
            <v>MARKEL GLOBAL REINSURANCE COMPANY</v>
          </cell>
          <cell r="D720" t="str">
            <v>LA3 / SOTINGCO</v>
          </cell>
          <cell r="E720" t="str">
            <v>LA3 / SOTINGCO</v>
          </cell>
          <cell r="F720" t="str">
            <v>SF2 / GOTERA-PITROU</v>
          </cell>
          <cell r="G720"/>
          <cell r="H720"/>
        </row>
        <row r="721">
          <cell r="A721">
            <v>38970</v>
          </cell>
          <cell r="B721">
            <v>785</v>
          </cell>
          <cell r="C721" t="str">
            <v>MARKEL INSURANCE COMPANY</v>
          </cell>
          <cell r="D721" t="str">
            <v>LA3 / SOTINGCO</v>
          </cell>
          <cell r="E721" t="str">
            <v>LA3 / SOTINGCO</v>
          </cell>
          <cell r="F721" t="str">
            <v>SF2 / GOTERA-PITROU</v>
          </cell>
          <cell r="G721"/>
          <cell r="H721"/>
        </row>
        <row r="722">
          <cell r="A722">
            <v>22608</v>
          </cell>
          <cell r="B722">
            <v>785</v>
          </cell>
          <cell r="C722" t="str">
            <v>NATIONAL SPECIALTY INSURANCE COMPANY</v>
          </cell>
          <cell r="D722" t="str">
            <v>LA3 / SOTINGCO</v>
          </cell>
          <cell r="E722" t="str">
            <v>LA3 / SOTINGCO</v>
          </cell>
          <cell r="F722" t="str">
            <v>SF2 / GOTERA-PITROU</v>
          </cell>
          <cell r="G722"/>
          <cell r="H722"/>
        </row>
        <row r="723">
          <cell r="A723">
            <v>21296</v>
          </cell>
          <cell r="B723">
            <v>785</v>
          </cell>
          <cell r="C723" t="str">
            <v>PINNACLE NATIONAL INSURANCE COMPANY</v>
          </cell>
          <cell r="D723" t="str">
            <v>LA3 / SOTINGCO</v>
          </cell>
          <cell r="E723" t="str">
            <v>LA3 / SOTINGCO</v>
          </cell>
          <cell r="F723" t="str">
            <v>SF2 / GOTERA-PITROU</v>
          </cell>
          <cell r="G723"/>
          <cell r="H723"/>
        </row>
        <row r="724">
          <cell r="A724">
            <v>12831</v>
          </cell>
          <cell r="B724">
            <v>785</v>
          </cell>
          <cell r="C724" t="str">
            <v>STATE NATIONAL INSURANCE COMPANY, INC</v>
          </cell>
          <cell r="D724" t="str">
            <v>LA3 / SOTINGCO</v>
          </cell>
          <cell r="E724" t="str">
            <v>LA3 / SOTINGCO</v>
          </cell>
          <cell r="F724" t="str">
            <v>SF2 / GOTERA-PITROU</v>
          </cell>
          <cell r="G724"/>
          <cell r="H724"/>
        </row>
        <row r="725">
          <cell r="A725">
            <v>10916</v>
          </cell>
          <cell r="B725">
            <v>785</v>
          </cell>
          <cell r="C725" t="str">
            <v>SURETEC INSURANCE COMPANY</v>
          </cell>
          <cell r="D725" t="str">
            <v>LA3 / SOTINGCO</v>
          </cell>
          <cell r="E725" t="str">
            <v>LA3 / SOTINGCO</v>
          </cell>
          <cell r="F725" t="str">
            <v>SF2 / GOTERA-PITROU</v>
          </cell>
          <cell r="G725"/>
          <cell r="H725"/>
        </row>
        <row r="726">
          <cell r="A726">
            <v>25593</v>
          </cell>
          <cell r="B726">
            <v>790</v>
          </cell>
          <cell r="C726" t="str">
            <v>BEAVER INSURANCE COMPANY</v>
          </cell>
          <cell r="D726" t="str">
            <v>SF1 / WONG</v>
          </cell>
          <cell r="E726" t="str">
            <v>SF1 / WONG</v>
          </cell>
          <cell r="F726" t="str">
            <v>SF2 / GOTERA-PITROU</v>
          </cell>
          <cell r="G726"/>
          <cell r="H726"/>
        </row>
        <row r="727">
          <cell r="A727">
            <v>10545</v>
          </cell>
          <cell r="B727">
            <v>790</v>
          </cell>
          <cell r="C727" t="str">
            <v>FREMONT CASUALTY INSURANCE COMPANY</v>
          </cell>
          <cell r="D727" t="str">
            <v>SF1 / WONG</v>
          </cell>
          <cell r="E727" t="str">
            <v>SF1 / WONG</v>
          </cell>
          <cell r="F727" t="str">
            <v>SF2 / GOTERA-PITROU</v>
          </cell>
          <cell r="G727"/>
          <cell r="H727"/>
        </row>
        <row r="728">
          <cell r="A728">
            <v>11207</v>
          </cell>
          <cell r="B728">
            <v>790</v>
          </cell>
          <cell r="C728" t="str">
            <v>FREMONT INDEMNITY COMPANY</v>
          </cell>
          <cell r="D728" t="str">
            <v>SF1 / WONG</v>
          </cell>
          <cell r="E728" t="str">
            <v>SF1 / WONG</v>
          </cell>
          <cell r="F728" t="str">
            <v>SF2 / GOTERA-PITROU</v>
          </cell>
          <cell r="G728"/>
          <cell r="H728"/>
        </row>
        <row r="729">
          <cell r="A729">
            <v>21040</v>
          </cell>
          <cell r="B729">
            <v>790</v>
          </cell>
          <cell r="C729" t="str">
            <v>FREMONT INDUSTRIAL INDEMNITY COMPANY</v>
          </cell>
          <cell r="D729" t="str">
            <v>SF1 / WONG</v>
          </cell>
          <cell r="E729" t="str">
            <v>SF1 / WONG</v>
          </cell>
          <cell r="F729" t="str">
            <v>SF2 / GOTERA-PITROU</v>
          </cell>
          <cell r="G729"/>
          <cell r="H729"/>
        </row>
        <row r="730">
          <cell r="A730">
            <v>38725</v>
          </cell>
          <cell r="B730">
            <v>790</v>
          </cell>
          <cell r="C730" t="str">
            <v>FREMONT PACIFIC INSURANCE COMPANY</v>
          </cell>
          <cell r="D730" t="str">
            <v>SF1 / WONG</v>
          </cell>
          <cell r="E730" t="str">
            <v>SF1 / WONG</v>
          </cell>
          <cell r="F730" t="str">
            <v>SF2 / GOTERA-PITROU</v>
          </cell>
          <cell r="G730"/>
          <cell r="H730"/>
        </row>
        <row r="731">
          <cell r="A731">
            <v>21148</v>
          </cell>
          <cell r="B731">
            <v>790</v>
          </cell>
          <cell r="C731" t="str">
            <v>INDUSTRIAL INDEMNITY COMPANY OF THE NORTHWEST</v>
          </cell>
          <cell r="D731" t="str">
            <v>SF1 / WONG</v>
          </cell>
          <cell r="E731" t="str">
            <v>SF1 / WONG</v>
          </cell>
          <cell r="F731" t="str">
            <v>SF2 / GOTERA-PITROU</v>
          </cell>
          <cell r="G731"/>
          <cell r="H731"/>
        </row>
        <row r="732">
          <cell r="A732">
            <v>24414</v>
          </cell>
          <cell r="B732">
            <v>796</v>
          </cell>
          <cell r="C732" t="str">
            <v>GENERAL CASUALTY COMPANY OF WISCONSIN</v>
          </cell>
          <cell r="D732" t="str">
            <v>LA2 / BAUTISTA</v>
          </cell>
          <cell r="E732" t="str">
            <v>LA2 / BAUTISTA</v>
          </cell>
          <cell r="F732" t="str">
            <v>SF2 / GOTERA-PITROU</v>
          </cell>
          <cell r="G732"/>
          <cell r="H732"/>
        </row>
        <row r="733">
          <cell r="A733">
            <v>25240</v>
          </cell>
          <cell r="B733">
            <v>796</v>
          </cell>
          <cell r="C733" t="str">
            <v>NAU COUNTRY INSURANCE COMPANY</v>
          </cell>
          <cell r="D733" t="str">
            <v>LA2 / BAUTISTA</v>
          </cell>
          <cell r="E733" t="str">
            <v>LA2 / BAUTISTA</v>
          </cell>
          <cell r="F733" t="str">
            <v>SF2 / GOTERA-PITROU</v>
          </cell>
          <cell r="G733"/>
          <cell r="H733"/>
        </row>
        <row r="734">
          <cell r="A734">
            <v>27740</v>
          </cell>
          <cell r="B734">
            <v>796</v>
          </cell>
          <cell r="C734" t="str">
            <v>NORTH POINTE INSURANCE COMPANY</v>
          </cell>
          <cell r="D734" t="str">
            <v>LA2 / BAUTISTA</v>
          </cell>
          <cell r="E734" t="str">
            <v>LA2 / BAUTISTA</v>
          </cell>
          <cell r="F734" t="str">
            <v>SF2 / GOTERA-PITROU</v>
          </cell>
          <cell r="G734" t="str">
            <v>RAO / ZHOU</v>
          </cell>
          <cell r="H734"/>
        </row>
        <row r="735">
          <cell r="A735">
            <v>37257</v>
          </cell>
          <cell r="B735">
            <v>796</v>
          </cell>
          <cell r="C735" t="str">
            <v>PRAETORIAN INSURANCE COMPANY</v>
          </cell>
          <cell r="D735" t="str">
            <v>LA2 / BAUTISTA</v>
          </cell>
          <cell r="E735" t="str">
            <v>LA2 / BAUTISTA</v>
          </cell>
          <cell r="F735" t="str">
            <v>SF2 / GOTERA-PITROU</v>
          </cell>
          <cell r="G735"/>
          <cell r="H735"/>
        </row>
        <row r="736">
          <cell r="A736">
            <v>39217</v>
          </cell>
          <cell r="B736">
            <v>796</v>
          </cell>
          <cell r="C736" t="str">
            <v>QBE INSURANCE CORPORATION</v>
          </cell>
          <cell r="D736" t="str">
            <v>LA2 / BAUTISTA</v>
          </cell>
          <cell r="E736" t="str">
            <v>LA2 / BAUTISTA</v>
          </cell>
          <cell r="F736" t="str">
            <v>SF2 / GOTERA-PITROU</v>
          </cell>
          <cell r="G736"/>
          <cell r="H736"/>
        </row>
        <row r="737">
          <cell r="A737">
            <v>10219</v>
          </cell>
          <cell r="B737">
            <v>796</v>
          </cell>
          <cell r="C737" t="str">
            <v>QBE REINSURANCE CORPORATION</v>
          </cell>
          <cell r="D737" t="str">
            <v>LA2 / BAUTISTA</v>
          </cell>
          <cell r="E737" t="str">
            <v>LA2 / BAUTISTA</v>
          </cell>
          <cell r="F737" t="str">
            <v>SF2 / GOTERA-PITROU</v>
          </cell>
          <cell r="G737"/>
          <cell r="H737"/>
        </row>
        <row r="738">
          <cell r="A738">
            <v>24449</v>
          </cell>
          <cell r="B738">
            <v>796</v>
          </cell>
          <cell r="C738" t="str">
            <v>REGENT INSURANCE COMPANY</v>
          </cell>
          <cell r="D738" t="str">
            <v>LA2 / BAUTISTA</v>
          </cell>
          <cell r="E738" t="str">
            <v>LA2 / BAUTISTA</v>
          </cell>
          <cell r="F738"/>
          <cell r="G738"/>
          <cell r="H738"/>
        </row>
        <row r="739">
          <cell r="A739">
            <v>10340</v>
          </cell>
          <cell r="B739">
            <v>796</v>
          </cell>
          <cell r="C739" t="str">
            <v>STONINGTON INSURANCE COMPANY</v>
          </cell>
          <cell r="D739" t="str">
            <v>LA2 / BAUTISTA</v>
          </cell>
          <cell r="E739" t="str">
            <v>LA2 / BAUTISTA</v>
          </cell>
          <cell r="F739"/>
          <cell r="G739"/>
          <cell r="H739"/>
        </row>
        <row r="740">
          <cell r="A740">
            <v>15776</v>
          </cell>
          <cell r="B740">
            <v>800</v>
          </cell>
          <cell r="C740" t="str">
            <v>RESIDENCE MUTUAL INSURANCE COMPANY</v>
          </cell>
          <cell r="D740" t="str">
            <v>LA2 / CHENG</v>
          </cell>
          <cell r="E740" t="str">
            <v>LA2 / CHENG</v>
          </cell>
          <cell r="F740"/>
          <cell r="G740" t="str">
            <v>RAO / NGUYEN</v>
          </cell>
          <cell r="H740"/>
        </row>
        <row r="741">
          <cell r="A741">
            <v>13625</v>
          </cell>
          <cell r="B741">
            <v>800</v>
          </cell>
          <cell r="C741" t="str">
            <v>WESTERN MUTUAL INSURANCE COMPANY</v>
          </cell>
          <cell r="D741" t="str">
            <v>LA2 / CHENG</v>
          </cell>
          <cell r="E741" t="str">
            <v>LA2 / CHENG</v>
          </cell>
          <cell r="F741"/>
          <cell r="G741" t="str">
            <v>RAO / NGUYEN</v>
          </cell>
          <cell r="H741"/>
        </row>
        <row r="742">
          <cell r="A742">
            <v>13544</v>
          </cell>
          <cell r="B742">
            <v>802</v>
          </cell>
          <cell r="C742" t="str">
            <v>CALIFORNIA CAPITAL INSURANCE COMPANY</v>
          </cell>
          <cell r="D742" t="str">
            <v>SF1 / WONG</v>
          </cell>
          <cell r="E742" t="str">
            <v>SF1 / WONG</v>
          </cell>
          <cell r="F742"/>
          <cell r="G742"/>
          <cell r="H742"/>
        </row>
        <row r="743">
          <cell r="A743">
            <v>12890</v>
          </cell>
          <cell r="B743">
            <v>802</v>
          </cell>
          <cell r="C743" t="str">
            <v>EAGLE WEST INSURANCE COMPANY</v>
          </cell>
          <cell r="D743" t="str">
            <v>SF1 / WONG</v>
          </cell>
          <cell r="E743" t="str">
            <v>SF1 / WONG</v>
          </cell>
          <cell r="F743"/>
          <cell r="G743"/>
          <cell r="H743"/>
        </row>
        <row r="744">
          <cell r="A744">
            <v>23540</v>
          </cell>
          <cell r="B744">
            <v>802</v>
          </cell>
          <cell r="C744" t="str">
            <v>MONTEREY INSURANCE COMPANY</v>
          </cell>
          <cell r="D744" t="str">
            <v>SF1 / WONG</v>
          </cell>
          <cell r="E744" t="str">
            <v>SF1 / WONG</v>
          </cell>
          <cell r="F744" t="str">
            <v>SF2 / GOTERA-PITROU</v>
          </cell>
          <cell r="G744"/>
          <cell r="H744"/>
        </row>
        <row r="745">
          <cell r="A745">
            <v>32107</v>
          </cell>
          <cell r="B745">
            <v>808</v>
          </cell>
          <cell r="C745" t="str">
            <v>SUTTER INSURANCE COMPANY</v>
          </cell>
          <cell r="D745" t="str">
            <v>SF1 / POON</v>
          </cell>
          <cell r="E745" t="str">
            <v>SF1 / POON</v>
          </cell>
          <cell r="F745" t="str">
            <v>SF2 / DEMESA</v>
          </cell>
          <cell r="G745"/>
          <cell r="H745"/>
        </row>
        <row r="746">
          <cell r="A746">
            <v>20710</v>
          </cell>
          <cell r="B746">
            <v>826</v>
          </cell>
          <cell r="C746" t="str">
            <v>CENTURY INDEMNITY COMPANY</v>
          </cell>
          <cell r="D746" t="str">
            <v>SF1 / WONG</v>
          </cell>
          <cell r="E746" t="str">
            <v>SF1 / WONG</v>
          </cell>
          <cell r="F746" t="str">
            <v>SF2 / DEMESA</v>
          </cell>
          <cell r="G746"/>
          <cell r="H746"/>
        </row>
        <row r="747">
          <cell r="A747">
            <v>34495</v>
          </cell>
          <cell r="B747">
            <v>831</v>
          </cell>
          <cell r="C747" t="str">
            <v>DOCTORS COMPANY, AN INTER-INSURANCE EXCHANGE</v>
          </cell>
          <cell r="D747" t="str">
            <v>SF2 / DEMESA</v>
          </cell>
          <cell r="E747" t="str">
            <v>SF2 / DEMESA</v>
          </cell>
          <cell r="F747" t="str">
            <v>SF2 / GOTERA-PITROU</v>
          </cell>
          <cell r="G747"/>
          <cell r="H747"/>
        </row>
        <row r="748">
          <cell r="A748">
            <v>34487</v>
          </cell>
          <cell r="B748">
            <v>831</v>
          </cell>
          <cell r="C748" t="str">
            <v>TDC SPECIALTY INSURANCE COMPANY</v>
          </cell>
          <cell r="D748" t="str">
            <v>SF2 / DEMESA</v>
          </cell>
          <cell r="E748" t="str">
            <v>SF2 / DEMESA</v>
          </cell>
          <cell r="F748" t="str">
            <v>SF2 / GOTERA-PITROU</v>
          </cell>
          <cell r="G748"/>
          <cell r="H748"/>
        </row>
        <row r="749">
          <cell r="A749">
            <v>12416</v>
          </cell>
          <cell r="B749">
            <v>867</v>
          </cell>
          <cell r="C749" t="str">
            <v>PROTECTIVE INSURANCE COMPANY</v>
          </cell>
          <cell r="D749" t="str">
            <v>LA2 / CHENG</v>
          </cell>
          <cell r="E749" t="str">
            <v>LA2 / CHENG</v>
          </cell>
          <cell r="F749"/>
          <cell r="G749"/>
          <cell r="H749"/>
        </row>
        <row r="750">
          <cell r="A750">
            <v>40460</v>
          </cell>
          <cell r="B750">
            <v>867</v>
          </cell>
          <cell r="C750" t="str">
            <v>SAGAMORE INSURANCE COMPANY</v>
          </cell>
          <cell r="D750" t="str">
            <v>LA2 / CHENG</v>
          </cell>
          <cell r="E750" t="str">
            <v>LA2 / CHENG</v>
          </cell>
          <cell r="F750"/>
          <cell r="G750"/>
          <cell r="H750"/>
        </row>
        <row r="751">
          <cell r="A751">
            <v>10054</v>
          </cell>
          <cell r="B751">
            <v>869</v>
          </cell>
          <cell r="C751" t="str">
            <v>SECURIAN CASUALTY COMPANY</v>
          </cell>
          <cell r="D751" t="str">
            <v>LA1 / HUH</v>
          </cell>
          <cell r="E751" t="str">
            <v>LA1 / AHN</v>
          </cell>
          <cell r="F751"/>
          <cell r="G751"/>
          <cell r="H751"/>
        </row>
        <row r="752">
          <cell r="A752">
            <v>40711</v>
          </cell>
          <cell r="B752">
            <v>879</v>
          </cell>
          <cell r="C752" t="str">
            <v>FRANKONA REINSURANCE COMPANY</v>
          </cell>
          <cell r="D752" t="str">
            <v>SF1 / POON</v>
          </cell>
          <cell r="E752" t="str">
            <v>SF1 / POON</v>
          </cell>
          <cell r="F752"/>
          <cell r="G752"/>
          <cell r="H752"/>
        </row>
        <row r="753">
          <cell r="A753">
            <v>19615</v>
          </cell>
          <cell r="B753">
            <v>920</v>
          </cell>
          <cell r="C753" t="str">
            <v>AMERICAN RELIABLE INSURANCE COMPANY</v>
          </cell>
          <cell r="D753" t="str">
            <v>LA1 / HUH</v>
          </cell>
          <cell r="E753" t="str">
            <v>LA1 / AHN</v>
          </cell>
          <cell r="F753"/>
          <cell r="G753"/>
          <cell r="H753"/>
        </row>
        <row r="754">
          <cell r="A754">
            <v>42048</v>
          </cell>
          <cell r="B754">
            <v>920</v>
          </cell>
          <cell r="C754" t="str">
            <v>DIAMOND STATE INSURANCE COMPANY</v>
          </cell>
          <cell r="D754" t="str">
            <v>LA1 / HUH</v>
          </cell>
          <cell r="E754" t="str">
            <v>LA1 / AHN</v>
          </cell>
          <cell r="F754"/>
          <cell r="G754"/>
          <cell r="H754"/>
        </row>
        <row r="755">
          <cell r="A755">
            <v>40029</v>
          </cell>
          <cell r="B755">
            <v>922</v>
          </cell>
          <cell r="C755" t="str">
            <v>EXPLORER INSURANCE COMPANY</v>
          </cell>
          <cell r="D755" t="str">
            <v>LA1 / HUH</v>
          </cell>
          <cell r="E755" t="str">
            <v>LA1 / AHN</v>
          </cell>
          <cell r="F755"/>
          <cell r="G755"/>
          <cell r="H755"/>
        </row>
        <row r="756">
          <cell r="A756">
            <v>24635</v>
          </cell>
          <cell r="B756">
            <v>922</v>
          </cell>
          <cell r="C756" t="str">
            <v>ICW NATIONAL INSURANCE COMPANY</v>
          </cell>
          <cell r="D756" t="str">
            <v>LA1 / HUH</v>
          </cell>
          <cell r="E756" t="str">
            <v>LA1 / AHN</v>
          </cell>
          <cell r="F756"/>
          <cell r="G756"/>
          <cell r="H756"/>
        </row>
        <row r="757">
          <cell r="A757">
            <v>27847</v>
          </cell>
          <cell r="B757">
            <v>922</v>
          </cell>
          <cell r="C757" t="str">
            <v>INSURANCE COMPANY OF THE WEST</v>
          </cell>
          <cell r="D757" t="str">
            <v>LA1 / HUH</v>
          </cell>
          <cell r="E757" t="str">
            <v>LA1 / AHN</v>
          </cell>
          <cell r="F757"/>
          <cell r="G757"/>
          <cell r="H757"/>
        </row>
        <row r="758">
          <cell r="A758">
            <v>32778</v>
          </cell>
          <cell r="B758">
            <v>923</v>
          </cell>
          <cell r="C758" t="str">
            <v>WASHINGTON INTERNATIONAL INSURANCE COMPANY  (Name changed to Swiss Re Corporate Solutions Premier Insurance Corporation Issued May 11, 2022)</v>
          </cell>
          <cell r="D758" t="str">
            <v>LA1 / HUH</v>
          </cell>
          <cell r="E758" t="str">
            <v>LA1 / OKPARA</v>
          </cell>
          <cell r="F758" t="str">
            <v>SF2 / GOTERA-PITROU</v>
          </cell>
          <cell r="G758"/>
          <cell r="H758"/>
        </row>
        <row r="759">
          <cell r="A759">
            <v>14435</v>
          </cell>
          <cell r="B759">
            <v>946</v>
          </cell>
          <cell r="C759" t="str">
            <v>LUMBER MUTUAL INSURANCE COMPANY</v>
          </cell>
          <cell r="D759" t="str">
            <v>LA1 / HUH</v>
          </cell>
          <cell r="E759" t="str">
            <v>LA1 / OKPARA</v>
          </cell>
          <cell r="F759" t="str">
            <v>SF2 / GOTERA-PITROU</v>
          </cell>
          <cell r="G759"/>
          <cell r="H759"/>
        </row>
        <row r="760">
          <cell r="A760">
            <v>30503</v>
          </cell>
          <cell r="B760">
            <v>958</v>
          </cell>
          <cell r="C760" t="str">
            <v>FEDERAL KEMPER INS CO (dba Ins Co of DecaLINr)</v>
          </cell>
          <cell r="D760" t="str">
            <v>LA2 / GUAN</v>
          </cell>
          <cell r="E760" t="str">
            <v>LA2 / GUAN</v>
          </cell>
          <cell r="F760" t="str">
            <v>SF2 / GOTERA-PITROU</v>
          </cell>
          <cell r="G760"/>
          <cell r="H760"/>
        </row>
        <row r="761">
          <cell r="A761">
            <v>22438</v>
          </cell>
          <cell r="B761">
            <v>958</v>
          </cell>
          <cell r="C761" t="str">
            <v>HAWAIIAN INSURANCE AND GUARANTY COMPANY, LTD</v>
          </cell>
          <cell r="D761" t="str">
            <v>LA2 / GUAN</v>
          </cell>
          <cell r="E761" t="str">
            <v>LA2 / GUAN</v>
          </cell>
          <cell r="F761" t="str">
            <v>SF2 / GOTERA-PITROU</v>
          </cell>
          <cell r="G761"/>
          <cell r="H761"/>
        </row>
        <row r="762">
          <cell r="A762">
            <v>30503</v>
          </cell>
          <cell r="B762">
            <v>958</v>
          </cell>
          <cell r="C762" t="str">
            <v>INSURANCE COMPANY OF DECALINR (see Federal Kemper Insurance Company_</v>
          </cell>
          <cell r="D762" t="str">
            <v>LA2 / GUAN</v>
          </cell>
          <cell r="E762" t="str">
            <v>LA2 / GUAN</v>
          </cell>
          <cell r="F762" t="str">
            <v>SF2 / GOTERA-PITROU</v>
          </cell>
          <cell r="G762"/>
          <cell r="H762"/>
        </row>
        <row r="763">
          <cell r="A763">
            <v>26620</v>
          </cell>
          <cell r="B763">
            <v>958</v>
          </cell>
          <cell r="C763" t="str">
            <v>SHEFFIELD INSURANCE CORPORATION (ALABAMA)</v>
          </cell>
          <cell r="D763" t="str">
            <v>LA2 / GUAN</v>
          </cell>
          <cell r="E763" t="str">
            <v>LA2 / GUAN</v>
          </cell>
          <cell r="F763" t="str">
            <v>SF2 / TRANZOR</v>
          </cell>
          <cell r="G763"/>
          <cell r="H763"/>
        </row>
        <row r="764">
          <cell r="A764">
            <v>11762</v>
          </cell>
          <cell r="B764">
            <v>958</v>
          </cell>
          <cell r="C764" t="str">
            <v>VESTA FIRE INSURANCE CORPORATION</v>
          </cell>
          <cell r="D764" t="str">
            <v>LA2 / GUAN</v>
          </cell>
          <cell r="E764" t="str">
            <v>LA2 / GUAN</v>
          </cell>
          <cell r="F764" t="str">
            <v>SF2 / DEMESA</v>
          </cell>
          <cell r="G764"/>
          <cell r="H764"/>
        </row>
        <row r="765">
          <cell r="A765">
            <v>42250</v>
          </cell>
          <cell r="B765">
            <v>961</v>
          </cell>
          <cell r="C765" t="str">
            <v>FRONTIER PACIFIC INSURANCE COMPANY</v>
          </cell>
          <cell r="D765" t="str">
            <v>SF2 / TRANZOR</v>
          </cell>
          <cell r="E765" t="str">
            <v>SF2 / TRANZOR</v>
          </cell>
          <cell r="F765" t="str">
            <v>SF2 / DEMESA</v>
          </cell>
          <cell r="G765"/>
          <cell r="H765"/>
        </row>
        <row r="766">
          <cell r="A766">
            <v>33022</v>
          </cell>
          <cell r="B766">
            <v>968</v>
          </cell>
          <cell r="C766" t="str">
            <v>AXA INSURANCE COMPANY</v>
          </cell>
          <cell r="D766" t="str">
            <v>SF2 / DEMESA</v>
          </cell>
          <cell r="E766" t="str">
            <v>SF2 / DEMESA</v>
          </cell>
          <cell r="F766" t="str">
            <v>SF2 / DEMESA</v>
          </cell>
          <cell r="G766"/>
          <cell r="H766"/>
        </row>
        <row r="767">
          <cell r="A767">
            <v>19518</v>
          </cell>
          <cell r="B767">
            <v>968</v>
          </cell>
          <cell r="C767" t="str">
            <v>CATLIN INSURANCE COMPANY, INC.</v>
          </cell>
          <cell r="D767" t="str">
            <v>SF2 / DEMESA</v>
          </cell>
          <cell r="E767" t="str">
            <v>SF2 / DEMESA</v>
          </cell>
          <cell r="F767" t="str">
            <v>SF2 / DEMESA</v>
          </cell>
          <cell r="G767"/>
          <cell r="H767"/>
        </row>
        <row r="768">
          <cell r="A768">
            <v>36552</v>
          </cell>
          <cell r="B768">
            <v>968</v>
          </cell>
          <cell r="C768" t="str">
            <v>COLISEUM REINSURANCE COMPANY</v>
          </cell>
          <cell r="D768" t="str">
            <v>SF2 / DEMESA</v>
          </cell>
          <cell r="E768" t="str">
            <v>SF2 / DEMESA</v>
          </cell>
          <cell r="F768" t="str">
            <v>SF2 / DEMESA</v>
          </cell>
          <cell r="G768"/>
          <cell r="H768"/>
        </row>
        <row r="769">
          <cell r="A769">
            <v>21032</v>
          </cell>
          <cell r="B769">
            <v>968</v>
          </cell>
          <cell r="C769" t="str">
            <v>GLOBAL REINSURANCE CORPORATION OF AMERICA</v>
          </cell>
          <cell r="D769" t="str">
            <v>SF2 / DEMESA</v>
          </cell>
          <cell r="E769" t="str">
            <v>SF2 / DEMESA</v>
          </cell>
          <cell r="F769" t="str">
            <v>SF2 / DEMESA</v>
          </cell>
          <cell r="G769"/>
          <cell r="H769"/>
        </row>
        <row r="770">
          <cell r="A770">
            <v>22322</v>
          </cell>
          <cell r="B770">
            <v>968</v>
          </cell>
          <cell r="C770" t="str">
            <v>GREENWICH INSURANCE COMPANY</v>
          </cell>
          <cell r="D770" t="str">
            <v>SF2 / DEMESA</v>
          </cell>
          <cell r="E770" t="str">
            <v>SF2 / DEMESA</v>
          </cell>
          <cell r="F770" t="str">
            <v>SF2 / DEMESA</v>
          </cell>
          <cell r="G770"/>
          <cell r="H770"/>
        </row>
        <row r="771">
          <cell r="A771">
            <v>40193</v>
          </cell>
          <cell r="B771">
            <v>968</v>
          </cell>
          <cell r="C771" t="str">
            <v>X. L. INSURANCE COMPANY OF NY INC.</v>
          </cell>
          <cell r="D771" t="str">
            <v>SF2 / DEMESA</v>
          </cell>
          <cell r="E771" t="str">
            <v>SF2 / DEMESA</v>
          </cell>
          <cell r="F771" t="str">
            <v>SF2 / DEMESA</v>
          </cell>
          <cell r="G771"/>
          <cell r="H771"/>
        </row>
        <row r="772">
          <cell r="A772">
            <v>24554</v>
          </cell>
          <cell r="B772">
            <v>968</v>
          </cell>
          <cell r="C772" t="str">
            <v>XL INSURANCE AMERICA, INC.</v>
          </cell>
          <cell r="D772" t="str">
            <v>SF2 / DEMESA</v>
          </cell>
          <cell r="E772" t="str">
            <v>SF2 / DEMESA</v>
          </cell>
          <cell r="F772" t="str">
            <v>SF2 / DEMESA</v>
          </cell>
          <cell r="G772"/>
          <cell r="H772"/>
        </row>
        <row r="773">
          <cell r="A773">
            <v>20583</v>
          </cell>
          <cell r="B773">
            <v>968</v>
          </cell>
          <cell r="C773" t="str">
            <v>XL REINSURANCE AMERICA INC.</v>
          </cell>
          <cell r="D773" t="str">
            <v>SF2 / DEMESA</v>
          </cell>
          <cell r="E773" t="str">
            <v>SF2 / DEMESA</v>
          </cell>
          <cell r="F773" t="str">
            <v>SF2 / GOTERA-PITROU</v>
          </cell>
          <cell r="G773"/>
          <cell r="H773"/>
        </row>
        <row r="774">
          <cell r="A774">
            <v>37885</v>
          </cell>
          <cell r="B774">
            <v>968</v>
          </cell>
          <cell r="C774" t="str">
            <v>XL SPECIALTY INSURANCE COMPANY</v>
          </cell>
          <cell r="D774" t="str">
            <v>SF2 / DEMESA</v>
          </cell>
          <cell r="E774" t="str">
            <v>SF2 / DEMESA</v>
          </cell>
          <cell r="F774" t="str">
            <v>SF2 / GOTERA-PITROU</v>
          </cell>
          <cell r="G774"/>
          <cell r="H774"/>
        </row>
        <row r="775">
          <cell r="A775">
            <v>22489</v>
          </cell>
          <cell r="B775">
            <v>1116</v>
          </cell>
          <cell r="C775" t="str">
            <v>HIGHLANDS INSURANCE COMPANY</v>
          </cell>
          <cell r="D775" t="str">
            <v>SF1 / HILL</v>
          </cell>
          <cell r="E775" t="str">
            <v>SF1 / HILL</v>
          </cell>
          <cell r="F775" t="str">
            <v>SF2 / GOTERA-PITROU</v>
          </cell>
          <cell r="G775"/>
          <cell r="H775"/>
        </row>
        <row r="776">
          <cell r="A776">
            <v>22497</v>
          </cell>
          <cell r="B776">
            <v>1116</v>
          </cell>
          <cell r="C776" t="str">
            <v>HIGHLANDS UNDERWRITERS INSURANCE COMPANY</v>
          </cell>
          <cell r="D776" t="str">
            <v>SF1 / HILL</v>
          </cell>
          <cell r="E776" t="str">
            <v>SF1 / HILL</v>
          </cell>
          <cell r="F776" t="str">
            <v>SF2 / GOTERA-PITROU</v>
          </cell>
          <cell r="G776"/>
          <cell r="H776"/>
        </row>
        <row r="777">
          <cell r="A777">
            <v>23086</v>
          </cell>
          <cell r="B777">
            <v>1116</v>
          </cell>
          <cell r="C777" t="str">
            <v>LMI INSURANCE COMPANY</v>
          </cell>
          <cell r="D777" t="str">
            <v>SF1 / HILL</v>
          </cell>
          <cell r="E777" t="str">
            <v>SF1 / HILL</v>
          </cell>
          <cell r="F777" t="str">
            <v>SF2 / GOTERA-PITROU</v>
          </cell>
          <cell r="G777"/>
          <cell r="H777"/>
        </row>
        <row r="778">
          <cell r="A778">
            <v>23906</v>
          </cell>
          <cell r="B778">
            <v>1116</v>
          </cell>
          <cell r="C778" t="str">
            <v>NORTHWESTERN NATIONAL CASUALTY COMPANY</v>
          </cell>
          <cell r="D778" t="str">
            <v>SF1 / HILL</v>
          </cell>
          <cell r="E778" t="str">
            <v>SF1 / HILL</v>
          </cell>
          <cell r="F778" t="str">
            <v>SF2 / TRANZOR</v>
          </cell>
          <cell r="G778"/>
          <cell r="H778"/>
        </row>
        <row r="779">
          <cell r="A779">
            <v>23930</v>
          </cell>
          <cell r="B779">
            <v>1116</v>
          </cell>
          <cell r="C779" t="str">
            <v>PACIFIC NATIONAL INSURANCE COMPANY</v>
          </cell>
          <cell r="D779" t="str">
            <v>SF1 / HILL</v>
          </cell>
          <cell r="E779" t="str">
            <v>SF1 / HILL</v>
          </cell>
          <cell r="F779" t="str">
            <v>SF2 / TRANZOR</v>
          </cell>
          <cell r="G779"/>
          <cell r="H779"/>
        </row>
        <row r="780">
          <cell r="A780">
            <v>16044</v>
          </cell>
          <cell r="B780">
            <v>1120</v>
          </cell>
          <cell r="C780" t="str">
            <v>EVEREST DENALI INSURANCE COMPANY</v>
          </cell>
          <cell r="D780" t="str">
            <v>SF2 / DEMESA</v>
          </cell>
          <cell r="E780" t="str">
            <v>SF2 / DEMESA</v>
          </cell>
          <cell r="F780" t="str">
            <v>SF2 / DEMESA</v>
          </cell>
          <cell r="G780"/>
          <cell r="H780"/>
        </row>
        <row r="781">
          <cell r="A781">
            <v>10120</v>
          </cell>
          <cell r="B781">
            <v>1120</v>
          </cell>
          <cell r="C781" t="str">
            <v>EVEREST NATIONAL INSURANCE COMPANY</v>
          </cell>
          <cell r="D781" t="str">
            <v>SF2 / DEMESA</v>
          </cell>
          <cell r="E781" t="str">
            <v>SF2 / DEMESA</v>
          </cell>
          <cell r="F781" t="str">
            <v>SF2 / DEMESA</v>
          </cell>
          <cell r="G781"/>
          <cell r="H781"/>
        </row>
        <row r="782">
          <cell r="A782">
            <v>16045</v>
          </cell>
          <cell r="B782">
            <v>1120</v>
          </cell>
          <cell r="C782" t="str">
            <v>EVEREST PREMIER INSURANCE COMPANY</v>
          </cell>
          <cell r="D782" t="str">
            <v>SF2 / DEMESA</v>
          </cell>
          <cell r="E782" t="str">
            <v>SF2 / DEMESA</v>
          </cell>
          <cell r="F782" t="str">
            <v>SF2 / DEMESA</v>
          </cell>
          <cell r="G782"/>
          <cell r="H782"/>
        </row>
        <row r="783">
          <cell r="A783">
            <v>26921</v>
          </cell>
          <cell r="B783">
            <v>1120</v>
          </cell>
          <cell r="C783" t="str">
            <v>EVEREST REINSURANCE COMPANY</v>
          </cell>
          <cell r="D783" t="str">
            <v>SF2 / DEMESA</v>
          </cell>
          <cell r="E783" t="str">
            <v>SF2 / DEMESA</v>
          </cell>
          <cell r="F783" t="str">
            <v>SF2 / GOTERA-PITROU</v>
          </cell>
          <cell r="G783"/>
          <cell r="H783"/>
        </row>
        <row r="784">
          <cell r="A784">
            <v>27154</v>
          </cell>
          <cell r="B784">
            <v>1129</v>
          </cell>
          <cell r="C784" t="str">
            <v>ATLANTIC SPECIALTY INSURANCE COMPANY</v>
          </cell>
          <cell r="D784" t="str">
            <v>SF2 / DEMESA</v>
          </cell>
          <cell r="E784" t="str">
            <v>SF2 / DEMESA</v>
          </cell>
          <cell r="F784" t="str">
            <v>SF2 / GOTERA-PITROU</v>
          </cell>
          <cell r="G784"/>
          <cell r="H784"/>
        </row>
        <row r="785">
          <cell r="A785">
            <v>27251</v>
          </cell>
          <cell r="B785">
            <v>1135</v>
          </cell>
          <cell r="C785" t="str">
            <v>PMI MORTGAGE INSURANCE COMPANY</v>
          </cell>
          <cell r="D785" t="str">
            <v>SF1 / HILL</v>
          </cell>
          <cell r="E785" t="str">
            <v>SF1 / HILL</v>
          </cell>
          <cell r="F785"/>
          <cell r="G785"/>
          <cell r="H785"/>
        </row>
        <row r="786">
          <cell r="A786">
            <v>27251</v>
          </cell>
          <cell r="B786">
            <v>1135</v>
          </cell>
          <cell r="C786" t="str">
            <v>PMI MORTGAGE INSURANCE COMPANY</v>
          </cell>
          <cell r="D786" t="str">
            <v>SF1 / HILL</v>
          </cell>
          <cell r="E786" t="str">
            <v>SF1 / HILL</v>
          </cell>
          <cell r="F786" t="str">
            <v>SF2 / TRANZOR</v>
          </cell>
          <cell r="G786"/>
          <cell r="H786"/>
        </row>
        <row r="787">
          <cell r="A787">
            <v>28800</v>
          </cell>
          <cell r="B787">
            <v>1144</v>
          </cell>
          <cell r="C787" t="str">
            <v>INSURANCE CORPORATION OF AMERICA</v>
          </cell>
          <cell r="D787" t="str">
            <v>SF1 / POON</v>
          </cell>
          <cell r="E787" t="str">
            <v>SF1 / POON</v>
          </cell>
          <cell r="F787" t="str">
            <v>SF2 / TRANZOR</v>
          </cell>
          <cell r="G787"/>
          <cell r="H787"/>
        </row>
        <row r="788">
          <cell r="A788">
            <v>21865</v>
          </cell>
          <cell r="B788">
            <v>1147</v>
          </cell>
          <cell r="C788" t="str">
            <v>WCF SELECT INSURANCE COMPANY</v>
          </cell>
          <cell r="D788" t="str">
            <v>SF1 / POON</v>
          </cell>
          <cell r="E788" t="str">
            <v>SF1 / POON</v>
          </cell>
          <cell r="F788" t="str">
            <v>SF2 / GOTERA-PITROU</v>
          </cell>
          <cell r="G788"/>
          <cell r="H788"/>
        </row>
        <row r="789">
          <cell r="A789">
            <v>36234</v>
          </cell>
          <cell r="B789">
            <v>1154</v>
          </cell>
          <cell r="C789" t="str">
            <v>PREFERRED PROFESSIONAL INSURANCE COMPANY</v>
          </cell>
          <cell r="D789" t="str">
            <v>SF2 / TRANZOR</v>
          </cell>
          <cell r="E789" t="str">
            <v>SF2 / TRANZOR</v>
          </cell>
          <cell r="F789" t="str">
            <v>SF2 / GOTERA-PITROU</v>
          </cell>
          <cell r="G789"/>
          <cell r="H789"/>
        </row>
        <row r="790">
          <cell r="A790">
            <v>10638</v>
          </cell>
          <cell r="B790">
            <v>1154</v>
          </cell>
          <cell r="C790" t="str">
            <v>PROSELECT INSURANCE COMPANY</v>
          </cell>
          <cell r="D790" t="str">
            <v>SF2 / TRANZOR</v>
          </cell>
          <cell r="E790" t="str">
            <v>SF2 / TRANZOR</v>
          </cell>
          <cell r="F790" t="str">
            <v>SF2 / GOTERA-PITROU</v>
          </cell>
          <cell r="G790"/>
          <cell r="H790"/>
        </row>
        <row r="791">
          <cell r="A791">
            <v>24422</v>
          </cell>
          <cell r="B791">
            <v>1172</v>
          </cell>
          <cell r="C791" t="str">
            <v>LEGION INSURANCE COMPANY</v>
          </cell>
          <cell r="D791" t="str">
            <v>LA1 / HUH</v>
          </cell>
          <cell r="E791" t="str">
            <v>LA1 / AHN</v>
          </cell>
          <cell r="F791"/>
          <cell r="G791"/>
          <cell r="H791"/>
        </row>
        <row r="792">
          <cell r="A792">
            <v>19577</v>
          </cell>
          <cell r="B792">
            <v>1172</v>
          </cell>
          <cell r="C792" t="str">
            <v>VILLANOVA INSURANCE COMPANY</v>
          </cell>
          <cell r="D792" t="str">
            <v>LA1 / HUH</v>
          </cell>
          <cell r="E792" t="str">
            <v>LA1 / AHN</v>
          </cell>
          <cell r="F792"/>
          <cell r="G792"/>
          <cell r="H792"/>
        </row>
        <row r="793">
          <cell r="A793">
            <v>10671</v>
          </cell>
          <cell r="B793">
            <v>1208</v>
          </cell>
          <cell r="C793" t="str">
            <v>GRAY CASUALTY &amp; SURETY COMPANY</v>
          </cell>
          <cell r="D793" t="str">
            <v>SF1 / WONG</v>
          </cell>
          <cell r="E793" t="str">
            <v>SF1 / WONG</v>
          </cell>
          <cell r="F793"/>
          <cell r="G793"/>
          <cell r="H793"/>
        </row>
        <row r="794">
          <cell r="A794">
            <v>36307</v>
          </cell>
          <cell r="B794">
            <v>1208</v>
          </cell>
          <cell r="C794" t="str">
            <v>GRAY INSURANCE COMPANY</v>
          </cell>
          <cell r="D794" t="str">
            <v>SF1 / WONG</v>
          </cell>
          <cell r="E794" t="str">
            <v>SF1 / WONG</v>
          </cell>
          <cell r="F794"/>
          <cell r="G794"/>
          <cell r="H794"/>
        </row>
        <row r="795">
          <cell r="A795">
            <v>32859</v>
          </cell>
          <cell r="B795">
            <v>1218</v>
          </cell>
          <cell r="C795" t="str">
            <v>PENN-AMERICA INSURANCE COMPANY</v>
          </cell>
          <cell r="D795" t="str">
            <v>LA1 / HUH</v>
          </cell>
          <cell r="E795" t="str">
            <v>LA1 / OKPARA</v>
          </cell>
          <cell r="F795"/>
          <cell r="G795"/>
          <cell r="H795"/>
        </row>
        <row r="796">
          <cell r="A796">
            <v>18872</v>
          </cell>
          <cell r="B796">
            <v>1222</v>
          </cell>
          <cell r="C796" t="str">
            <v>ACHD INSURANCE COMPANY</v>
          </cell>
          <cell r="D796" t="str">
            <v>SF1 / HILL</v>
          </cell>
          <cell r="E796" t="str">
            <v>SF1 / HILL</v>
          </cell>
          <cell r="F796" t="str">
            <v>SF2 / GOTERA-PITROU</v>
          </cell>
          <cell r="G796"/>
          <cell r="H796"/>
        </row>
        <row r="797">
          <cell r="A797">
            <v>29513</v>
          </cell>
          <cell r="B797">
            <v>1228</v>
          </cell>
          <cell r="C797" t="str">
            <v>BAR PLAN MUTUAL INSURANCE COMPANY (THE)</v>
          </cell>
          <cell r="D797" t="str">
            <v>LA3 / ZHAO</v>
          </cell>
          <cell r="E797" t="str">
            <v>LA3 / ZHAO</v>
          </cell>
          <cell r="F797" t="str">
            <v>SF2 / GOTERA-PITROU</v>
          </cell>
          <cell r="G797"/>
          <cell r="H797"/>
        </row>
        <row r="798">
          <cell r="A798">
            <v>18708</v>
          </cell>
          <cell r="B798">
            <v>1248</v>
          </cell>
          <cell r="C798" t="str">
            <v>AMBAC ASSURANCE CORPORATION</v>
          </cell>
          <cell r="D798" t="str">
            <v>SF2 / GOTERA-PITROU</v>
          </cell>
          <cell r="E798" t="str">
            <v>SF2 / GOTERA-PITROU</v>
          </cell>
          <cell r="F798" t="str">
            <v>SF2 / GOTERA-PITROU</v>
          </cell>
          <cell r="G798"/>
          <cell r="H798"/>
        </row>
        <row r="799">
          <cell r="A799">
            <v>24961</v>
          </cell>
          <cell r="B799">
            <v>1248</v>
          </cell>
          <cell r="C799" t="str">
            <v>EVERSPAN INSURANCE COMPANY</v>
          </cell>
          <cell r="D799" t="str">
            <v>SF2 / GOTERA-PITROU</v>
          </cell>
          <cell r="E799" t="str">
            <v>SF2 / GOTERA-PITROU</v>
          </cell>
          <cell r="F799"/>
          <cell r="G799"/>
          <cell r="H799"/>
        </row>
        <row r="800">
          <cell r="A800">
            <v>33383</v>
          </cell>
          <cell r="B800">
            <v>1272</v>
          </cell>
          <cell r="C800" t="str">
            <v>FIRST PROFESSIONALS INSURANCE COMPANY</v>
          </cell>
          <cell r="D800" t="str">
            <v>SF2 / TRANZOR</v>
          </cell>
          <cell r="E800" t="str">
            <v>SF2 / TRANZOR</v>
          </cell>
          <cell r="F800"/>
          <cell r="G800"/>
          <cell r="H800" t="str">
            <v>RAO / YE</v>
          </cell>
        </row>
        <row r="801">
          <cell r="A801">
            <v>10921</v>
          </cell>
          <cell r="B801">
            <v>1278</v>
          </cell>
          <cell r="C801" t="str">
            <v>CSAA FIRE &amp; CASUALTY INSURANCE COMPANY</v>
          </cell>
          <cell r="D801" t="str">
            <v>SF1 / WONG</v>
          </cell>
          <cell r="E801" t="str">
            <v>SF1 / WONG</v>
          </cell>
          <cell r="F801"/>
          <cell r="G801" t="str">
            <v>RAO / YE</v>
          </cell>
          <cell r="H801" t="str">
            <v>RAO / YE</v>
          </cell>
        </row>
        <row r="802">
          <cell r="A802">
            <v>37770</v>
          </cell>
          <cell r="B802">
            <v>1278</v>
          </cell>
          <cell r="C802" t="str">
            <v>CSAA GENERAL INSURANCE COMPANY</v>
          </cell>
          <cell r="D802" t="str">
            <v>SF1 / WONG</v>
          </cell>
          <cell r="E802" t="str">
            <v>SF1 / WONG</v>
          </cell>
          <cell r="F802"/>
          <cell r="G802"/>
          <cell r="H802"/>
        </row>
        <row r="803">
          <cell r="A803">
            <v>15539</v>
          </cell>
          <cell r="B803">
            <v>1278</v>
          </cell>
          <cell r="C803" t="str">
            <v>CSAA INSURANCE EXCHANGE</v>
          </cell>
          <cell r="D803" t="str">
            <v>SF1 / WONG</v>
          </cell>
          <cell r="E803" t="str">
            <v>SF1 / WONG</v>
          </cell>
          <cell r="F803" t="str">
            <v>SF2 / GOTERA-PITROU</v>
          </cell>
          <cell r="G803"/>
          <cell r="H803"/>
        </row>
        <row r="804">
          <cell r="A804">
            <v>16392</v>
          </cell>
          <cell r="B804">
            <v>1278</v>
          </cell>
          <cell r="C804" t="str">
            <v>MOBILITAS INSURANCE COMPANY</v>
          </cell>
          <cell r="D804" t="str">
            <v>SF1 / WONG</v>
          </cell>
          <cell r="E804" t="str">
            <v>SF1 / WONG</v>
          </cell>
          <cell r="F804" t="str">
            <v>SF2 / GOTERA-PITROU</v>
          </cell>
          <cell r="G804"/>
          <cell r="H804"/>
        </row>
        <row r="805">
          <cell r="A805">
            <v>11150</v>
          </cell>
          <cell r="B805">
            <v>1279</v>
          </cell>
          <cell r="C805" t="str">
            <v>ARCH INSURANCE COMPANY</v>
          </cell>
          <cell r="D805" t="str">
            <v>SF2 / DEMESA</v>
          </cell>
          <cell r="E805" t="str">
            <v>SF2 / DEMESA</v>
          </cell>
          <cell r="F805" t="str">
            <v>SF2 / GOTERA-PITROU</v>
          </cell>
          <cell r="G805"/>
          <cell r="H805"/>
        </row>
        <row r="806">
          <cell r="A806">
            <v>29114</v>
          </cell>
          <cell r="B806">
            <v>1279</v>
          </cell>
          <cell r="C806" t="str">
            <v>ARCH MORTGAGE ASSURANCE COMPANY</v>
          </cell>
          <cell r="D806" t="str">
            <v>SF2 / DEMESA</v>
          </cell>
          <cell r="E806" t="str">
            <v>SF2 / DEMESA</v>
          </cell>
          <cell r="F806" t="str">
            <v>SF2 / GOTERA-PITROU</v>
          </cell>
          <cell r="G806"/>
          <cell r="H806"/>
        </row>
        <row r="807">
          <cell r="A807">
            <v>18732</v>
          </cell>
          <cell r="B807">
            <v>1279</v>
          </cell>
          <cell r="C807" t="str">
            <v>ARCH MORTGAGE GUARANTY COMPANY</v>
          </cell>
          <cell r="D807" t="str">
            <v>SF2 / DEMESA</v>
          </cell>
          <cell r="E807" t="str">
            <v>SF2 / DEMESA</v>
          </cell>
          <cell r="F807" t="str">
            <v>SF2 / GOTERA-PITROU</v>
          </cell>
          <cell r="G807"/>
          <cell r="H807"/>
        </row>
        <row r="808">
          <cell r="A808">
            <v>40266</v>
          </cell>
          <cell r="B808">
            <v>1279</v>
          </cell>
          <cell r="C808" t="str">
            <v>ARCH MORTGAGE INSURANCE COMPANY</v>
          </cell>
          <cell r="D808" t="str">
            <v>SF2 / DEMESA</v>
          </cell>
          <cell r="E808" t="str">
            <v>SF2 / DEMESA</v>
          </cell>
          <cell r="F808" t="str">
            <v>SF2 / GOTERA-PITROU</v>
          </cell>
          <cell r="G808"/>
          <cell r="H808"/>
        </row>
        <row r="809">
          <cell r="A809">
            <v>10348</v>
          </cell>
          <cell r="B809">
            <v>1279</v>
          </cell>
          <cell r="C809" t="str">
            <v>ARCH REINSURANCE COMPANY</v>
          </cell>
          <cell r="D809" t="str">
            <v>SF2 / DEMESA</v>
          </cell>
          <cell r="E809" t="str">
            <v>SF2 / DEMESA</v>
          </cell>
          <cell r="F809" t="str">
            <v>SF2 / GOTERA-PITROU</v>
          </cell>
          <cell r="G809"/>
          <cell r="H809"/>
        </row>
        <row r="810">
          <cell r="A810">
            <v>31887</v>
          </cell>
          <cell r="B810">
            <v>1279</v>
          </cell>
          <cell r="C810" t="str">
            <v>COFACE NORTH AMERICA INSURANCE COMPANY</v>
          </cell>
          <cell r="D810" t="str">
            <v>SF2 / DEMESA</v>
          </cell>
          <cell r="E810" t="str">
            <v>SF2 / DEMESA</v>
          </cell>
          <cell r="F810" t="str">
            <v>SF2 / GOTERA-PITROU</v>
          </cell>
          <cell r="G810"/>
          <cell r="H810"/>
        </row>
        <row r="811">
          <cell r="A811">
            <v>25585</v>
          </cell>
          <cell r="B811">
            <v>1279</v>
          </cell>
          <cell r="C811" t="str">
            <v>WATFORD INSURANCE COMPANY</v>
          </cell>
          <cell r="D811" t="str">
            <v>SF2 / DEMESA</v>
          </cell>
          <cell r="E811" t="str">
            <v>SF2 / DEMESA</v>
          </cell>
          <cell r="F811"/>
          <cell r="G811"/>
          <cell r="H811"/>
        </row>
        <row r="812">
          <cell r="A812">
            <v>30830</v>
          </cell>
          <cell r="B812">
            <v>1279</v>
          </cell>
          <cell r="C812" t="str">
            <v>ARCH INDEMNITY INSURANCE COMPANY</v>
          </cell>
          <cell r="D812" t="str">
            <v>SF2 / DEMESA</v>
          </cell>
          <cell r="E812" t="str">
            <v>SF2 / DEMESA</v>
          </cell>
          <cell r="F812"/>
          <cell r="G812"/>
          <cell r="H812"/>
        </row>
        <row r="813">
          <cell r="A813">
            <v>24813</v>
          </cell>
          <cell r="B813">
            <v>5018</v>
          </cell>
          <cell r="C813" t="str">
            <v>BALBOA INSURANCE COMPANY (Name changed to Tesla Insurance Company effective 04/12/2022)</v>
          </cell>
          <cell r="D813" t="str">
            <v>LA3 / SOTINGCO</v>
          </cell>
          <cell r="E813" t="str">
            <v>LA3 / SOTINGCO</v>
          </cell>
          <cell r="F813"/>
          <cell r="G813"/>
          <cell r="H813"/>
        </row>
        <row r="814">
          <cell r="A814">
            <v>24821</v>
          </cell>
          <cell r="B814">
            <v>5018</v>
          </cell>
          <cell r="C814" t="str">
            <v xml:space="preserve">MERITPLAN INSURANCE COMPANY(Name changed to Tesla Property &amp; Casualty, Inc. effective 04/12/2022)
</v>
          </cell>
          <cell r="D814" t="str">
            <v>LA3 / SOTINGCO</v>
          </cell>
          <cell r="E814" t="str">
            <v>LA3 / SOTINGCO</v>
          </cell>
          <cell r="F814"/>
          <cell r="G814"/>
          <cell r="H814"/>
        </row>
        <row r="815">
          <cell r="A815">
            <v>24848</v>
          </cell>
          <cell r="B815">
            <v>5018</v>
          </cell>
          <cell r="C815" t="str">
            <v>NEWPORT INSURANCE COMPANY</v>
          </cell>
          <cell r="D815" t="str">
            <v>LA3 / SOTINGCO</v>
          </cell>
          <cell r="E815" t="str">
            <v>LA3 / SOTINGCO</v>
          </cell>
          <cell r="F815"/>
          <cell r="G815"/>
          <cell r="H815"/>
        </row>
        <row r="816">
          <cell r="A816">
            <v>24813</v>
          </cell>
          <cell r="B816">
            <v>5018</v>
          </cell>
          <cell r="C816" t="str">
            <v>TESLA INSURANCE COMPANY (Previously Balboa Insurance Company)</v>
          </cell>
          <cell r="D816" t="str">
            <v>LA3 / SOTINGCO</v>
          </cell>
          <cell r="E816" t="str">
            <v>LA3 / SOTINGCO</v>
          </cell>
          <cell r="F816"/>
          <cell r="G816"/>
          <cell r="H816"/>
        </row>
        <row r="817">
          <cell r="A817">
            <v>24821</v>
          </cell>
          <cell r="B817">
            <v>5018</v>
          </cell>
          <cell r="C817" t="str">
            <v xml:space="preserve">TESLA PROPERTY &amp; CASUALTY, Inc.(Previously Meritplan Insurance Company)
</v>
          </cell>
          <cell r="D817" t="str">
            <v>LA3 / SOTINGCO</v>
          </cell>
          <cell r="E817" t="str">
            <v>LA3 / SOTINGCO</v>
          </cell>
          <cell r="F817"/>
          <cell r="G817"/>
          <cell r="H817"/>
        </row>
        <row r="818">
          <cell r="A818">
            <v>36870</v>
          </cell>
          <cell r="B818">
            <v>1314</v>
          </cell>
          <cell r="C818" t="str">
            <v>CHARTWELL REINSURANCE COMPANY</v>
          </cell>
          <cell r="D818" t="str">
            <v>SF2 / GOTERA-PITROU</v>
          </cell>
          <cell r="E818" t="str">
            <v>SF2 / GOTERA-PITROU</v>
          </cell>
          <cell r="F818" t="str">
            <v>SF2 / GOTERA-PITROU</v>
          </cell>
          <cell r="G818"/>
          <cell r="H818"/>
        </row>
        <row r="819">
          <cell r="A819">
            <v>18341</v>
          </cell>
          <cell r="B819">
            <v>1314</v>
          </cell>
          <cell r="C819" t="str">
            <v>INSURANCE CORPORATION OF NEW YORK (THE)</v>
          </cell>
          <cell r="D819" t="str">
            <v>SF2 / GOTERA-PITROU</v>
          </cell>
          <cell r="E819" t="str">
            <v>SF2 / GOTERA-PITROU</v>
          </cell>
          <cell r="F819" t="str">
            <v>SF2 / GOTERA-PITROU</v>
          </cell>
          <cell r="G819"/>
          <cell r="H819"/>
        </row>
        <row r="820">
          <cell r="A820">
            <v>34894</v>
          </cell>
          <cell r="B820">
            <v>1314</v>
          </cell>
          <cell r="C820" t="str">
            <v>TRENWICK AMERICA REINSURANCE CORPORATION</v>
          </cell>
          <cell r="D820" t="str">
            <v>SF2 / GOTERA-PITROU</v>
          </cell>
          <cell r="E820" t="str">
            <v>SF2 / GOTERA-PITROU</v>
          </cell>
          <cell r="F820" t="str">
            <v>SF2 / GOTERA-PITROU</v>
          </cell>
          <cell r="G820" t="str">
            <v>RAO / CIMINI/CHOI</v>
          </cell>
          <cell r="H820" t="str">
            <v>RAO / CHUN</v>
          </cell>
        </row>
        <row r="821">
          <cell r="A821">
            <v>13722</v>
          </cell>
          <cell r="B821">
            <v>1316</v>
          </cell>
          <cell r="C821" t="str">
            <v>KNIGHTBROOK INSURANCE COMPANY</v>
          </cell>
          <cell r="D821" t="str">
            <v>SF2 / GOTERA-PITROU</v>
          </cell>
          <cell r="E821" t="str">
            <v>SF2 / GOTERA-PITROU</v>
          </cell>
          <cell r="F821"/>
          <cell r="G821"/>
          <cell r="H821"/>
        </row>
        <row r="822">
          <cell r="A822">
            <v>15598</v>
          </cell>
          <cell r="B822">
            <v>1318</v>
          </cell>
          <cell r="C822" t="str">
            <v>INTERINSURANCE EXCHANGE OF THE AUTOMOBILE CLUB</v>
          </cell>
          <cell r="D822" t="str">
            <v>LA1 / RAHMAN</v>
          </cell>
          <cell r="E822" t="str">
            <v>LA1 / RAHMAN</v>
          </cell>
          <cell r="F822"/>
          <cell r="G822"/>
          <cell r="H822"/>
        </row>
        <row r="823">
          <cell r="A823">
            <v>37931</v>
          </cell>
          <cell r="B823">
            <v>1321</v>
          </cell>
          <cell r="C823" t="str">
            <v>YCI, INC. dba YOUR CHOICE INSURANCE, INC.</v>
          </cell>
          <cell r="D823" t="str">
            <v>LA1 / HUH</v>
          </cell>
          <cell r="E823" t="str">
            <v>LA1 / OKPARA</v>
          </cell>
          <cell r="F823"/>
          <cell r="G823"/>
          <cell r="H823"/>
        </row>
        <row r="824">
          <cell r="A824">
            <v>32271</v>
          </cell>
          <cell r="B824">
            <v>1631</v>
          </cell>
          <cell r="C824" t="str">
            <v>DALLAS NATIONAL INSURANCE COMPANY, A TEXAS STOCK INSURANCE COMPANY</v>
          </cell>
          <cell r="D824" t="str">
            <v>LA2 / LEE</v>
          </cell>
          <cell r="E824" t="str">
            <v>LA2 / LEE</v>
          </cell>
          <cell r="F824"/>
          <cell r="G824"/>
          <cell r="H824"/>
        </row>
        <row r="825">
          <cell r="A825">
            <v>32921</v>
          </cell>
          <cell r="B825">
            <v>2358</v>
          </cell>
          <cell r="C825" t="str">
            <v>ISMIE Mutual Insurance Company</v>
          </cell>
          <cell r="D825" t="str">
            <v>SF2 / DEMESA</v>
          </cell>
          <cell r="E825" t="str">
            <v>SF2 / DEMESA</v>
          </cell>
          <cell r="F825"/>
          <cell r="G825"/>
          <cell r="H825"/>
        </row>
        <row r="826">
          <cell r="A826">
            <v>10499</v>
          </cell>
          <cell r="B826">
            <v>2538</v>
          </cell>
          <cell r="C826" t="str">
            <v>COREPOINTE INSURANCE COMPANY</v>
          </cell>
          <cell r="D826" t="str">
            <v>LA1 / HUH</v>
          </cell>
          <cell r="E826" t="str">
            <v>LA1 / OKPARA</v>
          </cell>
          <cell r="F826" t="str">
            <v>SF2 / GOTERA-PITROU</v>
          </cell>
          <cell r="G826"/>
          <cell r="H826"/>
        </row>
        <row r="827">
          <cell r="A827">
            <v>12718</v>
          </cell>
          <cell r="B827">
            <v>2538</v>
          </cell>
          <cell r="C827" t="str">
            <v>DEVELOPERS SURETY AND INDEMNITY COMPANY</v>
          </cell>
          <cell r="D827" t="str">
            <v>LA1 / HUH</v>
          </cell>
          <cell r="E827" t="str">
            <v>LA1 / OKPARA</v>
          </cell>
          <cell r="F827" t="str">
            <v>SF2 / GOTERA-PITROU</v>
          </cell>
          <cell r="G827"/>
          <cell r="H827"/>
        </row>
        <row r="828">
          <cell r="A828">
            <v>39527</v>
          </cell>
          <cell r="B828">
            <v>2538</v>
          </cell>
          <cell r="C828" t="str">
            <v>HERITAGE INDEMNITY COMPANY</v>
          </cell>
          <cell r="D828" t="str">
            <v>LA1 / HUH</v>
          </cell>
          <cell r="E828" t="str">
            <v>LA1 / OKPARA</v>
          </cell>
          <cell r="F828" t="str">
            <v>SF2 / GOTERA-PITROU</v>
          </cell>
          <cell r="G828"/>
          <cell r="H828"/>
        </row>
        <row r="829">
          <cell r="A829">
            <v>26662</v>
          </cell>
          <cell r="B829">
            <v>2538</v>
          </cell>
          <cell r="C829" t="str">
            <v>MILFORD CASUALTY INSURANCE COMPANY</v>
          </cell>
          <cell r="D829" t="str">
            <v>LA1 / HUH</v>
          </cell>
          <cell r="E829" t="str">
            <v>LA1 / OKPARA</v>
          </cell>
          <cell r="F829" t="str">
            <v>SF2 / GOTERA-PITROU</v>
          </cell>
          <cell r="G829"/>
          <cell r="H829"/>
        </row>
        <row r="830">
          <cell r="A830">
            <v>24538</v>
          </cell>
          <cell r="B830">
            <v>2538</v>
          </cell>
          <cell r="C830" t="str">
            <v>REPUBLIC UNDERWRITERS INSURANCE COMPANY</v>
          </cell>
          <cell r="D830" t="str">
            <v>LA1 / HUH</v>
          </cell>
          <cell r="E830" t="str">
            <v>LA1 / OKPARA</v>
          </cell>
          <cell r="F830" t="str">
            <v>SF2 / GOTERA-PITROU</v>
          </cell>
          <cell r="G830"/>
          <cell r="H830"/>
        </row>
        <row r="831">
          <cell r="A831">
            <v>19879</v>
          </cell>
          <cell r="B831">
            <v>2538</v>
          </cell>
          <cell r="C831" t="str">
            <v>SECURITY NATIONAL INSURANCE COMPANY</v>
          </cell>
          <cell r="D831" t="str">
            <v>LA1 / HUH</v>
          </cell>
          <cell r="E831" t="str">
            <v>LA1 / OKPARA</v>
          </cell>
          <cell r="F831" t="str">
            <v>SF2 / GOTERA-PITROU</v>
          </cell>
          <cell r="G831"/>
          <cell r="H831"/>
        </row>
        <row r="832">
          <cell r="A832">
            <v>22985</v>
          </cell>
          <cell r="B832">
            <v>2538</v>
          </cell>
          <cell r="C832" t="str">
            <v>SEQUOIA INSURANCE COMPANY</v>
          </cell>
          <cell r="D832" t="str">
            <v>LA1 / HUH</v>
          </cell>
          <cell r="E832" t="str">
            <v>LA1 / OKPARA</v>
          </cell>
          <cell r="F832" t="str">
            <v>SF2 / GOTERA-PITROU</v>
          </cell>
          <cell r="G832"/>
          <cell r="H832"/>
        </row>
        <row r="833">
          <cell r="A833">
            <v>19216</v>
          </cell>
          <cell r="B833">
            <v>2538</v>
          </cell>
          <cell r="C833" t="str">
            <v>SOUTHERN INSURANCE COMPANY</v>
          </cell>
          <cell r="D833" t="str">
            <v>LA1 / HUH</v>
          </cell>
          <cell r="E833" t="str">
            <v>LA1 / OKPARA</v>
          </cell>
          <cell r="F833" t="str">
            <v>SF2 / GOTERA-PITROU</v>
          </cell>
          <cell r="G833"/>
          <cell r="H833"/>
        </row>
        <row r="834">
          <cell r="A834">
            <v>42376</v>
          </cell>
          <cell r="B834">
            <v>2538</v>
          </cell>
          <cell r="C834" t="str">
            <v>TECHNOLOGY INSURANCE COMPANY, INC.</v>
          </cell>
          <cell r="D834" t="str">
            <v>LA1 / HUH</v>
          </cell>
          <cell r="E834" t="str">
            <v>LA1 / OKPARA</v>
          </cell>
          <cell r="F834" t="str">
            <v>SF2 / GOTERA-PITROU</v>
          </cell>
          <cell r="G834"/>
          <cell r="H834"/>
        </row>
        <row r="835">
          <cell r="A835">
            <v>25011</v>
          </cell>
          <cell r="B835">
            <v>2538</v>
          </cell>
          <cell r="C835" t="str">
            <v>WESCO INSURANCE COMPANY</v>
          </cell>
          <cell r="D835" t="str">
            <v>LA1 / HUH</v>
          </cell>
          <cell r="E835" t="str">
            <v>LA1 / OKPARA</v>
          </cell>
          <cell r="F835" t="str">
            <v>SF2 / GOTERA-PITROU</v>
          </cell>
          <cell r="G835"/>
          <cell r="H835"/>
        </row>
        <row r="836">
          <cell r="A836">
            <v>15865</v>
          </cell>
          <cell r="B836">
            <v>2638</v>
          </cell>
          <cell r="C836" t="str">
            <v>NCMIC INSURANCE COMPANY</v>
          </cell>
          <cell r="D836" t="str">
            <v>SF2 / GOTERA-PITROU</v>
          </cell>
          <cell r="E836" t="str">
            <v>SF2 / GOTERA-PITROU</v>
          </cell>
          <cell r="F836" t="str">
            <v>SF2 / TRANZOR</v>
          </cell>
          <cell r="G836"/>
          <cell r="H836"/>
        </row>
        <row r="837">
          <cell r="A837">
            <v>11127</v>
          </cell>
          <cell r="B837">
            <v>2638</v>
          </cell>
          <cell r="C837" t="str">
            <v>PROFESSIONAL SOLUTIONS INSURANCE COMPANY</v>
          </cell>
          <cell r="D837" t="str">
            <v>SF2 / GOTERA-PITROU</v>
          </cell>
          <cell r="E837" t="str">
            <v>SF2 / GOTERA-PITROU</v>
          </cell>
          <cell r="F837" t="str">
            <v>SF2 / TRANZOR</v>
          </cell>
          <cell r="G837"/>
          <cell r="H837"/>
        </row>
        <row r="838">
          <cell r="A838">
            <v>22241</v>
          </cell>
          <cell r="B838">
            <v>2698</v>
          </cell>
          <cell r="C838" t="str">
            <v>MEDMARC CASUALTY INSURANCE COMPANY</v>
          </cell>
          <cell r="D838" t="str">
            <v>SF2 / TRANZOR</v>
          </cell>
          <cell r="E838" t="str">
            <v>SF2 / TRANZOR</v>
          </cell>
          <cell r="F838" t="str">
            <v>SF2 / TRANZOR</v>
          </cell>
          <cell r="G838"/>
          <cell r="H838"/>
        </row>
        <row r="839">
          <cell r="A839">
            <v>12754</v>
          </cell>
          <cell r="B839">
            <v>2698</v>
          </cell>
          <cell r="C839" t="str">
            <v>MEDICUS INSURANCE COMPANY</v>
          </cell>
          <cell r="D839" t="str">
            <v>SF2 / TRANZOR</v>
          </cell>
          <cell r="E839" t="str">
            <v>SF2 / TRANZOR</v>
          </cell>
          <cell r="F839" t="str">
            <v>SF2 / TRANZOR</v>
          </cell>
          <cell r="G839"/>
          <cell r="H839"/>
        </row>
        <row r="840">
          <cell r="A840">
            <v>33200</v>
          </cell>
          <cell r="B840">
            <v>2698</v>
          </cell>
          <cell r="C840" t="str">
            <v>NORCAL INSURANCE COMPANY(Name changed from NORCAL MUTUAL Insurance Company due to conversion from mutual company to stock company effective May 5, 2021)</v>
          </cell>
          <cell r="D840" t="str">
            <v>SF2 / TRANZOR</v>
          </cell>
          <cell r="E840" t="str">
            <v>SF2 / TRANZOR</v>
          </cell>
          <cell r="F840" t="str">
            <v>SF2 / TRANZOR</v>
          </cell>
          <cell r="G840"/>
          <cell r="H840"/>
        </row>
        <row r="841">
          <cell r="A841">
            <v>10222</v>
          </cell>
          <cell r="B841">
            <v>2698</v>
          </cell>
          <cell r="C841" t="str">
            <v>PACO ASSURANCE COMPANY, INC.</v>
          </cell>
          <cell r="D841" t="str">
            <v>SF2 / TRANZOR</v>
          </cell>
          <cell r="E841" t="str">
            <v>SF2 / TRANZOR</v>
          </cell>
          <cell r="F841" t="str">
            <v>SF2 / TRANZOR</v>
          </cell>
          <cell r="G841"/>
          <cell r="H841"/>
        </row>
        <row r="842">
          <cell r="A842">
            <v>33391</v>
          </cell>
          <cell r="B842">
            <v>2698</v>
          </cell>
          <cell r="C842" t="str">
            <v>PROASSURANCE INDEMNITY COMPANY</v>
          </cell>
          <cell r="D842" t="str">
            <v>SF2 / TRANZOR</v>
          </cell>
          <cell r="E842" t="str">
            <v>SF2 / TRANZOR</v>
          </cell>
          <cell r="F842"/>
          <cell r="G842"/>
          <cell r="H842"/>
        </row>
        <row r="843">
          <cell r="A843">
            <v>14460</v>
          </cell>
          <cell r="B843">
            <v>2698</v>
          </cell>
          <cell r="C843" t="str">
            <v>PROASSURANCE INSURANCE COMPANY OF AMERICA</v>
          </cell>
          <cell r="D843" t="str">
            <v>SF2 / TRANZOR</v>
          </cell>
          <cell r="E843" t="str">
            <v>SF2 / TRANZOR</v>
          </cell>
          <cell r="F843" t="str">
            <v>SF2 / TRANZOR</v>
          </cell>
          <cell r="G843" t="str">
            <v>RAO / SANANDAJIFAR</v>
          </cell>
          <cell r="H843" t="str">
            <v>RAO / WEHMUELLER</v>
          </cell>
        </row>
        <row r="844">
          <cell r="A844">
            <v>15768</v>
          </cell>
          <cell r="B844">
            <v>2878</v>
          </cell>
          <cell r="C844" t="str">
            <v>MERCED PROPERTY &amp; CASUALTY INSURANCE COMPANY</v>
          </cell>
          <cell r="D844" t="str">
            <v>SF1 / POON</v>
          </cell>
          <cell r="E844" t="str">
            <v>SF1 / POON</v>
          </cell>
          <cell r="F844" t="str">
            <v>SF2 / GOTERA-PITROU</v>
          </cell>
          <cell r="G844"/>
          <cell r="H844"/>
        </row>
        <row r="845">
          <cell r="A845">
            <v>37850</v>
          </cell>
          <cell r="B845">
            <v>2898</v>
          </cell>
          <cell r="C845" t="str">
            <v>PACIFIC SPECIALTY INSURANCE COMPANY</v>
          </cell>
          <cell r="D845" t="str">
            <v>SF2 / GOTERA-PITROU</v>
          </cell>
          <cell r="E845" t="str">
            <v>SF2 / GOTERA-PITROU</v>
          </cell>
          <cell r="F845" t="str">
            <v>SF2 / GOTERA-PITROU</v>
          </cell>
          <cell r="G845"/>
          <cell r="H845"/>
        </row>
        <row r="846">
          <cell r="A846">
            <v>10216</v>
          </cell>
          <cell r="B846">
            <v>3098</v>
          </cell>
          <cell r="C846" t="str">
            <v>AMERICAN CONTRACTORS INDEMNITY CO.</v>
          </cell>
          <cell r="D846" t="str">
            <v>SF2 / GOTERA-PITROU</v>
          </cell>
          <cell r="E846" t="str">
            <v>SF2 / GOTERA-PITROU</v>
          </cell>
          <cell r="F846" t="str">
            <v>SF2 / GOTERA-PITROU</v>
          </cell>
          <cell r="G846"/>
          <cell r="H846"/>
        </row>
        <row r="847">
          <cell r="A847">
            <v>10367</v>
          </cell>
          <cell r="B847">
            <v>3098</v>
          </cell>
          <cell r="C847" t="str">
            <v>AVEMCO INSURANCE COMPANY</v>
          </cell>
          <cell r="D847" t="str">
            <v>SF2 / GOTERA-PITROU</v>
          </cell>
          <cell r="E847" t="str">
            <v>SF2 / GOTERA-PITROU</v>
          </cell>
          <cell r="F847" t="str">
            <v>SF2 / GOTERA-PITROU</v>
          </cell>
          <cell r="G847"/>
          <cell r="H847"/>
        </row>
        <row r="848">
          <cell r="A848">
            <v>18058</v>
          </cell>
          <cell r="B848">
            <v>3098</v>
          </cell>
          <cell r="C848" t="str">
            <v>PHILADELPHIA INDEMNITY INSURANCE COMPANY</v>
          </cell>
          <cell r="D848" t="str">
            <v>SF2 / GOTERA-PITROU</v>
          </cell>
          <cell r="E848" t="str">
            <v>SF2 / GOTERA-PITROU</v>
          </cell>
          <cell r="F848" t="str">
            <v>SF2 / GOTERA-PITROU</v>
          </cell>
          <cell r="G848"/>
          <cell r="H848"/>
        </row>
        <row r="849">
          <cell r="A849">
            <v>12873</v>
          </cell>
          <cell r="B849">
            <v>3098</v>
          </cell>
          <cell r="C849" t="str">
            <v>PRIVILEGE UNDERWRITERS RECIPROCAL EXCHANGE</v>
          </cell>
          <cell r="D849" t="str">
            <v>SF2 / GOTERA-PITROU</v>
          </cell>
          <cell r="E849" t="str">
            <v>SF2 / GOTERA-PITROU</v>
          </cell>
          <cell r="F849" t="str">
            <v>SF2 / GOTERA-PITROU</v>
          </cell>
          <cell r="G849"/>
          <cell r="H849"/>
        </row>
        <row r="850">
          <cell r="A850">
            <v>34312</v>
          </cell>
          <cell r="B850">
            <v>3098</v>
          </cell>
          <cell r="C850" t="str">
            <v>PRODUCERS AGRICULLINRE INSURANCE COMPANY</v>
          </cell>
          <cell r="D850" t="str">
            <v>SF2 / GOTERA-PITROU</v>
          </cell>
          <cell r="E850" t="str">
            <v>SF2 / GOTERA-PITROU</v>
          </cell>
          <cell r="F850" t="str">
            <v>SF2 / GOTERA-PITROU</v>
          </cell>
          <cell r="G850"/>
          <cell r="H850"/>
        </row>
        <row r="851">
          <cell r="A851">
            <v>32301</v>
          </cell>
          <cell r="B851">
            <v>3098</v>
          </cell>
          <cell r="C851" t="str">
            <v>TNUS INSURANCE COMPANY</v>
          </cell>
          <cell r="D851" t="str">
            <v>SF2 / GOTERA-PITROU</v>
          </cell>
          <cell r="E851" t="str">
            <v>SF2 / GOTERA-PITROU</v>
          </cell>
          <cell r="F851" t="str">
            <v>SF2 / GOTERA-PITROU</v>
          </cell>
          <cell r="G851"/>
          <cell r="H851"/>
        </row>
        <row r="852">
          <cell r="A852">
            <v>10945</v>
          </cell>
          <cell r="B852">
            <v>3098</v>
          </cell>
          <cell r="C852" t="str">
            <v>TOKIO MARINE AMERICA INSURANCE COMPANY</v>
          </cell>
          <cell r="D852" t="str">
            <v>SF2 / GOTERA-PITROU</v>
          </cell>
          <cell r="E852" t="str">
            <v>SF2 / GOTERA-PITROU</v>
          </cell>
          <cell r="F852" t="str">
            <v>SF2 / GOTERA-PITROU</v>
          </cell>
          <cell r="G852"/>
          <cell r="H852"/>
        </row>
        <row r="853">
          <cell r="A853">
            <v>41238</v>
          </cell>
          <cell r="B853">
            <v>3098</v>
          </cell>
          <cell r="C853" t="str">
            <v>TRANS PACIFIC INSURANCE COMPANY</v>
          </cell>
          <cell r="D853" t="str">
            <v>SF2 / GOTERA-PITROU</v>
          </cell>
          <cell r="E853" t="str">
            <v>SF2 / GOTERA-PITROU</v>
          </cell>
          <cell r="F853" t="str">
            <v>SF2 / DEMESA</v>
          </cell>
          <cell r="G853"/>
          <cell r="H853"/>
        </row>
        <row r="854">
          <cell r="A854">
            <v>29599</v>
          </cell>
          <cell r="B854">
            <v>3098</v>
          </cell>
          <cell r="C854" t="str">
            <v>U.S. SPECIALTY INSURANCE COMPANY</v>
          </cell>
          <cell r="D854" t="str">
            <v>SF2 / GOTERA-PITROU</v>
          </cell>
          <cell r="E854" t="str">
            <v>SF2 / GOTERA-PITROU</v>
          </cell>
          <cell r="F854" t="str">
            <v>SF2 / TRANZOR</v>
          </cell>
          <cell r="G854"/>
          <cell r="H854"/>
        </row>
        <row r="855">
          <cell r="A855">
            <v>28746</v>
          </cell>
          <cell r="B855">
            <v>3179</v>
          </cell>
          <cell r="C855" t="str">
            <v>EQUITY INSURANCE COMPANY</v>
          </cell>
          <cell r="D855" t="str">
            <v>SF2 / DEMESA</v>
          </cell>
          <cell r="E855" t="str">
            <v>SF2 / DEMESA</v>
          </cell>
          <cell r="F855" t="str">
            <v>SF2 / TRANZOR</v>
          </cell>
          <cell r="G855"/>
          <cell r="H855"/>
        </row>
        <row r="856">
          <cell r="A856">
            <v>12548</v>
          </cell>
          <cell r="B856">
            <v>3219</v>
          </cell>
          <cell r="C856" t="str">
            <v>AMERICAN AGRI-BUSINESS INSURANCE COMPANY</v>
          </cell>
          <cell r="D856" t="str">
            <v>SF2 / TRANZOR</v>
          </cell>
          <cell r="E856" t="str">
            <v>SF2 / TRANZOR</v>
          </cell>
          <cell r="F856" t="str">
            <v>SF2 / TRANZOR</v>
          </cell>
          <cell r="G856"/>
          <cell r="H856"/>
        </row>
        <row r="857">
          <cell r="A857">
            <v>10641</v>
          </cell>
          <cell r="B857">
            <v>3219</v>
          </cell>
          <cell r="C857" t="str">
            <v>ENDURANCE AMERICAN INSURANCE COMPANY</v>
          </cell>
          <cell r="D857" t="str">
            <v>SF2 / TRANZOR</v>
          </cell>
          <cell r="E857" t="str">
            <v>SF2 / TRANZOR</v>
          </cell>
          <cell r="F857" t="str">
            <v>SF2 / TRANZOR</v>
          </cell>
          <cell r="G857"/>
          <cell r="H857"/>
        </row>
        <row r="858">
          <cell r="A858">
            <v>11551</v>
          </cell>
          <cell r="B858">
            <v>3219</v>
          </cell>
          <cell r="C858" t="str">
            <v>ENDURANCE ASSURANCE CORPORATION</v>
          </cell>
          <cell r="D858" t="str">
            <v>SF2 / TRANZOR</v>
          </cell>
          <cell r="E858" t="str">
            <v>SF2 / TRANZOR</v>
          </cell>
          <cell r="F858" t="str">
            <v>SF2 / TRANZOR</v>
          </cell>
          <cell r="G858"/>
          <cell r="H858"/>
        </row>
        <row r="859">
          <cell r="A859">
            <v>43630</v>
          </cell>
          <cell r="B859">
            <v>3219</v>
          </cell>
          <cell r="C859" t="str">
            <v>ENDURANCE RISK SOLUTIONS ASSURANCE CO.</v>
          </cell>
          <cell r="D859" t="str">
            <v>SF2 / TRANZOR</v>
          </cell>
          <cell r="E859" t="str">
            <v>SF2 / TRANZOR</v>
          </cell>
          <cell r="F859" t="str">
            <v>SF2 / TRANZOR</v>
          </cell>
          <cell r="G859"/>
          <cell r="H859"/>
        </row>
        <row r="860">
          <cell r="A860">
            <v>38997</v>
          </cell>
          <cell r="B860">
            <v>3219</v>
          </cell>
          <cell r="C860" t="str">
            <v>SOMPO AMERICA FIRE &amp; MARINE INSURANCE COMPANY</v>
          </cell>
          <cell r="D860" t="str">
            <v>SF2 / TRANZOR</v>
          </cell>
          <cell r="E860" t="str">
            <v>SF2 / TRANZOR</v>
          </cell>
          <cell r="F860" t="str">
            <v>SF2 / TRANZOR</v>
          </cell>
          <cell r="G860"/>
          <cell r="H860"/>
        </row>
        <row r="861">
          <cell r="A861">
            <v>11126</v>
          </cell>
          <cell r="B861">
            <v>3219</v>
          </cell>
          <cell r="C861" t="str">
            <v>SOMPO AMERICA INSURANCE COMPANY</v>
          </cell>
          <cell r="D861" t="str">
            <v>SF2 / TRANZOR</v>
          </cell>
          <cell r="E861" t="str">
            <v>SF2 / TRANZOR</v>
          </cell>
          <cell r="F861"/>
          <cell r="G861"/>
          <cell r="H861"/>
        </row>
        <row r="862">
          <cell r="A862">
            <v>44768</v>
          </cell>
          <cell r="B862">
            <v>3239</v>
          </cell>
          <cell r="C862" t="str">
            <v>VANTAPRO SPECIALTY INSURANCE COMPANY</v>
          </cell>
          <cell r="D862" t="str">
            <v>LA1 / HUH</v>
          </cell>
          <cell r="E862" t="str">
            <v>LA1 / OKPARA</v>
          </cell>
          <cell r="F862" t="str">
            <v>SF2 / TRANZOR</v>
          </cell>
          <cell r="G862"/>
          <cell r="H862"/>
        </row>
        <row r="863">
          <cell r="A863">
            <v>29033</v>
          </cell>
          <cell r="B863">
            <v>3299</v>
          </cell>
          <cell r="C863" t="str">
            <v>ATAIN INSURANCE COMPANY</v>
          </cell>
          <cell r="D863" t="str">
            <v>LA2 / GUAN</v>
          </cell>
          <cell r="E863" t="str">
            <v>LA2 / GUAN</v>
          </cell>
          <cell r="F863"/>
          <cell r="G863"/>
          <cell r="H863"/>
        </row>
        <row r="864">
          <cell r="A864">
            <v>40282</v>
          </cell>
          <cell r="B864">
            <v>3321</v>
          </cell>
          <cell r="C864" t="str">
            <v>PENN CASUALTY INSURANCE COMPANY (dba Travelers Indemnity Co. of MO)</v>
          </cell>
          <cell r="D864" t="str">
            <v>SF2 / TRANZOR</v>
          </cell>
          <cell r="E864" t="str">
            <v>SF2 / TRANZOR</v>
          </cell>
          <cell r="F864"/>
          <cell r="G864"/>
          <cell r="H864"/>
        </row>
        <row r="865">
          <cell r="A865">
            <v>10336</v>
          </cell>
          <cell r="B865">
            <v>3362</v>
          </cell>
          <cell r="C865" t="str">
            <v>FIRST ACCEPTANCE INSURANCE COMPANY</v>
          </cell>
          <cell r="D865" t="str">
            <v>SF1 / WONG</v>
          </cell>
          <cell r="E865" t="str">
            <v>SF1 / WONG</v>
          </cell>
          <cell r="F865"/>
          <cell r="G865"/>
          <cell r="H865"/>
        </row>
        <row r="866">
          <cell r="A866">
            <v>11512</v>
          </cell>
          <cell r="B866">
            <v>3363</v>
          </cell>
          <cell r="C866" t="str">
            <v>EMPLOYERS COMPENSATION INSURANCE COMPANY</v>
          </cell>
          <cell r="D866" t="str">
            <v>SF1 / WONG</v>
          </cell>
          <cell r="E866" t="str">
            <v>SF1 / WONG</v>
          </cell>
          <cell r="F866" t="str">
            <v>SF2 / GOTERA-PITROU</v>
          </cell>
          <cell r="G866"/>
          <cell r="H866"/>
        </row>
        <row r="867">
          <cell r="A867">
            <v>26549</v>
          </cell>
          <cell r="B867">
            <v>3384</v>
          </cell>
          <cell r="C867" t="str">
            <v>REINSURANCE COMPANY OF AMERICA INCORPORATION</v>
          </cell>
          <cell r="D867" t="str">
            <v>LA1 / HUH</v>
          </cell>
          <cell r="E867" t="str">
            <v>LA1 / AHN</v>
          </cell>
          <cell r="F867" t="str">
            <v>SF2 / GOTERA-PITROU</v>
          </cell>
          <cell r="G867"/>
          <cell r="H867"/>
        </row>
        <row r="868">
          <cell r="A868">
            <v>37273</v>
          </cell>
          <cell r="B868">
            <v>3416</v>
          </cell>
          <cell r="C868" t="str">
            <v>AXIS INSURANCE COMPANY</v>
          </cell>
          <cell r="D868" t="str">
            <v>LA1 / HUH</v>
          </cell>
          <cell r="E868" t="str">
            <v>LA1 / OKPARA</v>
          </cell>
          <cell r="F868" t="str">
            <v>SF2 / GOTERA-PITROU</v>
          </cell>
          <cell r="G868"/>
          <cell r="H868"/>
        </row>
        <row r="869">
          <cell r="A869">
            <v>20370</v>
          </cell>
          <cell r="B869">
            <v>3416</v>
          </cell>
          <cell r="C869" t="str">
            <v>AXIS REINSURANCE COMPANY</v>
          </cell>
          <cell r="D869" t="str">
            <v>LA1 / HUH</v>
          </cell>
          <cell r="E869" t="str">
            <v>LA1 / OKPARA</v>
          </cell>
          <cell r="F869"/>
          <cell r="G869"/>
          <cell r="H869"/>
        </row>
        <row r="870">
          <cell r="A870">
            <v>34037</v>
          </cell>
          <cell r="B870">
            <v>3478</v>
          </cell>
          <cell r="C870" t="str">
            <v>HALLMARK INSURANCE COMPANY</v>
          </cell>
          <cell r="D870" t="str">
            <v>SF2 / GOTERA-PITROU</v>
          </cell>
          <cell r="E870" t="str">
            <v>SF2 / GOTERA-PITROU</v>
          </cell>
          <cell r="F870" t="str">
            <v>SF2 / GOTERA-PITROU</v>
          </cell>
          <cell r="G870"/>
          <cell r="H870"/>
        </row>
        <row r="871">
          <cell r="A871">
            <v>14494</v>
          </cell>
          <cell r="B871">
            <v>3479</v>
          </cell>
          <cell r="C871" t="str">
            <v>MERCHANTS BONDING COMPANY (MUTUAL)</v>
          </cell>
          <cell r="D871" t="str">
            <v>LA2 / LEE</v>
          </cell>
          <cell r="E871" t="str">
            <v>LA2 / LEE</v>
          </cell>
          <cell r="F871" t="str">
            <v>SF2 / GOTERA-PITROU</v>
          </cell>
          <cell r="G871"/>
          <cell r="H871"/>
        </row>
        <row r="872">
          <cell r="A872">
            <v>11595</v>
          </cell>
          <cell r="B872">
            <v>3479</v>
          </cell>
          <cell r="C872" t="str">
            <v>MERCHANTS NATIONAL BONDING, INC</v>
          </cell>
          <cell r="D872" t="str">
            <v>LA2 / LEE</v>
          </cell>
          <cell r="E872" t="str">
            <v>LA2 / LEE</v>
          </cell>
          <cell r="F872" t="str">
            <v>SF2 / GOTERA-PITROU</v>
          </cell>
          <cell r="G872"/>
          <cell r="H872"/>
        </row>
        <row r="873">
          <cell r="A873">
            <v>38636</v>
          </cell>
          <cell r="B873">
            <v>3483</v>
          </cell>
          <cell r="C873" t="str">
            <v>PARTNER REINSURANCE COMPANY OF THE U.S.</v>
          </cell>
          <cell r="D873" t="str">
            <v>SF1 / WONG</v>
          </cell>
          <cell r="E873" t="str">
            <v>SF1 / WONG</v>
          </cell>
          <cell r="F873" t="str">
            <v>SF2 / GOTERA-PITROU</v>
          </cell>
          <cell r="G873"/>
          <cell r="H873"/>
        </row>
        <row r="874">
          <cell r="A874">
            <v>11835</v>
          </cell>
          <cell r="B874">
            <v>3483</v>
          </cell>
          <cell r="C874" t="str">
            <v>PARTNERRE AMERICA INSURANCE COMPANY</v>
          </cell>
          <cell r="D874" t="str">
            <v>SF1 / WONG</v>
          </cell>
          <cell r="E874" t="str">
            <v>SF1 / WONG</v>
          </cell>
          <cell r="F874"/>
          <cell r="G874"/>
          <cell r="H874"/>
        </row>
        <row r="875">
          <cell r="A875">
            <v>10006</v>
          </cell>
          <cell r="B875">
            <v>3483</v>
          </cell>
          <cell r="C875" t="str">
            <v>PARTNERRE INSURANCE COMPANY OF NEW YORK</v>
          </cell>
          <cell r="D875" t="str">
            <v>SF1 / WONG</v>
          </cell>
          <cell r="E875" t="str">
            <v>SF1 / WONG</v>
          </cell>
          <cell r="F875" t="str">
            <v>SF2 / DEMESA</v>
          </cell>
          <cell r="G875"/>
          <cell r="H875"/>
        </row>
        <row r="876">
          <cell r="A876">
            <v>41580</v>
          </cell>
          <cell r="B876">
            <v>3485</v>
          </cell>
          <cell r="C876" t="str">
            <v>RED SHIELD INSURANCE COMPANY</v>
          </cell>
          <cell r="D876" t="str">
            <v>LA1 / HUH</v>
          </cell>
          <cell r="E876" t="str">
            <v>LA1 / AHN</v>
          </cell>
          <cell r="F876" t="str">
            <v>SF2 / TRANZOR</v>
          </cell>
          <cell r="G876"/>
          <cell r="H876"/>
        </row>
        <row r="877">
          <cell r="A877">
            <v>15884</v>
          </cell>
          <cell r="B877">
            <v>3494</v>
          </cell>
          <cell r="C877" t="str">
            <v>FALLS LAKE FIRE AND CASUALTY COMPANY</v>
          </cell>
          <cell r="D877" t="str">
            <v>SF2 / DEMESA</v>
          </cell>
          <cell r="E877" t="str">
            <v>SF2 / DEMESA</v>
          </cell>
          <cell r="F877" t="str">
            <v>SF2 / TRANZOR</v>
          </cell>
          <cell r="G877"/>
          <cell r="H877"/>
        </row>
        <row r="878">
          <cell r="A878">
            <v>10819</v>
          </cell>
          <cell r="B878">
            <v>3548</v>
          </cell>
          <cell r="C878" t="str">
            <v>AMERICAN EQUITY SPECIALTY INSURANCE COMPANY</v>
          </cell>
          <cell r="D878" t="str">
            <v>SF2 / TRANZOR</v>
          </cell>
          <cell r="E878" t="str">
            <v>SF2 / TRANZOR</v>
          </cell>
          <cell r="F878" t="str">
            <v>SF2 / TRANZOR</v>
          </cell>
          <cell r="G878"/>
          <cell r="H878"/>
        </row>
        <row r="879">
          <cell r="A879">
            <v>36463</v>
          </cell>
          <cell r="B879">
            <v>3548</v>
          </cell>
          <cell r="C879" t="str">
            <v>DISCOVER PROPERTY &amp; CASUALTY INSURANCE COMPANY</v>
          </cell>
          <cell r="D879" t="str">
            <v>SF2 / TRANZOR</v>
          </cell>
          <cell r="E879" t="str">
            <v>SF2 / TRANZOR</v>
          </cell>
          <cell r="F879" t="str">
            <v>SF2 / TRANZOR</v>
          </cell>
          <cell r="G879"/>
          <cell r="H879"/>
        </row>
        <row r="880">
          <cell r="A880">
            <v>41483</v>
          </cell>
          <cell r="B880">
            <v>3548</v>
          </cell>
          <cell r="C880" t="str">
            <v>FARMINGTON CASUALTY COMPANY</v>
          </cell>
          <cell r="D880" t="str">
            <v>SF2 / TRANZOR</v>
          </cell>
          <cell r="E880" t="str">
            <v>SF2 / TRANZOR</v>
          </cell>
          <cell r="F880" t="str">
            <v>SF2 / TRANZOR</v>
          </cell>
          <cell r="G880"/>
          <cell r="H880"/>
        </row>
        <row r="881">
          <cell r="A881">
            <v>35386</v>
          </cell>
          <cell r="B881">
            <v>3548</v>
          </cell>
          <cell r="C881" t="str">
            <v>FIDELITY AND GUARANTY INSURANCE COMPANY</v>
          </cell>
          <cell r="D881" t="str">
            <v>SF2 / TRANZOR</v>
          </cell>
          <cell r="E881" t="str">
            <v>SF2 / TRANZOR</v>
          </cell>
          <cell r="F881" t="str">
            <v>SF2 / TRANZOR</v>
          </cell>
          <cell r="G881"/>
          <cell r="H881"/>
        </row>
        <row r="882">
          <cell r="A882">
            <v>24031</v>
          </cell>
          <cell r="B882">
            <v>3548</v>
          </cell>
          <cell r="C882" t="str">
            <v>NORTHLAND CASUALTY COMPANY</v>
          </cell>
          <cell r="D882" t="str">
            <v>SF2 / TRANZOR</v>
          </cell>
          <cell r="E882" t="str">
            <v>SF2 / TRANZOR</v>
          </cell>
          <cell r="F882" t="str">
            <v>SF2 / TRANZOR</v>
          </cell>
          <cell r="G882"/>
          <cell r="H882"/>
        </row>
        <row r="883">
          <cell r="A883">
            <v>24015</v>
          </cell>
          <cell r="B883">
            <v>3548</v>
          </cell>
          <cell r="C883" t="str">
            <v>NORTHLAND INSURANCE COMPANY</v>
          </cell>
          <cell r="D883" t="str">
            <v>SF2 / TRANZOR</v>
          </cell>
          <cell r="E883" t="str">
            <v>SF2 / TRANZOR</v>
          </cell>
          <cell r="F883" t="str">
            <v>SF2 / TRANZOR</v>
          </cell>
          <cell r="G883"/>
          <cell r="H883"/>
        </row>
        <row r="884">
          <cell r="A884">
            <v>22233</v>
          </cell>
          <cell r="B884">
            <v>3548</v>
          </cell>
          <cell r="C884" t="str">
            <v>SELECT INSURANCE COMPANY</v>
          </cell>
          <cell r="D884" t="str">
            <v>SF2 / TRANZOR</v>
          </cell>
          <cell r="E884" t="str">
            <v>SF2 / TRANZOR</v>
          </cell>
          <cell r="F884" t="str">
            <v>SF2 / TRANZOR</v>
          </cell>
          <cell r="G884"/>
          <cell r="H884"/>
        </row>
        <row r="885">
          <cell r="A885">
            <v>24767</v>
          </cell>
          <cell r="B885">
            <v>3548</v>
          </cell>
          <cell r="C885" t="str">
            <v>ST. PAUL FIRE AND MARINE INSURANCE COMPANY</v>
          </cell>
          <cell r="D885" t="str">
            <v>SF2 / TRANZOR</v>
          </cell>
          <cell r="E885" t="str">
            <v>SF2 / TRANZOR</v>
          </cell>
          <cell r="F885" t="str">
            <v>SF2 / TRANZOR</v>
          </cell>
          <cell r="G885"/>
          <cell r="H885"/>
        </row>
        <row r="886">
          <cell r="A886">
            <v>24775</v>
          </cell>
          <cell r="B886">
            <v>3548</v>
          </cell>
          <cell r="C886" t="str">
            <v>ST. PAUL GUARDIAN INSURANCE COMPANY</v>
          </cell>
          <cell r="D886" t="str">
            <v>SF2 / TRANZOR</v>
          </cell>
          <cell r="E886" t="str">
            <v>SF2 / TRANZOR</v>
          </cell>
          <cell r="F886" t="str">
            <v>SF2 / TRANZOR</v>
          </cell>
          <cell r="G886"/>
          <cell r="H886"/>
        </row>
        <row r="887">
          <cell r="A887">
            <v>24791</v>
          </cell>
          <cell r="B887">
            <v>3548</v>
          </cell>
          <cell r="C887" t="str">
            <v>ST. PAUL MERCURY INSURANCE COMPANY</v>
          </cell>
          <cell r="D887" t="str">
            <v>SF2 / TRANZOR</v>
          </cell>
          <cell r="E887" t="str">
            <v>SF2 / TRANZOR</v>
          </cell>
          <cell r="F887" t="str">
            <v>SF2 / TRANZOR</v>
          </cell>
          <cell r="G887" t="str">
            <v>RAO / KUO</v>
          </cell>
          <cell r="H887"/>
        </row>
        <row r="888">
          <cell r="A888">
            <v>19224</v>
          </cell>
          <cell r="B888">
            <v>3548</v>
          </cell>
          <cell r="C888" t="str">
            <v>ST. PAUL PROTECTIVE INSURANCE COMPANY</v>
          </cell>
          <cell r="D888" t="str">
            <v>SF2 / TRANZOR</v>
          </cell>
          <cell r="E888" t="str">
            <v>SF2 / TRANZOR</v>
          </cell>
          <cell r="F888" t="str">
            <v>SF2 / TRANZOR</v>
          </cell>
          <cell r="G888"/>
          <cell r="H888"/>
        </row>
        <row r="889">
          <cell r="A889">
            <v>19070</v>
          </cell>
          <cell r="B889">
            <v>3548</v>
          </cell>
          <cell r="C889" t="str">
            <v>STANDARD FIRE INSURANCE COMPANY</v>
          </cell>
          <cell r="D889" t="str">
            <v>SF2 / TRANZOR</v>
          </cell>
          <cell r="E889" t="str">
            <v>SF2 / TRANZOR</v>
          </cell>
          <cell r="F889" t="str">
            <v>SF2 / TRANZOR</v>
          </cell>
          <cell r="G889"/>
          <cell r="H889"/>
        </row>
        <row r="890">
          <cell r="A890">
            <v>19038</v>
          </cell>
          <cell r="B890">
            <v>3548</v>
          </cell>
          <cell r="C890" t="str">
            <v>TRAVELERS CASUALTY AND SURETY COMPANY</v>
          </cell>
          <cell r="D890" t="str">
            <v>SF2 / TRANZOR</v>
          </cell>
          <cell r="E890" t="str">
            <v>SF2 / TRANZOR</v>
          </cell>
          <cell r="F890" t="str">
            <v>SF2 / TRANZOR</v>
          </cell>
          <cell r="G890"/>
          <cell r="H890"/>
        </row>
        <row r="891">
          <cell r="A891">
            <v>31194</v>
          </cell>
          <cell r="B891">
            <v>3548</v>
          </cell>
          <cell r="C891" t="str">
            <v>TRAVELERS CASUALTY AND SURETY COMPANY OF AMERICA</v>
          </cell>
          <cell r="D891" t="str">
            <v>SF2 / TRANZOR</v>
          </cell>
          <cell r="E891" t="str">
            <v>SF2 / TRANZOR</v>
          </cell>
          <cell r="F891" t="str">
            <v>SF2 / TRANZOR</v>
          </cell>
          <cell r="G891"/>
          <cell r="H891"/>
        </row>
        <row r="892">
          <cell r="A892">
            <v>41769</v>
          </cell>
          <cell r="B892">
            <v>3548</v>
          </cell>
          <cell r="C892" t="str">
            <v>TRAVELERS CASUALTY COMPANY (THE)</v>
          </cell>
          <cell r="D892" t="str">
            <v>SF2 / TRANZOR</v>
          </cell>
          <cell r="E892" t="str">
            <v>SF2 / TRANZOR</v>
          </cell>
          <cell r="F892" t="str">
            <v>SF2 / TRANZOR</v>
          </cell>
          <cell r="G892"/>
          <cell r="H892"/>
        </row>
        <row r="893">
          <cell r="A893">
            <v>36170</v>
          </cell>
          <cell r="B893">
            <v>3548</v>
          </cell>
          <cell r="C893" t="str">
            <v>TRAVELERS CASUALTY COMPANY OF CONNECTICUT</v>
          </cell>
          <cell r="D893" t="str">
            <v>SF2 / TRANZOR</v>
          </cell>
          <cell r="E893" t="str">
            <v>SF2 / TRANZOR</v>
          </cell>
          <cell r="F893" t="str">
            <v>SF2 / TRANZOR</v>
          </cell>
          <cell r="G893"/>
          <cell r="H893"/>
        </row>
        <row r="894">
          <cell r="A894">
            <v>19046</v>
          </cell>
          <cell r="B894">
            <v>3548</v>
          </cell>
          <cell r="C894" t="str">
            <v>TRAVELERS CASUALTY INSURANCE COMPANY OF AMERICA</v>
          </cell>
          <cell r="D894" t="str">
            <v>SF2 / TRANZOR</v>
          </cell>
          <cell r="E894" t="str">
            <v>SF2 / TRANZOR</v>
          </cell>
          <cell r="F894" t="str">
            <v>SF2 / TRANZOR</v>
          </cell>
          <cell r="G894" t="str">
            <v>RAO / KUO</v>
          </cell>
          <cell r="H894" t="str">
            <v>RAO / KUO</v>
          </cell>
        </row>
        <row r="895">
          <cell r="A895">
            <v>40282</v>
          </cell>
          <cell r="B895">
            <v>3548</v>
          </cell>
          <cell r="C895" t="str">
            <v>TRAVELERS COMMERCIAL CASUALTY COMPANY</v>
          </cell>
          <cell r="D895" t="str">
            <v>SF2 / TRANZOR</v>
          </cell>
          <cell r="E895" t="str">
            <v>SF2 / TRANZOR</v>
          </cell>
          <cell r="F895" t="str">
            <v>SF2 / TRANZOR</v>
          </cell>
          <cell r="G895"/>
          <cell r="H895"/>
        </row>
        <row r="896">
          <cell r="A896">
            <v>36137</v>
          </cell>
          <cell r="B896">
            <v>3548</v>
          </cell>
          <cell r="C896" t="str">
            <v>TRAVELERS COMMERCIAL INSURANCE COMPANY</v>
          </cell>
          <cell r="D896" t="str">
            <v>SF2 / TRANZOR</v>
          </cell>
          <cell r="E896" t="str">
            <v>SF2 / TRANZOR</v>
          </cell>
          <cell r="F896" t="str">
            <v>SF2 / TRANZOR</v>
          </cell>
          <cell r="G896"/>
          <cell r="H896"/>
        </row>
        <row r="897">
          <cell r="A897">
            <v>41750</v>
          </cell>
          <cell r="B897">
            <v>3548</v>
          </cell>
          <cell r="C897" t="str">
            <v>TRAVELERS CONSTILINTION STATE INSURANCE COMPANY</v>
          </cell>
          <cell r="D897" t="str">
            <v>SF2 / TRANZOR</v>
          </cell>
          <cell r="E897" t="str">
            <v>SF2 / TRANZOR</v>
          </cell>
          <cell r="F897" t="str">
            <v>SF2 / TRANZOR</v>
          </cell>
          <cell r="G897"/>
          <cell r="H897"/>
        </row>
        <row r="898">
          <cell r="A898">
            <v>25658</v>
          </cell>
          <cell r="B898">
            <v>3548</v>
          </cell>
          <cell r="C898" t="str">
            <v>TRAVELERS INDEMNITY COMPANY (THE)</v>
          </cell>
          <cell r="D898" t="str">
            <v>SF2 / TRANZOR</v>
          </cell>
          <cell r="E898" t="str">
            <v>SF2 / TRANZOR</v>
          </cell>
          <cell r="F898" t="str">
            <v>SF2 / TRANZOR</v>
          </cell>
          <cell r="G898"/>
          <cell r="H898"/>
        </row>
        <row r="899">
          <cell r="A899">
            <v>25682</v>
          </cell>
          <cell r="B899">
            <v>3548</v>
          </cell>
          <cell r="C899" t="str">
            <v>TRAVELERS INDEMNITY COMPANY OF CONNECTICUT</v>
          </cell>
          <cell r="D899" t="str">
            <v>SF2 / TRANZOR</v>
          </cell>
          <cell r="E899" t="str">
            <v>SF2 / TRANZOR</v>
          </cell>
          <cell r="F899" t="str">
            <v>SF2 / TRANZOR</v>
          </cell>
          <cell r="G899"/>
          <cell r="H899" t="str">
            <v>RAO / KUO</v>
          </cell>
        </row>
        <row r="900">
          <cell r="A900">
            <v>25674</v>
          </cell>
          <cell r="B900">
            <v>3548</v>
          </cell>
          <cell r="C900" t="str">
            <v>TRAVELERS PROPERTY CASUALTY COMPANY OF AMERICA</v>
          </cell>
          <cell r="D900" t="str">
            <v>SF2 / TRANZOR</v>
          </cell>
          <cell r="E900" t="str">
            <v>SF2 / TRANZOR</v>
          </cell>
          <cell r="F900" t="str">
            <v>SF2 / TRANZOR</v>
          </cell>
          <cell r="G900"/>
          <cell r="H900"/>
        </row>
        <row r="901">
          <cell r="A901">
            <v>36161</v>
          </cell>
          <cell r="B901">
            <v>3548</v>
          </cell>
          <cell r="C901" t="str">
            <v>TRAVELERS PROPERTY CASUALTY INSURANCE COMPANY</v>
          </cell>
          <cell r="D901" t="str">
            <v>SF2 / TRANZOR</v>
          </cell>
          <cell r="E901" t="str">
            <v>SF2 / TRANZOR</v>
          </cell>
          <cell r="F901" t="str">
            <v>SF2 / TRANZOR</v>
          </cell>
          <cell r="G901"/>
          <cell r="H901"/>
        </row>
        <row r="902">
          <cell r="A902">
            <v>25887</v>
          </cell>
          <cell r="B902">
            <v>3548</v>
          </cell>
          <cell r="C902" t="str">
            <v>UNITED STATES FIDELITY AND GUARANTY COMPANY</v>
          </cell>
          <cell r="D902" t="str">
            <v>SF2 / TRANZOR</v>
          </cell>
          <cell r="E902" t="str">
            <v>SF2 / TRANZOR</v>
          </cell>
          <cell r="F902" t="str">
            <v>SF2 / GOTERA-PITROU</v>
          </cell>
          <cell r="G902"/>
          <cell r="H902"/>
        </row>
        <row r="903">
          <cell r="A903">
            <v>11255</v>
          </cell>
          <cell r="B903">
            <v>3569</v>
          </cell>
          <cell r="C903" t="str">
            <v>CATERPILLAR INSURANCE COMPANY</v>
          </cell>
          <cell r="D903" t="str">
            <v>SF2 / TRANZOR</v>
          </cell>
          <cell r="E903" t="str">
            <v>SF2 / TRANZOR</v>
          </cell>
          <cell r="F903"/>
          <cell r="G903"/>
          <cell r="H903"/>
        </row>
        <row r="904">
          <cell r="A904">
            <v>42609</v>
          </cell>
          <cell r="B904">
            <v>3596</v>
          </cell>
          <cell r="C904" t="str">
            <v>AFFIRMATIVE INSURANCE COMPANY</v>
          </cell>
          <cell r="D904" t="str">
            <v>LA2 / CHENG</v>
          </cell>
          <cell r="E904" t="str">
            <v>LA2 / CHENG</v>
          </cell>
          <cell r="F904"/>
          <cell r="G904"/>
          <cell r="H904"/>
        </row>
        <row r="905">
          <cell r="A905">
            <v>12589</v>
          </cell>
          <cell r="B905">
            <v>3702</v>
          </cell>
          <cell r="C905" t="str">
            <v>LOYA CASUALTY INSURANCE COMPANY</v>
          </cell>
          <cell r="D905" t="str">
            <v>LA2 / CHENG</v>
          </cell>
          <cell r="E905" t="str">
            <v>LA2 / CHENG</v>
          </cell>
          <cell r="F905" t="str">
            <v>SF2 / GOTERA-PITROU</v>
          </cell>
          <cell r="G905"/>
          <cell r="H905"/>
        </row>
        <row r="906">
          <cell r="A906">
            <v>43702</v>
          </cell>
          <cell r="B906">
            <v>3703</v>
          </cell>
          <cell r="C906" t="str">
            <v>TOWER NATIONAL INSURANCE COMPANY</v>
          </cell>
          <cell r="D906" t="str">
            <v>LA1 / HUH</v>
          </cell>
          <cell r="E906" t="str">
            <v>LA1 / OKPARA</v>
          </cell>
          <cell r="F906" t="str">
            <v>SF2 / GOTERA-PITROU</v>
          </cell>
          <cell r="G906" t="str">
            <v>RAO / CHUN</v>
          </cell>
          <cell r="H906"/>
        </row>
        <row r="907">
          <cell r="A907">
            <v>10887</v>
          </cell>
          <cell r="B907">
            <v>3829</v>
          </cell>
          <cell r="C907" t="str">
            <v>COASTAL SELECT INSURANCE COMPANY</v>
          </cell>
          <cell r="D907" t="str">
            <v>SF2 / GOTERA-PITROU</v>
          </cell>
          <cell r="E907" t="str">
            <v>SF2 / GOTERA-PITROU</v>
          </cell>
          <cell r="F907" t="str">
            <v>SF2 / GOTERA-PITROU</v>
          </cell>
          <cell r="G907"/>
          <cell r="H907"/>
        </row>
        <row r="908">
          <cell r="A908">
            <v>10799</v>
          </cell>
          <cell r="B908">
            <v>3829</v>
          </cell>
          <cell r="C908" t="str">
            <v>GEOVERA INSURANCE COMPANY</v>
          </cell>
          <cell r="D908" t="str">
            <v>SF2 / GOTERA-PITROU</v>
          </cell>
          <cell r="E908" t="str">
            <v>SF2 / GOTERA-PITROU</v>
          </cell>
          <cell r="F908" t="str">
            <v>SF2 / GOTERA-PITROU</v>
          </cell>
          <cell r="G908"/>
          <cell r="H908"/>
        </row>
        <row r="909">
          <cell r="A909">
            <v>10182</v>
          </cell>
          <cell r="B909">
            <v>3829</v>
          </cell>
          <cell r="C909" t="str">
            <v>GEOVERA SPECIALTY INSURANCE COMPANY</v>
          </cell>
          <cell r="D909" t="str">
            <v>SF2 / GOTERA-PITROU</v>
          </cell>
          <cell r="E909" t="str">
            <v>SF2 / GOTERA-PITROU</v>
          </cell>
          <cell r="F909" t="str">
            <v>SF2 / GOTERA-PITROU</v>
          </cell>
          <cell r="G909"/>
          <cell r="H909"/>
        </row>
        <row r="910">
          <cell r="A910">
            <v>11558</v>
          </cell>
          <cell r="B910">
            <v>4909</v>
          </cell>
          <cell r="C910" t="str">
            <v>ASSURANCEAMERICA INSURANCE COMPANY</v>
          </cell>
          <cell r="D910" t="str">
            <v>SF2 / DEMESA</v>
          </cell>
          <cell r="E910" t="str">
            <v>SF2 / DEMESA</v>
          </cell>
          <cell r="F910"/>
          <cell r="G910"/>
          <cell r="H910"/>
        </row>
        <row r="911">
          <cell r="A911">
            <v>38458</v>
          </cell>
          <cell r="B911">
            <v>4011</v>
          </cell>
          <cell r="C911" t="str">
            <v>GENWORTH MORTGAGE INSURANCE CORPORATION</v>
          </cell>
          <cell r="D911" t="str">
            <v>LA1 / HUH</v>
          </cell>
          <cell r="E911" t="str">
            <v>LA1 / AHN</v>
          </cell>
          <cell r="F911"/>
          <cell r="G911"/>
          <cell r="H911"/>
        </row>
        <row r="912">
          <cell r="A912">
            <v>16675</v>
          </cell>
          <cell r="B912">
            <v>4011</v>
          </cell>
          <cell r="C912" t="str">
            <v>GENWORTH MORTGAGE INSURANCE CORPORATION OF NORTH CAROLINA</v>
          </cell>
          <cell r="D912" t="str">
            <v>LA1 / HUH</v>
          </cell>
          <cell r="E912" t="str">
            <v>LA1 / AHN</v>
          </cell>
          <cell r="F912" t="str">
            <v>SF2 / GOTERA-PITROU</v>
          </cell>
          <cell r="G912"/>
          <cell r="H912"/>
        </row>
        <row r="913">
          <cell r="A913">
            <v>12360</v>
          </cell>
          <cell r="B913">
            <v>4051</v>
          </cell>
          <cell r="C913" t="str">
            <v>OCEAN HARBOR CASUALTY INSURANCE COMPANY</v>
          </cell>
          <cell r="D913" t="str">
            <v>LA1 / HUH</v>
          </cell>
          <cell r="E913" t="str">
            <v>LA1 / AHN</v>
          </cell>
          <cell r="F913" t="str">
            <v>SF2 / GOTERA-PITROU</v>
          </cell>
          <cell r="G913"/>
          <cell r="H913"/>
        </row>
        <row r="914">
          <cell r="A914">
            <v>26379</v>
          </cell>
          <cell r="B914">
            <v>4234</v>
          </cell>
          <cell r="C914" t="str">
            <v>ACCREDITED SURETY AND CASUALTY COMPANY, INC.</v>
          </cell>
          <cell r="D914" t="str">
            <v>SF1 / WONG</v>
          </cell>
          <cell r="E914" t="str">
            <v>SF1 / WONG</v>
          </cell>
          <cell r="F914" t="str">
            <v>SF2 / GOTERA-PITROU</v>
          </cell>
          <cell r="G914"/>
          <cell r="H914"/>
        </row>
        <row r="915">
          <cell r="A915">
            <v>22705</v>
          </cell>
          <cell r="B915">
            <v>4234</v>
          </cell>
          <cell r="C915" t="str">
            <v>R&amp;Q REINSURANCE COMPANY</v>
          </cell>
          <cell r="D915" t="str">
            <v>SF1 / WONG</v>
          </cell>
          <cell r="E915" t="str">
            <v>SF1 / WONG</v>
          </cell>
          <cell r="F915"/>
          <cell r="G915"/>
          <cell r="H915"/>
        </row>
        <row r="916">
          <cell r="A916">
            <v>33014</v>
          </cell>
          <cell r="B916">
            <v>4234</v>
          </cell>
          <cell r="C916" t="str">
            <v>TRANSPORT INSURANCE COMPANY</v>
          </cell>
          <cell r="D916" t="str">
            <v>SF1 / WONG</v>
          </cell>
          <cell r="E916" t="str">
            <v>SF1 / WONG</v>
          </cell>
          <cell r="F916"/>
          <cell r="G916"/>
          <cell r="H916"/>
        </row>
        <row r="917">
          <cell r="A917">
            <v>40010</v>
          </cell>
          <cell r="B917">
            <v>4256</v>
          </cell>
          <cell r="C917" t="str">
            <v>ANCHOR GENERAL INSURANCE COMPANY</v>
          </cell>
          <cell r="D917" t="str">
            <v>SF1 / POON</v>
          </cell>
          <cell r="E917" t="str">
            <v>SF1 / POON</v>
          </cell>
          <cell r="F917"/>
          <cell r="G917"/>
          <cell r="H917"/>
        </row>
        <row r="918">
          <cell r="A918">
            <v>29793</v>
          </cell>
          <cell r="B918">
            <v>4256</v>
          </cell>
          <cell r="C918" t="str">
            <v>PACIFIC STAR INSURANCE COMPANY</v>
          </cell>
          <cell r="D918" t="str">
            <v>SF1 / POON</v>
          </cell>
          <cell r="E918" t="str">
            <v>SF1 / POON</v>
          </cell>
          <cell r="F918"/>
          <cell r="G918"/>
          <cell r="H918"/>
        </row>
        <row r="919">
          <cell r="A919">
            <v>12870</v>
          </cell>
          <cell r="B919">
            <v>4277</v>
          </cell>
          <cell r="C919" t="str">
            <v>SENTRUITY CASUALTY COMPANY</v>
          </cell>
          <cell r="D919" t="str">
            <v>LA1 / HUH</v>
          </cell>
          <cell r="E919" t="str">
            <v>LA1 / AHN</v>
          </cell>
          <cell r="F919"/>
          <cell r="G919"/>
          <cell r="H919"/>
        </row>
        <row r="920">
          <cell r="A920">
            <v>10069</v>
          </cell>
          <cell r="B920">
            <v>4359</v>
          </cell>
          <cell r="C920" t="str">
            <v>HOUSING AUTHORITY PROPERTY INSURANCE, A MUTUAL COMPANY</v>
          </cell>
          <cell r="D920" t="str">
            <v>LA1 / HUH</v>
          </cell>
          <cell r="E920" t="str">
            <v>LA1 / OKPARA</v>
          </cell>
          <cell r="F920" t="str">
            <v>SF2 / DEMESA</v>
          </cell>
          <cell r="G920"/>
          <cell r="H920"/>
        </row>
        <row r="921">
          <cell r="A921">
            <v>11206</v>
          </cell>
          <cell r="B921">
            <v>4359</v>
          </cell>
          <cell r="C921" t="str">
            <v>HOUSING ENTERPRISE INSURANCE COMPANY, INC.</v>
          </cell>
          <cell r="D921" t="str">
            <v>LA1 / HUH</v>
          </cell>
          <cell r="E921" t="str">
            <v>LA1 / OKPARA</v>
          </cell>
          <cell r="F921" t="str">
            <v>SF2 / DEMESA</v>
          </cell>
          <cell r="G921"/>
          <cell r="H921"/>
        </row>
        <row r="922">
          <cell r="A922">
            <v>18694</v>
          </cell>
          <cell r="B922">
            <v>4381</v>
          </cell>
          <cell r="C922" t="str">
            <v>GREAT MIDWEST INSURANCE COMPANY</v>
          </cell>
          <cell r="D922" t="str">
            <v>SF2 / DEMESA</v>
          </cell>
          <cell r="E922" t="str">
            <v>SF2 / DEMESA</v>
          </cell>
          <cell r="F922"/>
          <cell r="G922"/>
          <cell r="H922"/>
        </row>
        <row r="923">
          <cell r="A923">
            <v>35408</v>
          </cell>
          <cell r="B923">
            <v>4381</v>
          </cell>
          <cell r="C923" t="str">
            <v>IMPERIUM INSURANCE COMPANY</v>
          </cell>
          <cell r="D923" t="str">
            <v>SF2 / DEMESA</v>
          </cell>
          <cell r="E923" t="str">
            <v>SF2 / DEMESA</v>
          </cell>
          <cell r="F923"/>
          <cell r="G923"/>
          <cell r="H923"/>
        </row>
        <row r="924">
          <cell r="A924">
            <v>38733</v>
          </cell>
          <cell r="B924">
            <v>4485</v>
          </cell>
          <cell r="C924" t="str">
            <v>ALASKA NATIONAL INSURANCE COMPANY</v>
          </cell>
          <cell r="D924" t="str">
            <v>LA2 / LEE</v>
          </cell>
          <cell r="E924" t="str">
            <v>LA2 / LEE</v>
          </cell>
          <cell r="F924"/>
          <cell r="G924"/>
          <cell r="H924"/>
        </row>
        <row r="925">
          <cell r="A925">
            <v>42242</v>
          </cell>
          <cell r="B925">
            <v>4485</v>
          </cell>
          <cell r="C925" t="str">
            <v>MOUNTAINPOINT INSURANCE COMPANY</v>
          </cell>
          <cell r="D925" t="str">
            <v>LA2 / LEE</v>
          </cell>
          <cell r="E925" t="str">
            <v>LA2 / LEE</v>
          </cell>
          <cell r="F925"/>
          <cell r="G925"/>
          <cell r="H925"/>
        </row>
        <row r="926">
          <cell r="A926">
            <v>10008</v>
          </cell>
          <cell r="B926">
            <v>4641</v>
          </cell>
          <cell r="C926" t="str">
            <v>WESTERN INSURANCE COMPANY</v>
          </cell>
          <cell r="D926" t="str">
            <v>SF1 / WONG</v>
          </cell>
          <cell r="E926" t="str">
            <v>SF1 / WONG</v>
          </cell>
          <cell r="F926" t="str">
            <v>SF2 / GOTERA-PITROU</v>
          </cell>
          <cell r="G926"/>
          <cell r="H926"/>
        </row>
        <row r="927">
          <cell r="A927">
            <v>10200</v>
          </cell>
          <cell r="B927">
            <v>4666</v>
          </cell>
          <cell r="C927" t="str">
            <v>HISCOX INSURANCE COMPANY INC.</v>
          </cell>
          <cell r="D927" t="str">
            <v>LA1 / HUH</v>
          </cell>
          <cell r="E927" t="str">
            <v>LA1 / AHN</v>
          </cell>
          <cell r="F927" t="str">
            <v>SF2 / GOTERA-PITROU</v>
          </cell>
          <cell r="G927"/>
          <cell r="H927"/>
        </row>
        <row r="928">
          <cell r="A928">
            <v>38318</v>
          </cell>
          <cell r="B928">
            <v>4670</v>
          </cell>
          <cell r="C928" t="str">
            <v>STARR INDEMNITY &amp; LIABILITY COMPANY</v>
          </cell>
          <cell r="D928" t="str">
            <v>SF1 / WONG</v>
          </cell>
          <cell r="E928" t="str">
            <v>SF1 / WONG</v>
          </cell>
          <cell r="F928" t="str">
            <v>SF2 / GOTERA-PITROU</v>
          </cell>
          <cell r="G928"/>
          <cell r="H928"/>
        </row>
        <row r="929">
          <cell r="A929">
            <v>16109</v>
          </cell>
          <cell r="B929">
            <v>4670</v>
          </cell>
          <cell r="C929" t="str">
            <v>STARR SPECIALTY INSURANCE COMPANY</v>
          </cell>
          <cell r="D929" t="str">
            <v>SF1 / WONG</v>
          </cell>
          <cell r="E929" t="str">
            <v>SF1 / WONG</v>
          </cell>
          <cell r="F929"/>
          <cell r="G929"/>
          <cell r="H929"/>
        </row>
        <row r="930">
          <cell r="A930">
            <v>35157</v>
          </cell>
          <cell r="B930">
            <v>4691</v>
          </cell>
          <cell r="C930" t="str">
            <v>FAIR AMERICAN INSURANCE AND REINSURANCE COMPANY</v>
          </cell>
          <cell r="D930" t="str">
            <v>LA1 / HUH</v>
          </cell>
          <cell r="E930" t="str">
            <v>LA1 / OKPARA</v>
          </cell>
          <cell r="F930"/>
          <cell r="G930"/>
          <cell r="H930"/>
        </row>
        <row r="931">
          <cell r="A931">
            <v>37265</v>
          </cell>
          <cell r="B931">
            <v>4715</v>
          </cell>
          <cell r="C931" t="str">
            <v>DTRIC INSURANCE COMPANY, LIMITED</v>
          </cell>
          <cell r="D931" t="str">
            <v>SF1 / WONG</v>
          </cell>
          <cell r="E931" t="str">
            <v>SF1 / WONG</v>
          </cell>
          <cell r="F931"/>
          <cell r="G931"/>
          <cell r="H931"/>
        </row>
        <row r="932">
          <cell r="A932">
            <v>20362</v>
          </cell>
          <cell r="B932">
            <v>4715</v>
          </cell>
          <cell r="C932" t="str">
            <v>MITSUI SUMITOMO INSURANCE COMPANY OF AMERICA</v>
          </cell>
          <cell r="D932" t="str">
            <v>SF1 / WONG</v>
          </cell>
          <cell r="E932" t="str">
            <v>SF1 / WONG</v>
          </cell>
          <cell r="F932" t="str">
            <v>SF2 / GOTERA-PITROU</v>
          </cell>
          <cell r="G932"/>
          <cell r="H932"/>
        </row>
        <row r="933">
          <cell r="A933">
            <v>22551</v>
          </cell>
          <cell r="B933">
            <v>4715</v>
          </cell>
          <cell r="C933" t="str">
            <v>MITSUI SUMITOMO INSURANCE USA INC.</v>
          </cell>
          <cell r="D933" t="str">
            <v>SF1 / WONG</v>
          </cell>
          <cell r="E933" t="str">
            <v>SF1 / WONG</v>
          </cell>
          <cell r="F933"/>
          <cell r="G933"/>
          <cell r="H933"/>
        </row>
        <row r="934">
          <cell r="A934">
            <v>10970</v>
          </cell>
          <cell r="B934">
            <v>4718</v>
          </cell>
          <cell r="C934" t="str">
            <v>RESPONSE INDEMNITY COMPANY OF CALIFORNIA</v>
          </cell>
          <cell r="D934" t="str">
            <v>SF1 / HILL</v>
          </cell>
          <cell r="E934" t="str">
            <v>SF1 / HILL</v>
          </cell>
          <cell r="F934"/>
          <cell r="G934"/>
          <cell r="H934"/>
        </row>
        <row r="935">
          <cell r="A935">
            <v>11932</v>
          </cell>
          <cell r="B935">
            <v>4720</v>
          </cell>
          <cell r="C935" t="str">
            <v>WHITE PINE INSURANCE COMPANY</v>
          </cell>
          <cell r="D935" t="str">
            <v>SF1 / POON</v>
          </cell>
          <cell r="E935" t="str">
            <v>SF1 / POON</v>
          </cell>
          <cell r="F935" t="str">
            <v>SF2 / GOTERA-PITROU</v>
          </cell>
          <cell r="G935"/>
          <cell r="H935"/>
        </row>
        <row r="936">
          <cell r="A936">
            <v>20532</v>
          </cell>
          <cell r="B936">
            <v>4725</v>
          </cell>
          <cell r="C936" t="str">
            <v>CLARENDON NATIONAL INSURANCE COMPANY</v>
          </cell>
          <cell r="D936" t="str">
            <v>SF1 / WONG</v>
          </cell>
          <cell r="E936" t="str">
            <v>SF1 / WONG</v>
          </cell>
          <cell r="F936" t="str">
            <v>SF2 / GOTERA-PITROU</v>
          </cell>
          <cell r="G936"/>
          <cell r="H936"/>
        </row>
        <row r="937">
          <cell r="A937">
            <v>24295</v>
          </cell>
          <cell r="B937">
            <v>4725</v>
          </cell>
          <cell r="C937" t="str">
            <v>PROVIDENCE WASHINGTON INSURANCE COMPANY</v>
          </cell>
          <cell r="D937" t="str">
            <v>SF2 / GOTERA-PITROU</v>
          </cell>
          <cell r="E937" t="str">
            <v>SF2 / GOTERA-PITROU</v>
          </cell>
          <cell r="F937" t="str">
            <v>SF2 / GOTERA-PITROU</v>
          </cell>
          <cell r="G937"/>
          <cell r="H937"/>
        </row>
        <row r="938">
          <cell r="A938">
            <v>26220</v>
          </cell>
          <cell r="B938">
            <v>4725</v>
          </cell>
          <cell r="C938" t="str">
            <v>YOSEMITE INSURANCE COMPANY</v>
          </cell>
          <cell r="D938" t="str">
            <v>SF2 / GOTERA-PITROU</v>
          </cell>
          <cell r="E938" t="str">
            <v>SF2 / GOTERA-PITROU</v>
          </cell>
          <cell r="F938" t="str">
            <v>SF2 / TRANZOR</v>
          </cell>
          <cell r="G938"/>
          <cell r="H938"/>
        </row>
        <row r="939">
          <cell r="A939">
            <v>24899</v>
          </cell>
          <cell r="B939">
            <v>4734</v>
          </cell>
          <cell r="C939" t="str">
            <v>ALEA NORTH AMERICA INSURANCE COMPANY</v>
          </cell>
          <cell r="D939" t="str">
            <v>SAC / TAM</v>
          </cell>
          <cell r="E939" t="str">
            <v>SAC / TAM</v>
          </cell>
          <cell r="F939" t="str">
            <v>SF2 / GOTERA-PITROU</v>
          </cell>
          <cell r="G939"/>
          <cell r="H939"/>
        </row>
        <row r="940">
          <cell r="A940">
            <v>43460</v>
          </cell>
          <cell r="B940">
            <v>4734</v>
          </cell>
          <cell r="C940" t="str">
            <v>ASPEN AMERICAN INSURANCE COMPANY</v>
          </cell>
          <cell r="D940" t="str">
            <v>SAC / TAM</v>
          </cell>
          <cell r="E940" t="str">
            <v>SAC / TAM</v>
          </cell>
          <cell r="F940" t="str">
            <v>SF2 / GOTERA-PITROU</v>
          </cell>
          <cell r="G940"/>
          <cell r="H940"/>
        </row>
        <row r="941">
          <cell r="A941">
            <v>23671</v>
          </cell>
          <cell r="B941">
            <v>4734</v>
          </cell>
          <cell r="C941" t="str">
            <v>NATIONAL AMERICAN INSURANCE COMPANY OF CALIFORNIA</v>
          </cell>
          <cell r="D941" t="str">
            <v>SAC / TAM</v>
          </cell>
          <cell r="E941" t="str">
            <v>SAC / TAM</v>
          </cell>
          <cell r="F941" t="str">
            <v>SF2 / GOTERA-PITROU</v>
          </cell>
          <cell r="G941"/>
          <cell r="H941"/>
        </row>
        <row r="942">
          <cell r="A942">
            <v>20613</v>
          </cell>
          <cell r="B942">
            <v>4734</v>
          </cell>
          <cell r="C942" t="str">
            <v>SPARTA INSURANCE COMPANY</v>
          </cell>
          <cell r="D942" t="str">
            <v>SAC / TAM</v>
          </cell>
          <cell r="E942" t="str">
            <v>SAC / TAM</v>
          </cell>
          <cell r="F942" t="str">
            <v>SF2 / TRANZOR</v>
          </cell>
          <cell r="G942"/>
          <cell r="H942"/>
        </row>
        <row r="943">
          <cell r="A943">
            <v>33855</v>
          </cell>
          <cell r="B943">
            <v>4753</v>
          </cell>
          <cell r="C943" t="str">
            <v>LINCOLN GENERAL INSURANCE COMPANY</v>
          </cell>
          <cell r="D943" t="str">
            <v>SF2 / TRANZOR</v>
          </cell>
          <cell r="E943" t="str">
            <v>SF2 / TRANZOR</v>
          </cell>
          <cell r="F943" t="str">
            <v>SF2 / GOTERA-PITROU</v>
          </cell>
          <cell r="G943"/>
          <cell r="H943"/>
        </row>
        <row r="944">
          <cell r="A944">
            <v>13695</v>
          </cell>
          <cell r="B944">
            <v>4760</v>
          </cell>
          <cell r="C944" t="str">
            <v>NATIONAL MORTGAGE INSURANCE CORPORATION</v>
          </cell>
          <cell r="D944" t="str">
            <v>SF2 / GOTERA-PITROU</v>
          </cell>
          <cell r="E944" t="str">
            <v>SF2 / GOTERA-PITROU</v>
          </cell>
          <cell r="F944"/>
          <cell r="G944"/>
          <cell r="H944"/>
        </row>
        <row r="945">
          <cell r="A945">
            <v>13758</v>
          </cell>
          <cell r="B945">
            <v>4760</v>
          </cell>
          <cell r="C945" t="str">
            <v>NATIONAL MORTGAGE REINSURANCE INC ONE</v>
          </cell>
          <cell r="D945" t="str">
            <v>SF2 / GOTERA-PITROU</v>
          </cell>
          <cell r="E945" t="str">
            <v>SF2 / GOTERA-PITROU</v>
          </cell>
          <cell r="F945" t="str">
            <v>SF2 / GOTERA-PITROU</v>
          </cell>
          <cell r="G945"/>
          <cell r="H945"/>
        </row>
        <row r="946">
          <cell r="A946">
            <v>12944</v>
          </cell>
          <cell r="B946">
            <v>4792</v>
          </cell>
          <cell r="C946" t="str">
            <v>HOMEOWNERS CHOICE PROPERTY &amp; CASUALTY INSURANCE COMPANY, INC.</v>
          </cell>
          <cell r="D946" t="str">
            <v>LA2 / CHENG</v>
          </cell>
          <cell r="E946" t="str">
            <v>LA2 / CHENG</v>
          </cell>
          <cell r="F946" t="str">
            <v>SF2 / DEMESA</v>
          </cell>
          <cell r="G946"/>
          <cell r="H946"/>
        </row>
        <row r="947">
          <cell r="A947">
            <v>15563</v>
          </cell>
          <cell r="B947">
            <v>4794</v>
          </cell>
          <cell r="C947" t="str">
            <v>CLEAR SPRING PROPERTY AND CASUALTY COMPANY</v>
          </cell>
          <cell r="D947" t="str">
            <v>SF2 / GOTERA-PITROU</v>
          </cell>
          <cell r="E947" t="str">
            <v>SF2 / GOTERA-PITROU</v>
          </cell>
          <cell r="F947" t="str">
            <v>SF2 / GOTERA-PITROU</v>
          </cell>
          <cell r="G947"/>
          <cell r="H947"/>
        </row>
        <row r="948">
          <cell r="A948">
            <v>11092</v>
          </cell>
          <cell r="B948">
            <v>4795</v>
          </cell>
          <cell r="C948" t="str">
            <v>GLOBAL LIBERTY INSURANCE COMPANY OF NEW YORK</v>
          </cell>
          <cell r="D948" t="str">
            <v>SF2 / DEMESA</v>
          </cell>
          <cell r="E948" t="str">
            <v>SF2 / DEMESA</v>
          </cell>
          <cell r="F948" t="str">
            <v>SF2 / GOTERA-PITROU</v>
          </cell>
          <cell r="G948"/>
          <cell r="H948"/>
        </row>
        <row r="949">
          <cell r="A949">
            <v>27898</v>
          </cell>
          <cell r="B949">
            <v>4799</v>
          </cell>
          <cell r="C949" t="str">
            <v>AIC INSURANCE COMPANY (see Americas Insurance Company)</v>
          </cell>
          <cell r="D949" t="str">
            <v>SF2 / GOTERA-PITROU</v>
          </cell>
          <cell r="E949" t="str">
            <v>SF2 / GOTERA-PITROU</v>
          </cell>
          <cell r="F949"/>
          <cell r="G949"/>
          <cell r="H949"/>
        </row>
        <row r="950">
          <cell r="A950">
            <v>27898</v>
          </cell>
          <cell r="B950">
            <v>4799</v>
          </cell>
          <cell r="C950" t="str">
            <v>AMERICAS INSURANCE COMPANY (dba AIC Ins Co)</v>
          </cell>
          <cell r="D950" t="str">
            <v>SF2 / GOTERA-PITROU</v>
          </cell>
          <cell r="E950" t="str">
            <v>SF2 / GOTERA-PITROU</v>
          </cell>
          <cell r="F950" t="str">
            <v>SF2 / DEMESA</v>
          </cell>
          <cell r="G950"/>
          <cell r="H950"/>
        </row>
        <row r="951">
          <cell r="A951">
            <v>22250</v>
          </cell>
          <cell r="B951">
            <v>4826</v>
          </cell>
          <cell r="C951" t="str">
            <v>BLUESHORE INSURANCE COMPANY</v>
          </cell>
          <cell r="D951" t="str">
            <v>LA1 / HUH</v>
          </cell>
          <cell r="E951" t="str">
            <v>LA1 / OKPARA</v>
          </cell>
          <cell r="F951" t="str">
            <v>SF2 / DEMESA</v>
          </cell>
          <cell r="G951"/>
          <cell r="H951"/>
        </row>
        <row r="952">
          <cell r="A952">
            <v>21970</v>
          </cell>
          <cell r="B952">
            <v>4829</v>
          </cell>
          <cell r="C952" t="str">
            <v>BEDIVERE INSURANCE COMPANY</v>
          </cell>
          <cell r="D952" t="str">
            <v>SF2 / DEMESA</v>
          </cell>
          <cell r="E952" t="str">
            <v>SF2 / DEMESA</v>
          </cell>
          <cell r="F952" t="str">
            <v>SF2 / DEMESA</v>
          </cell>
          <cell r="G952"/>
          <cell r="H952"/>
        </row>
        <row r="953">
          <cell r="A953">
            <v>20648</v>
          </cell>
          <cell r="B953">
            <v>4829</v>
          </cell>
          <cell r="C953" t="str">
            <v>EMPLOYERS' FIRE INSURANCE COMPANY</v>
          </cell>
          <cell r="D953" t="str">
            <v>SF2 / DEMESA</v>
          </cell>
          <cell r="E953" t="str">
            <v>SF2 / DEMESA</v>
          </cell>
          <cell r="F953" t="str">
            <v>SF2 / DEMESA</v>
          </cell>
          <cell r="G953"/>
          <cell r="H953"/>
        </row>
        <row r="954">
          <cell r="A954">
            <v>39675</v>
          </cell>
          <cell r="B954">
            <v>4829</v>
          </cell>
          <cell r="C954" t="str">
            <v>EXCALIBUR REINSURANCE CORPORATION</v>
          </cell>
          <cell r="D954" t="str">
            <v>SF2 / DEMESA</v>
          </cell>
          <cell r="E954" t="str">
            <v>SF2 / DEMESA</v>
          </cell>
          <cell r="F954" t="str">
            <v>SF2 / DEMESA</v>
          </cell>
          <cell r="G954"/>
          <cell r="H954"/>
        </row>
        <row r="955">
          <cell r="A955">
            <v>20621</v>
          </cell>
          <cell r="B955">
            <v>4829</v>
          </cell>
          <cell r="C955" t="str">
            <v>LAMORAK INSURANCE COMPANY</v>
          </cell>
          <cell r="D955" t="str">
            <v>SF2 / DEMESA</v>
          </cell>
          <cell r="E955" t="str">
            <v>SF2 / DEMESA</v>
          </cell>
          <cell r="F955" t="str">
            <v>SF2 / GOTERA-PITROU</v>
          </cell>
          <cell r="G955"/>
          <cell r="H955"/>
        </row>
        <row r="956">
          <cell r="A956">
            <v>38512</v>
          </cell>
          <cell r="B956">
            <v>4829</v>
          </cell>
          <cell r="C956" t="str">
            <v>RAMPART INSURANCE COMPANY</v>
          </cell>
          <cell r="D956" t="str">
            <v>SF2 / DEMESA</v>
          </cell>
          <cell r="E956" t="str">
            <v>SF2 / DEMESA</v>
          </cell>
          <cell r="F956" t="str">
            <v>SF2 / GOTERA-PITROU</v>
          </cell>
          <cell r="G956"/>
          <cell r="H956"/>
        </row>
        <row r="957">
          <cell r="A957">
            <v>28860</v>
          </cell>
          <cell r="B957">
            <v>4850</v>
          </cell>
          <cell r="C957" t="str">
            <v>CLEAR BLUE INSURANCE COMPANY</v>
          </cell>
          <cell r="D957" t="str">
            <v>SAC / VISWANATHAN</v>
          </cell>
          <cell r="E957" t="str">
            <v>SAC / VISWANATHAN</v>
          </cell>
          <cell r="F957" t="str">
            <v>SF2 / GOTERA-PITROU</v>
          </cell>
          <cell r="G957"/>
          <cell r="H957"/>
        </row>
        <row r="958">
          <cell r="A958"/>
          <cell r="B958"/>
          <cell r="C958"/>
          <cell r="D958"/>
          <cell r="E958"/>
          <cell r="F958"/>
          <cell r="G958"/>
          <cell r="H958"/>
        </row>
        <row r="959">
          <cell r="A959">
            <v>18767</v>
          </cell>
          <cell r="B959">
            <v>4851</v>
          </cell>
          <cell r="C959" t="str">
            <v>CHURCH MUTUAL INSURANCE COMPANY</v>
          </cell>
          <cell r="D959" t="str">
            <v>LA2 / LEE</v>
          </cell>
          <cell r="E959" t="str">
            <v>LA2 / LEE</v>
          </cell>
          <cell r="F959" t="str">
            <v>SF2 / GOTERA-PITROU</v>
          </cell>
          <cell r="G959"/>
          <cell r="H959"/>
        </row>
        <row r="960">
          <cell r="A960">
            <v>16646</v>
          </cell>
          <cell r="B960">
            <v>4851</v>
          </cell>
          <cell r="C960" t="str">
            <v>CM INDEMNITY INSURANCE COMPANY</v>
          </cell>
          <cell r="D960" t="str">
            <v>LA2 / LEE</v>
          </cell>
          <cell r="E960" t="str">
            <v>LA2 / LEE</v>
          </cell>
          <cell r="F960"/>
          <cell r="G960"/>
          <cell r="H960"/>
        </row>
        <row r="961">
          <cell r="A961">
            <v>12356</v>
          </cell>
          <cell r="B961">
            <v>4851</v>
          </cell>
          <cell r="C961" t="str">
            <v>CM REGENT INSURANCE COMPANY</v>
          </cell>
          <cell r="D961" t="str">
            <v>LA2 / LEE</v>
          </cell>
          <cell r="E961" t="str">
            <v>LA2 / LEE</v>
          </cell>
          <cell r="F961"/>
          <cell r="G961"/>
          <cell r="H961"/>
        </row>
        <row r="962">
          <cell r="A962"/>
          <cell r="B962"/>
          <cell r="C962" t="str">
            <v>PACIFIC COASTAL P&amp;C IC (Operating name of US COASTAL PROPERTY &amp; CASUALTY INSURANCE COMPANY)</v>
          </cell>
          <cell r="D962"/>
          <cell r="E962"/>
          <cell r="F962" t="str">
            <v>SF2 / DEMESA</v>
          </cell>
          <cell r="G962"/>
          <cell r="H962"/>
        </row>
        <row r="963">
          <cell r="A963">
            <v>15900</v>
          </cell>
          <cell r="B963">
            <v>4857</v>
          </cell>
          <cell r="C963" t="str">
            <v>US COASTAL PROPERTY &amp; CASUALTY INSURANCE COMPANY</v>
          </cell>
          <cell r="D963" t="str">
            <v>LA3 / SAPIN</v>
          </cell>
          <cell r="E963" t="str">
            <v>LA3 / SAPIN</v>
          </cell>
          <cell r="F963"/>
          <cell r="G963"/>
          <cell r="H963"/>
        </row>
        <row r="964">
          <cell r="A964">
            <v>12750</v>
          </cell>
          <cell r="B964">
            <v>4869</v>
          </cell>
          <cell r="C964" t="str">
            <v>EVERGREEN NATIONAL INDEMNITY COMPANY</v>
          </cell>
          <cell r="D964" t="str">
            <v>LA3 / ZHAO</v>
          </cell>
          <cell r="E964" t="str">
            <v>LA3 / ZHAO</v>
          </cell>
          <cell r="F964"/>
          <cell r="G964"/>
          <cell r="H964"/>
        </row>
        <row r="965">
          <cell r="A965">
            <v>25180</v>
          </cell>
          <cell r="B965">
            <v>4869</v>
          </cell>
          <cell r="C965" t="str">
            <v>STILLWATER INSURANCE COMPANY</v>
          </cell>
          <cell r="D965" t="str">
            <v>LA3 / ZHAO</v>
          </cell>
          <cell r="E965" t="str">
            <v>LA3 / ZHAO</v>
          </cell>
          <cell r="F965" t="str">
            <v>SF2 / TRANZOR</v>
          </cell>
          <cell r="G965"/>
          <cell r="H965"/>
        </row>
        <row r="966">
          <cell r="A966">
            <v>16578</v>
          </cell>
          <cell r="B966">
            <v>4869</v>
          </cell>
          <cell r="C966" t="str">
            <v>STILLWATER PROPERTY AND CASUALTY INSURANCE COMPANY</v>
          </cell>
          <cell r="D966" t="str">
            <v>LA3 / ZHAO</v>
          </cell>
          <cell r="E966" t="str">
            <v>LA3 / ZHAO</v>
          </cell>
          <cell r="F966" t="str">
            <v>SF2 / TRANZOR</v>
          </cell>
          <cell r="G966"/>
          <cell r="H966"/>
        </row>
        <row r="967">
          <cell r="A967">
            <v>32832</v>
          </cell>
          <cell r="B967">
            <v>4878</v>
          </cell>
          <cell r="C967" t="str">
            <v>MUTUAL INSURANCE COMPANY OF ARIZONA</v>
          </cell>
          <cell r="D967" t="str">
            <v>SF2 / TRANZOR</v>
          </cell>
          <cell r="E967" t="str">
            <v>SF2 / TRANZOR</v>
          </cell>
          <cell r="F967"/>
          <cell r="G967"/>
          <cell r="H967"/>
        </row>
        <row r="968">
          <cell r="A968">
            <v>32832</v>
          </cell>
          <cell r="B968">
            <v>4878</v>
          </cell>
          <cell r="C968" t="str">
            <v>MUTUAL INSURANCE COMPANY OF ARIZONA</v>
          </cell>
          <cell r="D968" t="str">
            <v>SF2 / TRANZOR</v>
          </cell>
          <cell r="E968" t="str">
            <v>SF2 / TRANZOR</v>
          </cell>
          <cell r="F968"/>
          <cell r="G968"/>
          <cell r="H968"/>
        </row>
        <row r="969">
          <cell r="A969">
            <v>21989</v>
          </cell>
          <cell r="B969">
            <v>4883</v>
          </cell>
          <cell r="C969" t="str">
            <v>COMPASS INSURANCE COMPANY</v>
          </cell>
          <cell r="D969" t="str">
            <v>LA1 / HUH</v>
          </cell>
          <cell r="E969" t="str">
            <v>LA1 / OKPARA</v>
          </cell>
          <cell r="F969"/>
          <cell r="G969"/>
          <cell r="H969"/>
        </row>
        <row r="970">
          <cell r="A970">
            <v>23914</v>
          </cell>
          <cell r="B970">
            <v>4883</v>
          </cell>
          <cell r="C970" t="str">
            <v>NORTHWESTERN NATIONAL INS CO MILWAUKEE, WISCONSIN</v>
          </cell>
          <cell r="D970" t="str">
            <v>LA1 / HUH</v>
          </cell>
          <cell r="E970" t="str">
            <v>LA1 / OKPARA</v>
          </cell>
          <cell r="F970" t="str">
            <v>SF2 / GOTERA-PITROU</v>
          </cell>
          <cell r="G970"/>
          <cell r="H970"/>
        </row>
        <row r="971">
          <cell r="A971">
            <v>41394</v>
          </cell>
          <cell r="B971">
            <v>4886</v>
          </cell>
          <cell r="C971" t="str">
            <v>BENCHMARK INSURANCE COMPANY</v>
          </cell>
          <cell r="D971" t="str">
            <v>LA1 / RAHMAN</v>
          </cell>
          <cell r="E971" t="str">
            <v>LA1 / RAHMAN</v>
          </cell>
          <cell r="F971" t="str">
            <v>SF2 / GOTERA-PITROU</v>
          </cell>
          <cell r="G971"/>
          <cell r="H971"/>
        </row>
        <row r="972">
          <cell r="A972">
            <v>14354</v>
          </cell>
          <cell r="B972">
            <v>4889</v>
          </cell>
          <cell r="C972" t="str">
            <v>JEWELERS MUTUAL INSURANCE COMPANY, SI</v>
          </cell>
          <cell r="D972" t="str">
            <v>LA3 / SOTINGCO</v>
          </cell>
          <cell r="E972" t="str">
            <v>LA3 / SOTINGCO</v>
          </cell>
          <cell r="F972" t="str">
            <v>SF2 / DEMESA</v>
          </cell>
          <cell r="G972"/>
          <cell r="H972"/>
        </row>
        <row r="973">
          <cell r="A973">
            <v>16116</v>
          </cell>
          <cell r="B973">
            <v>4889</v>
          </cell>
          <cell r="C973" t="str">
            <v>JM SPECIALTY INSURANCE COMPANY</v>
          </cell>
          <cell r="D973" t="str">
            <v>LA3 / SOTINGCO</v>
          </cell>
          <cell r="E973" t="str">
            <v>LA3 / SOTINGCO</v>
          </cell>
          <cell r="F973" t="str">
            <v>SF2 / DEMESA</v>
          </cell>
          <cell r="G973"/>
          <cell r="H973"/>
        </row>
        <row r="974">
          <cell r="A974">
            <v>27154</v>
          </cell>
          <cell r="B974">
            <v>4904</v>
          </cell>
          <cell r="C974" t="str">
            <v>ATLANTIC SPECIALTY INSURANCE COMPANY</v>
          </cell>
          <cell r="D974" t="str">
            <v>SF2 / DEMESA</v>
          </cell>
          <cell r="E974" t="str">
            <v>SF2 / DEMESA</v>
          </cell>
          <cell r="F974" t="str">
            <v>SF2 / DEMESA</v>
          </cell>
          <cell r="G974"/>
          <cell r="H974"/>
        </row>
        <row r="975">
          <cell r="A975">
            <v>36650</v>
          </cell>
          <cell r="B975">
            <v>4904</v>
          </cell>
          <cell r="C975" t="str">
            <v>GUARANTEE COMPANY OF NORTH AMERICA USA (THE)  test</v>
          </cell>
          <cell r="D975" t="str">
            <v>SF2 / DEMESA</v>
          </cell>
          <cell r="E975" t="str">
            <v>SF2 / DEMESA</v>
          </cell>
          <cell r="F975" t="str">
            <v>SF2 / DEMESA</v>
          </cell>
          <cell r="G975"/>
          <cell r="H975"/>
        </row>
        <row r="976">
          <cell r="A976">
            <v>15645</v>
          </cell>
          <cell r="B976">
            <v>4904</v>
          </cell>
          <cell r="C976" t="str">
            <v>OBI AMERICA INSURANCE COMPANY</v>
          </cell>
          <cell r="D976" t="str">
            <v>SF2 / DEMESA</v>
          </cell>
          <cell r="E976" t="str">
            <v>SF2 / DEMESA</v>
          </cell>
          <cell r="F976" t="str">
            <v>SF2 / GOTERA-PITROU</v>
          </cell>
          <cell r="G976"/>
          <cell r="H976"/>
        </row>
        <row r="977">
          <cell r="A977">
            <v>14190</v>
          </cell>
          <cell r="B977">
            <v>4904</v>
          </cell>
          <cell r="C977" t="str">
            <v>OBI NATIONAL INSURANCE COMPANY</v>
          </cell>
          <cell r="D977" t="str">
            <v>SF2 / DEMESA</v>
          </cell>
          <cell r="E977" t="str">
            <v>SF2 / DEMESA</v>
          </cell>
          <cell r="F977"/>
          <cell r="G977"/>
          <cell r="H977"/>
        </row>
        <row r="978">
          <cell r="A978">
            <v>23752</v>
          </cell>
          <cell r="B978">
            <v>4908</v>
          </cell>
          <cell r="C978" t="str">
            <v>ASCOT INSURANCE COMPANY</v>
          </cell>
          <cell r="D978" t="str">
            <v>SAC / TAM</v>
          </cell>
          <cell r="E978" t="str">
            <v>SAC / TAM</v>
          </cell>
          <cell r="F978"/>
          <cell r="G978"/>
          <cell r="H978"/>
        </row>
        <row r="979">
          <cell r="A979">
            <v>42234</v>
          </cell>
          <cell r="B979">
            <v>4910</v>
          </cell>
          <cell r="C979" t="str">
            <v>MINNESOTA LAWYERS MUTUAL INS. CO.</v>
          </cell>
          <cell r="D979" t="str">
            <v>LA1 / HUH</v>
          </cell>
          <cell r="E979" t="str">
            <v>LA1 / OKPARA</v>
          </cell>
          <cell r="F979" t="str">
            <v>SF2 / DEMESA</v>
          </cell>
          <cell r="G979"/>
          <cell r="H979"/>
        </row>
        <row r="980">
          <cell r="A980">
            <v>23663</v>
          </cell>
          <cell r="B980">
            <v>4935</v>
          </cell>
          <cell r="C980" t="str">
            <v>NATIONAL AMERICAN INSURANCE COMPANY</v>
          </cell>
          <cell r="D980" t="str">
            <v>LA2 / GUAN</v>
          </cell>
          <cell r="E980" t="str">
            <v>LA2 / GUAN</v>
          </cell>
          <cell r="F980" t="str">
            <v>SF2 / TRANZOR</v>
          </cell>
          <cell r="G980"/>
          <cell r="H980"/>
        </row>
        <row r="981">
          <cell r="A981">
            <v>33650</v>
          </cell>
          <cell r="B981">
            <v>4937</v>
          </cell>
          <cell r="C981" t="str">
            <v>MENDOTA INSURANCE COMPANY</v>
          </cell>
          <cell r="D981" t="str">
            <v>SF2 / DEMESA</v>
          </cell>
          <cell r="E981" t="str">
            <v>SF2 / DEMESA</v>
          </cell>
          <cell r="F981" t="str">
            <v>SF2/ DEMESA</v>
          </cell>
          <cell r="G981"/>
          <cell r="H981"/>
        </row>
        <row r="982">
          <cell r="A982">
            <v>37540</v>
          </cell>
          <cell r="B982">
            <v>4942</v>
          </cell>
          <cell r="C982" t="str">
            <v>BEAZLEY INSURANCE COMPANY, INC.</v>
          </cell>
          <cell r="D982" t="str">
            <v>SF2 / DEMESA</v>
          </cell>
          <cell r="E982" t="str">
            <v>SF2 / DEMESA</v>
          </cell>
          <cell r="F982" t="str">
            <v>SF2 / DEMESA</v>
          </cell>
          <cell r="G982"/>
          <cell r="H982"/>
        </row>
        <row r="983">
          <cell r="A983">
            <v>40398</v>
          </cell>
          <cell r="B983">
            <v>4962</v>
          </cell>
          <cell r="C983" t="str">
            <v>ASHMERE INSURANCE COMPANY</v>
          </cell>
          <cell r="D983" t="str">
            <v>SF1/ HILL</v>
          </cell>
          <cell r="E983" t="str">
            <v>SF1/ HILL</v>
          </cell>
          <cell r="F983" t="str">
            <v>SF2 / TRANZOR</v>
          </cell>
          <cell r="G983"/>
          <cell r="H983"/>
        </row>
        <row r="984">
          <cell r="A984">
            <v>28258</v>
          </cell>
          <cell r="B984">
            <v>4962</v>
          </cell>
          <cell r="C984" t="str">
            <v>CONTINENTAL INDEMNITY COMPANY</v>
          </cell>
          <cell r="D984" t="str">
            <v>SF1 / HILL</v>
          </cell>
          <cell r="E984" t="str">
            <v>SF1 / HILL</v>
          </cell>
          <cell r="F984" t="str">
            <v>SF2 / TRANZOR</v>
          </cell>
          <cell r="G984"/>
          <cell r="H984"/>
        </row>
        <row r="985">
          <cell r="A985">
            <v>35246</v>
          </cell>
          <cell r="B985">
            <v>4962</v>
          </cell>
          <cell r="C985" t="str">
            <v>ILLINOIS INSURANCE COMPANY</v>
          </cell>
          <cell r="D985" t="str">
            <v>SF1 / HILL</v>
          </cell>
          <cell r="E985" t="str">
            <v>SF1 / HILL</v>
          </cell>
          <cell r="F985"/>
          <cell r="G985"/>
          <cell r="H985"/>
        </row>
        <row r="986">
          <cell r="A986">
            <v>21962</v>
          </cell>
          <cell r="B986">
            <v>4962</v>
          </cell>
          <cell r="C986" t="str">
            <v>PENNSYLVANIA INSURANCE COMPANY</v>
          </cell>
          <cell r="D986" t="str">
            <v>SF1 / HILL</v>
          </cell>
          <cell r="E986" t="str">
            <v>SF1 / HILL</v>
          </cell>
          <cell r="F986" t="str">
            <v>SF2 / GOTERA-PITROU</v>
          </cell>
          <cell r="G986"/>
          <cell r="H986"/>
        </row>
        <row r="987">
          <cell r="A987">
            <v>11863</v>
          </cell>
          <cell r="B987">
            <v>4966</v>
          </cell>
          <cell r="C987" t="str">
            <v>POSITIVE PHYSICIANS INSURANCE COMPANY</v>
          </cell>
          <cell r="D987" t="str">
            <v>LA3 / SAPIN</v>
          </cell>
          <cell r="E987" t="str">
            <v>LA3 / SAPIN</v>
          </cell>
          <cell r="F987" t="str">
            <v>SF2 / GOTERA-PITROU</v>
          </cell>
          <cell r="G987"/>
          <cell r="H987"/>
        </row>
        <row r="988">
          <cell r="A988">
            <v>21075</v>
          </cell>
          <cell r="B988">
            <v>4967</v>
          </cell>
          <cell r="C988" t="str">
            <v>TRANSVERSE INSURANCE COMPANY</v>
          </cell>
          <cell r="D988" t="str">
            <v>SF1 / WONG</v>
          </cell>
          <cell r="E988" t="str">
            <v>SF1 / WONG</v>
          </cell>
          <cell r="F988" t="str">
            <v>SF2 / GOTERA-PITROU</v>
          </cell>
          <cell r="G988"/>
          <cell r="H988"/>
        </row>
        <row r="989">
          <cell r="A989">
            <v>25798</v>
          </cell>
          <cell r="B989">
            <v>4968</v>
          </cell>
          <cell r="C989" t="str">
            <v>SUTTON NATIONAL INSURANCE COMPANY</v>
          </cell>
          <cell r="D989" t="str">
            <v>LA2 / BAUTISTA</v>
          </cell>
          <cell r="E989" t="str">
            <v>LA2 / BAUTISTA</v>
          </cell>
          <cell r="F989" t="str">
            <v>SF2 / GOTERA-PITROU</v>
          </cell>
          <cell r="G989"/>
          <cell r="H989"/>
        </row>
        <row r="990">
          <cell r="A990">
            <v>22225</v>
          </cell>
          <cell r="B990">
            <v>4969</v>
          </cell>
          <cell r="C990" t="str">
            <v>TRISURA INSURANCE COMPANY</v>
          </cell>
          <cell r="D990" t="str">
            <v>LA2 / BAUTISTA</v>
          </cell>
          <cell r="E990" t="str">
            <v>LA2 / BAUTISTA</v>
          </cell>
          <cell r="F990" t="str">
            <v>SF2 / GOTERA-PITROU</v>
          </cell>
          <cell r="G990"/>
          <cell r="H990"/>
        </row>
        <row r="991">
          <cell r="A991">
            <v>15059</v>
          </cell>
          <cell r="B991">
            <v>4981</v>
          </cell>
          <cell r="C991" t="str">
            <v>PUBLIC SERVICE INSURANCE COMPANY (dba PSM Insurance Company)</v>
          </cell>
          <cell r="D991" t="str">
            <v>SF1 / WONG</v>
          </cell>
          <cell r="E991" t="str">
            <v>SF1 / WONG</v>
          </cell>
          <cell r="F991"/>
          <cell r="G991"/>
          <cell r="H991"/>
        </row>
        <row r="992">
          <cell r="A992">
            <v>10997</v>
          </cell>
          <cell r="B992">
            <v>4981</v>
          </cell>
          <cell r="C992" t="str">
            <v>WESTERN SELECT INSURANCE COMPANY</v>
          </cell>
          <cell r="D992" t="str">
            <v>SF1 / WONG</v>
          </cell>
          <cell r="E992" t="str">
            <v>SF1 / WONG</v>
          </cell>
          <cell r="F992" t="str">
            <v>SF2 / GOTERA-PITROU</v>
          </cell>
          <cell r="G992"/>
          <cell r="H992"/>
        </row>
        <row r="993">
          <cell r="A993">
            <v>26395</v>
          </cell>
          <cell r="B993">
            <v>4982</v>
          </cell>
          <cell r="C993" t="str">
            <v>WESTERN HOME INSURANCE COMPANY</v>
          </cell>
          <cell r="D993" t="str">
            <v>SAC / VISWANATHAN</v>
          </cell>
          <cell r="E993" t="str">
            <v>SAC / VISWANATHAN</v>
          </cell>
          <cell r="F993" t="str">
            <v>SF2 / GOTERA-PITROU</v>
          </cell>
          <cell r="G993"/>
          <cell r="H993"/>
        </row>
        <row r="994">
          <cell r="A994">
            <v>11090</v>
          </cell>
          <cell r="B994">
            <v>4987</v>
          </cell>
          <cell r="C994" t="str">
            <v>INCLINE CASUALTY COMPANY</v>
          </cell>
          <cell r="D994" t="str">
            <v>SAC / VISWANATHAN</v>
          </cell>
          <cell r="E994" t="str">
            <v>SAC / VISWANATHAN</v>
          </cell>
          <cell r="F994" t="str">
            <v>SF2 / GOTERA-PITROU</v>
          </cell>
          <cell r="G994"/>
          <cell r="H994"/>
        </row>
        <row r="995">
          <cell r="A995">
            <v>19269</v>
          </cell>
          <cell r="B995">
            <v>4987</v>
          </cell>
          <cell r="C995" t="str">
            <v xml:space="preserve">INCLINE NATIONAL INSURANCE COMPANY </v>
          </cell>
          <cell r="D995" t="str">
            <v>SAC / VISWANATHAN</v>
          </cell>
          <cell r="E995" t="str">
            <v>SAC / VISWANATHAN</v>
          </cell>
          <cell r="F995" t="str">
            <v>SF2 / GOTERA-PITROU</v>
          </cell>
          <cell r="G995"/>
          <cell r="H995"/>
        </row>
        <row r="996">
          <cell r="A996">
            <v>16659</v>
          </cell>
          <cell r="B996">
            <v>4988</v>
          </cell>
          <cell r="C996" t="str">
            <v>UNITED GUARANTY COMMERCIAL INSURANCE CO. OF NORTH CAROLINA (Name changed to Poseidon Commercial Insurance Company effective 04-22-2022)</v>
          </cell>
          <cell r="D996" t="str">
            <v>SF2 / GOTERA-PITROU</v>
          </cell>
          <cell r="E996" t="str">
            <v>SF2 / GOTERA-PITROU</v>
          </cell>
          <cell r="F996" t="str">
            <v>SF2 / GOTERA-PITROU</v>
          </cell>
          <cell r="G996"/>
          <cell r="H996"/>
        </row>
        <row r="997">
          <cell r="A997">
            <v>16659</v>
          </cell>
          <cell r="B997">
            <v>4988</v>
          </cell>
          <cell r="C997" t="str">
            <v>POSEIDON COMMERCIAL INSURANCE CO. (Name changed from United Guaranty Commercial Insurance Company of North Carolina effective 04-22-2022)</v>
          </cell>
          <cell r="D997" t="str">
            <v>SF2 / GOTERA-PITROU</v>
          </cell>
          <cell r="E997" t="str">
            <v>SF2 / GOTERA-PITROU</v>
          </cell>
          <cell r="F997" t="str">
            <v>SF2 / GOTERA-PITROU</v>
          </cell>
          <cell r="G997"/>
          <cell r="H997"/>
        </row>
        <row r="998">
          <cell r="A998">
            <v>40525</v>
          </cell>
          <cell r="B998">
            <v>4988</v>
          </cell>
          <cell r="C998" t="str">
            <v>UNITED GUARANTY CREDIT INSURANCE COMPANY</v>
          </cell>
          <cell r="D998" t="str">
            <v>SF2 / GOTERA-PITROU</v>
          </cell>
          <cell r="E998" t="str">
            <v>SF2 / GOTERA-PITROU</v>
          </cell>
          <cell r="F998" t="str">
            <v>SF2 / DEMESA</v>
          </cell>
          <cell r="G998"/>
          <cell r="H998"/>
        </row>
        <row r="999">
          <cell r="A999">
            <v>26077</v>
          </cell>
          <cell r="B999">
            <v>4990</v>
          </cell>
          <cell r="C999" t="str">
            <v>LANCER INSURANCE COMPANY</v>
          </cell>
          <cell r="D999" t="str">
            <v>SF2 / GOTERA-PITROU</v>
          </cell>
          <cell r="E999" t="str">
            <v>SF2 / GOTERA-PITROU</v>
          </cell>
          <cell r="F999" t="str">
            <v>SF2 / GOTERA-PITROU</v>
          </cell>
          <cell r="G999"/>
          <cell r="H999"/>
        </row>
        <row r="1000">
          <cell r="A1000">
            <v>25496</v>
          </cell>
          <cell r="B1000">
            <v>4990</v>
          </cell>
          <cell r="C1000" t="str">
            <v>STARSTONE NATIONAL INSURANCE COMPANY</v>
          </cell>
          <cell r="D1000" t="str">
            <v>SF2 / GOTERA-PITROU</v>
          </cell>
          <cell r="E1000" t="str">
            <v>SF2 / GOTERA-PITROU</v>
          </cell>
          <cell r="F1000" t="str">
            <v>SF2 / DEMESA</v>
          </cell>
          <cell r="G1000"/>
          <cell r="H1000"/>
        </row>
        <row r="1001">
          <cell r="A1001">
            <v>24503</v>
          </cell>
          <cell r="B1001">
            <v>4991</v>
          </cell>
          <cell r="C1001" t="str">
            <v>CATLIN INDEMNITY COMPANY ((Name changed Root Property &amp; Casualty Insurance Company effective Dec. 2, 2021)</v>
          </cell>
          <cell r="D1001" t="str">
            <v>LA1 / HUH</v>
          </cell>
          <cell r="E1001" t="str">
            <v>LA1 / AHN</v>
          </cell>
          <cell r="F1001" t="str">
            <v>SF2 / GOTERA-PITROU</v>
          </cell>
          <cell r="G1001"/>
          <cell r="H1001"/>
        </row>
        <row r="1002">
          <cell r="A1002">
            <v>24503</v>
          </cell>
          <cell r="B1002">
            <v>4991</v>
          </cell>
          <cell r="C1002" t="str">
            <v>ROOT PROPERTY &amp; CASUALTY INSURANCE COMPANY (Name changed from Catlin Indemnity Company effective December 2, 2021)</v>
          </cell>
          <cell r="D1002" t="str">
            <v>LA1 / HUH</v>
          </cell>
          <cell r="E1002" t="str">
            <v>LA1 / AHN</v>
          </cell>
          <cell r="F1002" t="str">
            <v>SF2 / GOTERA-PITROU</v>
          </cell>
          <cell r="G1002"/>
          <cell r="H1002"/>
        </row>
        <row r="1003">
          <cell r="A1003">
            <v>10974</v>
          </cell>
          <cell r="B1003">
            <v>4991</v>
          </cell>
          <cell r="C1003" t="str">
            <v>ROOT INSURANCE COMPANY</v>
          </cell>
          <cell r="D1003" t="str">
            <v>LA1 / HUH</v>
          </cell>
          <cell r="E1003" t="str">
            <v>LA1 / AHN</v>
          </cell>
          <cell r="F1003" t="str">
            <v>SF2 / DEMESA</v>
          </cell>
          <cell r="G1003"/>
          <cell r="H1003"/>
        </row>
        <row r="1004">
          <cell r="A1004">
            <v>37940</v>
          </cell>
          <cell r="B1004">
            <v>4993</v>
          </cell>
          <cell r="C1004" t="str">
            <v>LEXINGTON NATIONAL INSURANCE CORP.</v>
          </cell>
          <cell r="D1004" t="str">
            <v>LA1 / HUH</v>
          </cell>
          <cell r="E1004" t="str">
            <v>LA1 / AHN</v>
          </cell>
          <cell r="F1004" t="str">
            <v>SF2 / DEMESA</v>
          </cell>
          <cell r="G1004"/>
          <cell r="H1004"/>
        </row>
        <row r="1005">
          <cell r="A1005">
            <v>10220</v>
          </cell>
          <cell r="B1005">
            <v>4997</v>
          </cell>
          <cell r="C1005" t="str">
            <v>Accelerant National Insurance Company</v>
          </cell>
          <cell r="D1005" t="str">
            <v>LA1 / HUH</v>
          </cell>
          <cell r="E1005" t="str">
            <v>LA1 / AHN</v>
          </cell>
          <cell r="F1005"/>
          <cell r="G1005"/>
          <cell r="H1005"/>
        </row>
        <row r="1006">
          <cell r="A1006">
            <v>20273</v>
          </cell>
          <cell r="B1006">
            <v>5001</v>
          </cell>
          <cell r="C1006" t="str">
            <v>CEDAR INSURANCE COMPANY	(changed group code from 5001 to 0 effective Aug. 8, 2021)</v>
          </cell>
          <cell r="D1006" t="str">
            <v>SF2 / DEMESA</v>
          </cell>
          <cell r="E1006" t="str">
            <v>SF2 / DEMESA</v>
          </cell>
          <cell r="F1006" t="str">
            <v>SF2 / DEMESA</v>
          </cell>
          <cell r="G1006"/>
          <cell r="H1006"/>
        </row>
        <row r="1007">
          <cell r="A1007">
            <v>31208</v>
          </cell>
          <cell r="B1007">
            <v>5001</v>
          </cell>
          <cell r="C1007" t="str">
            <v>OAKWOOD INSURANCE COMPANY</v>
          </cell>
          <cell r="D1007" t="str">
            <v>SF2 / DEMESA</v>
          </cell>
          <cell r="E1007" t="str">
            <v>SF2 / DEMESA</v>
          </cell>
          <cell r="F1007" t="str">
            <v>SF2 / DEMESA</v>
          </cell>
          <cell r="G1007"/>
          <cell r="H1007"/>
        </row>
        <row r="1008">
          <cell r="A1008">
            <v>38776</v>
          </cell>
          <cell r="B1008">
            <v>5001</v>
          </cell>
          <cell r="C1008" t="str">
            <v>SIRIUS AMERICA INSURANCE COMPANY (changed company name to SiriusPoint Amer Ins. Co</v>
          </cell>
          <cell r="D1008" t="str">
            <v>SF2 / DEMESA</v>
          </cell>
          <cell r="E1008" t="str">
            <v>SF2 / DEMESA</v>
          </cell>
          <cell r="F1008" t="str">
            <v>SF2 / DEMESA</v>
          </cell>
          <cell r="G1008"/>
          <cell r="H1008"/>
        </row>
        <row r="1009">
          <cell r="A1009">
            <v>28339</v>
          </cell>
          <cell r="B1009">
            <v>5006</v>
          </cell>
          <cell r="C1009" t="str">
            <v>ALANO INSURANCE COMPANY (See Gateway Ins Co)</v>
          </cell>
          <cell r="D1009" t="str">
            <v>SF2 / DEMESA</v>
          </cell>
          <cell r="E1009" t="str">
            <v>SF2 / DEMESA</v>
          </cell>
          <cell r="F1009" t="str">
            <v>SF2 / DEMESA</v>
          </cell>
          <cell r="G1009"/>
          <cell r="H1009"/>
        </row>
        <row r="1010">
          <cell r="A1010">
            <v>28339</v>
          </cell>
          <cell r="B1010">
            <v>5006</v>
          </cell>
          <cell r="C1010" t="str">
            <v>GATEWAY INSURANCE COMPANY dba ALANO INSURANCE COMPANY</v>
          </cell>
          <cell r="D1010" t="str">
            <v>SF2 / DEMESA</v>
          </cell>
          <cell r="E1010" t="str">
            <v>SF2 / DEMESA</v>
          </cell>
          <cell r="F1010" t="str">
            <v>SF2 / DEMESA</v>
          </cell>
          <cell r="G1010"/>
          <cell r="H1010"/>
        </row>
        <row r="1011">
          <cell r="A1011">
            <v>12190</v>
          </cell>
          <cell r="B1011">
            <v>5008</v>
          </cell>
          <cell r="C1011" t="str">
            <v>AMERICAN PET INSURANCE COMPANY</v>
          </cell>
          <cell r="D1011" t="str">
            <v>SF2 / DEMESA</v>
          </cell>
          <cell r="E1011" t="str">
            <v>SF2 / DEMESA</v>
          </cell>
          <cell r="F1011" t="str">
            <v>SF2 / DEMESA</v>
          </cell>
          <cell r="G1011"/>
          <cell r="H1011"/>
        </row>
        <row r="1012">
          <cell r="A1012">
            <v>24376</v>
          </cell>
          <cell r="B1012">
            <v>5010</v>
          </cell>
          <cell r="C1012" t="str">
            <v>SPINNAKER INSURANCE COMPANY</v>
          </cell>
          <cell r="D1012" t="str">
            <v>SF2 / DEMESA</v>
          </cell>
          <cell r="E1012" t="str">
            <v>SF2 / DEMESA</v>
          </cell>
          <cell r="F1012" t="str">
            <v>SF2 / DEMESA</v>
          </cell>
          <cell r="G1012"/>
          <cell r="H1012"/>
        </row>
        <row r="1013">
          <cell r="A1013">
            <v>32867</v>
          </cell>
          <cell r="B1013">
            <v>5020</v>
          </cell>
          <cell r="C1013" t="str">
            <v>UNIVERSAL FIRE &amp; CASUALTY INSURANCE COMPANY</v>
          </cell>
          <cell r="D1013" t="str">
            <v>LA3 / SAPIN</v>
          </cell>
          <cell r="E1013" t="str">
            <v>LA3 / SAPIN</v>
          </cell>
          <cell r="F1013"/>
          <cell r="G1013"/>
          <cell r="H1013"/>
        </row>
        <row r="1014">
          <cell r="A1014">
            <v>41211</v>
          </cell>
          <cell r="B1014">
            <v>5021</v>
          </cell>
          <cell r="C1014" t="str">
            <v>TRITON INSURANCE COMPANY</v>
          </cell>
          <cell r="D1014" t="str">
            <v>SAC / TAM</v>
          </cell>
          <cell r="E1014" t="str">
            <v>SAC / TAM</v>
          </cell>
          <cell r="F1014" t="str">
            <v>SF2 / GOTERA-PITROU</v>
          </cell>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cell r="F1017"/>
          <cell r="G1017"/>
          <cell r="H1017"/>
        </row>
        <row r="1018">
          <cell r="A1018"/>
          <cell r="B1018"/>
          <cell r="C1018"/>
          <cell r="D1018"/>
          <cell r="E1018"/>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49.xml"/><Relationship Id="rId18" Type="http://schemas.openxmlformats.org/officeDocument/2006/relationships/ctrlProp" Target="../ctrlProps/ctrlProp54.xml"/><Relationship Id="rId26" Type="http://schemas.openxmlformats.org/officeDocument/2006/relationships/ctrlProp" Target="../ctrlProps/ctrlProp62.xml"/><Relationship Id="rId39" Type="http://schemas.openxmlformats.org/officeDocument/2006/relationships/ctrlProp" Target="../ctrlProps/ctrlProp75.xml"/><Relationship Id="rId21" Type="http://schemas.openxmlformats.org/officeDocument/2006/relationships/ctrlProp" Target="../ctrlProps/ctrlProp57.xml"/><Relationship Id="rId34" Type="http://schemas.openxmlformats.org/officeDocument/2006/relationships/ctrlProp" Target="../ctrlProps/ctrlProp70.xml"/><Relationship Id="rId42" Type="http://schemas.openxmlformats.org/officeDocument/2006/relationships/ctrlProp" Target="../ctrlProps/ctrlProp78.xml"/><Relationship Id="rId47" Type="http://schemas.openxmlformats.org/officeDocument/2006/relationships/ctrlProp" Target="../ctrlProps/ctrlProp83.xml"/><Relationship Id="rId7" Type="http://schemas.openxmlformats.org/officeDocument/2006/relationships/ctrlProp" Target="../ctrlProps/ctrlProp43.xml"/><Relationship Id="rId2" Type="http://schemas.openxmlformats.org/officeDocument/2006/relationships/drawing" Target="../drawings/drawing6.xml"/><Relationship Id="rId16" Type="http://schemas.openxmlformats.org/officeDocument/2006/relationships/ctrlProp" Target="../ctrlProps/ctrlProp52.xml"/><Relationship Id="rId29" Type="http://schemas.openxmlformats.org/officeDocument/2006/relationships/ctrlProp" Target="../ctrlProps/ctrlProp65.xml"/><Relationship Id="rId1" Type="http://schemas.openxmlformats.org/officeDocument/2006/relationships/printerSettings" Target="../printerSettings/printerSettings11.bin"/><Relationship Id="rId6" Type="http://schemas.openxmlformats.org/officeDocument/2006/relationships/ctrlProp" Target="../ctrlProps/ctrlProp42.xml"/><Relationship Id="rId11" Type="http://schemas.openxmlformats.org/officeDocument/2006/relationships/ctrlProp" Target="../ctrlProps/ctrlProp47.xml"/><Relationship Id="rId24" Type="http://schemas.openxmlformats.org/officeDocument/2006/relationships/ctrlProp" Target="../ctrlProps/ctrlProp60.xml"/><Relationship Id="rId32" Type="http://schemas.openxmlformats.org/officeDocument/2006/relationships/ctrlProp" Target="../ctrlProps/ctrlProp68.xml"/><Relationship Id="rId37" Type="http://schemas.openxmlformats.org/officeDocument/2006/relationships/ctrlProp" Target="../ctrlProps/ctrlProp73.xml"/><Relationship Id="rId40" Type="http://schemas.openxmlformats.org/officeDocument/2006/relationships/ctrlProp" Target="../ctrlProps/ctrlProp76.xml"/><Relationship Id="rId45" Type="http://schemas.openxmlformats.org/officeDocument/2006/relationships/ctrlProp" Target="../ctrlProps/ctrlProp81.xml"/><Relationship Id="rId5" Type="http://schemas.openxmlformats.org/officeDocument/2006/relationships/ctrlProp" Target="../ctrlProps/ctrlProp41.xml"/><Relationship Id="rId15" Type="http://schemas.openxmlformats.org/officeDocument/2006/relationships/ctrlProp" Target="../ctrlProps/ctrlProp51.xml"/><Relationship Id="rId23" Type="http://schemas.openxmlformats.org/officeDocument/2006/relationships/ctrlProp" Target="../ctrlProps/ctrlProp59.xml"/><Relationship Id="rId28" Type="http://schemas.openxmlformats.org/officeDocument/2006/relationships/ctrlProp" Target="../ctrlProps/ctrlProp64.xml"/><Relationship Id="rId36" Type="http://schemas.openxmlformats.org/officeDocument/2006/relationships/ctrlProp" Target="../ctrlProps/ctrlProp72.xml"/><Relationship Id="rId10" Type="http://schemas.openxmlformats.org/officeDocument/2006/relationships/ctrlProp" Target="../ctrlProps/ctrlProp46.xml"/><Relationship Id="rId19" Type="http://schemas.openxmlformats.org/officeDocument/2006/relationships/ctrlProp" Target="../ctrlProps/ctrlProp55.xml"/><Relationship Id="rId31" Type="http://schemas.openxmlformats.org/officeDocument/2006/relationships/ctrlProp" Target="../ctrlProps/ctrlProp67.xml"/><Relationship Id="rId44" Type="http://schemas.openxmlformats.org/officeDocument/2006/relationships/ctrlProp" Target="../ctrlProps/ctrlProp80.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 Id="rId22" Type="http://schemas.openxmlformats.org/officeDocument/2006/relationships/ctrlProp" Target="../ctrlProps/ctrlProp58.xml"/><Relationship Id="rId27" Type="http://schemas.openxmlformats.org/officeDocument/2006/relationships/ctrlProp" Target="../ctrlProps/ctrlProp63.xml"/><Relationship Id="rId30" Type="http://schemas.openxmlformats.org/officeDocument/2006/relationships/ctrlProp" Target="../ctrlProps/ctrlProp66.xml"/><Relationship Id="rId35" Type="http://schemas.openxmlformats.org/officeDocument/2006/relationships/ctrlProp" Target="../ctrlProps/ctrlProp71.xml"/><Relationship Id="rId43" Type="http://schemas.openxmlformats.org/officeDocument/2006/relationships/ctrlProp" Target="../ctrlProps/ctrlProp79.xml"/><Relationship Id="rId8" Type="http://schemas.openxmlformats.org/officeDocument/2006/relationships/ctrlProp" Target="../ctrlProps/ctrlProp44.xml"/><Relationship Id="rId3" Type="http://schemas.openxmlformats.org/officeDocument/2006/relationships/vmlDrawing" Target="../drawings/vmlDrawing6.vml"/><Relationship Id="rId12" Type="http://schemas.openxmlformats.org/officeDocument/2006/relationships/ctrlProp" Target="../ctrlProps/ctrlProp48.xml"/><Relationship Id="rId17" Type="http://schemas.openxmlformats.org/officeDocument/2006/relationships/ctrlProp" Target="../ctrlProps/ctrlProp53.xml"/><Relationship Id="rId25" Type="http://schemas.openxmlformats.org/officeDocument/2006/relationships/ctrlProp" Target="../ctrlProps/ctrlProp61.xml"/><Relationship Id="rId33" Type="http://schemas.openxmlformats.org/officeDocument/2006/relationships/ctrlProp" Target="../ctrlProps/ctrlProp69.xml"/><Relationship Id="rId38" Type="http://schemas.openxmlformats.org/officeDocument/2006/relationships/ctrlProp" Target="../ctrlProps/ctrlProp74.xml"/><Relationship Id="rId46" Type="http://schemas.openxmlformats.org/officeDocument/2006/relationships/ctrlProp" Target="../ctrlProps/ctrlProp82.xml"/><Relationship Id="rId20" Type="http://schemas.openxmlformats.org/officeDocument/2006/relationships/ctrlProp" Target="../ctrlProps/ctrlProp56.xml"/><Relationship Id="rId41" Type="http://schemas.openxmlformats.org/officeDocument/2006/relationships/ctrlProp" Target="../ctrlProps/ctrlProp7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87.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vmlDrawing" Target="../drawings/vmlDrawing8.vml"/><Relationship Id="rId7" Type="http://schemas.openxmlformats.org/officeDocument/2006/relationships/ctrlProp" Target="../ctrlProps/ctrlProp91.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0.xml"/><Relationship Id="rId5" Type="http://schemas.openxmlformats.org/officeDocument/2006/relationships/ctrlProp" Target="../ctrlProps/ctrlProp89.xml"/><Relationship Id="rId10" Type="http://schemas.openxmlformats.org/officeDocument/2006/relationships/ctrlProp" Target="../ctrlProps/ctrlProp94.xml"/><Relationship Id="rId4" Type="http://schemas.openxmlformats.org/officeDocument/2006/relationships/ctrlProp" Target="../ctrlProps/ctrlProp88.xml"/><Relationship Id="rId9" Type="http://schemas.openxmlformats.org/officeDocument/2006/relationships/ctrlProp" Target="../ctrlProps/ctrlProp9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9.xml"/><Relationship Id="rId13" Type="http://schemas.openxmlformats.org/officeDocument/2006/relationships/ctrlProp" Target="../ctrlProps/ctrlProp104.xml"/><Relationship Id="rId3" Type="http://schemas.openxmlformats.org/officeDocument/2006/relationships/vmlDrawing" Target="../drawings/vmlDrawing9.vml"/><Relationship Id="rId7" Type="http://schemas.openxmlformats.org/officeDocument/2006/relationships/ctrlProp" Target="../ctrlProps/ctrlProp98.xml"/><Relationship Id="rId12" Type="http://schemas.openxmlformats.org/officeDocument/2006/relationships/ctrlProp" Target="../ctrlProps/ctrlProp103.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21" Type="http://schemas.openxmlformats.org/officeDocument/2006/relationships/ctrlProp" Target="../ctrlProps/ctrlProp122.xml"/><Relationship Id="rId34" Type="http://schemas.openxmlformats.org/officeDocument/2006/relationships/ctrlProp" Target="../ctrlProps/ctrlProp135.xml"/><Relationship Id="rId7" Type="http://schemas.openxmlformats.org/officeDocument/2006/relationships/ctrlProp" Target="../ctrlProps/ctrlProp108.x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2" Type="http://schemas.openxmlformats.org/officeDocument/2006/relationships/drawing" Target="../drawings/drawing10.xml"/><Relationship Id="rId16" Type="http://schemas.openxmlformats.org/officeDocument/2006/relationships/ctrlProp" Target="../ctrlProps/ctrlProp117.xml"/><Relationship Id="rId20" Type="http://schemas.openxmlformats.org/officeDocument/2006/relationships/ctrlProp" Target="../ctrlProps/ctrlProp121.xml"/><Relationship Id="rId29" Type="http://schemas.openxmlformats.org/officeDocument/2006/relationships/ctrlProp" Target="../ctrlProps/ctrlProp130.xml"/><Relationship Id="rId1" Type="http://schemas.openxmlformats.org/officeDocument/2006/relationships/printerSettings" Target="../printerSettings/printerSettings15.bin"/><Relationship Id="rId6" Type="http://schemas.openxmlformats.org/officeDocument/2006/relationships/ctrlProp" Target="../ctrlProps/ctrlProp107.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5" Type="http://schemas.openxmlformats.org/officeDocument/2006/relationships/ctrlProp" Target="../ctrlProps/ctrlProp106.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8" Type="http://schemas.openxmlformats.org/officeDocument/2006/relationships/ctrlProp" Target="../ctrlProps/ctrlProp109.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49.xml"/><Relationship Id="rId18" Type="http://schemas.openxmlformats.org/officeDocument/2006/relationships/ctrlProp" Target="../ctrlProps/ctrlProp154.xml"/><Relationship Id="rId26" Type="http://schemas.openxmlformats.org/officeDocument/2006/relationships/ctrlProp" Target="../ctrlProps/ctrlProp162.xml"/><Relationship Id="rId21" Type="http://schemas.openxmlformats.org/officeDocument/2006/relationships/ctrlProp" Target="../ctrlProps/ctrlProp157.xml"/><Relationship Id="rId34" Type="http://schemas.openxmlformats.org/officeDocument/2006/relationships/ctrlProp" Target="../ctrlProps/ctrlProp170.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38" Type="http://schemas.openxmlformats.org/officeDocument/2006/relationships/ctrlProp" Target="../ctrlProps/ctrlProp174.xml"/><Relationship Id="rId2" Type="http://schemas.openxmlformats.org/officeDocument/2006/relationships/drawing" Target="../drawings/drawing11.xml"/><Relationship Id="rId16" Type="http://schemas.openxmlformats.org/officeDocument/2006/relationships/ctrlProp" Target="../ctrlProps/ctrlProp152.xml"/><Relationship Id="rId20" Type="http://schemas.openxmlformats.org/officeDocument/2006/relationships/ctrlProp" Target="../ctrlProps/ctrlProp156.xml"/><Relationship Id="rId29" Type="http://schemas.openxmlformats.org/officeDocument/2006/relationships/ctrlProp" Target="../ctrlProps/ctrlProp165.xml"/><Relationship Id="rId1" Type="http://schemas.openxmlformats.org/officeDocument/2006/relationships/printerSettings" Target="../printerSettings/printerSettings16.bin"/><Relationship Id="rId6" Type="http://schemas.openxmlformats.org/officeDocument/2006/relationships/ctrlProp" Target="../ctrlProps/ctrlProp142.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37" Type="http://schemas.openxmlformats.org/officeDocument/2006/relationships/ctrlProp" Target="../ctrlProps/ctrlProp173.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36" Type="http://schemas.openxmlformats.org/officeDocument/2006/relationships/ctrlProp" Target="../ctrlProps/ctrlProp172.xml"/><Relationship Id="rId10" Type="http://schemas.openxmlformats.org/officeDocument/2006/relationships/ctrlProp" Target="../ctrlProps/ctrlProp146.xml"/><Relationship Id="rId19" Type="http://schemas.openxmlformats.org/officeDocument/2006/relationships/ctrlProp" Target="../ctrlProps/ctrlProp155.xml"/><Relationship Id="rId31" Type="http://schemas.openxmlformats.org/officeDocument/2006/relationships/ctrlProp" Target="../ctrlProps/ctrlProp167.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 Id="rId8" Type="http://schemas.openxmlformats.org/officeDocument/2006/relationships/ctrlProp" Target="../ctrlProps/ctrlProp144.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4.xml"/><Relationship Id="rId18" Type="http://schemas.openxmlformats.org/officeDocument/2006/relationships/ctrlProp" Target="../ctrlProps/ctrlProp189.xml"/><Relationship Id="rId26" Type="http://schemas.openxmlformats.org/officeDocument/2006/relationships/ctrlProp" Target="../ctrlProps/ctrlProp197.xml"/><Relationship Id="rId21" Type="http://schemas.openxmlformats.org/officeDocument/2006/relationships/ctrlProp" Target="../ctrlProps/ctrlProp192.xml"/><Relationship Id="rId34" Type="http://schemas.openxmlformats.org/officeDocument/2006/relationships/ctrlProp" Target="../ctrlProps/ctrlProp205.xml"/><Relationship Id="rId7" Type="http://schemas.openxmlformats.org/officeDocument/2006/relationships/ctrlProp" Target="../ctrlProps/ctrlProp178.xml"/><Relationship Id="rId12" Type="http://schemas.openxmlformats.org/officeDocument/2006/relationships/ctrlProp" Target="../ctrlProps/ctrlProp183.xml"/><Relationship Id="rId17" Type="http://schemas.openxmlformats.org/officeDocument/2006/relationships/ctrlProp" Target="../ctrlProps/ctrlProp188.xml"/><Relationship Id="rId25" Type="http://schemas.openxmlformats.org/officeDocument/2006/relationships/ctrlProp" Target="../ctrlProps/ctrlProp196.xml"/><Relationship Id="rId33" Type="http://schemas.openxmlformats.org/officeDocument/2006/relationships/ctrlProp" Target="../ctrlProps/ctrlProp204.xml"/><Relationship Id="rId38" Type="http://schemas.openxmlformats.org/officeDocument/2006/relationships/ctrlProp" Target="../ctrlProps/ctrlProp209.xml"/><Relationship Id="rId2" Type="http://schemas.openxmlformats.org/officeDocument/2006/relationships/drawing" Target="../drawings/drawing12.xml"/><Relationship Id="rId16" Type="http://schemas.openxmlformats.org/officeDocument/2006/relationships/ctrlProp" Target="../ctrlProps/ctrlProp187.xml"/><Relationship Id="rId20" Type="http://schemas.openxmlformats.org/officeDocument/2006/relationships/ctrlProp" Target="../ctrlProps/ctrlProp191.xml"/><Relationship Id="rId29" Type="http://schemas.openxmlformats.org/officeDocument/2006/relationships/ctrlProp" Target="../ctrlProps/ctrlProp200.xml"/><Relationship Id="rId1" Type="http://schemas.openxmlformats.org/officeDocument/2006/relationships/printerSettings" Target="../printerSettings/printerSettings17.bin"/><Relationship Id="rId6" Type="http://schemas.openxmlformats.org/officeDocument/2006/relationships/ctrlProp" Target="../ctrlProps/ctrlProp177.xml"/><Relationship Id="rId11" Type="http://schemas.openxmlformats.org/officeDocument/2006/relationships/ctrlProp" Target="../ctrlProps/ctrlProp182.xml"/><Relationship Id="rId24" Type="http://schemas.openxmlformats.org/officeDocument/2006/relationships/ctrlProp" Target="../ctrlProps/ctrlProp195.xml"/><Relationship Id="rId32" Type="http://schemas.openxmlformats.org/officeDocument/2006/relationships/ctrlProp" Target="../ctrlProps/ctrlProp203.xml"/><Relationship Id="rId37" Type="http://schemas.openxmlformats.org/officeDocument/2006/relationships/ctrlProp" Target="../ctrlProps/ctrlProp208.xml"/><Relationship Id="rId5" Type="http://schemas.openxmlformats.org/officeDocument/2006/relationships/ctrlProp" Target="../ctrlProps/ctrlProp176.xml"/><Relationship Id="rId15" Type="http://schemas.openxmlformats.org/officeDocument/2006/relationships/ctrlProp" Target="../ctrlProps/ctrlProp186.xml"/><Relationship Id="rId23" Type="http://schemas.openxmlformats.org/officeDocument/2006/relationships/ctrlProp" Target="../ctrlProps/ctrlProp194.xml"/><Relationship Id="rId28" Type="http://schemas.openxmlformats.org/officeDocument/2006/relationships/ctrlProp" Target="../ctrlProps/ctrlProp199.xml"/><Relationship Id="rId36" Type="http://schemas.openxmlformats.org/officeDocument/2006/relationships/ctrlProp" Target="../ctrlProps/ctrlProp207.xml"/><Relationship Id="rId10" Type="http://schemas.openxmlformats.org/officeDocument/2006/relationships/ctrlProp" Target="../ctrlProps/ctrlProp181.xml"/><Relationship Id="rId19" Type="http://schemas.openxmlformats.org/officeDocument/2006/relationships/ctrlProp" Target="../ctrlProps/ctrlProp190.xml"/><Relationship Id="rId31" Type="http://schemas.openxmlformats.org/officeDocument/2006/relationships/ctrlProp" Target="../ctrlProps/ctrlProp202.xml"/><Relationship Id="rId4" Type="http://schemas.openxmlformats.org/officeDocument/2006/relationships/ctrlProp" Target="../ctrlProps/ctrlProp175.xml"/><Relationship Id="rId9" Type="http://schemas.openxmlformats.org/officeDocument/2006/relationships/ctrlProp" Target="../ctrlProps/ctrlProp180.xml"/><Relationship Id="rId14" Type="http://schemas.openxmlformats.org/officeDocument/2006/relationships/ctrlProp" Target="../ctrlProps/ctrlProp185.xml"/><Relationship Id="rId22" Type="http://schemas.openxmlformats.org/officeDocument/2006/relationships/ctrlProp" Target="../ctrlProps/ctrlProp193.xml"/><Relationship Id="rId27" Type="http://schemas.openxmlformats.org/officeDocument/2006/relationships/ctrlProp" Target="../ctrlProps/ctrlProp198.xml"/><Relationship Id="rId30" Type="http://schemas.openxmlformats.org/officeDocument/2006/relationships/ctrlProp" Target="../ctrlProps/ctrlProp201.xml"/><Relationship Id="rId35" Type="http://schemas.openxmlformats.org/officeDocument/2006/relationships/ctrlProp" Target="../ctrlProps/ctrlProp206.xml"/><Relationship Id="rId8" Type="http://schemas.openxmlformats.org/officeDocument/2006/relationships/ctrlProp" Target="../ctrlProps/ctrlProp179.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19.xml"/><Relationship Id="rId18" Type="http://schemas.openxmlformats.org/officeDocument/2006/relationships/ctrlProp" Target="../ctrlProps/ctrlProp224.xml"/><Relationship Id="rId26" Type="http://schemas.openxmlformats.org/officeDocument/2006/relationships/ctrlProp" Target="../ctrlProps/ctrlProp232.xml"/><Relationship Id="rId21" Type="http://schemas.openxmlformats.org/officeDocument/2006/relationships/ctrlProp" Target="../ctrlProps/ctrlProp227.xml"/><Relationship Id="rId34" Type="http://schemas.openxmlformats.org/officeDocument/2006/relationships/ctrlProp" Target="../ctrlProps/ctrlProp240.xml"/><Relationship Id="rId7" Type="http://schemas.openxmlformats.org/officeDocument/2006/relationships/ctrlProp" Target="../ctrlProps/ctrlProp213.xml"/><Relationship Id="rId12" Type="http://schemas.openxmlformats.org/officeDocument/2006/relationships/ctrlProp" Target="../ctrlProps/ctrlProp218.xml"/><Relationship Id="rId17" Type="http://schemas.openxmlformats.org/officeDocument/2006/relationships/ctrlProp" Target="../ctrlProps/ctrlProp223.xml"/><Relationship Id="rId25" Type="http://schemas.openxmlformats.org/officeDocument/2006/relationships/ctrlProp" Target="../ctrlProps/ctrlProp231.xml"/><Relationship Id="rId33" Type="http://schemas.openxmlformats.org/officeDocument/2006/relationships/ctrlProp" Target="../ctrlProps/ctrlProp239.xml"/><Relationship Id="rId38" Type="http://schemas.openxmlformats.org/officeDocument/2006/relationships/ctrlProp" Target="../ctrlProps/ctrlProp244.xml"/><Relationship Id="rId2" Type="http://schemas.openxmlformats.org/officeDocument/2006/relationships/drawing" Target="../drawings/drawing13.xml"/><Relationship Id="rId16" Type="http://schemas.openxmlformats.org/officeDocument/2006/relationships/ctrlProp" Target="../ctrlProps/ctrlProp222.xml"/><Relationship Id="rId20" Type="http://schemas.openxmlformats.org/officeDocument/2006/relationships/ctrlProp" Target="../ctrlProps/ctrlProp226.xml"/><Relationship Id="rId29" Type="http://schemas.openxmlformats.org/officeDocument/2006/relationships/ctrlProp" Target="../ctrlProps/ctrlProp235.xml"/><Relationship Id="rId1" Type="http://schemas.openxmlformats.org/officeDocument/2006/relationships/printerSettings" Target="../printerSettings/printerSettings18.bin"/><Relationship Id="rId6" Type="http://schemas.openxmlformats.org/officeDocument/2006/relationships/ctrlProp" Target="../ctrlProps/ctrlProp212.xml"/><Relationship Id="rId11" Type="http://schemas.openxmlformats.org/officeDocument/2006/relationships/ctrlProp" Target="../ctrlProps/ctrlProp217.xml"/><Relationship Id="rId24" Type="http://schemas.openxmlformats.org/officeDocument/2006/relationships/ctrlProp" Target="../ctrlProps/ctrlProp230.xml"/><Relationship Id="rId32" Type="http://schemas.openxmlformats.org/officeDocument/2006/relationships/ctrlProp" Target="../ctrlProps/ctrlProp238.xml"/><Relationship Id="rId37" Type="http://schemas.openxmlformats.org/officeDocument/2006/relationships/ctrlProp" Target="../ctrlProps/ctrlProp243.xml"/><Relationship Id="rId5" Type="http://schemas.openxmlformats.org/officeDocument/2006/relationships/ctrlProp" Target="../ctrlProps/ctrlProp211.xml"/><Relationship Id="rId15" Type="http://schemas.openxmlformats.org/officeDocument/2006/relationships/ctrlProp" Target="../ctrlProps/ctrlProp221.xml"/><Relationship Id="rId23" Type="http://schemas.openxmlformats.org/officeDocument/2006/relationships/ctrlProp" Target="../ctrlProps/ctrlProp229.xml"/><Relationship Id="rId28" Type="http://schemas.openxmlformats.org/officeDocument/2006/relationships/ctrlProp" Target="../ctrlProps/ctrlProp234.xml"/><Relationship Id="rId36" Type="http://schemas.openxmlformats.org/officeDocument/2006/relationships/ctrlProp" Target="../ctrlProps/ctrlProp242.xml"/><Relationship Id="rId10" Type="http://schemas.openxmlformats.org/officeDocument/2006/relationships/ctrlProp" Target="../ctrlProps/ctrlProp216.xml"/><Relationship Id="rId19" Type="http://schemas.openxmlformats.org/officeDocument/2006/relationships/ctrlProp" Target="../ctrlProps/ctrlProp225.xml"/><Relationship Id="rId31" Type="http://schemas.openxmlformats.org/officeDocument/2006/relationships/ctrlProp" Target="../ctrlProps/ctrlProp237.xml"/><Relationship Id="rId4" Type="http://schemas.openxmlformats.org/officeDocument/2006/relationships/ctrlProp" Target="../ctrlProps/ctrlProp210.xml"/><Relationship Id="rId9" Type="http://schemas.openxmlformats.org/officeDocument/2006/relationships/ctrlProp" Target="../ctrlProps/ctrlProp215.xml"/><Relationship Id="rId14" Type="http://schemas.openxmlformats.org/officeDocument/2006/relationships/ctrlProp" Target="../ctrlProps/ctrlProp220.xml"/><Relationship Id="rId22" Type="http://schemas.openxmlformats.org/officeDocument/2006/relationships/ctrlProp" Target="../ctrlProps/ctrlProp228.xml"/><Relationship Id="rId27" Type="http://schemas.openxmlformats.org/officeDocument/2006/relationships/ctrlProp" Target="../ctrlProps/ctrlProp233.xml"/><Relationship Id="rId30" Type="http://schemas.openxmlformats.org/officeDocument/2006/relationships/ctrlProp" Target="../ctrlProps/ctrlProp236.xml"/><Relationship Id="rId35" Type="http://schemas.openxmlformats.org/officeDocument/2006/relationships/ctrlProp" Target="../ctrlProps/ctrlProp241.xml"/><Relationship Id="rId8" Type="http://schemas.openxmlformats.org/officeDocument/2006/relationships/ctrlProp" Target="../ctrlProps/ctrlProp214.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4.xml"/><Relationship Id="rId18" Type="http://schemas.openxmlformats.org/officeDocument/2006/relationships/ctrlProp" Target="../ctrlProps/ctrlProp259.xml"/><Relationship Id="rId26" Type="http://schemas.openxmlformats.org/officeDocument/2006/relationships/ctrlProp" Target="../ctrlProps/ctrlProp267.xml"/><Relationship Id="rId21" Type="http://schemas.openxmlformats.org/officeDocument/2006/relationships/ctrlProp" Target="../ctrlProps/ctrlProp262.xml"/><Relationship Id="rId34" Type="http://schemas.openxmlformats.org/officeDocument/2006/relationships/ctrlProp" Target="../ctrlProps/ctrlProp275.xml"/><Relationship Id="rId7" Type="http://schemas.openxmlformats.org/officeDocument/2006/relationships/ctrlProp" Target="../ctrlProps/ctrlProp248.xml"/><Relationship Id="rId12" Type="http://schemas.openxmlformats.org/officeDocument/2006/relationships/ctrlProp" Target="../ctrlProps/ctrlProp253.xml"/><Relationship Id="rId17" Type="http://schemas.openxmlformats.org/officeDocument/2006/relationships/ctrlProp" Target="../ctrlProps/ctrlProp258.xml"/><Relationship Id="rId25" Type="http://schemas.openxmlformats.org/officeDocument/2006/relationships/ctrlProp" Target="../ctrlProps/ctrlProp266.xml"/><Relationship Id="rId33" Type="http://schemas.openxmlformats.org/officeDocument/2006/relationships/ctrlProp" Target="../ctrlProps/ctrlProp274.xml"/><Relationship Id="rId38" Type="http://schemas.openxmlformats.org/officeDocument/2006/relationships/ctrlProp" Target="../ctrlProps/ctrlProp279.xml"/><Relationship Id="rId2" Type="http://schemas.openxmlformats.org/officeDocument/2006/relationships/drawing" Target="../drawings/drawing14.xml"/><Relationship Id="rId16" Type="http://schemas.openxmlformats.org/officeDocument/2006/relationships/ctrlProp" Target="../ctrlProps/ctrlProp257.xml"/><Relationship Id="rId20" Type="http://schemas.openxmlformats.org/officeDocument/2006/relationships/ctrlProp" Target="../ctrlProps/ctrlProp261.xml"/><Relationship Id="rId29" Type="http://schemas.openxmlformats.org/officeDocument/2006/relationships/ctrlProp" Target="../ctrlProps/ctrlProp270.xml"/><Relationship Id="rId1" Type="http://schemas.openxmlformats.org/officeDocument/2006/relationships/printerSettings" Target="../printerSettings/printerSettings19.bin"/><Relationship Id="rId6" Type="http://schemas.openxmlformats.org/officeDocument/2006/relationships/ctrlProp" Target="../ctrlProps/ctrlProp247.xml"/><Relationship Id="rId11" Type="http://schemas.openxmlformats.org/officeDocument/2006/relationships/ctrlProp" Target="../ctrlProps/ctrlProp252.xml"/><Relationship Id="rId24" Type="http://schemas.openxmlformats.org/officeDocument/2006/relationships/ctrlProp" Target="../ctrlProps/ctrlProp265.xml"/><Relationship Id="rId32" Type="http://schemas.openxmlformats.org/officeDocument/2006/relationships/ctrlProp" Target="../ctrlProps/ctrlProp273.xml"/><Relationship Id="rId37" Type="http://schemas.openxmlformats.org/officeDocument/2006/relationships/ctrlProp" Target="../ctrlProps/ctrlProp278.xml"/><Relationship Id="rId5" Type="http://schemas.openxmlformats.org/officeDocument/2006/relationships/ctrlProp" Target="../ctrlProps/ctrlProp246.xml"/><Relationship Id="rId15" Type="http://schemas.openxmlformats.org/officeDocument/2006/relationships/ctrlProp" Target="../ctrlProps/ctrlProp256.xml"/><Relationship Id="rId23" Type="http://schemas.openxmlformats.org/officeDocument/2006/relationships/ctrlProp" Target="../ctrlProps/ctrlProp264.xml"/><Relationship Id="rId28" Type="http://schemas.openxmlformats.org/officeDocument/2006/relationships/ctrlProp" Target="../ctrlProps/ctrlProp269.xml"/><Relationship Id="rId36" Type="http://schemas.openxmlformats.org/officeDocument/2006/relationships/ctrlProp" Target="../ctrlProps/ctrlProp277.xml"/><Relationship Id="rId10" Type="http://schemas.openxmlformats.org/officeDocument/2006/relationships/ctrlProp" Target="../ctrlProps/ctrlProp251.xml"/><Relationship Id="rId19" Type="http://schemas.openxmlformats.org/officeDocument/2006/relationships/ctrlProp" Target="../ctrlProps/ctrlProp260.xml"/><Relationship Id="rId31" Type="http://schemas.openxmlformats.org/officeDocument/2006/relationships/ctrlProp" Target="../ctrlProps/ctrlProp272.xml"/><Relationship Id="rId4" Type="http://schemas.openxmlformats.org/officeDocument/2006/relationships/ctrlProp" Target="../ctrlProps/ctrlProp245.xml"/><Relationship Id="rId9" Type="http://schemas.openxmlformats.org/officeDocument/2006/relationships/ctrlProp" Target="../ctrlProps/ctrlProp250.xml"/><Relationship Id="rId14" Type="http://schemas.openxmlformats.org/officeDocument/2006/relationships/ctrlProp" Target="../ctrlProps/ctrlProp255.xml"/><Relationship Id="rId22" Type="http://schemas.openxmlformats.org/officeDocument/2006/relationships/ctrlProp" Target="../ctrlProps/ctrlProp263.xml"/><Relationship Id="rId27" Type="http://schemas.openxmlformats.org/officeDocument/2006/relationships/ctrlProp" Target="../ctrlProps/ctrlProp268.xml"/><Relationship Id="rId30" Type="http://schemas.openxmlformats.org/officeDocument/2006/relationships/ctrlProp" Target="../ctrlProps/ctrlProp271.xml"/><Relationship Id="rId35" Type="http://schemas.openxmlformats.org/officeDocument/2006/relationships/ctrlProp" Target="../ctrlProps/ctrlProp276.xml"/><Relationship Id="rId8" Type="http://schemas.openxmlformats.org/officeDocument/2006/relationships/ctrlProp" Target="../ctrlProps/ctrlProp249.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89.xml"/><Relationship Id="rId18" Type="http://schemas.openxmlformats.org/officeDocument/2006/relationships/ctrlProp" Target="../ctrlProps/ctrlProp294.xml"/><Relationship Id="rId26" Type="http://schemas.openxmlformats.org/officeDocument/2006/relationships/ctrlProp" Target="../ctrlProps/ctrlProp302.xml"/><Relationship Id="rId21" Type="http://schemas.openxmlformats.org/officeDocument/2006/relationships/ctrlProp" Target="../ctrlProps/ctrlProp297.xml"/><Relationship Id="rId34" Type="http://schemas.openxmlformats.org/officeDocument/2006/relationships/ctrlProp" Target="../ctrlProps/ctrlProp310.xml"/><Relationship Id="rId7" Type="http://schemas.openxmlformats.org/officeDocument/2006/relationships/ctrlProp" Target="../ctrlProps/ctrlProp283.xml"/><Relationship Id="rId12" Type="http://schemas.openxmlformats.org/officeDocument/2006/relationships/ctrlProp" Target="../ctrlProps/ctrlProp288.xml"/><Relationship Id="rId17" Type="http://schemas.openxmlformats.org/officeDocument/2006/relationships/ctrlProp" Target="../ctrlProps/ctrlProp293.xml"/><Relationship Id="rId25" Type="http://schemas.openxmlformats.org/officeDocument/2006/relationships/ctrlProp" Target="../ctrlProps/ctrlProp301.xml"/><Relationship Id="rId33" Type="http://schemas.openxmlformats.org/officeDocument/2006/relationships/ctrlProp" Target="../ctrlProps/ctrlProp309.xml"/><Relationship Id="rId38" Type="http://schemas.openxmlformats.org/officeDocument/2006/relationships/ctrlProp" Target="../ctrlProps/ctrlProp314.xml"/><Relationship Id="rId2" Type="http://schemas.openxmlformats.org/officeDocument/2006/relationships/drawing" Target="../drawings/drawing15.xml"/><Relationship Id="rId16" Type="http://schemas.openxmlformats.org/officeDocument/2006/relationships/ctrlProp" Target="../ctrlProps/ctrlProp292.xml"/><Relationship Id="rId20" Type="http://schemas.openxmlformats.org/officeDocument/2006/relationships/ctrlProp" Target="../ctrlProps/ctrlProp296.xml"/><Relationship Id="rId29" Type="http://schemas.openxmlformats.org/officeDocument/2006/relationships/ctrlProp" Target="../ctrlProps/ctrlProp305.xml"/><Relationship Id="rId1" Type="http://schemas.openxmlformats.org/officeDocument/2006/relationships/printerSettings" Target="../printerSettings/printerSettings20.bin"/><Relationship Id="rId6" Type="http://schemas.openxmlformats.org/officeDocument/2006/relationships/ctrlProp" Target="../ctrlProps/ctrlProp282.xml"/><Relationship Id="rId11" Type="http://schemas.openxmlformats.org/officeDocument/2006/relationships/ctrlProp" Target="../ctrlProps/ctrlProp287.xml"/><Relationship Id="rId24" Type="http://schemas.openxmlformats.org/officeDocument/2006/relationships/ctrlProp" Target="../ctrlProps/ctrlProp300.xml"/><Relationship Id="rId32" Type="http://schemas.openxmlformats.org/officeDocument/2006/relationships/ctrlProp" Target="../ctrlProps/ctrlProp308.xml"/><Relationship Id="rId37" Type="http://schemas.openxmlformats.org/officeDocument/2006/relationships/ctrlProp" Target="../ctrlProps/ctrlProp313.xml"/><Relationship Id="rId5" Type="http://schemas.openxmlformats.org/officeDocument/2006/relationships/ctrlProp" Target="../ctrlProps/ctrlProp281.xml"/><Relationship Id="rId15" Type="http://schemas.openxmlformats.org/officeDocument/2006/relationships/ctrlProp" Target="../ctrlProps/ctrlProp291.xml"/><Relationship Id="rId23" Type="http://schemas.openxmlformats.org/officeDocument/2006/relationships/ctrlProp" Target="../ctrlProps/ctrlProp299.xml"/><Relationship Id="rId28" Type="http://schemas.openxmlformats.org/officeDocument/2006/relationships/ctrlProp" Target="../ctrlProps/ctrlProp304.xml"/><Relationship Id="rId36" Type="http://schemas.openxmlformats.org/officeDocument/2006/relationships/ctrlProp" Target="../ctrlProps/ctrlProp312.xml"/><Relationship Id="rId10" Type="http://schemas.openxmlformats.org/officeDocument/2006/relationships/ctrlProp" Target="../ctrlProps/ctrlProp286.xml"/><Relationship Id="rId19" Type="http://schemas.openxmlformats.org/officeDocument/2006/relationships/ctrlProp" Target="../ctrlProps/ctrlProp295.xml"/><Relationship Id="rId31" Type="http://schemas.openxmlformats.org/officeDocument/2006/relationships/ctrlProp" Target="../ctrlProps/ctrlProp307.xml"/><Relationship Id="rId4" Type="http://schemas.openxmlformats.org/officeDocument/2006/relationships/ctrlProp" Target="../ctrlProps/ctrlProp280.xml"/><Relationship Id="rId9" Type="http://schemas.openxmlformats.org/officeDocument/2006/relationships/ctrlProp" Target="../ctrlProps/ctrlProp285.xml"/><Relationship Id="rId14" Type="http://schemas.openxmlformats.org/officeDocument/2006/relationships/ctrlProp" Target="../ctrlProps/ctrlProp290.xml"/><Relationship Id="rId22" Type="http://schemas.openxmlformats.org/officeDocument/2006/relationships/ctrlProp" Target="../ctrlProps/ctrlProp298.xml"/><Relationship Id="rId27" Type="http://schemas.openxmlformats.org/officeDocument/2006/relationships/ctrlProp" Target="../ctrlProps/ctrlProp303.xml"/><Relationship Id="rId30" Type="http://schemas.openxmlformats.org/officeDocument/2006/relationships/ctrlProp" Target="../ctrlProps/ctrlProp306.xml"/><Relationship Id="rId35" Type="http://schemas.openxmlformats.org/officeDocument/2006/relationships/ctrlProp" Target="../ctrlProps/ctrlProp311.xml"/><Relationship Id="rId8" Type="http://schemas.openxmlformats.org/officeDocument/2006/relationships/ctrlProp" Target="../ctrlProps/ctrlProp284.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4.xml"/><Relationship Id="rId18" Type="http://schemas.openxmlformats.org/officeDocument/2006/relationships/ctrlProp" Target="../ctrlProps/ctrlProp329.xml"/><Relationship Id="rId26" Type="http://schemas.openxmlformats.org/officeDocument/2006/relationships/ctrlProp" Target="../ctrlProps/ctrlProp337.xml"/><Relationship Id="rId21" Type="http://schemas.openxmlformats.org/officeDocument/2006/relationships/ctrlProp" Target="../ctrlProps/ctrlProp332.xml"/><Relationship Id="rId34" Type="http://schemas.openxmlformats.org/officeDocument/2006/relationships/ctrlProp" Target="../ctrlProps/ctrlProp345.xml"/><Relationship Id="rId7" Type="http://schemas.openxmlformats.org/officeDocument/2006/relationships/ctrlProp" Target="../ctrlProps/ctrlProp318.xml"/><Relationship Id="rId12" Type="http://schemas.openxmlformats.org/officeDocument/2006/relationships/ctrlProp" Target="../ctrlProps/ctrlProp323.xml"/><Relationship Id="rId17" Type="http://schemas.openxmlformats.org/officeDocument/2006/relationships/ctrlProp" Target="../ctrlProps/ctrlProp328.xml"/><Relationship Id="rId25" Type="http://schemas.openxmlformats.org/officeDocument/2006/relationships/ctrlProp" Target="../ctrlProps/ctrlProp336.xml"/><Relationship Id="rId33" Type="http://schemas.openxmlformats.org/officeDocument/2006/relationships/ctrlProp" Target="../ctrlProps/ctrlProp344.xml"/><Relationship Id="rId38" Type="http://schemas.openxmlformats.org/officeDocument/2006/relationships/ctrlProp" Target="../ctrlProps/ctrlProp349.xml"/><Relationship Id="rId2" Type="http://schemas.openxmlformats.org/officeDocument/2006/relationships/drawing" Target="../drawings/drawing16.xml"/><Relationship Id="rId16" Type="http://schemas.openxmlformats.org/officeDocument/2006/relationships/ctrlProp" Target="../ctrlProps/ctrlProp327.xml"/><Relationship Id="rId20" Type="http://schemas.openxmlformats.org/officeDocument/2006/relationships/ctrlProp" Target="../ctrlProps/ctrlProp331.xml"/><Relationship Id="rId29" Type="http://schemas.openxmlformats.org/officeDocument/2006/relationships/ctrlProp" Target="../ctrlProps/ctrlProp340.xml"/><Relationship Id="rId1" Type="http://schemas.openxmlformats.org/officeDocument/2006/relationships/printerSettings" Target="../printerSettings/printerSettings21.bin"/><Relationship Id="rId6" Type="http://schemas.openxmlformats.org/officeDocument/2006/relationships/ctrlProp" Target="../ctrlProps/ctrlProp317.xml"/><Relationship Id="rId11" Type="http://schemas.openxmlformats.org/officeDocument/2006/relationships/ctrlProp" Target="../ctrlProps/ctrlProp322.xml"/><Relationship Id="rId24" Type="http://schemas.openxmlformats.org/officeDocument/2006/relationships/ctrlProp" Target="../ctrlProps/ctrlProp335.xml"/><Relationship Id="rId32" Type="http://schemas.openxmlformats.org/officeDocument/2006/relationships/ctrlProp" Target="../ctrlProps/ctrlProp343.xml"/><Relationship Id="rId37" Type="http://schemas.openxmlformats.org/officeDocument/2006/relationships/ctrlProp" Target="../ctrlProps/ctrlProp348.xml"/><Relationship Id="rId5" Type="http://schemas.openxmlformats.org/officeDocument/2006/relationships/ctrlProp" Target="../ctrlProps/ctrlProp316.xml"/><Relationship Id="rId15" Type="http://schemas.openxmlformats.org/officeDocument/2006/relationships/ctrlProp" Target="../ctrlProps/ctrlProp326.xml"/><Relationship Id="rId23" Type="http://schemas.openxmlformats.org/officeDocument/2006/relationships/ctrlProp" Target="../ctrlProps/ctrlProp334.xml"/><Relationship Id="rId28" Type="http://schemas.openxmlformats.org/officeDocument/2006/relationships/ctrlProp" Target="../ctrlProps/ctrlProp339.xml"/><Relationship Id="rId36" Type="http://schemas.openxmlformats.org/officeDocument/2006/relationships/ctrlProp" Target="../ctrlProps/ctrlProp347.xml"/><Relationship Id="rId10" Type="http://schemas.openxmlformats.org/officeDocument/2006/relationships/ctrlProp" Target="../ctrlProps/ctrlProp321.xml"/><Relationship Id="rId19" Type="http://schemas.openxmlformats.org/officeDocument/2006/relationships/ctrlProp" Target="../ctrlProps/ctrlProp330.xml"/><Relationship Id="rId31" Type="http://schemas.openxmlformats.org/officeDocument/2006/relationships/ctrlProp" Target="../ctrlProps/ctrlProp342.xml"/><Relationship Id="rId4" Type="http://schemas.openxmlformats.org/officeDocument/2006/relationships/ctrlProp" Target="../ctrlProps/ctrlProp315.xml"/><Relationship Id="rId9" Type="http://schemas.openxmlformats.org/officeDocument/2006/relationships/ctrlProp" Target="../ctrlProps/ctrlProp320.xml"/><Relationship Id="rId14" Type="http://schemas.openxmlformats.org/officeDocument/2006/relationships/ctrlProp" Target="../ctrlProps/ctrlProp325.xml"/><Relationship Id="rId22" Type="http://schemas.openxmlformats.org/officeDocument/2006/relationships/ctrlProp" Target="../ctrlProps/ctrlProp333.xml"/><Relationship Id="rId27" Type="http://schemas.openxmlformats.org/officeDocument/2006/relationships/ctrlProp" Target="../ctrlProps/ctrlProp338.xml"/><Relationship Id="rId30" Type="http://schemas.openxmlformats.org/officeDocument/2006/relationships/ctrlProp" Target="../ctrlProps/ctrlProp341.xml"/><Relationship Id="rId35" Type="http://schemas.openxmlformats.org/officeDocument/2006/relationships/ctrlProp" Target="../ctrlProps/ctrlProp346.xml"/><Relationship Id="rId8" Type="http://schemas.openxmlformats.org/officeDocument/2006/relationships/ctrlProp" Target="../ctrlProps/ctrlProp319.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59.xml"/><Relationship Id="rId18" Type="http://schemas.openxmlformats.org/officeDocument/2006/relationships/ctrlProp" Target="../ctrlProps/ctrlProp364.xml"/><Relationship Id="rId26" Type="http://schemas.openxmlformats.org/officeDocument/2006/relationships/ctrlProp" Target="../ctrlProps/ctrlProp372.xml"/><Relationship Id="rId21" Type="http://schemas.openxmlformats.org/officeDocument/2006/relationships/ctrlProp" Target="../ctrlProps/ctrlProp367.xml"/><Relationship Id="rId34" Type="http://schemas.openxmlformats.org/officeDocument/2006/relationships/ctrlProp" Target="../ctrlProps/ctrlProp380.xml"/><Relationship Id="rId7" Type="http://schemas.openxmlformats.org/officeDocument/2006/relationships/ctrlProp" Target="../ctrlProps/ctrlProp353.xml"/><Relationship Id="rId12" Type="http://schemas.openxmlformats.org/officeDocument/2006/relationships/ctrlProp" Target="../ctrlProps/ctrlProp358.xml"/><Relationship Id="rId17" Type="http://schemas.openxmlformats.org/officeDocument/2006/relationships/ctrlProp" Target="../ctrlProps/ctrlProp363.xml"/><Relationship Id="rId25" Type="http://schemas.openxmlformats.org/officeDocument/2006/relationships/ctrlProp" Target="../ctrlProps/ctrlProp371.xml"/><Relationship Id="rId33" Type="http://schemas.openxmlformats.org/officeDocument/2006/relationships/ctrlProp" Target="../ctrlProps/ctrlProp379.xml"/><Relationship Id="rId38" Type="http://schemas.openxmlformats.org/officeDocument/2006/relationships/ctrlProp" Target="../ctrlProps/ctrlProp384.xml"/><Relationship Id="rId2" Type="http://schemas.openxmlformats.org/officeDocument/2006/relationships/drawing" Target="../drawings/drawing17.xml"/><Relationship Id="rId16" Type="http://schemas.openxmlformats.org/officeDocument/2006/relationships/ctrlProp" Target="../ctrlProps/ctrlProp362.xml"/><Relationship Id="rId20" Type="http://schemas.openxmlformats.org/officeDocument/2006/relationships/ctrlProp" Target="../ctrlProps/ctrlProp366.xml"/><Relationship Id="rId29" Type="http://schemas.openxmlformats.org/officeDocument/2006/relationships/ctrlProp" Target="../ctrlProps/ctrlProp375.xml"/><Relationship Id="rId1" Type="http://schemas.openxmlformats.org/officeDocument/2006/relationships/printerSettings" Target="../printerSettings/printerSettings22.bin"/><Relationship Id="rId6" Type="http://schemas.openxmlformats.org/officeDocument/2006/relationships/ctrlProp" Target="../ctrlProps/ctrlProp352.xml"/><Relationship Id="rId11" Type="http://schemas.openxmlformats.org/officeDocument/2006/relationships/ctrlProp" Target="../ctrlProps/ctrlProp357.xml"/><Relationship Id="rId24" Type="http://schemas.openxmlformats.org/officeDocument/2006/relationships/ctrlProp" Target="../ctrlProps/ctrlProp370.xml"/><Relationship Id="rId32" Type="http://schemas.openxmlformats.org/officeDocument/2006/relationships/ctrlProp" Target="../ctrlProps/ctrlProp378.xml"/><Relationship Id="rId37" Type="http://schemas.openxmlformats.org/officeDocument/2006/relationships/ctrlProp" Target="../ctrlProps/ctrlProp383.xml"/><Relationship Id="rId5" Type="http://schemas.openxmlformats.org/officeDocument/2006/relationships/ctrlProp" Target="../ctrlProps/ctrlProp351.xml"/><Relationship Id="rId15" Type="http://schemas.openxmlformats.org/officeDocument/2006/relationships/ctrlProp" Target="../ctrlProps/ctrlProp361.xml"/><Relationship Id="rId23" Type="http://schemas.openxmlformats.org/officeDocument/2006/relationships/ctrlProp" Target="../ctrlProps/ctrlProp369.xml"/><Relationship Id="rId28" Type="http://schemas.openxmlformats.org/officeDocument/2006/relationships/ctrlProp" Target="../ctrlProps/ctrlProp374.xml"/><Relationship Id="rId36" Type="http://schemas.openxmlformats.org/officeDocument/2006/relationships/ctrlProp" Target="../ctrlProps/ctrlProp382.xml"/><Relationship Id="rId10" Type="http://schemas.openxmlformats.org/officeDocument/2006/relationships/ctrlProp" Target="../ctrlProps/ctrlProp356.xml"/><Relationship Id="rId19" Type="http://schemas.openxmlformats.org/officeDocument/2006/relationships/ctrlProp" Target="../ctrlProps/ctrlProp365.xml"/><Relationship Id="rId31" Type="http://schemas.openxmlformats.org/officeDocument/2006/relationships/ctrlProp" Target="../ctrlProps/ctrlProp377.xml"/><Relationship Id="rId4" Type="http://schemas.openxmlformats.org/officeDocument/2006/relationships/ctrlProp" Target="../ctrlProps/ctrlProp350.xml"/><Relationship Id="rId9" Type="http://schemas.openxmlformats.org/officeDocument/2006/relationships/ctrlProp" Target="../ctrlProps/ctrlProp355.xml"/><Relationship Id="rId14" Type="http://schemas.openxmlformats.org/officeDocument/2006/relationships/ctrlProp" Target="../ctrlProps/ctrlProp360.xml"/><Relationship Id="rId22" Type="http://schemas.openxmlformats.org/officeDocument/2006/relationships/ctrlProp" Target="../ctrlProps/ctrlProp368.xml"/><Relationship Id="rId27" Type="http://schemas.openxmlformats.org/officeDocument/2006/relationships/ctrlProp" Target="../ctrlProps/ctrlProp373.xml"/><Relationship Id="rId30" Type="http://schemas.openxmlformats.org/officeDocument/2006/relationships/ctrlProp" Target="../ctrlProps/ctrlProp376.xml"/><Relationship Id="rId35" Type="http://schemas.openxmlformats.org/officeDocument/2006/relationships/ctrlProp" Target="../ctrlProps/ctrlProp381.xml"/><Relationship Id="rId8" Type="http://schemas.openxmlformats.org/officeDocument/2006/relationships/ctrlProp" Target="../ctrlProps/ctrlProp354.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4.xml"/><Relationship Id="rId18" Type="http://schemas.openxmlformats.org/officeDocument/2006/relationships/ctrlProp" Target="../ctrlProps/ctrlProp399.xml"/><Relationship Id="rId26" Type="http://schemas.openxmlformats.org/officeDocument/2006/relationships/ctrlProp" Target="../ctrlProps/ctrlProp407.xml"/><Relationship Id="rId21" Type="http://schemas.openxmlformats.org/officeDocument/2006/relationships/ctrlProp" Target="../ctrlProps/ctrlProp402.xml"/><Relationship Id="rId34" Type="http://schemas.openxmlformats.org/officeDocument/2006/relationships/ctrlProp" Target="../ctrlProps/ctrlProp415.xml"/><Relationship Id="rId7" Type="http://schemas.openxmlformats.org/officeDocument/2006/relationships/ctrlProp" Target="../ctrlProps/ctrlProp388.xml"/><Relationship Id="rId12" Type="http://schemas.openxmlformats.org/officeDocument/2006/relationships/ctrlProp" Target="../ctrlProps/ctrlProp393.xml"/><Relationship Id="rId17" Type="http://schemas.openxmlformats.org/officeDocument/2006/relationships/ctrlProp" Target="../ctrlProps/ctrlProp398.xml"/><Relationship Id="rId25" Type="http://schemas.openxmlformats.org/officeDocument/2006/relationships/ctrlProp" Target="../ctrlProps/ctrlProp406.xml"/><Relationship Id="rId33" Type="http://schemas.openxmlformats.org/officeDocument/2006/relationships/ctrlProp" Target="../ctrlProps/ctrlProp414.xml"/><Relationship Id="rId38" Type="http://schemas.openxmlformats.org/officeDocument/2006/relationships/ctrlProp" Target="../ctrlProps/ctrlProp419.xml"/><Relationship Id="rId2" Type="http://schemas.openxmlformats.org/officeDocument/2006/relationships/drawing" Target="../drawings/drawing18.xml"/><Relationship Id="rId16" Type="http://schemas.openxmlformats.org/officeDocument/2006/relationships/ctrlProp" Target="../ctrlProps/ctrlProp397.xml"/><Relationship Id="rId20" Type="http://schemas.openxmlformats.org/officeDocument/2006/relationships/ctrlProp" Target="../ctrlProps/ctrlProp401.xml"/><Relationship Id="rId29" Type="http://schemas.openxmlformats.org/officeDocument/2006/relationships/ctrlProp" Target="../ctrlProps/ctrlProp410.xml"/><Relationship Id="rId1" Type="http://schemas.openxmlformats.org/officeDocument/2006/relationships/printerSettings" Target="../printerSettings/printerSettings23.bin"/><Relationship Id="rId6" Type="http://schemas.openxmlformats.org/officeDocument/2006/relationships/ctrlProp" Target="../ctrlProps/ctrlProp387.xml"/><Relationship Id="rId11" Type="http://schemas.openxmlformats.org/officeDocument/2006/relationships/ctrlProp" Target="../ctrlProps/ctrlProp392.xml"/><Relationship Id="rId24" Type="http://schemas.openxmlformats.org/officeDocument/2006/relationships/ctrlProp" Target="../ctrlProps/ctrlProp405.xml"/><Relationship Id="rId32" Type="http://schemas.openxmlformats.org/officeDocument/2006/relationships/ctrlProp" Target="../ctrlProps/ctrlProp413.xml"/><Relationship Id="rId37" Type="http://schemas.openxmlformats.org/officeDocument/2006/relationships/ctrlProp" Target="../ctrlProps/ctrlProp418.xml"/><Relationship Id="rId5" Type="http://schemas.openxmlformats.org/officeDocument/2006/relationships/ctrlProp" Target="../ctrlProps/ctrlProp386.xml"/><Relationship Id="rId15" Type="http://schemas.openxmlformats.org/officeDocument/2006/relationships/ctrlProp" Target="../ctrlProps/ctrlProp396.xml"/><Relationship Id="rId23" Type="http://schemas.openxmlformats.org/officeDocument/2006/relationships/ctrlProp" Target="../ctrlProps/ctrlProp404.xml"/><Relationship Id="rId28" Type="http://schemas.openxmlformats.org/officeDocument/2006/relationships/ctrlProp" Target="../ctrlProps/ctrlProp409.xml"/><Relationship Id="rId36" Type="http://schemas.openxmlformats.org/officeDocument/2006/relationships/ctrlProp" Target="../ctrlProps/ctrlProp417.xml"/><Relationship Id="rId10" Type="http://schemas.openxmlformats.org/officeDocument/2006/relationships/ctrlProp" Target="../ctrlProps/ctrlProp391.xml"/><Relationship Id="rId19" Type="http://schemas.openxmlformats.org/officeDocument/2006/relationships/ctrlProp" Target="../ctrlProps/ctrlProp400.xml"/><Relationship Id="rId31" Type="http://schemas.openxmlformats.org/officeDocument/2006/relationships/ctrlProp" Target="../ctrlProps/ctrlProp412.xml"/><Relationship Id="rId4" Type="http://schemas.openxmlformats.org/officeDocument/2006/relationships/ctrlProp" Target="../ctrlProps/ctrlProp385.xml"/><Relationship Id="rId9" Type="http://schemas.openxmlformats.org/officeDocument/2006/relationships/ctrlProp" Target="../ctrlProps/ctrlProp390.xml"/><Relationship Id="rId14" Type="http://schemas.openxmlformats.org/officeDocument/2006/relationships/ctrlProp" Target="../ctrlProps/ctrlProp395.xml"/><Relationship Id="rId22" Type="http://schemas.openxmlformats.org/officeDocument/2006/relationships/ctrlProp" Target="../ctrlProps/ctrlProp403.xml"/><Relationship Id="rId27" Type="http://schemas.openxmlformats.org/officeDocument/2006/relationships/ctrlProp" Target="../ctrlProps/ctrlProp408.xml"/><Relationship Id="rId30" Type="http://schemas.openxmlformats.org/officeDocument/2006/relationships/ctrlProp" Target="../ctrlProps/ctrlProp411.xml"/><Relationship Id="rId35" Type="http://schemas.openxmlformats.org/officeDocument/2006/relationships/ctrlProp" Target="../ctrlProps/ctrlProp416.xml"/><Relationship Id="rId8" Type="http://schemas.openxmlformats.org/officeDocument/2006/relationships/ctrlProp" Target="../ctrlProps/ctrlProp389.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29.xml"/><Relationship Id="rId18" Type="http://schemas.openxmlformats.org/officeDocument/2006/relationships/ctrlProp" Target="../ctrlProps/ctrlProp434.xml"/><Relationship Id="rId26" Type="http://schemas.openxmlformats.org/officeDocument/2006/relationships/ctrlProp" Target="../ctrlProps/ctrlProp442.xml"/><Relationship Id="rId21" Type="http://schemas.openxmlformats.org/officeDocument/2006/relationships/ctrlProp" Target="../ctrlProps/ctrlProp437.xml"/><Relationship Id="rId34" Type="http://schemas.openxmlformats.org/officeDocument/2006/relationships/ctrlProp" Target="../ctrlProps/ctrlProp450.xml"/><Relationship Id="rId7" Type="http://schemas.openxmlformats.org/officeDocument/2006/relationships/ctrlProp" Target="../ctrlProps/ctrlProp423.xml"/><Relationship Id="rId12" Type="http://schemas.openxmlformats.org/officeDocument/2006/relationships/ctrlProp" Target="../ctrlProps/ctrlProp428.xml"/><Relationship Id="rId17" Type="http://schemas.openxmlformats.org/officeDocument/2006/relationships/ctrlProp" Target="../ctrlProps/ctrlProp433.xml"/><Relationship Id="rId25" Type="http://schemas.openxmlformats.org/officeDocument/2006/relationships/ctrlProp" Target="../ctrlProps/ctrlProp441.xml"/><Relationship Id="rId33" Type="http://schemas.openxmlformats.org/officeDocument/2006/relationships/ctrlProp" Target="../ctrlProps/ctrlProp449.xml"/><Relationship Id="rId38" Type="http://schemas.openxmlformats.org/officeDocument/2006/relationships/ctrlProp" Target="../ctrlProps/ctrlProp454.xml"/><Relationship Id="rId2" Type="http://schemas.openxmlformats.org/officeDocument/2006/relationships/drawing" Target="../drawings/drawing19.xml"/><Relationship Id="rId16" Type="http://schemas.openxmlformats.org/officeDocument/2006/relationships/ctrlProp" Target="../ctrlProps/ctrlProp432.xml"/><Relationship Id="rId20" Type="http://schemas.openxmlformats.org/officeDocument/2006/relationships/ctrlProp" Target="../ctrlProps/ctrlProp436.xml"/><Relationship Id="rId29" Type="http://schemas.openxmlformats.org/officeDocument/2006/relationships/ctrlProp" Target="../ctrlProps/ctrlProp445.xml"/><Relationship Id="rId1" Type="http://schemas.openxmlformats.org/officeDocument/2006/relationships/printerSettings" Target="../printerSettings/printerSettings24.bin"/><Relationship Id="rId6" Type="http://schemas.openxmlformats.org/officeDocument/2006/relationships/ctrlProp" Target="../ctrlProps/ctrlProp422.xml"/><Relationship Id="rId11" Type="http://schemas.openxmlformats.org/officeDocument/2006/relationships/ctrlProp" Target="../ctrlProps/ctrlProp427.xml"/><Relationship Id="rId24" Type="http://schemas.openxmlformats.org/officeDocument/2006/relationships/ctrlProp" Target="../ctrlProps/ctrlProp440.xml"/><Relationship Id="rId32" Type="http://schemas.openxmlformats.org/officeDocument/2006/relationships/ctrlProp" Target="../ctrlProps/ctrlProp448.xml"/><Relationship Id="rId37" Type="http://schemas.openxmlformats.org/officeDocument/2006/relationships/ctrlProp" Target="../ctrlProps/ctrlProp453.xml"/><Relationship Id="rId5" Type="http://schemas.openxmlformats.org/officeDocument/2006/relationships/ctrlProp" Target="../ctrlProps/ctrlProp421.xml"/><Relationship Id="rId15" Type="http://schemas.openxmlformats.org/officeDocument/2006/relationships/ctrlProp" Target="../ctrlProps/ctrlProp431.xml"/><Relationship Id="rId23" Type="http://schemas.openxmlformats.org/officeDocument/2006/relationships/ctrlProp" Target="../ctrlProps/ctrlProp439.xml"/><Relationship Id="rId28" Type="http://schemas.openxmlformats.org/officeDocument/2006/relationships/ctrlProp" Target="../ctrlProps/ctrlProp444.xml"/><Relationship Id="rId36" Type="http://schemas.openxmlformats.org/officeDocument/2006/relationships/ctrlProp" Target="../ctrlProps/ctrlProp452.xml"/><Relationship Id="rId10" Type="http://schemas.openxmlformats.org/officeDocument/2006/relationships/ctrlProp" Target="../ctrlProps/ctrlProp426.xml"/><Relationship Id="rId19" Type="http://schemas.openxmlformats.org/officeDocument/2006/relationships/ctrlProp" Target="../ctrlProps/ctrlProp435.xml"/><Relationship Id="rId31" Type="http://schemas.openxmlformats.org/officeDocument/2006/relationships/ctrlProp" Target="../ctrlProps/ctrlProp447.xml"/><Relationship Id="rId4" Type="http://schemas.openxmlformats.org/officeDocument/2006/relationships/ctrlProp" Target="../ctrlProps/ctrlProp420.xml"/><Relationship Id="rId9" Type="http://schemas.openxmlformats.org/officeDocument/2006/relationships/ctrlProp" Target="../ctrlProps/ctrlProp425.xml"/><Relationship Id="rId14" Type="http://schemas.openxmlformats.org/officeDocument/2006/relationships/ctrlProp" Target="../ctrlProps/ctrlProp430.xml"/><Relationship Id="rId22" Type="http://schemas.openxmlformats.org/officeDocument/2006/relationships/ctrlProp" Target="../ctrlProps/ctrlProp438.xml"/><Relationship Id="rId27" Type="http://schemas.openxmlformats.org/officeDocument/2006/relationships/ctrlProp" Target="../ctrlProps/ctrlProp443.xml"/><Relationship Id="rId30" Type="http://schemas.openxmlformats.org/officeDocument/2006/relationships/ctrlProp" Target="../ctrlProps/ctrlProp446.xml"/><Relationship Id="rId35" Type="http://schemas.openxmlformats.org/officeDocument/2006/relationships/ctrlProp" Target="../ctrlProps/ctrlProp451.xml"/><Relationship Id="rId8" Type="http://schemas.openxmlformats.org/officeDocument/2006/relationships/ctrlProp" Target="../ctrlProps/ctrlProp424.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heetViews>
  <sheetFormatPr defaultRowHeight="15" x14ac:dyDescent="0.25"/>
  <cols>
    <col min="1" max="1" width="24" customWidth="1"/>
    <col min="2" max="2" width="71.42578125" customWidth="1"/>
    <col min="5" max="5" width="33.28515625" bestFit="1" customWidth="1"/>
  </cols>
  <sheetData>
    <row r="1" spans="1:5" x14ac:dyDescent="0.25">
      <c r="A1" s="189" t="s">
        <v>0</v>
      </c>
      <c r="B1" s="69"/>
    </row>
    <row r="2" spans="1:5" x14ac:dyDescent="0.25">
      <c r="A2" s="69"/>
      <c r="B2" s="69"/>
    </row>
    <row r="3" spans="1:5" x14ac:dyDescent="0.25">
      <c r="A3" s="69" t="s">
        <v>1</v>
      </c>
      <c r="B3" s="69"/>
    </row>
    <row r="4" spans="1:5" x14ac:dyDescent="0.25">
      <c r="A4" s="190"/>
      <c r="B4" s="69"/>
    </row>
    <row r="5" spans="1:5" x14ac:dyDescent="0.25">
      <c r="A5" s="190" t="s">
        <v>2</v>
      </c>
      <c r="B5" s="69" t="s">
        <v>559</v>
      </c>
    </row>
    <row r="6" spans="1:5" x14ac:dyDescent="0.25">
      <c r="A6" s="190"/>
      <c r="B6" s="69"/>
    </row>
    <row r="7" spans="1:5" x14ac:dyDescent="0.25">
      <c r="A7" s="69" t="s">
        <v>3</v>
      </c>
      <c r="B7" s="69"/>
    </row>
    <row r="8" spans="1:5" x14ac:dyDescent="0.25">
      <c r="A8" s="190"/>
      <c r="B8" s="69"/>
    </row>
    <row r="9" spans="1:5" x14ac:dyDescent="0.25">
      <c r="A9" s="190"/>
      <c r="B9" s="69"/>
    </row>
    <row r="10" spans="1:5" x14ac:dyDescent="0.25">
      <c r="A10" s="69" t="s">
        <v>4</v>
      </c>
      <c r="B10" s="191" t="s">
        <v>5</v>
      </c>
    </row>
    <row r="11" spans="1:5" x14ac:dyDescent="0.25">
      <c r="A11" s="69" t="s">
        <v>6</v>
      </c>
      <c r="B11" s="192"/>
    </row>
    <row r="12" spans="1:5" x14ac:dyDescent="0.25">
      <c r="A12" s="69"/>
      <c r="B12" s="192"/>
    </row>
    <row r="13" spans="1:5" x14ac:dyDescent="0.25">
      <c r="A13" s="69" t="s">
        <v>7</v>
      </c>
      <c r="B13" s="192"/>
    </row>
    <row r="14" spans="1:5" x14ac:dyDescent="0.25">
      <c r="A14" s="69"/>
      <c r="B14" s="192"/>
    </row>
    <row r="15" spans="1:5" x14ac:dyDescent="0.25">
      <c r="A15" s="69" t="s">
        <v>8</v>
      </c>
      <c r="B15" s="192"/>
      <c r="E15" t="s">
        <v>9</v>
      </c>
    </row>
    <row r="16" spans="1:5" x14ac:dyDescent="0.25">
      <c r="A16" s="69" t="s">
        <v>10</v>
      </c>
      <c r="B16" s="192"/>
    </row>
    <row r="17" spans="1:6" x14ac:dyDescent="0.25">
      <c r="A17" s="69"/>
      <c r="B17" s="192"/>
    </row>
    <row r="18" spans="1:6" x14ac:dyDescent="0.25">
      <c r="A18" s="69"/>
      <c r="B18" s="192"/>
    </row>
    <row r="19" spans="1:6" x14ac:dyDescent="0.25">
      <c r="A19" s="193" t="s">
        <v>11</v>
      </c>
      <c r="B19" s="192"/>
    </row>
    <row r="20" spans="1:6" x14ac:dyDescent="0.25">
      <c r="A20" s="69" t="s">
        <v>12</v>
      </c>
      <c r="B20" s="173" t="str">
        <f>B10&amp;" Edition"</f>
        <v>1/3/2023 Edition</v>
      </c>
    </row>
    <row r="21" spans="1:6" x14ac:dyDescent="0.25">
      <c r="A21" s="69" t="s">
        <v>13</v>
      </c>
      <c r="B21" s="174" t="str">
        <f>IF(ISBLANK('1.General'!$B$45),"",'1.General'!$B$45)</f>
        <v xml:space="preserve">State Farm Mutual Automobile Insurance Company </v>
      </c>
    </row>
    <row r="22" spans="1:6" x14ac:dyDescent="0.25">
      <c r="A22" s="69" t="s">
        <v>14</v>
      </c>
      <c r="B22" s="174" t="str">
        <f>INDEX(List_GeneralLine,References!$F$5,1)</f>
        <v>Auto Liability and Physical Damage</v>
      </c>
    </row>
    <row r="23" spans="1:6" x14ac:dyDescent="0.25">
      <c r="A23" s="69" t="s">
        <v>15</v>
      </c>
      <c r="B23" s="174" t="str">
        <f>IF(ISBLANK('1.General'!$H$14),"",'1.General'!$H$14)</f>
        <v/>
      </c>
    </row>
    <row r="24" spans="1:6" x14ac:dyDescent="0.25">
      <c r="A24" s="69" t="s">
        <v>16</v>
      </c>
      <c r="B24" s="176" t="str">
        <f>IF(ISBLANK('1.General'!$B$7),"",'1.General'!$B$7)</f>
        <v xml:space="preserve">Brandi Vance </v>
      </c>
    </row>
    <row r="25" spans="1:6" x14ac:dyDescent="0.25">
      <c r="A25" s="69" t="s">
        <v>17</v>
      </c>
      <c r="B25" s="175">
        <f>IF(ISBLANK('1.General'!$E$7),"",'1.General'!$E$7)</f>
        <v>44964</v>
      </c>
      <c r="F25" t="s">
        <v>9</v>
      </c>
    </row>
    <row r="26" spans="1:6" x14ac:dyDescent="0.25">
      <c r="A26" s="69" t="s">
        <v>18</v>
      </c>
      <c r="B26" s="175" t="str">
        <f>IF(ISBLANK('4.Proposed Impact'!$D$9),"",'4.Proposed Impact'!$D$9)</f>
        <v/>
      </c>
    </row>
    <row r="27" spans="1:6" x14ac:dyDescent="0.25">
      <c r="A27" s="69" t="s">
        <v>19</v>
      </c>
      <c r="B27" s="176" t="b">
        <v>0</v>
      </c>
    </row>
    <row r="28" spans="1:6" x14ac:dyDescent="0.25">
      <c r="A28" s="69" t="s">
        <v>20</v>
      </c>
      <c r="B28" s="349" t="b">
        <f>IF('3.Filing Type and Checklist'!E8="Y",TRUE,FALSE)</f>
        <v>0</v>
      </c>
    </row>
    <row r="29" spans="1:6" x14ac:dyDescent="0.25">
      <c r="A29" s="69" t="s">
        <v>21</v>
      </c>
      <c r="B29" s="349" t="b">
        <f>IF('3.Filing Type and Checklist'!E9="Y",TRUE,FALSE)</f>
        <v>0</v>
      </c>
    </row>
    <row r="30" spans="1:6" x14ac:dyDescent="0.25">
      <c r="A30" s="69" t="s">
        <v>22</v>
      </c>
      <c r="B30" s="349" t="b">
        <f>IF('3.Filing Type and Checklist'!E11="Y",TRUE,FALSE)</f>
        <v>1</v>
      </c>
    </row>
    <row r="31" spans="1:6" x14ac:dyDescent="0.25">
      <c r="A31" s="69" t="s">
        <v>23</v>
      </c>
      <c r="B31" s="349" t="b">
        <f>IF('3.Filing Type and Checklist'!E6="Y",TRUE,FALSE)</f>
        <v>0</v>
      </c>
    </row>
    <row r="32" spans="1:6" x14ac:dyDescent="0.25">
      <c r="A32" s="69" t="s">
        <v>24</v>
      </c>
      <c r="B32" s="349" t="b">
        <f>IF('3.Filing Type and Checklist'!E7="Y",TRUE,FALSE)</f>
        <v>0</v>
      </c>
    </row>
    <row r="33" spans="1:2" x14ac:dyDescent="0.25">
      <c r="A33" s="69" t="s">
        <v>25</v>
      </c>
      <c r="B33" s="69"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69" t="s">
        <v>26</v>
      </c>
      <c r="B34" s="69"/>
    </row>
    <row r="35" spans="1:2" x14ac:dyDescent="0.25">
      <c r="A35" s="69" t="s">
        <v>27</v>
      </c>
      <c r="B35" s="441" t="b">
        <v>0</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5" sqref="F5"/>
    </sheetView>
  </sheetViews>
  <sheetFormatPr defaultColWidth="9.140625" defaultRowHeight="15" x14ac:dyDescent="0.25"/>
  <cols>
    <col min="1" max="1" width="29" style="47" customWidth="1"/>
    <col min="2" max="2" width="15.85546875" style="47" bestFit="1" customWidth="1"/>
    <col min="3" max="3" width="5.7109375" style="47" customWidth="1"/>
    <col min="4" max="4" width="11.5703125" style="47" bestFit="1" customWidth="1"/>
    <col min="5" max="5" width="5.7109375" style="47" customWidth="1"/>
    <col min="6" max="6" width="32.28515625" style="47" bestFit="1" customWidth="1"/>
    <col min="7" max="7" width="5.7109375" style="47" customWidth="1"/>
    <col min="8" max="8" width="18.7109375" style="47" customWidth="1"/>
    <col min="9" max="9" width="117.85546875" style="47" customWidth="1"/>
    <col min="10" max="10" width="5.7109375" style="47" customWidth="1"/>
    <col min="11" max="11" width="9.140625" style="47"/>
    <col min="12" max="12" width="80" style="47" bestFit="1" customWidth="1"/>
    <col min="13" max="13" width="11.42578125" style="47" bestFit="1" customWidth="1"/>
    <col min="14" max="14" width="6.5703125" style="47" bestFit="1" customWidth="1"/>
    <col min="15" max="15" width="4.5703125" style="47" bestFit="1" customWidth="1"/>
    <col min="16" max="16" width="6" style="47" bestFit="1" customWidth="1"/>
    <col min="17" max="17" width="3.7109375" style="47" bestFit="1" customWidth="1"/>
    <col min="18" max="19" width="3.7109375" style="47" customWidth="1"/>
    <col min="20" max="20" width="4.42578125" style="47" customWidth="1"/>
    <col min="21" max="21" width="5.5703125" style="47" bestFit="1" customWidth="1"/>
    <col min="22" max="22" width="3.7109375" style="47" customWidth="1"/>
    <col min="23" max="23" width="5.85546875" style="47" customWidth="1"/>
    <col min="24" max="24" width="9.140625" style="47"/>
    <col min="25" max="25" width="9.140625" style="47" customWidth="1"/>
    <col min="26" max="16384" width="9.140625" style="47"/>
  </cols>
  <sheetData>
    <row r="1" spans="1:27" ht="15.75" thickBot="1" x14ac:dyDescent="0.3">
      <c r="A1" s="189" t="s">
        <v>0</v>
      </c>
      <c r="H1" s="314"/>
    </row>
    <row r="2" spans="1:27" x14ac:dyDescent="0.25">
      <c r="B2" s="131" t="s">
        <v>28</v>
      </c>
      <c r="C2" s="132"/>
      <c r="D2" s="133" t="s">
        <v>29</v>
      </c>
      <c r="E2" s="132"/>
      <c r="F2" s="131" t="s">
        <v>30</v>
      </c>
      <c r="G2" s="132"/>
      <c r="H2" s="134" t="s">
        <v>31</v>
      </c>
      <c r="I2" s="135" t="s">
        <v>32</v>
      </c>
      <c r="L2" s="134" t="s">
        <v>33</v>
      </c>
      <c r="M2" s="397"/>
      <c r="N2" s="377"/>
      <c r="O2" s="377"/>
      <c r="P2" s="377"/>
      <c r="Q2" s="377"/>
      <c r="R2" s="377"/>
      <c r="S2" s="377"/>
      <c r="T2" s="398"/>
      <c r="U2" s="399"/>
      <c r="V2" s="400" t="s">
        <v>34</v>
      </c>
      <c r="W2" s="401"/>
      <c r="Y2" s="131" t="s">
        <v>35</v>
      </c>
    </row>
    <row r="3" spans="1:27" x14ac:dyDescent="0.25">
      <c r="B3" s="136" t="s">
        <v>36</v>
      </c>
      <c r="C3" s="132"/>
      <c r="D3" s="144" t="s">
        <v>37</v>
      </c>
      <c r="F3" s="138"/>
      <c r="H3" s="139"/>
      <c r="I3" s="140"/>
      <c r="L3" s="402"/>
      <c r="M3" s="137"/>
      <c r="N3" s="403"/>
      <c r="O3" s="403"/>
      <c r="P3" s="403"/>
      <c r="Q3" s="403"/>
      <c r="R3" s="403"/>
      <c r="S3" s="403"/>
      <c r="T3" s="404"/>
      <c r="U3" s="140"/>
      <c r="V3" s="405" t="s">
        <v>38</v>
      </c>
      <c r="W3" s="406"/>
      <c r="Y3" s="136" t="s">
        <v>39</v>
      </c>
      <c r="AA3" s="47" t="s">
        <v>40</v>
      </c>
    </row>
    <row r="4" spans="1:27" ht="102.75" x14ac:dyDescent="0.25">
      <c r="B4" s="136" t="s">
        <v>41</v>
      </c>
      <c r="C4" s="163"/>
      <c r="D4" s="137"/>
      <c r="F4" s="138"/>
      <c r="H4" s="139"/>
      <c r="I4" s="140"/>
      <c r="L4" s="139" t="s">
        <v>42</v>
      </c>
      <c r="M4" s="137"/>
      <c r="N4" s="407" t="s">
        <v>43</v>
      </c>
      <c r="O4" s="407" t="s">
        <v>44</v>
      </c>
      <c r="P4" s="407" t="s">
        <v>45</v>
      </c>
      <c r="Q4" s="407" t="s">
        <v>46</v>
      </c>
      <c r="R4" s="407" t="s">
        <v>47</v>
      </c>
      <c r="S4" s="407" t="s">
        <v>48</v>
      </c>
      <c r="T4" s="404"/>
      <c r="U4" s="140"/>
      <c r="V4" s="408" t="s">
        <v>49</v>
      </c>
      <c r="W4" s="409" t="s">
        <v>50</v>
      </c>
      <c r="Y4" s="447">
        <v>1</v>
      </c>
    </row>
    <row r="5" spans="1:27" ht="45" customHeight="1" x14ac:dyDescent="0.25">
      <c r="A5" s="198" t="s">
        <v>51</v>
      </c>
      <c r="B5" s="199"/>
      <c r="C5" s="161"/>
      <c r="D5" s="200">
        <v>2</v>
      </c>
      <c r="E5" s="201"/>
      <c r="F5" s="202">
        <v>5</v>
      </c>
      <c r="G5" s="201"/>
      <c r="H5" s="203"/>
      <c r="I5" s="204"/>
      <c r="J5" s="201"/>
      <c r="L5" s="139" t="s">
        <v>52</v>
      </c>
      <c r="M5" s="137"/>
      <c r="N5" s="410">
        <f>IF('3.Filing Type and Checklist'!A18="",1,0)</f>
        <v>1</v>
      </c>
      <c r="O5" s="410">
        <f>IF(OR('3.Filing Type and Checklist'!$E$8="Y",'3.Filing Type and Checklist'!$E$10="Y",'3.Filing Type and Checklist'!$E$12="Y"),1,0)</f>
        <v>0</v>
      </c>
      <c r="P5" s="410">
        <f>IF('3.Filing Type and Checklist'!$E$11="Y",1,0)</f>
        <v>1</v>
      </c>
      <c r="Q5" s="410">
        <f>IF('3.Filing Type and Checklist'!$E$9="Y",1,0)</f>
        <v>0</v>
      </c>
      <c r="R5" s="410">
        <f>IF('3.Filing Type and Checklist'!$E$6="Y",1,0)</f>
        <v>0</v>
      </c>
      <c r="S5" s="410">
        <f>IF('3.Filing Type and Checklist'!$E$7="Y",1,0)</f>
        <v>0</v>
      </c>
      <c r="T5" s="404"/>
      <c r="U5" s="140"/>
      <c r="V5" s="408"/>
      <c r="W5" s="409"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A21,A23,A24,A25,A26,A27,A29,A30,A31,A32,A33,A37,A38,A39,A40,A41,A42,A43,A44,A45,A46,A47,A48,A49,A50,A51,A52,A53,A55,A56,A58,A59,A61,A63,A66,A67</v>
      </c>
      <c r="Y5" s="448">
        <f>Y4-1</f>
        <v>0</v>
      </c>
    </row>
    <row r="6" spans="1:27" ht="30" x14ac:dyDescent="0.25">
      <c r="B6" s="141" t="s">
        <v>53</v>
      </c>
      <c r="C6" s="50"/>
      <c r="D6" s="137" t="s">
        <v>54</v>
      </c>
      <c r="F6" s="138"/>
      <c r="H6" s="126" t="s">
        <v>55</v>
      </c>
      <c r="I6" s="127" t="s">
        <v>56</v>
      </c>
      <c r="L6" s="378" t="s">
        <v>57</v>
      </c>
      <c r="M6" s="411"/>
      <c r="N6" s="412"/>
      <c r="O6" s="413"/>
      <c r="P6" s="413"/>
      <c r="Q6" s="413"/>
      <c r="R6" s="414"/>
      <c r="S6" s="414"/>
      <c r="T6" s="404"/>
      <c r="U6" s="415"/>
      <c r="V6" s="416"/>
      <c r="W6" s="409"/>
      <c r="Y6" s="419">
        <v>0</v>
      </c>
    </row>
    <row r="7" spans="1:27" ht="30" x14ac:dyDescent="0.25">
      <c r="B7" s="141" t="s">
        <v>58</v>
      </c>
      <c r="C7" s="50"/>
      <c r="D7" s="137" t="s">
        <v>59</v>
      </c>
      <c r="F7" s="138" t="s">
        <v>60</v>
      </c>
      <c r="H7" s="126" t="s">
        <v>61</v>
      </c>
      <c r="I7" s="127" t="s">
        <v>62</v>
      </c>
      <c r="L7" s="380" t="s">
        <v>63</v>
      </c>
      <c r="M7" s="411" t="s">
        <v>64</v>
      </c>
      <c r="N7" s="381"/>
      <c r="O7" s="381"/>
      <c r="P7" s="381"/>
      <c r="Q7" s="381"/>
      <c r="R7" s="381"/>
      <c r="S7" s="381"/>
      <c r="T7" s="417" t="s">
        <v>65</v>
      </c>
      <c r="U7" s="418" t="s">
        <v>66</v>
      </c>
      <c r="V7" s="385"/>
      <c r="W7" s="409"/>
      <c r="Y7" s="419">
        <v>1</v>
      </c>
    </row>
    <row r="8" spans="1:27" ht="30.75" thickBot="1" x14ac:dyDescent="0.3">
      <c r="B8" s="142" t="s">
        <v>67</v>
      </c>
      <c r="C8" s="50"/>
      <c r="D8" s="394"/>
      <c r="F8" s="138" t="s">
        <v>68</v>
      </c>
      <c r="H8" s="126" t="s">
        <v>69</v>
      </c>
      <c r="I8" s="127" t="s">
        <v>70</v>
      </c>
      <c r="L8" s="379" t="s">
        <v>71</v>
      </c>
      <c r="M8" s="419">
        <v>20</v>
      </c>
      <c r="N8" s="420">
        <v>1</v>
      </c>
      <c r="O8" s="420"/>
      <c r="P8" s="420"/>
      <c r="Q8" s="420"/>
      <c r="R8" s="420" t="s">
        <v>72</v>
      </c>
      <c r="S8" s="420"/>
      <c r="T8" s="421">
        <v>1</v>
      </c>
      <c r="U8" s="422">
        <v>1</v>
      </c>
      <c r="V8" s="386">
        <f>SUMPRODUCT(N$5:S$5,N8:S8)</f>
        <v>1</v>
      </c>
      <c r="W8" s="423" t="str">
        <f t="shared" ref="W8:W55" si="0">IF(V8=0,"A"&amp;$M8&amp;",","")</f>
        <v/>
      </c>
      <c r="Y8" s="419">
        <v>2</v>
      </c>
    </row>
    <row r="9" spans="1:27" ht="30" x14ac:dyDescent="0.25">
      <c r="F9" s="138" t="s">
        <v>73</v>
      </c>
      <c r="H9" s="126" t="s">
        <v>74</v>
      </c>
      <c r="I9" s="127" t="s">
        <v>75</v>
      </c>
      <c r="L9" s="424" t="s">
        <v>76</v>
      </c>
      <c r="M9" s="419">
        <v>21</v>
      </c>
      <c r="N9" s="425" t="s">
        <v>72</v>
      </c>
      <c r="O9" s="425"/>
      <c r="P9" s="425"/>
      <c r="Q9" s="425"/>
      <c r="R9" s="425" t="s">
        <v>72</v>
      </c>
      <c r="S9" s="425"/>
      <c r="T9" s="421">
        <v>1</v>
      </c>
      <c r="U9" s="422">
        <v>1</v>
      </c>
      <c r="V9" s="426">
        <f>IF('1.General'!$K$24=1,1,0)</f>
        <v>0</v>
      </c>
      <c r="W9" s="423" t="str">
        <f t="shared" si="0"/>
        <v>A21,</v>
      </c>
      <c r="Y9" s="419">
        <v>3</v>
      </c>
    </row>
    <row r="10" spans="1:27" ht="30" x14ac:dyDescent="0.25">
      <c r="F10" s="138" t="s">
        <v>77</v>
      </c>
      <c r="H10" s="126" t="s">
        <v>78</v>
      </c>
      <c r="I10" s="127" t="s">
        <v>79</v>
      </c>
      <c r="L10" s="379" t="s">
        <v>80</v>
      </c>
      <c r="M10" s="419">
        <v>22</v>
      </c>
      <c r="N10" s="420">
        <v>1</v>
      </c>
      <c r="O10" s="420"/>
      <c r="P10" s="420"/>
      <c r="Q10" s="420"/>
      <c r="R10" s="420" t="s">
        <v>72</v>
      </c>
      <c r="S10" s="420"/>
      <c r="T10" s="421">
        <v>1</v>
      </c>
      <c r="U10" s="422">
        <v>1</v>
      </c>
      <c r="V10" s="386">
        <f>SUMPRODUCT(N$5:S$5,N10:S10)</f>
        <v>1</v>
      </c>
      <c r="W10" s="423" t="str">
        <f t="shared" si="0"/>
        <v/>
      </c>
      <c r="Y10" s="419">
        <v>4</v>
      </c>
    </row>
    <row r="11" spans="1:27" ht="29.25" customHeight="1" x14ac:dyDescent="0.25">
      <c r="F11" s="138" t="s">
        <v>81</v>
      </c>
      <c r="H11" s="126" t="s">
        <v>82</v>
      </c>
      <c r="I11" s="127" t="s">
        <v>83</v>
      </c>
      <c r="L11" s="379" t="s">
        <v>84</v>
      </c>
      <c r="M11" s="419">
        <v>23</v>
      </c>
      <c r="N11" s="420" t="s">
        <v>72</v>
      </c>
      <c r="O11" s="420">
        <v>1</v>
      </c>
      <c r="P11" s="420"/>
      <c r="Q11" s="420"/>
      <c r="R11" s="420">
        <v>1</v>
      </c>
      <c r="S11" s="420">
        <v>1</v>
      </c>
      <c r="T11" s="421">
        <v>1</v>
      </c>
      <c r="U11" s="422">
        <v>1</v>
      </c>
      <c r="V11" s="386">
        <f>SUMPRODUCT(N$5:S$5,N11:S11)</f>
        <v>0</v>
      </c>
      <c r="W11" s="423" t="str">
        <f t="shared" si="0"/>
        <v>A23,</v>
      </c>
      <c r="Y11" s="419">
        <v>5</v>
      </c>
    </row>
    <row r="12" spans="1:27" ht="30" x14ac:dyDescent="0.25">
      <c r="F12" s="138" t="s">
        <v>85</v>
      </c>
      <c r="H12" s="126" t="s">
        <v>86</v>
      </c>
      <c r="I12" s="127" t="s">
        <v>87</v>
      </c>
      <c r="L12" s="379" t="s">
        <v>88</v>
      </c>
      <c r="M12" s="419">
        <v>24</v>
      </c>
      <c r="N12" s="420" t="s">
        <v>72</v>
      </c>
      <c r="O12" s="420">
        <v>1</v>
      </c>
      <c r="P12" s="420"/>
      <c r="Q12" s="420"/>
      <c r="R12" s="420"/>
      <c r="S12" s="420">
        <v>1</v>
      </c>
      <c r="T12" s="421">
        <v>1</v>
      </c>
      <c r="U12" s="422">
        <v>1</v>
      </c>
      <c r="V12" s="386">
        <f t="shared" ref="V12:V17" si="1">SUMPRODUCT(N$5:S$5,N12:S12)</f>
        <v>0</v>
      </c>
      <c r="W12" s="423" t="str">
        <f t="shared" si="0"/>
        <v>A24,</v>
      </c>
      <c r="Y12" s="419">
        <v>6</v>
      </c>
    </row>
    <row r="13" spans="1:27" ht="30" x14ac:dyDescent="0.25">
      <c r="F13" s="138" t="s">
        <v>89</v>
      </c>
      <c r="H13" s="126" t="s">
        <v>90</v>
      </c>
      <c r="I13" s="127" t="s">
        <v>91</v>
      </c>
      <c r="L13" s="379" t="s">
        <v>92</v>
      </c>
      <c r="M13" s="419">
        <v>25</v>
      </c>
      <c r="N13" s="420" t="s">
        <v>72</v>
      </c>
      <c r="O13" s="420">
        <v>1</v>
      </c>
      <c r="P13" s="420"/>
      <c r="Q13" s="420"/>
      <c r="R13" s="420" t="s">
        <v>72</v>
      </c>
      <c r="S13" s="420">
        <v>1</v>
      </c>
      <c r="T13" s="421">
        <v>1</v>
      </c>
      <c r="U13" s="422">
        <v>1</v>
      </c>
      <c r="V13" s="386">
        <f t="shared" si="1"/>
        <v>0</v>
      </c>
      <c r="W13" s="423" t="str">
        <f t="shared" si="0"/>
        <v>A25,</v>
      </c>
      <c r="Y13" s="419">
        <v>7</v>
      </c>
    </row>
    <row r="14" spans="1:27" ht="30" x14ac:dyDescent="0.25">
      <c r="F14" s="138" t="s">
        <v>93</v>
      </c>
      <c r="H14" s="126" t="s">
        <v>94</v>
      </c>
      <c r="I14" s="127" t="s">
        <v>95</v>
      </c>
      <c r="L14" s="379" t="s">
        <v>96</v>
      </c>
      <c r="M14" s="419">
        <v>26</v>
      </c>
      <c r="N14" s="420" t="s">
        <v>72</v>
      </c>
      <c r="O14" s="420">
        <v>1</v>
      </c>
      <c r="P14" s="420"/>
      <c r="Q14" s="420"/>
      <c r="R14" s="420" t="s">
        <v>72</v>
      </c>
      <c r="S14" s="420">
        <v>1</v>
      </c>
      <c r="T14" s="421">
        <v>1</v>
      </c>
      <c r="U14" s="422">
        <v>1</v>
      </c>
      <c r="V14" s="386">
        <f t="shared" si="1"/>
        <v>0</v>
      </c>
      <c r="W14" s="423" t="str">
        <f t="shared" si="0"/>
        <v>A26,</v>
      </c>
      <c r="Y14" s="419">
        <v>8</v>
      </c>
    </row>
    <row r="15" spans="1:27" ht="30" x14ac:dyDescent="0.25">
      <c r="F15" s="138" t="s">
        <v>97</v>
      </c>
      <c r="H15" s="126" t="s">
        <v>98</v>
      </c>
      <c r="I15" s="127" t="s">
        <v>99</v>
      </c>
      <c r="L15" s="379" t="s">
        <v>100</v>
      </c>
      <c r="M15" s="419">
        <v>27</v>
      </c>
      <c r="N15" s="420" t="s">
        <v>72</v>
      </c>
      <c r="O15" s="420">
        <v>1</v>
      </c>
      <c r="P15" s="420"/>
      <c r="Q15" s="420"/>
      <c r="R15" s="420">
        <v>1</v>
      </c>
      <c r="S15" s="420">
        <v>1</v>
      </c>
      <c r="T15" s="421">
        <v>1</v>
      </c>
      <c r="U15" s="422">
        <v>1</v>
      </c>
      <c r="V15" s="386">
        <f t="shared" si="1"/>
        <v>0</v>
      </c>
      <c r="W15" s="423" t="str">
        <f t="shared" si="0"/>
        <v>A27,</v>
      </c>
      <c r="Y15" s="419">
        <v>9</v>
      </c>
    </row>
    <row r="16" spans="1:27" ht="30.75" thickBot="1" x14ac:dyDescent="0.3">
      <c r="F16" s="138" t="s">
        <v>101</v>
      </c>
      <c r="H16" s="126" t="s">
        <v>102</v>
      </c>
      <c r="I16" s="127" t="s">
        <v>103</v>
      </c>
      <c r="L16" s="379" t="s">
        <v>104</v>
      </c>
      <c r="M16" s="419">
        <v>28</v>
      </c>
      <c r="N16" s="420" t="s">
        <v>72</v>
      </c>
      <c r="O16" s="420"/>
      <c r="P16" s="420">
        <v>1</v>
      </c>
      <c r="Q16" s="420"/>
      <c r="R16" s="420">
        <v>1</v>
      </c>
      <c r="S16" s="420"/>
      <c r="T16" s="421">
        <v>1</v>
      </c>
      <c r="U16" s="422">
        <v>1</v>
      </c>
      <c r="V16" s="386">
        <f t="shared" si="1"/>
        <v>1</v>
      </c>
      <c r="W16" s="423" t="str">
        <f t="shared" si="0"/>
        <v/>
      </c>
      <c r="Y16" s="428">
        <v>10</v>
      </c>
    </row>
    <row r="17" spans="6:23" ht="30" x14ac:dyDescent="0.25">
      <c r="F17" s="138" t="s">
        <v>105</v>
      </c>
      <c r="H17" s="126" t="s">
        <v>106</v>
      </c>
      <c r="I17" s="127" t="s">
        <v>107</v>
      </c>
      <c r="L17" s="379" t="s">
        <v>108</v>
      </c>
      <c r="M17" s="419">
        <v>29</v>
      </c>
      <c r="N17" s="420" t="s">
        <v>72</v>
      </c>
      <c r="O17" s="420"/>
      <c r="P17" s="420"/>
      <c r="Q17" s="420">
        <v>1</v>
      </c>
      <c r="R17" s="420" t="s">
        <v>72</v>
      </c>
      <c r="S17" s="420"/>
      <c r="T17" s="421">
        <v>1</v>
      </c>
      <c r="U17" s="422">
        <v>1</v>
      </c>
      <c r="V17" s="386">
        <f t="shared" si="1"/>
        <v>0</v>
      </c>
      <c r="W17" s="423" t="str">
        <f t="shared" si="0"/>
        <v>A29,</v>
      </c>
    </row>
    <row r="18" spans="6:23" ht="30" x14ac:dyDescent="0.25">
      <c r="F18" s="138" t="s">
        <v>109</v>
      </c>
      <c r="H18" s="126" t="s">
        <v>110</v>
      </c>
      <c r="I18" s="127" t="s">
        <v>111</v>
      </c>
      <c r="L18" s="424" t="s">
        <v>112</v>
      </c>
      <c r="M18" s="419">
        <v>30</v>
      </c>
      <c r="N18" s="420" t="s">
        <v>72</v>
      </c>
      <c r="O18" s="420"/>
      <c r="P18" s="420"/>
      <c r="Q18" s="420"/>
      <c r="R18" s="420" t="s">
        <v>72</v>
      </c>
      <c r="S18" s="420"/>
      <c r="T18" s="421">
        <v>1</v>
      </c>
      <c r="U18" s="422">
        <v>1</v>
      </c>
      <c r="V18" s="426">
        <f>IF('1.General'!$K$14=1,1,0)</f>
        <v>0</v>
      </c>
      <c r="W18" s="423" t="str">
        <f t="shared" si="0"/>
        <v>A30,</v>
      </c>
    </row>
    <row r="19" spans="6:23" ht="30" x14ac:dyDescent="0.25">
      <c r="F19" s="138" t="s">
        <v>113</v>
      </c>
      <c r="H19" s="126" t="s">
        <v>114</v>
      </c>
      <c r="I19" s="128" t="s">
        <v>115</v>
      </c>
      <c r="L19" s="424" t="s">
        <v>116</v>
      </c>
      <c r="M19" s="419">
        <v>31</v>
      </c>
      <c r="N19" s="420"/>
      <c r="O19" s="420"/>
      <c r="P19" s="420"/>
      <c r="Q19" s="420"/>
      <c r="R19" s="420"/>
      <c r="S19" s="420"/>
      <c r="T19" s="421">
        <v>1</v>
      </c>
      <c r="U19" s="422">
        <v>1</v>
      </c>
      <c r="V19" s="426">
        <f>IF(Y5&gt;0,1,0)</f>
        <v>0</v>
      </c>
      <c r="W19" s="423" t="str">
        <f t="shared" si="0"/>
        <v>A31,</v>
      </c>
    </row>
    <row r="20" spans="6:23" ht="30" x14ac:dyDescent="0.25">
      <c r="F20" s="138" t="s">
        <v>117</v>
      </c>
      <c r="H20" s="126" t="s">
        <v>118</v>
      </c>
      <c r="I20" s="127" t="s">
        <v>119</v>
      </c>
      <c r="L20" s="546" t="s">
        <v>120</v>
      </c>
      <c r="M20" s="419">
        <v>32</v>
      </c>
      <c r="N20" s="420"/>
      <c r="O20" s="547"/>
      <c r="P20" s="547"/>
      <c r="Q20" s="547"/>
      <c r="R20" s="547"/>
      <c r="S20" s="547"/>
      <c r="T20" s="421">
        <v>1</v>
      </c>
      <c r="U20" s="548"/>
      <c r="V20" s="426">
        <f>IF(Y5&gt;0,1,0)</f>
        <v>0</v>
      </c>
      <c r="W20" s="423" t="str">
        <f t="shared" si="0"/>
        <v>A32,</v>
      </c>
    </row>
    <row r="21" spans="6:23" ht="30" x14ac:dyDescent="0.25">
      <c r="F21" s="138" t="s">
        <v>121</v>
      </c>
      <c r="H21" s="126" t="s">
        <v>122</v>
      </c>
      <c r="I21" s="127" t="s">
        <v>123</v>
      </c>
      <c r="L21" s="546" t="s">
        <v>124</v>
      </c>
      <c r="M21" s="419">
        <v>33</v>
      </c>
      <c r="N21" s="420"/>
      <c r="O21" s="420">
        <v>1</v>
      </c>
      <c r="P21" s="420"/>
      <c r="Q21" s="420">
        <v>1</v>
      </c>
      <c r="R21" s="420">
        <v>1</v>
      </c>
      <c r="S21" s="420">
        <v>1</v>
      </c>
      <c r="T21" s="421">
        <v>1</v>
      </c>
      <c r="U21" s="422"/>
      <c r="V21" s="426">
        <f>IF(AND($D$5=2,SUMPRODUCT(N$5:S$5,N21:S21)&gt;=1,OR($F$5=12,$F$5=13,$F$5=14,$F$5=15,$F$5=17)),1,0)</f>
        <v>0</v>
      </c>
      <c r="W21" s="423" t="str">
        <f t="shared" si="0"/>
        <v>A33,</v>
      </c>
    </row>
    <row r="22" spans="6:23" ht="30" x14ac:dyDescent="0.25">
      <c r="F22" s="138" t="s">
        <v>125</v>
      </c>
      <c r="H22" s="126" t="s">
        <v>126</v>
      </c>
      <c r="I22" s="127" t="s">
        <v>127</v>
      </c>
      <c r="L22" s="546" t="s">
        <v>128</v>
      </c>
      <c r="M22" s="419">
        <v>34</v>
      </c>
      <c r="N22" s="420">
        <v>1</v>
      </c>
      <c r="O22" s="420"/>
      <c r="P22" s="420"/>
      <c r="Q22" s="420"/>
      <c r="R22" s="420"/>
      <c r="S22" s="420"/>
      <c r="T22" s="421">
        <v>1</v>
      </c>
      <c r="U22" s="422"/>
      <c r="V22" s="386">
        <f>SUMPRODUCT(N$5:S$5,N22:S22)</f>
        <v>1</v>
      </c>
      <c r="W22" s="423" t="str">
        <f t="shared" si="0"/>
        <v/>
      </c>
    </row>
    <row r="23" spans="6:23" ht="30" x14ac:dyDescent="0.25">
      <c r="F23" s="138" t="s">
        <v>129</v>
      </c>
      <c r="H23" s="126" t="s">
        <v>130</v>
      </c>
      <c r="I23" s="127" t="s">
        <v>131</v>
      </c>
      <c r="L23" s="203" t="s">
        <v>132</v>
      </c>
      <c r="M23" s="419">
        <v>35</v>
      </c>
      <c r="N23" s="381" t="s">
        <v>72</v>
      </c>
      <c r="O23" s="381"/>
      <c r="P23" s="381"/>
      <c r="Q23" s="381"/>
      <c r="R23" s="381" t="s">
        <v>72</v>
      </c>
      <c r="S23" s="381"/>
      <c r="T23" s="421"/>
      <c r="U23" s="422"/>
      <c r="V23" s="385"/>
      <c r="W23" s="423" t="str">
        <f t="shared" si="0"/>
        <v>A35,</v>
      </c>
    </row>
    <row r="24" spans="6:23" ht="45" x14ac:dyDescent="0.25">
      <c r="F24" s="138" t="s">
        <v>133</v>
      </c>
      <c r="H24" s="126" t="s">
        <v>134</v>
      </c>
      <c r="I24" s="127" t="s">
        <v>135</v>
      </c>
      <c r="L24" s="379" t="s">
        <v>136</v>
      </c>
      <c r="M24" s="419">
        <v>36</v>
      </c>
      <c r="N24" s="420" t="s">
        <v>72</v>
      </c>
      <c r="O24" s="420">
        <v>1</v>
      </c>
      <c r="P24" s="420">
        <v>1</v>
      </c>
      <c r="Q24" s="420">
        <v>1</v>
      </c>
      <c r="R24" s="420" t="s">
        <v>72</v>
      </c>
      <c r="S24" s="420">
        <v>1</v>
      </c>
      <c r="T24" s="421">
        <v>1</v>
      </c>
      <c r="U24" s="422"/>
      <c r="V24" s="386">
        <f>SUMPRODUCT(N$5:S$5,N24:S24)</f>
        <v>1</v>
      </c>
      <c r="W24" s="423" t="str">
        <f t="shared" si="0"/>
        <v/>
      </c>
    </row>
    <row r="25" spans="6:23" ht="30" x14ac:dyDescent="0.25">
      <c r="F25" s="138" t="s">
        <v>137</v>
      </c>
      <c r="H25" s="126" t="s">
        <v>138</v>
      </c>
      <c r="I25" s="127" t="s">
        <v>139</v>
      </c>
      <c r="L25" s="379" t="s">
        <v>140</v>
      </c>
      <c r="M25" s="419">
        <v>37</v>
      </c>
      <c r="N25" s="420" t="s">
        <v>72</v>
      </c>
      <c r="O25" s="420">
        <v>1</v>
      </c>
      <c r="P25" s="420"/>
      <c r="Q25" s="420"/>
      <c r="R25" s="420" t="s">
        <v>72</v>
      </c>
      <c r="S25" s="420">
        <v>1</v>
      </c>
      <c r="T25" s="421">
        <v>1</v>
      </c>
      <c r="U25" s="422">
        <v>1</v>
      </c>
      <c r="V25" s="386">
        <f>SUMPRODUCT(N$5:S$5,N25:S25)</f>
        <v>0</v>
      </c>
      <c r="W25" s="423" t="str">
        <f t="shared" si="0"/>
        <v>A37,</v>
      </c>
    </row>
    <row r="26" spans="6:23" ht="30" x14ac:dyDescent="0.25">
      <c r="F26" s="138" t="s">
        <v>141</v>
      </c>
      <c r="H26" s="126" t="s">
        <v>142</v>
      </c>
      <c r="I26" s="127" t="s">
        <v>143</v>
      </c>
      <c r="L26" s="379" t="s">
        <v>144</v>
      </c>
      <c r="M26" s="419">
        <v>38</v>
      </c>
      <c r="N26" s="420" t="s">
        <v>72</v>
      </c>
      <c r="O26" s="420">
        <v>1</v>
      </c>
      <c r="P26" s="420"/>
      <c r="Q26" s="420"/>
      <c r="R26" s="420" t="s">
        <v>72</v>
      </c>
      <c r="S26" s="420">
        <v>1</v>
      </c>
      <c r="T26" s="421">
        <v>1</v>
      </c>
      <c r="U26" s="422">
        <v>1</v>
      </c>
      <c r="V26" s="386">
        <f>SUMPRODUCT(N$5:S$5,N26:S26)</f>
        <v>0</v>
      </c>
      <c r="W26" s="423" t="str">
        <f t="shared" si="0"/>
        <v>A38,</v>
      </c>
    </row>
    <row r="27" spans="6:23" ht="30.75" customHeight="1" x14ac:dyDescent="0.25">
      <c r="F27" s="138" t="s">
        <v>145</v>
      </c>
      <c r="H27" s="126" t="s">
        <v>146</v>
      </c>
      <c r="I27" s="127" t="s">
        <v>147</v>
      </c>
      <c r="L27" s="379" t="s">
        <v>148</v>
      </c>
      <c r="M27" s="419">
        <v>39</v>
      </c>
      <c r="N27" s="420" t="s">
        <v>72</v>
      </c>
      <c r="O27" s="420">
        <v>1</v>
      </c>
      <c r="P27" s="420"/>
      <c r="Q27" s="420"/>
      <c r="R27" s="420" t="s">
        <v>72</v>
      </c>
      <c r="S27" s="420">
        <v>1</v>
      </c>
      <c r="T27" s="421">
        <v>1</v>
      </c>
      <c r="U27" s="422">
        <v>1</v>
      </c>
      <c r="V27" s="386">
        <f t="shared" ref="V27:V35" si="2">SUMPRODUCT(N$5:S$5,N27:S27)</f>
        <v>0</v>
      </c>
      <c r="W27" s="423" t="str">
        <f t="shared" si="0"/>
        <v>A39,</v>
      </c>
    </row>
    <row r="28" spans="6:23" ht="30.75" customHeight="1" thickBot="1" x14ac:dyDescent="0.3">
      <c r="F28" s="138" t="s">
        <v>149</v>
      </c>
      <c r="H28" s="129" t="s">
        <v>67</v>
      </c>
      <c r="I28" s="130" t="str">
        <f>""</f>
        <v/>
      </c>
      <c r="L28" s="379" t="s">
        <v>150</v>
      </c>
      <c r="M28" s="419">
        <v>40</v>
      </c>
      <c r="N28" s="420" t="s">
        <v>72</v>
      </c>
      <c r="O28" s="420">
        <v>1</v>
      </c>
      <c r="P28" s="420"/>
      <c r="Q28" s="420"/>
      <c r="R28" s="420" t="s">
        <v>72</v>
      </c>
      <c r="S28" s="420">
        <v>1</v>
      </c>
      <c r="T28" s="421">
        <v>1</v>
      </c>
      <c r="U28" s="422">
        <v>1</v>
      </c>
      <c r="V28" s="386">
        <f t="shared" si="2"/>
        <v>0</v>
      </c>
      <c r="W28" s="423" t="str">
        <f t="shared" si="0"/>
        <v>A40,</v>
      </c>
    </row>
    <row r="29" spans="6:23" ht="30.75" customHeight="1" x14ac:dyDescent="0.25">
      <c r="F29" s="138" t="s">
        <v>151</v>
      </c>
      <c r="I29" s="63"/>
      <c r="L29" s="379" t="s">
        <v>152</v>
      </c>
      <c r="M29" s="419">
        <v>41</v>
      </c>
      <c r="N29" s="420" t="s">
        <v>72</v>
      </c>
      <c r="O29" s="420">
        <v>1</v>
      </c>
      <c r="P29" s="420"/>
      <c r="Q29" s="420"/>
      <c r="R29" s="420" t="s">
        <v>72</v>
      </c>
      <c r="S29" s="420">
        <v>1</v>
      </c>
      <c r="T29" s="421">
        <v>1</v>
      </c>
      <c r="U29" s="422">
        <v>1</v>
      </c>
      <c r="V29" s="386">
        <f t="shared" si="2"/>
        <v>0</v>
      </c>
      <c r="W29" s="423" t="str">
        <f t="shared" si="0"/>
        <v>A41,</v>
      </c>
    </row>
    <row r="30" spans="6:23" ht="30.75" customHeight="1" thickBot="1" x14ac:dyDescent="0.3">
      <c r="F30" s="143" t="s">
        <v>153</v>
      </c>
      <c r="I30" s="63"/>
      <c r="L30" s="379" t="s">
        <v>154</v>
      </c>
      <c r="M30" s="419">
        <v>42</v>
      </c>
      <c r="N30" s="420" t="s">
        <v>72</v>
      </c>
      <c r="O30" s="420">
        <v>1</v>
      </c>
      <c r="P30" s="420"/>
      <c r="Q30" s="420"/>
      <c r="R30" s="420" t="s">
        <v>72</v>
      </c>
      <c r="S30" s="420">
        <v>1</v>
      </c>
      <c r="T30" s="421">
        <v>1</v>
      </c>
      <c r="U30" s="422">
        <v>1</v>
      </c>
      <c r="V30" s="386">
        <f t="shared" si="2"/>
        <v>0</v>
      </c>
      <c r="W30" s="423" t="str">
        <f t="shared" si="0"/>
        <v>A42,</v>
      </c>
    </row>
    <row r="31" spans="6:23" ht="30.75" customHeight="1" x14ac:dyDescent="0.25">
      <c r="I31" s="63"/>
      <c r="L31" s="379" t="s">
        <v>155</v>
      </c>
      <c r="M31" s="419">
        <v>43</v>
      </c>
      <c r="N31" s="420" t="s">
        <v>72</v>
      </c>
      <c r="O31" s="420">
        <v>1</v>
      </c>
      <c r="P31" s="420"/>
      <c r="Q31" s="420"/>
      <c r="R31" s="420" t="s">
        <v>72</v>
      </c>
      <c r="S31" s="420">
        <v>1</v>
      </c>
      <c r="T31" s="421">
        <v>1</v>
      </c>
      <c r="U31" s="422">
        <v>1</v>
      </c>
      <c r="V31" s="386">
        <f t="shared" si="2"/>
        <v>0</v>
      </c>
      <c r="W31" s="423" t="str">
        <f t="shared" si="0"/>
        <v>A43,</v>
      </c>
    </row>
    <row r="32" spans="6:23" ht="30.75" customHeight="1" x14ac:dyDescent="0.25">
      <c r="I32" s="63"/>
      <c r="L32" s="379" t="s">
        <v>156</v>
      </c>
      <c r="M32" s="419">
        <v>44</v>
      </c>
      <c r="N32" s="420" t="s">
        <v>72</v>
      </c>
      <c r="O32" s="420">
        <v>1</v>
      </c>
      <c r="P32" s="420"/>
      <c r="Q32" s="420"/>
      <c r="R32" s="420" t="s">
        <v>72</v>
      </c>
      <c r="S32" s="420">
        <v>1</v>
      </c>
      <c r="T32" s="421">
        <v>1</v>
      </c>
      <c r="U32" s="422">
        <v>1</v>
      </c>
      <c r="V32" s="386">
        <f t="shared" si="2"/>
        <v>0</v>
      </c>
      <c r="W32" s="423" t="str">
        <f t="shared" si="0"/>
        <v>A44,</v>
      </c>
    </row>
    <row r="33" spans="9:49" ht="30.75" customHeight="1" x14ac:dyDescent="0.25">
      <c r="I33" s="63"/>
      <c r="L33" s="379" t="s">
        <v>157</v>
      </c>
      <c r="M33" s="419">
        <v>45</v>
      </c>
      <c r="N33" s="420" t="s">
        <v>72</v>
      </c>
      <c r="O33" s="420">
        <v>1</v>
      </c>
      <c r="P33" s="420"/>
      <c r="Q33" s="420"/>
      <c r="R33" s="420" t="s">
        <v>72</v>
      </c>
      <c r="S33" s="420">
        <v>1</v>
      </c>
      <c r="T33" s="421">
        <v>1</v>
      </c>
      <c r="U33" s="422">
        <v>1</v>
      </c>
      <c r="V33" s="386">
        <f t="shared" si="2"/>
        <v>0</v>
      </c>
      <c r="W33" s="423" t="str">
        <f t="shared" si="0"/>
        <v>A45,</v>
      </c>
    </row>
    <row r="34" spans="9:49" ht="30.75" customHeight="1" x14ac:dyDescent="0.25">
      <c r="I34" s="63"/>
      <c r="L34" s="379" t="s">
        <v>158</v>
      </c>
      <c r="M34" s="419">
        <v>46</v>
      </c>
      <c r="N34" s="420" t="s">
        <v>72</v>
      </c>
      <c r="O34" s="420">
        <v>1</v>
      </c>
      <c r="P34" s="420"/>
      <c r="Q34" s="420"/>
      <c r="R34" s="420" t="s">
        <v>72</v>
      </c>
      <c r="S34" s="420">
        <v>1</v>
      </c>
      <c r="T34" s="421">
        <v>1</v>
      </c>
      <c r="U34" s="422">
        <v>1</v>
      </c>
      <c r="V34" s="386">
        <f t="shared" si="2"/>
        <v>0</v>
      </c>
      <c r="W34" s="423" t="str">
        <f t="shared" si="0"/>
        <v>A46,</v>
      </c>
    </row>
    <row r="35" spans="9:49" ht="30.75" customHeight="1" x14ac:dyDescent="0.25">
      <c r="I35" s="63"/>
      <c r="L35" s="379" t="s">
        <v>159</v>
      </c>
      <c r="M35" s="419">
        <v>47</v>
      </c>
      <c r="N35" s="420" t="s">
        <v>72</v>
      </c>
      <c r="O35" s="420">
        <v>1</v>
      </c>
      <c r="P35" s="420"/>
      <c r="Q35" s="420"/>
      <c r="R35" s="420">
        <v>1</v>
      </c>
      <c r="S35" s="420">
        <v>1</v>
      </c>
      <c r="T35" s="421">
        <v>1</v>
      </c>
      <c r="U35" s="422">
        <v>1</v>
      </c>
      <c r="V35" s="386">
        <f t="shared" si="2"/>
        <v>0</v>
      </c>
      <c r="W35" s="423" t="str">
        <f t="shared" si="0"/>
        <v>A47,</v>
      </c>
    </row>
    <row r="36" spans="9:49" ht="30.75" customHeight="1" x14ac:dyDescent="0.25">
      <c r="I36" s="63"/>
      <c r="L36" s="427" t="s">
        <v>160</v>
      </c>
      <c r="M36" s="419">
        <v>48</v>
      </c>
      <c r="N36" s="420" t="s">
        <v>72</v>
      </c>
      <c r="O36" s="420"/>
      <c r="P36" s="420"/>
      <c r="Q36" s="420"/>
      <c r="R36" s="420" t="s">
        <v>72</v>
      </c>
      <c r="S36" s="420"/>
      <c r="T36" s="421">
        <v>1</v>
      </c>
      <c r="U36" s="422"/>
      <c r="V36" s="426">
        <f>IF('1.General'!$K$14=1,1,0)</f>
        <v>0</v>
      </c>
      <c r="W36" s="423" t="str">
        <f t="shared" si="0"/>
        <v>A48,</v>
      </c>
    </row>
    <row r="37" spans="9:49" ht="30.75" customHeight="1" x14ac:dyDescent="0.25">
      <c r="I37" s="63"/>
      <c r="L37" s="379" t="s">
        <v>161</v>
      </c>
      <c r="M37" s="419">
        <v>49</v>
      </c>
      <c r="N37" s="420" t="s">
        <v>72</v>
      </c>
      <c r="O37" s="420">
        <v>1</v>
      </c>
      <c r="P37" s="420"/>
      <c r="Q37" s="420"/>
      <c r="R37" s="420" t="s">
        <v>72</v>
      </c>
      <c r="S37" s="420">
        <v>1</v>
      </c>
      <c r="T37" s="421">
        <v>1</v>
      </c>
      <c r="U37" s="422">
        <v>1</v>
      </c>
      <c r="V37" s="386">
        <f>SUMPRODUCT(N$5:S$5,N37:S37)</f>
        <v>0</v>
      </c>
      <c r="W37" s="423" t="str">
        <f t="shared" si="0"/>
        <v>A49,</v>
      </c>
    </row>
    <row r="38" spans="9:49" ht="30.75" customHeight="1" x14ac:dyDescent="0.25">
      <c r="I38" s="63"/>
      <c r="L38" s="379" t="s">
        <v>162</v>
      </c>
      <c r="M38" s="419">
        <v>50</v>
      </c>
      <c r="N38" s="420" t="s">
        <v>72</v>
      </c>
      <c r="O38" s="420">
        <v>1</v>
      </c>
      <c r="P38" s="420"/>
      <c r="Q38" s="420"/>
      <c r="R38" s="420" t="s">
        <v>72</v>
      </c>
      <c r="S38" s="420">
        <v>1</v>
      </c>
      <c r="T38" s="421">
        <v>1</v>
      </c>
      <c r="U38" s="422">
        <v>1</v>
      </c>
      <c r="V38" s="386">
        <f t="shared" ref="V38:V39" si="3">SUMPRODUCT(N$5:S$5,N38:S38)</f>
        <v>0</v>
      </c>
      <c r="W38" s="423" t="str">
        <f t="shared" si="0"/>
        <v>A50,</v>
      </c>
    </row>
    <row r="39" spans="9:49" ht="30.75" customHeight="1" x14ac:dyDescent="0.25">
      <c r="I39" s="63"/>
      <c r="L39" s="379" t="s">
        <v>163</v>
      </c>
      <c r="M39" s="419">
        <v>51</v>
      </c>
      <c r="N39" s="420" t="s">
        <v>72</v>
      </c>
      <c r="O39" s="420"/>
      <c r="P39" s="420"/>
      <c r="Q39" s="420"/>
      <c r="R39" s="420">
        <v>1</v>
      </c>
      <c r="S39" s="420"/>
      <c r="T39" s="421">
        <v>1</v>
      </c>
      <c r="U39" s="422"/>
      <c r="V39" s="386">
        <f t="shared" si="3"/>
        <v>0</v>
      </c>
      <c r="W39" s="423"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63"/>
      <c r="L40" s="424" t="s">
        <v>164</v>
      </c>
      <c r="M40" s="419">
        <v>52</v>
      </c>
      <c r="N40" s="425" t="s">
        <v>72</v>
      </c>
      <c r="O40" s="425"/>
      <c r="P40" s="425"/>
      <c r="Q40" s="425"/>
      <c r="R40" s="425" t="s">
        <v>72</v>
      </c>
      <c r="S40" s="425"/>
      <c r="T40" s="421">
        <v>1</v>
      </c>
      <c r="U40" s="422"/>
      <c r="V40" s="426">
        <f>IF(AND($D$5=2,$F$5=4,'1.General'!$K$40=2),1,0)</f>
        <v>0</v>
      </c>
      <c r="W40" s="423" t="str">
        <f t="shared" si="0"/>
        <v>A52,</v>
      </c>
      <c r="X40"/>
      <c r="Y40"/>
    </row>
    <row r="41" spans="9:49" ht="30" customHeight="1" x14ac:dyDescent="0.25">
      <c r="I41" s="63"/>
      <c r="L41" s="379" t="s">
        <v>165</v>
      </c>
      <c r="M41" s="419">
        <v>53</v>
      </c>
      <c r="N41" s="420" t="s">
        <v>72</v>
      </c>
      <c r="O41" s="420">
        <v>1</v>
      </c>
      <c r="P41" s="420"/>
      <c r="Q41" s="420">
        <v>1</v>
      </c>
      <c r="R41" s="420" t="s">
        <v>72</v>
      </c>
      <c r="S41" s="420">
        <v>1</v>
      </c>
      <c r="T41" s="421">
        <v>1</v>
      </c>
      <c r="U41" s="422"/>
      <c r="V41" s="386">
        <f>SUMPRODUCT(N$5:S$5,N41:S41)</f>
        <v>0</v>
      </c>
      <c r="W41" s="423" t="str">
        <f t="shared" si="0"/>
        <v>A53,</v>
      </c>
    </row>
    <row r="42" spans="9:49" ht="30" customHeight="1" x14ac:dyDescent="0.25">
      <c r="I42" s="63"/>
      <c r="L42" s="379" t="s">
        <v>166</v>
      </c>
      <c r="M42" s="419">
        <v>54</v>
      </c>
      <c r="N42" s="420">
        <v>1</v>
      </c>
      <c r="O42" s="420"/>
      <c r="P42" s="420"/>
      <c r="Q42" s="420"/>
      <c r="R42" s="420" t="s">
        <v>72</v>
      </c>
      <c r="S42" s="420"/>
      <c r="T42" s="421">
        <v>1</v>
      </c>
      <c r="U42" s="422">
        <v>1</v>
      </c>
      <c r="V42" s="386">
        <f>SUMPRODUCT(N$5:S$5,N42:S42)</f>
        <v>1</v>
      </c>
      <c r="W42" s="423" t="str">
        <f t="shared" si="0"/>
        <v/>
      </c>
    </row>
    <row r="43" spans="9:49" ht="30" customHeight="1" x14ac:dyDescent="0.25">
      <c r="I43" s="63"/>
      <c r="L43" s="379" t="s">
        <v>167</v>
      </c>
      <c r="M43" s="419">
        <v>55</v>
      </c>
      <c r="N43" s="420"/>
      <c r="O43" s="420">
        <v>1</v>
      </c>
      <c r="P43" s="420"/>
      <c r="Q43" s="420"/>
      <c r="R43" s="420" t="s">
        <v>72</v>
      </c>
      <c r="S43" s="420">
        <v>1</v>
      </c>
      <c r="T43" s="421">
        <v>1</v>
      </c>
      <c r="U43" s="422">
        <v>1</v>
      </c>
      <c r="V43" s="386">
        <f>SUMPRODUCT(N$5:S$5,N43:S43)</f>
        <v>0</v>
      </c>
      <c r="W43" s="423" t="str">
        <f t="shared" si="0"/>
        <v>A55,</v>
      </c>
    </row>
    <row r="44" spans="9:49" ht="30" customHeight="1" x14ac:dyDescent="0.25">
      <c r="I44" s="63"/>
      <c r="L44" s="424" t="s">
        <v>168</v>
      </c>
      <c r="M44" s="419">
        <v>56</v>
      </c>
      <c r="N44" s="425" t="s">
        <v>72</v>
      </c>
      <c r="O44" s="425"/>
      <c r="P44" s="425"/>
      <c r="Q44" s="425"/>
      <c r="R44" s="425" t="s">
        <v>72</v>
      </c>
      <c r="S44" s="425"/>
      <c r="T44" s="421">
        <v>1</v>
      </c>
      <c r="U44" s="422">
        <v>1</v>
      </c>
      <c r="V44" s="426">
        <f>IF('1.General'!$K$26=1,1,0)</f>
        <v>0</v>
      </c>
      <c r="W44" s="423" t="str">
        <f t="shared" si="0"/>
        <v>A56,</v>
      </c>
    </row>
    <row r="45" spans="9:49" ht="30" customHeight="1" x14ac:dyDescent="0.25">
      <c r="I45" s="63"/>
      <c r="L45" s="203" t="s">
        <v>169</v>
      </c>
      <c r="M45" s="419">
        <v>57</v>
      </c>
      <c r="N45" s="420">
        <v>1</v>
      </c>
      <c r="O45" s="420"/>
      <c r="P45" s="420"/>
      <c r="Q45" s="420"/>
      <c r="R45" s="420" t="s">
        <v>72</v>
      </c>
      <c r="S45" s="420"/>
      <c r="T45" s="421">
        <v>1</v>
      </c>
      <c r="U45" s="422"/>
      <c r="V45" s="386">
        <f>SUMPRODUCT(N$5:S$5,N45:S45)</f>
        <v>1</v>
      </c>
      <c r="W45" s="423" t="str">
        <f t="shared" si="0"/>
        <v/>
      </c>
    </row>
    <row r="46" spans="9:49" ht="30" customHeight="1" x14ac:dyDescent="0.25">
      <c r="I46" s="63"/>
      <c r="L46" s="203" t="s">
        <v>170</v>
      </c>
      <c r="M46" s="419">
        <v>58</v>
      </c>
      <c r="N46" s="420" t="s">
        <v>72</v>
      </c>
      <c r="O46" s="420">
        <v>1</v>
      </c>
      <c r="P46" s="420"/>
      <c r="Q46" s="420"/>
      <c r="R46" s="420">
        <v>1</v>
      </c>
      <c r="S46" s="420">
        <v>1</v>
      </c>
      <c r="T46" s="421">
        <v>1</v>
      </c>
      <c r="U46" s="422">
        <v>1</v>
      </c>
      <c r="V46" s="386">
        <f t="shared" ref="V46:V54" si="4">SUMPRODUCT(N$5:S$5,N46:S46)</f>
        <v>0</v>
      </c>
      <c r="W46" s="423" t="str">
        <f t="shared" si="0"/>
        <v>A58,</v>
      </c>
    </row>
    <row r="47" spans="9:49" ht="30" customHeight="1" x14ac:dyDescent="0.25">
      <c r="I47" s="63"/>
      <c r="L47" s="203" t="s">
        <v>171</v>
      </c>
      <c r="M47" s="419">
        <v>59</v>
      </c>
      <c r="N47" s="420" t="s">
        <v>72</v>
      </c>
      <c r="O47" s="420">
        <v>1</v>
      </c>
      <c r="P47" s="420"/>
      <c r="Q47" s="420"/>
      <c r="R47" s="420" t="s">
        <v>72</v>
      </c>
      <c r="S47" s="420">
        <v>1</v>
      </c>
      <c r="T47" s="421">
        <v>1</v>
      </c>
      <c r="U47" s="422">
        <v>1</v>
      </c>
      <c r="V47" s="386">
        <f t="shared" si="4"/>
        <v>0</v>
      </c>
      <c r="W47" s="423" t="str">
        <f t="shared" si="0"/>
        <v>A59,</v>
      </c>
    </row>
    <row r="48" spans="9:49" ht="30" customHeight="1" x14ac:dyDescent="0.25">
      <c r="I48" s="63"/>
      <c r="L48" s="203" t="str">
        <f>IF('3.Filing Type and Checklist'!E9="Y","Complete Current, Marked-up and Proposed Underwriting Guidelines","Complete Underwriting Guidelines")</f>
        <v>Complete Underwriting Guidelines</v>
      </c>
      <c r="M48" s="419">
        <v>60</v>
      </c>
      <c r="N48" s="420" t="s">
        <v>72</v>
      </c>
      <c r="O48" s="420">
        <v>1</v>
      </c>
      <c r="P48" s="420"/>
      <c r="Q48" s="420">
        <v>1</v>
      </c>
      <c r="R48" s="420">
        <v>1</v>
      </c>
      <c r="S48" s="420">
        <v>1</v>
      </c>
      <c r="T48" s="421">
        <v>1</v>
      </c>
      <c r="U48" s="422"/>
      <c r="V48" s="386">
        <f t="shared" si="4"/>
        <v>0</v>
      </c>
      <c r="W48" s="423" t="str">
        <f t="shared" si="0"/>
        <v>A60,</v>
      </c>
    </row>
    <row r="49" spans="9:23" ht="30" customHeight="1" x14ac:dyDescent="0.25">
      <c r="I49" s="63"/>
      <c r="L49" s="203" t="str">
        <f>IF('3.Filing Type and Checklist'!E6="Y","Complete Current, Marked-up and Proposed Printed Rate and Rule Manual Pages","Complete Printed Rate and Rule Manual Pages")</f>
        <v>Complete Printed Rate and Rule Manual Pages</v>
      </c>
      <c r="M49" s="419">
        <v>61</v>
      </c>
      <c r="N49" s="420"/>
      <c r="O49" s="420">
        <v>1</v>
      </c>
      <c r="P49" s="420"/>
      <c r="Q49" s="420">
        <v>1</v>
      </c>
      <c r="R49" s="420">
        <v>1</v>
      </c>
      <c r="S49" s="420">
        <v>1</v>
      </c>
      <c r="T49" s="421">
        <v>1</v>
      </c>
      <c r="U49" s="422"/>
      <c r="V49" s="386">
        <f t="shared" si="4"/>
        <v>0</v>
      </c>
      <c r="W49" s="423" t="str">
        <f t="shared" ref="W49" si="5">IF(V49=0,"A"&amp;$M49&amp;",","")</f>
        <v>A61,</v>
      </c>
    </row>
    <row r="50" spans="9:23" ht="30" customHeight="1" x14ac:dyDescent="0.25">
      <c r="I50" s="63"/>
      <c r="L50" s="203" t="s">
        <v>172</v>
      </c>
      <c r="M50" s="419">
        <v>62</v>
      </c>
      <c r="N50" s="420" t="s">
        <v>72</v>
      </c>
      <c r="O50" s="420"/>
      <c r="P50" s="420">
        <v>1</v>
      </c>
      <c r="Q50" s="420"/>
      <c r="R50" s="420">
        <v>1</v>
      </c>
      <c r="S50" s="420"/>
      <c r="T50" s="421">
        <v>1</v>
      </c>
      <c r="U50" s="422"/>
      <c r="V50" s="386">
        <f t="shared" si="4"/>
        <v>1</v>
      </c>
      <c r="W50" s="423" t="str">
        <f t="shared" si="0"/>
        <v/>
      </c>
    </row>
    <row r="51" spans="9:23" ht="30" customHeight="1" x14ac:dyDescent="0.25">
      <c r="I51" s="63"/>
      <c r="L51" s="203" t="s">
        <v>173</v>
      </c>
      <c r="M51" s="419">
        <v>63</v>
      </c>
      <c r="N51" s="420" t="s">
        <v>72</v>
      </c>
      <c r="O51" s="420">
        <v>1</v>
      </c>
      <c r="P51" s="420"/>
      <c r="Q51" s="420"/>
      <c r="R51" s="420">
        <v>1</v>
      </c>
      <c r="S51" s="420">
        <v>1</v>
      </c>
      <c r="T51" s="421">
        <v>1</v>
      </c>
      <c r="U51" s="422"/>
      <c r="V51" s="386">
        <f t="shared" si="4"/>
        <v>0</v>
      </c>
      <c r="W51" s="423" t="str">
        <f t="shared" si="0"/>
        <v>A63,</v>
      </c>
    </row>
    <row r="52" spans="9:23" ht="30" customHeight="1" x14ac:dyDescent="0.25">
      <c r="I52" s="63"/>
      <c r="L52" s="382" t="s">
        <v>174</v>
      </c>
      <c r="M52" s="419">
        <v>64</v>
      </c>
      <c r="N52" s="420"/>
      <c r="O52" s="420">
        <v>1</v>
      </c>
      <c r="P52" s="420">
        <v>1</v>
      </c>
      <c r="Q52" s="420"/>
      <c r="R52" s="420">
        <v>1</v>
      </c>
      <c r="S52" s="420">
        <v>1</v>
      </c>
      <c r="T52" s="421"/>
      <c r="U52" s="422"/>
      <c r="V52" s="386">
        <f t="shared" si="4"/>
        <v>1</v>
      </c>
      <c r="W52" s="423" t="str">
        <f t="shared" si="0"/>
        <v/>
      </c>
    </row>
    <row r="53" spans="9:23" ht="30" customHeight="1" x14ac:dyDescent="0.25">
      <c r="I53" s="63"/>
      <c r="L53" s="382" t="s">
        <v>175</v>
      </c>
      <c r="M53" s="419">
        <v>65</v>
      </c>
      <c r="N53" s="420" t="s">
        <v>72</v>
      </c>
      <c r="O53" s="420"/>
      <c r="P53" s="420">
        <v>1</v>
      </c>
      <c r="Q53" s="420"/>
      <c r="R53" s="420">
        <v>1</v>
      </c>
      <c r="S53" s="420"/>
      <c r="T53" s="421"/>
      <c r="U53" s="422"/>
      <c r="V53" s="386">
        <f t="shared" si="4"/>
        <v>1</v>
      </c>
      <c r="W53" s="423" t="str">
        <f t="shared" si="0"/>
        <v/>
      </c>
    </row>
    <row r="54" spans="9:23" ht="30" customHeight="1" x14ac:dyDescent="0.25">
      <c r="I54" s="63"/>
      <c r="L54" s="382" t="s">
        <v>176</v>
      </c>
      <c r="M54" s="419">
        <v>66</v>
      </c>
      <c r="N54" s="420" t="s">
        <v>72</v>
      </c>
      <c r="O54" s="420"/>
      <c r="P54" s="420"/>
      <c r="Q54" s="420"/>
      <c r="R54" s="420">
        <v>1</v>
      </c>
      <c r="S54" s="420"/>
      <c r="T54" s="421"/>
      <c r="U54" s="422"/>
      <c r="V54" s="386">
        <f t="shared" si="4"/>
        <v>0</v>
      </c>
      <c r="W54" s="423" t="str">
        <f t="shared" si="0"/>
        <v>A66,</v>
      </c>
    </row>
    <row r="55" spans="9:23" ht="30" customHeight="1" thickBot="1" x14ac:dyDescent="0.3">
      <c r="I55" s="63"/>
      <c r="L55" s="384" t="s">
        <v>177</v>
      </c>
      <c r="M55" s="428">
        <v>67</v>
      </c>
      <c r="N55" s="429" t="s">
        <v>72</v>
      </c>
      <c r="O55" s="429"/>
      <c r="P55" s="429"/>
      <c r="Q55" s="429"/>
      <c r="R55" s="429" t="s">
        <v>72</v>
      </c>
      <c r="S55" s="429"/>
      <c r="T55" s="430"/>
      <c r="U55" s="431"/>
      <c r="V55" s="432">
        <f>IF(AND($D$5=2,$F$5=4),1,0)</f>
        <v>0</v>
      </c>
      <c r="W55" s="43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4pncdRI9hswvO/6JSFFFYwwUrWatCfMkIjXVEkIi5Vn3aEihxWeNkdR8sHr6bbrcP2t1WMZG+d/Kp2114PwdAg==" saltValue="GGHwLGw6TQVkaVAqecHBSA==" spinCount="100000" sheet="1" objects="1" scenarios="1" formatColumns="0" formatRows="0" sort="0"/>
  <printOptions horizontalCentered="1"/>
  <pageMargins left="0.2" right="0.45" top="0.5" bottom="0.5" header="0.3" footer="0.3"/>
  <pageSetup scale="27" orientation="landscape" r:id="rId1"/>
  <headerFooter>
    <oddFooter>&amp;L1/3/2023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tabSelected="1" view="pageBreakPreview" zoomScaleNormal="100" zoomScaleSheetLayoutView="100" workbookViewId="0">
      <selection activeCell="B1" sqref="B1"/>
    </sheetView>
  </sheetViews>
  <sheetFormatPr defaultRowHeight="15" x14ac:dyDescent="0.25"/>
  <cols>
    <col min="1" max="1" width="2.28515625" customWidth="1"/>
    <col min="2" max="2" width="100.7109375" customWidth="1"/>
    <col min="13" max="13" width="40.7109375" customWidth="1"/>
  </cols>
  <sheetData>
    <row r="1" spans="1:2" ht="52.5" x14ac:dyDescent="0.25">
      <c r="A1" s="315"/>
      <c r="B1" s="316" t="s">
        <v>178</v>
      </c>
    </row>
    <row r="2" spans="1:2" ht="26.25" customHeight="1" x14ac:dyDescent="0.25">
      <c r="A2" s="315"/>
      <c r="B2" s="317"/>
    </row>
    <row r="3" spans="1:2" ht="47.25" x14ac:dyDescent="0.25">
      <c r="A3" s="185"/>
      <c r="B3" s="186" t="s">
        <v>179</v>
      </c>
    </row>
    <row r="4" spans="1:2" ht="27" thickBot="1" x14ac:dyDescent="0.3">
      <c r="A4" s="184"/>
      <c r="B4" s="187" t="s">
        <v>180</v>
      </c>
    </row>
    <row r="5" spans="1:2" ht="15" customHeight="1" x14ac:dyDescent="0.25">
      <c r="A5" s="185"/>
      <c r="B5" s="188"/>
    </row>
    <row r="6" spans="1:2" ht="75" customHeight="1" x14ac:dyDescent="0.25">
      <c r="A6" s="161" t="s">
        <v>181</v>
      </c>
      <c r="B6" s="313" t="s">
        <v>182</v>
      </c>
    </row>
    <row r="7" spans="1:2" ht="75" customHeight="1" x14ac:dyDescent="0.25">
      <c r="A7" s="161" t="s">
        <v>183</v>
      </c>
      <c r="B7" s="313" t="s">
        <v>184</v>
      </c>
    </row>
    <row r="8" spans="1:2" ht="92.25" customHeight="1" x14ac:dyDescent="0.25">
      <c r="A8" s="161" t="s">
        <v>185</v>
      </c>
      <c r="B8" s="313" t="s">
        <v>186</v>
      </c>
    </row>
    <row r="9" spans="1:2" ht="68.25" customHeight="1" x14ac:dyDescent="0.25">
      <c r="A9" s="161" t="s">
        <v>187</v>
      </c>
      <c r="B9" s="313" t="s">
        <v>188</v>
      </c>
    </row>
    <row r="11" spans="1:2" x14ac:dyDescent="0.25">
      <c r="B11" s="545" t="str">
        <f>Edition_Date</f>
        <v>1/3/2023 Edition</v>
      </c>
    </row>
  </sheetData>
  <sheetProtection algorithmName="SHA-512" hashValue="WaoZERFU7HhNiRBfLN3dDNEGgfzJVkGiAxSfNH/vznCcQl4DMm0LIczJcdyeS1/+0onoMvOSu4mC+TEKOHn0yw==" saltValue="oj+Fs5UmTvL7TIc9LluT+w=="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zoomScaleNormal="100" zoomScaleSheetLayoutView="100" workbookViewId="0">
      <selection activeCell="H8" sqref="H8"/>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140625" style="8" customWidth="1"/>
    <col min="11" max="11" width="7.7109375" style="8" hidden="1" customWidth="1"/>
    <col min="12" max="12" width="76.42578125" style="338" customWidth="1"/>
    <col min="13" max="14" width="0.7109375" style="8" customWidth="1"/>
    <col min="15" max="15" width="7.28515625" style="8" customWidth="1"/>
    <col min="16" max="16" width="12.140625" style="8" customWidth="1"/>
    <col min="17" max="16384" width="9.140625" style="8"/>
  </cols>
  <sheetData>
    <row r="1" spans="1:18" ht="15.75" thickBot="1" x14ac:dyDescent="0.3">
      <c r="A1" s="20" t="s">
        <v>189</v>
      </c>
      <c r="D1" s="20" t="s">
        <v>190</v>
      </c>
      <c r="I1" s="35" t="str">
        <f>Co_Name</f>
        <v xml:space="preserve">State Farm Mutual Automobile Insurance Company </v>
      </c>
      <c r="L1" s="333" t="s">
        <v>191</v>
      </c>
    </row>
    <row r="2" spans="1:18" x14ac:dyDescent="0.25">
      <c r="A2" s="20" t="s">
        <v>192</v>
      </c>
      <c r="D2" s="20" t="s">
        <v>193</v>
      </c>
      <c r="I2" s="35" t="str">
        <f>General_Line</f>
        <v>Auto Liability and Physical Damage</v>
      </c>
      <c r="L2" s="334" t="s">
        <v>194</v>
      </c>
    </row>
    <row r="3" spans="1:18" ht="18" customHeight="1" x14ac:dyDescent="0.25">
      <c r="A3" s="20"/>
      <c r="B3" s="166"/>
      <c r="J3" s="35"/>
      <c r="K3" s="35"/>
      <c r="L3" s="335"/>
    </row>
    <row r="4" spans="1:18" ht="23.25" x14ac:dyDescent="0.25">
      <c r="A4" s="5" t="s">
        <v>195</v>
      </c>
      <c r="B4" s="6"/>
      <c r="C4" s="6"/>
      <c r="D4" s="6"/>
      <c r="E4" s="6"/>
      <c r="F4" s="6"/>
      <c r="G4" s="6"/>
      <c r="H4" s="6"/>
      <c r="I4" s="6"/>
      <c r="J4" s="6"/>
      <c r="K4" s="6"/>
      <c r="L4" s="335"/>
      <c r="M4" s="7"/>
      <c r="R4" s="9"/>
    </row>
    <row r="5" spans="1:18" ht="23.25" customHeight="1" x14ac:dyDescent="0.25">
      <c r="A5" s="5" t="s">
        <v>196</v>
      </c>
      <c r="B5" s="6"/>
      <c r="C5" s="6"/>
      <c r="D5" s="6"/>
      <c r="E5" s="6"/>
      <c r="F5" s="6"/>
      <c r="G5" s="6"/>
      <c r="H5" s="6"/>
      <c r="I5" s="6"/>
      <c r="J5" s="6"/>
      <c r="K5" s="6"/>
      <c r="L5" s="336"/>
      <c r="M5" s="7"/>
      <c r="R5" s="9"/>
    </row>
    <row r="6" spans="1:18" ht="18" customHeight="1" x14ac:dyDescent="0.25">
      <c r="A6" s="5"/>
      <c r="B6" s="6"/>
      <c r="C6" s="6"/>
      <c r="D6" s="6"/>
      <c r="E6" s="6"/>
      <c r="F6" s="6"/>
      <c r="G6" s="6"/>
      <c r="H6" s="6"/>
      <c r="I6" s="6"/>
      <c r="J6" s="6"/>
      <c r="K6" s="6"/>
      <c r="L6" s="336"/>
      <c r="M6" s="7"/>
      <c r="R6" s="9"/>
    </row>
    <row r="7" spans="1:18" ht="18" customHeight="1" x14ac:dyDescent="0.25">
      <c r="A7" s="10" t="s">
        <v>197</v>
      </c>
      <c r="B7" s="356" t="s">
        <v>527</v>
      </c>
      <c r="C7" s="7"/>
      <c r="D7" s="7" t="s">
        <v>198</v>
      </c>
      <c r="E7" s="357">
        <v>44964</v>
      </c>
      <c r="F7" s="11"/>
      <c r="G7" s="7"/>
      <c r="H7" s="7"/>
      <c r="I7" s="7"/>
      <c r="J7" s="7"/>
      <c r="K7" s="7"/>
      <c r="L7" s="337"/>
      <c r="M7" s="7"/>
      <c r="R7" s="9"/>
    </row>
    <row r="8" spans="1:18" ht="9.9499999999999993" customHeight="1" x14ac:dyDescent="0.25">
      <c r="A8" s="7"/>
      <c r="B8" s="7"/>
      <c r="C8" s="7"/>
      <c r="D8" s="7"/>
      <c r="E8" s="7"/>
      <c r="F8" s="7"/>
      <c r="G8" s="7"/>
      <c r="H8" s="7"/>
      <c r="I8" s="7"/>
      <c r="J8" s="7"/>
      <c r="K8" s="7"/>
      <c r="L8" s="337"/>
      <c r="M8" s="7"/>
    </row>
    <row r="9" spans="1:18" ht="18" customHeight="1" x14ac:dyDescent="0.25">
      <c r="A9" s="10" t="s">
        <v>199</v>
      </c>
      <c r="B9" s="356" t="s">
        <v>551</v>
      </c>
      <c r="C9" s="7"/>
      <c r="D9" s="7"/>
      <c r="E9" s="7"/>
      <c r="F9" s="7"/>
      <c r="G9" s="7"/>
      <c r="H9" s="7"/>
      <c r="I9" s="7"/>
      <c r="J9" s="7"/>
      <c r="K9" s="7"/>
      <c r="L9" s="337"/>
      <c r="M9" s="7"/>
    </row>
    <row r="10" spans="1:18" ht="18" customHeight="1" thickBot="1" x14ac:dyDescent="0.3">
      <c r="A10" s="7"/>
      <c r="B10" s="65" t="s">
        <v>200</v>
      </c>
      <c r="C10" s="7"/>
      <c r="D10" s="7"/>
      <c r="E10" s="7"/>
      <c r="F10" s="7"/>
      <c r="J10" s="244"/>
      <c r="K10" s="17"/>
      <c r="L10" s="337"/>
      <c r="M10" s="7"/>
    </row>
    <row r="11" spans="1:18" ht="5.0999999999999996" customHeight="1" x14ac:dyDescent="0.25">
      <c r="A11" s="7"/>
      <c r="B11" s="7"/>
      <c r="C11" s="7"/>
      <c r="D11" s="7"/>
      <c r="E11" s="7"/>
      <c r="F11" s="7"/>
      <c r="G11" s="39"/>
      <c r="H11" s="40"/>
      <c r="I11" s="40"/>
      <c r="J11" s="242"/>
      <c r="K11" s="245"/>
      <c r="L11" s="330"/>
      <c r="M11" s="7"/>
    </row>
    <row r="12" spans="1:18" ht="18" customHeight="1" x14ac:dyDescent="0.25">
      <c r="A12" s="12" t="s">
        <v>201</v>
      </c>
      <c r="B12" s="7"/>
      <c r="C12" s="7"/>
      <c r="D12" s="13"/>
      <c r="E12" s="7"/>
      <c r="F12" s="7"/>
      <c r="G12" s="41" t="s">
        <v>202</v>
      </c>
      <c r="H12" s="42"/>
      <c r="I12" s="239"/>
      <c r="J12" s="249"/>
      <c r="K12" s="250"/>
      <c r="L12" s="330"/>
      <c r="M12" s="7"/>
    </row>
    <row r="13" spans="1:18" ht="5.0999999999999996" customHeight="1" x14ac:dyDescent="0.25">
      <c r="A13" s="12"/>
      <c r="B13" s="7"/>
      <c r="C13" s="7"/>
      <c r="D13" s="13"/>
      <c r="E13" s="7"/>
      <c r="F13" s="7"/>
      <c r="G13" s="41"/>
      <c r="H13" s="42"/>
      <c r="I13" s="42"/>
      <c r="J13" s="239"/>
      <c r="K13" s="246"/>
      <c r="L13" s="330"/>
      <c r="M13" s="7"/>
    </row>
    <row r="14" spans="1:18" ht="18" customHeight="1" x14ac:dyDescent="0.25">
      <c r="A14" s="7" t="s">
        <v>203</v>
      </c>
      <c r="B14" s="7"/>
      <c r="C14" s="7"/>
      <c r="D14" s="13"/>
      <c r="E14" s="320" t="str">
        <f>IF(INDEX(List_YNIndicator,$K$14,1)="N","(Page 11 hidden)","")</f>
        <v>(Page 11 hidden)</v>
      </c>
      <c r="F14" s="7"/>
      <c r="G14" s="43" t="s">
        <v>204</v>
      </c>
      <c r="H14" s="570"/>
      <c r="I14" s="571"/>
      <c r="J14" s="240"/>
      <c r="K14" s="251">
        <v>2</v>
      </c>
      <c r="L14" s="330"/>
      <c r="M14" s="7"/>
    </row>
    <row r="15" spans="1:18" ht="5.0999999999999996" customHeight="1" x14ac:dyDescent="0.25">
      <c r="A15" s="7"/>
      <c r="B15" s="7"/>
      <c r="C15" s="7"/>
      <c r="D15" s="13"/>
      <c r="E15" s="7"/>
      <c r="F15" s="7"/>
      <c r="G15" s="44"/>
      <c r="H15" s="46"/>
      <c r="I15" s="46"/>
      <c r="J15" s="239"/>
      <c r="K15" s="246"/>
      <c r="L15" s="330"/>
      <c r="M15" s="7"/>
    </row>
    <row r="16" spans="1:18" ht="18" customHeight="1" x14ac:dyDescent="0.25">
      <c r="A16" s="7" t="s">
        <v>205</v>
      </c>
      <c r="B16" s="7"/>
      <c r="C16" s="7"/>
      <c r="D16" s="13"/>
      <c r="E16" s="7"/>
      <c r="F16" s="7"/>
      <c r="G16" s="43" t="s">
        <v>206</v>
      </c>
      <c r="H16" s="570"/>
      <c r="I16" s="571"/>
      <c r="J16" s="239"/>
      <c r="K16" s="246"/>
      <c r="L16" s="330"/>
      <c r="M16" s="7"/>
    </row>
    <row r="17" spans="1:14" ht="5.0999999999999996" customHeight="1" x14ac:dyDescent="0.25">
      <c r="A17" s="7"/>
      <c r="B17" s="7"/>
      <c r="C17" s="7"/>
      <c r="D17" s="13"/>
      <c r="E17" s="7"/>
      <c r="F17" s="7"/>
      <c r="G17" s="44"/>
      <c r="H17" s="64"/>
      <c r="I17" s="64"/>
      <c r="J17" s="239"/>
      <c r="K17" s="246"/>
      <c r="L17" s="330"/>
      <c r="M17" s="7"/>
    </row>
    <row r="18" spans="1:14" ht="18" customHeight="1" x14ac:dyDescent="0.25">
      <c r="A18" s="23" t="s">
        <v>207</v>
      </c>
      <c r="B18" s="7"/>
      <c r="C18" s="7"/>
      <c r="D18" s="13"/>
      <c r="E18" s="7"/>
      <c r="F18" s="7"/>
      <c r="G18" s="43" t="s">
        <v>208</v>
      </c>
      <c r="H18" s="572"/>
      <c r="I18" s="573"/>
      <c r="J18" s="240"/>
      <c r="K18" s="245"/>
      <c r="L18" s="330"/>
      <c r="M18" s="7"/>
    </row>
    <row r="19" spans="1:14" ht="5.0999999999999996" customHeight="1" x14ac:dyDescent="0.25">
      <c r="A19" s="15"/>
      <c r="B19" s="7"/>
      <c r="C19" s="7"/>
      <c r="D19" s="13"/>
      <c r="E19" s="7"/>
      <c r="F19" s="7"/>
      <c r="G19" s="43"/>
      <c r="H19" s="324"/>
      <c r="I19" s="46"/>
      <c r="J19" s="240"/>
      <c r="K19" s="245"/>
      <c r="L19" s="330"/>
      <c r="M19" s="7"/>
    </row>
    <row r="20" spans="1:14" ht="18" customHeight="1" x14ac:dyDescent="0.25">
      <c r="A20" s="33" t="s">
        <v>209</v>
      </c>
      <c r="B20" s="7"/>
      <c r="C20" s="7"/>
      <c r="D20" s="13"/>
      <c r="E20" s="7"/>
      <c r="F20" s="7"/>
      <c r="G20" s="43" t="s">
        <v>210</v>
      </c>
      <c r="H20" s="572"/>
      <c r="I20" s="573"/>
      <c r="J20" s="240"/>
      <c r="K20" s="251">
        <v>3</v>
      </c>
      <c r="L20" s="243"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3"/>
      <c r="H21" s="46"/>
      <c r="I21" s="46"/>
      <c r="J21" s="240"/>
      <c r="K21" s="245"/>
      <c r="L21" s="330"/>
      <c r="M21" s="7"/>
    </row>
    <row r="22" spans="1:14" ht="18" customHeight="1" x14ac:dyDescent="0.25">
      <c r="A22" s="23" t="s">
        <v>211</v>
      </c>
      <c r="B22" s="7"/>
      <c r="C22" s="577"/>
      <c r="D22" s="578"/>
      <c r="E22" s="7"/>
      <c r="F22" s="7"/>
      <c r="G22" s="43" t="s">
        <v>212</v>
      </c>
      <c r="H22" s="574"/>
      <c r="I22" s="575"/>
      <c r="J22" s="240"/>
      <c r="K22" s="245"/>
      <c r="L22" s="330"/>
      <c r="M22" s="7"/>
    </row>
    <row r="23" spans="1:14" ht="5.0999999999999996" customHeight="1" x14ac:dyDescent="0.25">
      <c r="A23" s="7"/>
      <c r="B23" s="7"/>
      <c r="C23" s="7"/>
      <c r="D23" s="7"/>
      <c r="E23" s="7"/>
      <c r="F23" s="7"/>
      <c r="G23" s="43"/>
      <c r="H23" s="46"/>
      <c r="I23" s="46"/>
      <c r="J23" s="240"/>
      <c r="K23" s="245"/>
      <c r="L23" s="330"/>
      <c r="M23" s="7"/>
    </row>
    <row r="24" spans="1:14" ht="18" customHeight="1" x14ac:dyDescent="0.25">
      <c r="A24" s="7" t="s">
        <v>213</v>
      </c>
      <c r="B24" s="7"/>
      <c r="C24" s="7"/>
      <c r="D24" s="7"/>
      <c r="E24" s="320" t="str">
        <f>IF(INDEX(List_YNIndicator,$K$24,1)="N","(Page 2 hidden)","")</f>
        <v>(Page 2 hidden)</v>
      </c>
      <c r="F24" s="7"/>
      <c r="G24" s="43" t="s">
        <v>214</v>
      </c>
      <c r="H24" s="572" t="str">
        <f>IF(ISBLANK(H22)," ",H22+60)</f>
        <v xml:space="preserve"> </v>
      </c>
      <c r="I24" s="579"/>
      <c r="J24" s="240"/>
      <c r="K24" s="251">
        <v>2</v>
      </c>
      <c r="L24" s="330"/>
      <c r="M24" s="7"/>
    </row>
    <row r="25" spans="1:14" ht="5.0999999999999996" customHeight="1" x14ac:dyDescent="0.25">
      <c r="A25" s="16"/>
      <c r="B25" s="7"/>
      <c r="C25" s="7"/>
      <c r="D25" s="7"/>
      <c r="E25" s="7"/>
      <c r="F25" s="7"/>
      <c r="G25" s="43"/>
      <c r="H25" s="46"/>
      <c r="I25" s="46"/>
      <c r="J25" s="240"/>
      <c r="K25" s="245"/>
      <c r="L25" s="330"/>
      <c r="M25" s="7"/>
    </row>
    <row r="26" spans="1:14" ht="18" customHeight="1" x14ac:dyDescent="0.25">
      <c r="A26" s="7" t="s">
        <v>215</v>
      </c>
      <c r="B26" s="7"/>
      <c r="C26" s="7"/>
      <c r="D26" s="7"/>
      <c r="E26" s="7"/>
      <c r="F26" s="7"/>
      <c r="G26" s="43" t="s">
        <v>216</v>
      </c>
      <c r="H26" s="570"/>
      <c r="I26" s="571"/>
      <c r="J26" s="240"/>
      <c r="K26" s="251">
        <v>2</v>
      </c>
      <c r="L26" s="330"/>
      <c r="M26" s="7"/>
    </row>
    <row r="27" spans="1:14" ht="5.0999999999999996" customHeight="1" x14ac:dyDescent="0.25">
      <c r="A27" s="7"/>
      <c r="B27" s="7"/>
      <c r="C27" s="7"/>
      <c r="D27" s="7"/>
      <c r="E27" s="7"/>
      <c r="F27" s="7"/>
      <c r="G27" s="43"/>
      <c r="H27" s="325"/>
      <c r="I27" s="325"/>
      <c r="J27" s="240"/>
      <c r="K27" s="245"/>
      <c r="L27" s="330"/>
      <c r="M27" s="7"/>
    </row>
    <row r="28" spans="1:14" ht="15" customHeight="1" x14ac:dyDescent="0.25">
      <c r="A28" s="7" t="s">
        <v>217</v>
      </c>
      <c r="B28" s="7"/>
      <c r="C28" s="7"/>
      <c r="D28" s="7"/>
      <c r="E28" s="7"/>
      <c r="F28" s="7"/>
      <c r="G28" s="43" t="s">
        <v>218</v>
      </c>
      <c r="H28" s="580"/>
      <c r="I28" s="581"/>
      <c r="J28" s="240"/>
      <c r="K28" s="245"/>
      <c r="L28" s="330" t="str">
        <f>IF(References!D5=3,"← ERROR! Select a Line Type from the pull-down menu.",
IF(AND(References!$D$5=1,References!$F$5=5),"← WARNING! Commercial Auto Liability and Physical Damage must be combined",
IF(AND(References!$D$5=2,References!$F$5=5,K39=1),"WARNING! Indicate whether CIC §1861.16(c) applies in cell D39.","")))</f>
        <v>WARNING! Indicate whether CIC §1861.16(c) applies in cell D39.</v>
      </c>
      <c r="M28" s="7"/>
    </row>
    <row r="29" spans="1:14" ht="5.0999999999999996" customHeight="1" x14ac:dyDescent="0.25">
      <c r="A29" s="7"/>
      <c r="B29" s="7"/>
      <c r="C29" s="7"/>
      <c r="D29" s="7"/>
      <c r="E29" s="7"/>
      <c r="F29" s="7"/>
      <c r="G29" s="43"/>
      <c r="H29" s="64"/>
      <c r="I29" s="64"/>
      <c r="J29" s="240"/>
      <c r="K29" s="245"/>
      <c r="L29" s="330"/>
      <c r="M29" s="7"/>
    </row>
    <row r="30" spans="1:14" ht="18" customHeight="1" x14ac:dyDescent="0.25">
      <c r="A30" s="7" t="s">
        <v>219</v>
      </c>
      <c r="B30" s="7"/>
      <c r="C30" s="7"/>
      <c r="D30" s="7"/>
      <c r="E30" s="7"/>
      <c r="F30" s="7"/>
      <c r="G30" s="43" t="s">
        <v>220</v>
      </c>
      <c r="H30" s="46"/>
      <c r="I30" s="46"/>
      <c r="J30" s="240"/>
      <c r="K30" s="245"/>
      <c r="L30" s="395" t="str">
        <f>IF(INDEX(List_GeneralLine,References!$F$5,1)="","← ERROR! Select a General Line from the pull-down menu.",
IF(AND(References!$D$5=1,References!$F$5=4),"in one application, with separate Rate Calculation pages in the Prior Approval Rate",""))</f>
        <v/>
      </c>
      <c r="M30" s="351" t="b">
        <f>IF(K24=1,TRUE,FALSE)</f>
        <v>0</v>
      </c>
      <c r="N30" s="350" t="b">
        <f>IF(K24=2,TRUE,FALSE)</f>
        <v>1</v>
      </c>
    </row>
    <row r="31" spans="1:14" ht="5.0999999999999996" customHeight="1" x14ac:dyDescent="0.25">
      <c r="A31" s="7"/>
      <c r="B31" s="7"/>
      <c r="C31" s="7"/>
      <c r="D31" s="7"/>
      <c r="E31" s="7"/>
      <c r="F31" s="7"/>
      <c r="G31" s="43"/>
      <c r="H31" s="64"/>
      <c r="I31" s="64"/>
      <c r="J31" s="240"/>
      <c r="K31" s="245"/>
      <c r="L31" s="330"/>
      <c r="M31" s="351"/>
      <c r="N31" s="350"/>
    </row>
    <row r="32" spans="1:14" ht="18" customHeight="1" x14ac:dyDescent="0.25">
      <c r="A32" s="7" t="s">
        <v>221</v>
      </c>
      <c r="B32" s="559"/>
      <c r="C32" s="560"/>
      <c r="D32" s="560"/>
      <c r="E32" s="561"/>
      <c r="F32" s="7"/>
      <c r="G32" s="43" t="s">
        <v>222</v>
      </c>
      <c r="H32" s="570"/>
      <c r="I32" s="571"/>
      <c r="J32" s="240"/>
      <c r="K32" s="245"/>
      <c r="L32" s="330" t="str">
        <f>IF(AND(References!$D$5=1,References!$F$5=4),"Template for liability and physical damage coverages.","")</f>
        <v/>
      </c>
      <c r="M32" s="351"/>
      <c r="N32" s="350"/>
    </row>
    <row r="33" spans="1:14" ht="5.0999999999999996" customHeight="1" x14ac:dyDescent="0.25">
      <c r="A33" s="7"/>
      <c r="B33" s="7"/>
      <c r="C33" s="7"/>
      <c r="D33" s="7"/>
      <c r="E33" s="7"/>
      <c r="F33" s="7"/>
      <c r="G33" s="43"/>
      <c r="H33" s="64"/>
      <c r="I33" s="64"/>
      <c r="J33" s="240"/>
      <c r="K33" s="245"/>
      <c r="L33" s="330"/>
      <c r="M33" s="351"/>
      <c r="N33" s="350"/>
    </row>
    <row r="34" spans="1:14" ht="18" customHeight="1" x14ac:dyDescent="0.25">
      <c r="A34" s="7" t="s">
        <v>223</v>
      </c>
      <c r="B34" s="559" t="s">
        <v>550</v>
      </c>
      <c r="C34" s="560"/>
      <c r="D34" s="560"/>
      <c r="E34" s="561"/>
      <c r="F34" s="7"/>
      <c r="G34" s="43" t="s">
        <v>224</v>
      </c>
      <c r="H34" s="46"/>
      <c r="I34" s="46"/>
      <c r="J34" s="241"/>
      <c r="K34" s="247"/>
      <c r="L34" s="330"/>
      <c r="M34" s="351" t="b">
        <f>IF(FilingType_Rate=TRUE,TRUE,FALSE)</f>
        <v>0</v>
      </c>
      <c r="N34" s="350" t="b">
        <f>IF(FilingType_Rule=TRUE,TRUE,FALSE)</f>
        <v>0</v>
      </c>
    </row>
    <row r="35" spans="1:14" ht="5.0999999999999996" customHeight="1" x14ac:dyDescent="0.25">
      <c r="A35" s="7"/>
      <c r="B35" s="22"/>
      <c r="C35" s="22"/>
      <c r="D35" s="22"/>
      <c r="E35" s="22"/>
      <c r="F35" s="7"/>
      <c r="G35" s="43"/>
      <c r="H35" s="46"/>
      <c r="I35" s="46"/>
      <c r="J35" s="240"/>
      <c r="K35" s="245"/>
      <c r="L35" s="330"/>
      <c r="M35" s="351"/>
      <c r="N35" s="350"/>
    </row>
    <row r="36" spans="1:14" ht="18" customHeight="1" x14ac:dyDescent="0.25">
      <c r="A36" s="7" t="s">
        <v>225</v>
      </c>
      <c r="F36" s="7"/>
      <c r="G36" s="45"/>
      <c r="H36" s="46"/>
      <c r="I36" s="46"/>
      <c r="J36" s="240"/>
      <c r="K36" s="245"/>
      <c r="L36" s="339"/>
      <c r="M36" s="351" t="b">
        <f>IF(FilingType_Form=TRUE,TRUE,FALSE)</f>
        <v>1</v>
      </c>
      <c r="N36" s="350" t="b">
        <f>IF(K14=1,TRUE,FALSE)</f>
        <v>0</v>
      </c>
    </row>
    <row r="37" spans="1:14" ht="18" customHeight="1" x14ac:dyDescent="0.25">
      <c r="A37" s="23" t="s">
        <v>226</v>
      </c>
      <c r="B37" s="7"/>
      <c r="C37" s="577" t="s">
        <v>558</v>
      </c>
      <c r="D37" s="578"/>
      <c r="E37" s="7"/>
      <c r="F37" s="7"/>
      <c r="G37" s="43"/>
      <c r="H37" s="46"/>
      <c r="I37" s="46"/>
      <c r="J37" s="240"/>
      <c r="K37" s="245"/>
      <c r="L37" s="339" t="str">
        <f>IF(AND(LEN(TRIM(C37))=0,FilingType_NewProgram=FALSE),"← WARNING! If this filing is not a new program, provide the most recent applicable","")</f>
        <v/>
      </c>
      <c r="M37" s="351" t="b">
        <f>IF(FilingType_NewProgram=TRUE,TRUE,FALSE)</f>
        <v>0</v>
      </c>
      <c r="N37" s="350"/>
    </row>
    <row r="38" spans="1:14" ht="4.5" customHeight="1" x14ac:dyDescent="0.25">
      <c r="A38" s="23"/>
      <c r="B38" s="7"/>
      <c r="C38" s="556"/>
      <c r="D38" s="556"/>
      <c r="E38" s="7"/>
      <c r="F38" s="7"/>
      <c r="G38" s="43"/>
      <c r="H38" s="46"/>
      <c r="I38" s="46"/>
      <c r="J38" s="240"/>
      <c r="K38" s="245"/>
      <c r="L38" s="339"/>
      <c r="M38" s="351" t="b">
        <f>IF(FilingType_TransferredProgram=TRUE,TRUE,FALSE)</f>
        <v>0</v>
      </c>
      <c r="N38" s="350"/>
    </row>
    <row r="39" spans="1:14" ht="17.25" customHeight="1" x14ac:dyDescent="0.25">
      <c r="A39" s="7" t="str">
        <f>IF(AND(References!D5=2,References!F5=5),"Does CIC §1861.16(c) apply (Super Group)?","")</f>
        <v>Does CIC §1861.16(c) apply (Super Group)?</v>
      </c>
      <c r="B39" s="7"/>
      <c r="C39" s="7"/>
      <c r="D39" s="7"/>
      <c r="E39" s="7"/>
      <c r="F39" s="7"/>
      <c r="G39" s="43"/>
      <c r="H39" s="46"/>
      <c r="I39" s="46"/>
      <c r="J39" s="240"/>
      <c r="K39" s="251">
        <v>1</v>
      </c>
      <c r="L39" s="339" t="str">
        <f>IF(AND(LEN(TRIM(C37))=0,FilingType_NewProgram=FALSE),"CDI File # in this line, subline, and/or program. If there is not an applicable CDI file #,","")</f>
        <v/>
      </c>
      <c r="M39" s="7"/>
    </row>
    <row r="40" spans="1:14" ht="4.5" customHeight="1" x14ac:dyDescent="0.25">
      <c r="A40" s="7"/>
      <c r="B40" s="7"/>
      <c r="C40" s="7"/>
      <c r="D40" s="15"/>
      <c r="E40" s="7"/>
      <c r="F40" s="7"/>
      <c r="G40" s="43"/>
      <c r="H40" s="567"/>
      <c r="I40" s="567"/>
      <c r="J40" s="240"/>
      <c r="K40" s="251"/>
      <c r="L40" s="339"/>
      <c r="M40" s="7"/>
    </row>
    <row r="41" spans="1:14" ht="15.75" customHeight="1" x14ac:dyDescent="0.25">
      <c r="A41" s="7" t="s">
        <v>227</v>
      </c>
      <c r="B41" s="7"/>
      <c r="C41" s="7"/>
      <c r="D41" s="7"/>
      <c r="E41" s="7"/>
      <c r="F41" s="7"/>
      <c r="G41" s="43" t="s">
        <v>228</v>
      </c>
      <c r="H41" s="576"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76"/>
      <c r="J41" s="241"/>
      <c r="K41" s="247"/>
      <c r="L41" s="339" t="str">
        <f>IF(AND(LEN(TRIM(C37))=0,FilingType_NewProgram=FALSE),"explain why in your filing memorandum. If this filing is a new program, indicate this","")</f>
        <v/>
      </c>
      <c r="M41" s="7"/>
    </row>
    <row r="42" spans="1:14" ht="1.5" customHeight="1" x14ac:dyDescent="0.25">
      <c r="A42" s="7"/>
      <c r="B42" s="7"/>
      <c r="C42" s="7"/>
      <c r="D42" s="7"/>
      <c r="E42" s="7"/>
      <c r="F42" s="7"/>
      <c r="G42" s="43"/>
      <c r="H42" s="557"/>
      <c r="I42" s="557"/>
      <c r="J42" s="241"/>
      <c r="K42" s="248"/>
      <c r="L42" s="339"/>
      <c r="M42" s="7"/>
    </row>
    <row r="43" spans="1:14" ht="18" customHeight="1" x14ac:dyDescent="0.25">
      <c r="A43" s="12" t="s">
        <v>229</v>
      </c>
      <c r="B43" s="7"/>
      <c r="C43" s="7"/>
      <c r="D43" s="7"/>
      <c r="E43" s="7"/>
      <c r="F43" s="393"/>
      <c r="G43" s="392"/>
      <c r="H43" s="567"/>
      <c r="I43" s="568"/>
      <c r="J43" s="240"/>
      <c r="K43" s="446"/>
      <c r="L43" s="337" t="str">
        <f>IF(AND(LEN(TRIM(C37))=0,FilingType_NewProgram=FALSE),"in '3.Filing Type and Checklist'.","")</f>
        <v/>
      </c>
      <c r="M43" s="7"/>
    </row>
    <row r="44" spans="1:14" ht="4.5" customHeight="1" thickBot="1" x14ac:dyDescent="0.3">
      <c r="A44" s="7"/>
      <c r="B44" s="7"/>
      <c r="C44" s="7"/>
      <c r="D44" s="7"/>
      <c r="E44" s="7"/>
      <c r="F44" s="393"/>
      <c r="G44" s="389"/>
      <c r="H44" s="390"/>
      <c r="I44" s="390"/>
      <c r="J44" s="391"/>
      <c r="K44" s="248"/>
      <c r="L44" s="339"/>
      <c r="M44" s="7"/>
    </row>
    <row r="45" spans="1:14" ht="18" customHeight="1" x14ac:dyDescent="0.25">
      <c r="A45" s="7" t="s">
        <v>230</v>
      </c>
      <c r="B45" s="559" t="s">
        <v>529</v>
      </c>
      <c r="C45" s="560"/>
      <c r="D45" s="560"/>
      <c r="E45" s="561"/>
      <c r="F45" s="7"/>
      <c r="G45" s="388"/>
      <c r="H45" s="388"/>
      <c r="I45" s="388"/>
      <c r="J45" s="388"/>
      <c r="K45" s="388"/>
      <c r="L45" s="337"/>
      <c r="M45" s="7"/>
    </row>
    <row r="46" spans="1:14" ht="18" customHeight="1" x14ac:dyDescent="0.25">
      <c r="A46" s="7" t="s">
        <v>231</v>
      </c>
      <c r="B46" s="559" t="s">
        <v>530</v>
      </c>
      <c r="C46" s="560"/>
      <c r="D46" s="560"/>
      <c r="E46" s="561"/>
      <c r="F46" s="7"/>
      <c r="G46" s="17"/>
      <c r="H46" s="17"/>
      <c r="I46" s="17"/>
      <c r="J46" s="17"/>
      <c r="K46" s="248"/>
      <c r="L46" s="337"/>
      <c r="M46" s="7"/>
    </row>
    <row r="47" spans="1:14" ht="4.5" customHeight="1" x14ac:dyDescent="0.25">
      <c r="A47" s="7"/>
      <c r="F47" s="7"/>
      <c r="G47" s="17"/>
      <c r="H47" s="17"/>
      <c r="I47" s="17"/>
      <c r="J47" s="17"/>
      <c r="K47" s="17"/>
      <c r="L47" s="550"/>
      <c r="M47" s="7"/>
    </row>
    <row r="48" spans="1:14" ht="18" customHeight="1" x14ac:dyDescent="0.25">
      <c r="A48" s="7" t="s">
        <v>232</v>
      </c>
      <c r="B48" s="340">
        <v>25178</v>
      </c>
      <c r="C48" s="558"/>
      <c r="D48" s="558"/>
      <c r="E48" s="558"/>
      <c r="F48" s="14"/>
      <c r="G48" s="17"/>
      <c r="H48" s="17"/>
      <c r="I48" s="17"/>
      <c r="J48" s="17"/>
      <c r="K48" s="17"/>
      <c r="L48" s="337"/>
      <c r="M48" s="7"/>
    </row>
    <row r="49" spans="1:13" ht="18.75" customHeight="1" x14ac:dyDescent="0.25">
      <c r="A49" s="7" t="s">
        <v>233</v>
      </c>
      <c r="B49" s="340">
        <v>176</v>
      </c>
      <c r="C49" s="7"/>
      <c r="D49" s="7"/>
      <c r="E49" s="7"/>
      <c r="F49" s="7"/>
      <c r="G49" s="17"/>
      <c r="H49" s="17"/>
      <c r="I49" s="17"/>
      <c r="J49" s="17"/>
      <c r="K49" s="17"/>
      <c r="L49" s="337"/>
      <c r="M49" s="7"/>
    </row>
    <row r="50" spans="1:13" ht="4.5" customHeight="1" x14ac:dyDescent="0.25">
      <c r="F50" s="7"/>
      <c r="G50" s="17"/>
      <c r="H50" s="17"/>
      <c r="I50" s="17"/>
      <c r="J50" s="17"/>
      <c r="K50" s="17"/>
      <c r="L50" s="337"/>
      <c r="M50" s="7"/>
    </row>
    <row r="51" spans="1:13" ht="18" customHeight="1" x14ac:dyDescent="0.25">
      <c r="A51" s="7" t="s">
        <v>234</v>
      </c>
      <c r="B51" s="7"/>
      <c r="C51" s="562" t="s">
        <v>531</v>
      </c>
      <c r="D51" s="563"/>
      <c r="E51" s="564"/>
      <c r="F51" s="7"/>
      <c r="G51" s="14"/>
      <c r="H51" s="14"/>
      <c r="I51" s="14"/>
      <c r="J51" s="14"/>
      <c r="K51" s="14"/>
      <c r="L51" s="337"/>
      <c r="M51" s="7"/>
    </row>
    <row r="52" spans="1:13" ht="9.75" customHeight="1" x14ac:dyDescent="0.25">
      <c r="A52" s="7"/>
      <c r="B52" s="14"/>
      <c r="C52" s="7"/>
      <c r="D52" s="7"/>
      <c r="E52" s="7"/>
      <c r="F52" s="7"/>
      <c r="G52" s="14"/>
      <c r="H52" s="14"/>
      <c r="I52" s="14"/>
      <c r="J52" s="14"/>
      <c r="K52" s="14"/>
      <c r="L52" s="337"/>
      <c r="M52" s="7"/>
    </row>
    <row r="53" spans="1:13" ht="18" customHeight="1" x14ac:dyDescent="0.25">
      <c r="A53" s="7" t="s">
        <v>235</v>
      </c>
      <c r="B53" s="559" t="s">
        <v>552</v>
      </c>
      <c r="C53" s="560"/>
      <c r="D53" s="560"/>
      <c r="E53" s="560"/>
      <c r="F53" s="560"/>
      <c r="G53" s="560"/>
      <c r="H53" s="560"/>
      <c r="I53" s="560"/>
      <c r="J53" s="561"/>
      <c r="K53" s="7"/>
      <c r="L53" s="337"/>
      <c r="M53" s="7"/>
    </row>
    <row r="54" spans="1:13" ht="9.9499999999999993" customHeight="1" x14ac:dyDescent="0.25">
      <c r="A54" s="7"/>
      <c r="B54" s="7"/>
      <c r="C54" s="7"/>
      <c r="D54" s="7"/>
      <c r="E54" s="7"/>
      <c r="F54" s="7"/>
      <c r="G54" s="7"/>
      <c r="H54" s="7"/>
      <c r="I54" s="7"/>
      <c r="J54" s="7"/>
      <c r="K54" s="7"/>
      <c r="L54" s="337"/>
      <c r="M54" s="7"/>
    </row>
    <row r="55" spans="1:13" ht="18" customHeight="1" x14ac:dyDescent="0.25">
      <c r="A55" s="7" t="s">
        <v>236</v>
      </c>
      <c r="B55" s="559" t="s">
        <v>532</v>
      </c>
      <c r="C55" s="560"/>
      <c r="D55" s="560"/>
      <c r="E55" s="560"/>
      <c r="F55" s="560"/>
      <c r="G55" s="560"/>
      <c r="H55" s="560"/>
      <c r="I55" s="560"/>
      <c r="J55" s="561"/>
      <c r="K55" s="227"/>
      <c r="L55" s="337"/>
      <c r="M55" s="7"/>
    </row>
    <row r="56" spans="1:13" ht="9.9499999999999993" customHeight="1" x14ac:dyDescent="0.25">
      <c r="A56" s="7"/>
      <c r="B56" s="18"/>
      <c r="C56" s="18"/>
      <c r="D56" s="18"/>
      <c r="E56" s="18"/>
      <c r="F56" s="18"/>
      <c r="G56" s="18"/>
      <c r="H56" s="18"/>
      <c r="I56" s="18"/>
      <c r="J56" s="18"/>
      <c r="K56" s="18"/>
      <c r="L56" s="337"/>
      <c r="M56" s="7"/>
    </row>
    <row r="57" spans="1:13" ht="18" customHeight="1" x14ac:dyDescent="0.25">
      <c r="A57" s="7" t="s">
        <v>237</v>
      </c>
      <c r="B57" s="559" t="s">
        <v>533</v>
      </c>
      <c r="C57" s="560"/>
      <c r="D57" s="560"/>
      <c r="E57" s="561"/>
      <c r="F57" s="7" t="s">
        <v>238</v>
      </c>
      <c r="G57" s="559" t="s">
        <v>533</v>
      </c>
      <c r="H57" s="560"/>
      <c r="I57" s="560"/>
      <c r="J57" s="561"/>
      <c r="K57" s="227"/>
      <c r="L57" s="337"/>
      <c r="M57" s="7"/>
    </row>
    <row r="58" spans="1:13" ht="9.9499999999999993" customHeight="1" x14ac:dyDescent="0.25">
      <c r="A58" s="7"/>
      <c r="B58" s="7"/>
      <c r="C58" s="7"/>
      <c r="D58" s="7"/>
      <c r="E58" s="7"/>
      <c r="F58" s="7"/>
      <c r="G58" s="7"/>
      <c r="H58" s="7"/>
      <c r="I58" s="7"/>
      <c r="J58" s="7"/>
      <c r="K58" s="7"/>
      <c r="L58" s="337"/>
      <c r="M58" s="7"/>
    </row>
    <row r="59" spans="1:13" ht="18" customHeight="1" x14ac:dyDescent="0.25">
      <c r="A59" s="7" t="s">
        <v>239</v>
      </c>
      <c r="B59" s="559" t="s">
        <v>534</v>
      </c>
      <c r="C59" s="560"/>
      <c r="D59" s="560"/>
      <c r="E59" s="560"/>
      <c r="F59" s="560"/>
      <c r="G59" s="560"/>
      <c r="H59" s="560"/>
      <c r="I59" s="560"/>
      <c r="J59" s="561"/>
      <c r="K59" s="227"/>
      <c r="L59" s="337"/>
      <c r="M59" s="7"/>
    </row>
    <row r="60" spans="1:13" ht="9.9499999999999993" customHeight="1" x14ac:dyDescent="0.25">
      <c r="A60" s="7"/>
      <c r="B60" s="7"/>
      <c r="C60" s="7"/>
      <c r="D60" s="7"/>
      <c r="E60" s="7"/>
      <c r="F60" s="7"/>
      <c r="G60" s="7"/>
      <c r="H60" s="7"/>
      <c r="I60" s="7"/>
      <c r="J60" s="7"/>
      <c r="K60" s="7"/>
      <c r="L60" s="337"/>
      <c r="M60" s="7"/>
    </row>
    <row r="61" spans="1:13" ht="18" customHeight="1" x14ac:dyDescent="0.25">
      <c r="A61" s="7" t="s">
        <v>240</v>
      </c>
      <c r="B61" s="559" t="s">
        <v>535</v>
      </c>
      <c r="C61" s="560"/>
      <c r="D61" s="560"/>
      <c r="E61" s="560"/>
      <c r="F61" s="560"/>
      <c r="G61" s="560"/>
      <c r="H61" s="560"/>
      <c r="I61" s="560"/>
      <c r="J61" s="561"/>
      <c r="K61" s="227"/>
      <c r="L61" s="337"/>
      <c r="M61" s="7"/>
    </row>
    <row r="62" spans="1:13" ht="9.9499999999999993" customHeight="1" x14ac:dyDescent="0.25">
      <c r="A62" s="7"/>
      <c r="B62" s="7"/>
      <c r="C62" s="7"/>
      <c r="D62" s="7"/>
      <c r="E62" s="7"/>
      <c r="F62" s="7"/>
      <c r="G62" s="7"/>
      <c r="H62" s="7"/>
      <c r="I62" s="7"/>
      <c r="J62" s="7"/>
      <c r="K62" s="7"/>
      <c r="L62" s="337"/>
      <c r="M62" s="7"/>
    </row>
    <row r="63" spans="1:13" ht="9.75" customHeight="1" x14ac:dyDescent="0.25">
      <c r="K63" s="227"/>
      <c r="L63" s="337"/>
      <c r="M63" s="7"/>
    </row>
    <row r="64" spans="1:13" ht="9.9499999999999993" customHeight="1" x14ac:dyDescent="0.25">
      <c r="A64" s="7"/>
      <c r="B64" s="7"/>
      <c r="C64" s="7"/>
      <c r="D64" s="7"/>
      <c r="E64" s="7"/>
      <c r="F64" s="7"/>
      <c r="G64" s="7"/>
      <c r="H64" s="7"/>
      <c r="I64" s="7"/>
      <c r="J64" s="7"/>
      <c r="K64" s="7"/>
      <c r="L64" s="337"/>
      <c r="M64" s="7"/>
    </row>
    <row r="65" spans="1:16" ht="9.9499999999999993" customHeight="1" x14ac:dyDescent="0.25">
      <c r="A65" s="7"/>
      <c r="B65" s="7"/>
      <c r="C65" s="7"/>
      <c r="D65" s="7"/>
      <c r="E65" s="7"/>
      <c r="F65" s="7"/>
      <c r="G65" s="7"/>
      <c r="H65" s="7"/>
      <c r="I65" s="7"/>
      <c r="J65" s="7"/>
      <c r="K65" s="7"/>
      <c r="L65" s="337"/>
      <c r="M65" s="7"/>
    </row>
    <row r="66" spans="1:16" ht="9.9499999999999993" customHeight="1" x14ac:dyDescent="0.25">
      <c r="A66" s="322"/>
      <c r="B66" s="6"/>
      <c r="C66" s="6"/>
      <c r="D66" s="6"/>
      <c r="E66" s="6"/>
      <c r="F66" s="6"/>
      <c r="G66" s="6"/>
      <c r="H66" s="6"/>
      <c r="I66" s="6"/>
      <c r="J66" s="6"/>
      <c r="K66" s="6"/>
      <c r="L66" s="337"/>
      <c r="M66" s="7"/>
    </row>
    <row r="67" spans="1:16" ht="9.9499999999999993" customHeight="1" x14ac:dyDescent="0.25">
      <c r="A67" s="322"/>
      <c r="B67" s="7"/>
      <c r="C67" s="7"/>
      <c r="D67" s="7"/>
      <c r="E67" s="7"/>
      <c r="F67" s="7"/>
      <c r="G67" s="7"/>
      <c r="H67" s="7"/>
      <c r="I67" s="7"/>
      <c r="J67" s="7"/>
      <c r="K67" s="7"/>
      <c r="L67" s="337"/>
      <c r="M67" s="7"/>
    </row>
    <row r="68" spans="1:16" ht="9.9499999999999993" customHeight="1" x14ac:dyDescent="0.25">
      <c r="A68" s="322"/>
      <c r="B68" s="7"/>
      <c r="C68" s="7"/>
      <c r="D68" s="7"/>
      <c r="E68" s="7"/>
      <c r="F68" s="7"/>
      <c r="G68" s="7"/>
      <c r="H68" s="7"/>
      <c r="I68" s="7"/>
      <c r="J68" s="7"/>
      <c r="K68" s="7"/>
      <c r="L68" s="337"/>
      <c r="M68" s="7"/>
    </row>
    <row r="69" spans="1:16" ht="9.9499999999999993" customHeight="1" x14ac:dyDescent="0.25">
      <c r="A69" s="566"/>
      <c r="B69" s="566"/>
      <c r="C69" s="14"/>
      <c r="D69" s="569"/>
      <c r="E69" s="569"/>
      <c r="F69" s="569"/>
      <c r="G69" s="17"/>
      <c r="H69" s="565"/>
      <c r="I69" s="565"/>
      <c r="J69" s="565"/>
      <c r="K69" s="228"/>
      <c r="L69" s="337"/>
      <c r="M69" s="7"/>
    </row>
    <row r="70" spans="1:16" ht="18.75" customHeight="1" x14ac:dyDescent="0.3">
      <c r="A70" s="31" t="s">
        <v>241</v>
      </c>
      <c r="B70" s="21"/>
      <c r="C70" s="21"/>
      <c r="D70" s="21"/>
      <c r="E70" s="21"/>
      <c r="F70" s="21"/>
      <c r="G70" s="21"/>
      <c r="H70" s="21"/>
      <c r="I70" s="21"/>
      <c r="J70" s="21"/>
      <c r="K70" s="19"/>
      <c r="L70" s="337"/>
      <c r="M70" s="7"/>
    </row>
    <row r="71" spans="1:16" ht="24" customHeight="1" thickBot="1" x14ac:dyDescent="0.35">
      <c r="A71" s="32" t="s">
        <v>180</v>
      </c>
      <c r="B71" s="21"/>
      <c r="C71" s="21"/>
      <c r="D71" s="21"/>
      <c r="E71" s="21"/>
      <c r="F71" s="21"/>
      <c r="G71" s="21"/>
      <c r="H71" s="21"/>
      <c r="I71" s="21"/>
      <c r="J71" s="21"/>
      <c r="K71" s="7"/>
      <c r="L71" s="555"/>
      <c r="M71" s="7"/>
    </row>
    <row r="72" spans="1:16" ht="19.5" hidden="1" thickBot="1" x14ac:dyDescent="0.35">
      <c r="K72" s="552"/>
      <c r="L72" s="554"/>
    </row>
    <row r="73" spans="1:16" ht="18.75" x14ac:dyDescent="0.3">
      <c r="K73" s="552"/>
      <c r="L73" s="553"/>
    </row>
    <row r="74" spans="1:16" ht="4.5" hidden="1" customHeight="1" thickBot="1" x14ac:dyDescent="0.3">
      <c r="K74" s="17"/>
      <c r="L74" s="553"/>
    </row>
    <row r="75" spans="1:16" x14ac:dyDescent="0.25">
      <c r="K75" s="17"/>
      <c r="L75" s="553"/>
    </row>
    <row r="76" spans="1:16" x14ac:dyDescent="0.25">
      <c r="P76" s="29"/>
    </row>
    <row r="77" spans="1:16" x14ac:dyDescent="0.25">
      <c r="P77" s="34"/>
    </row>
    <row r="78" spans="1:16" x14ac:dyDescent="0.25">
      <c r="P78" s="29"/>
    </row>
    <row r="79" spans="1:16" x14ac:dyDescent="0.25">
      <c r="P79" s="29"/>
    </row>
    <row r="80" spans="1:16" x14ac:dyDescent="0.25">
      <c r="P80" s="29"/>
    </row>
    <row r="81" spans="16:16" x14ac:dyDescent="0.25">
      <c r="P81" s="29"/>
    </row>
    <row r="82" spans="16:16" x14ac:dyDescent="0.25">
      <c r="P82" s="29"/>
    </row>
    <row r="83" spans="16:16" x14ac:dyDescent="0.25">
      <c r="P83" s="29"/>
    </row>
    <row r="84" spans="16:16" x14ac:dyDescent="0.25">
      <c r="P84" s="28"/>
    </row>
    <row r="85" spans="16:16" x14ac:dyDescent="0.25">
      <c r="P85" s="29"/>
    </row>
    <row r="86" spans="16:16" x14ac:dyDescent="0.25">
      <c r="P86"/>
    </row>
    <row r="87" spans="16:16" x14ac:dyDescent="0.25">
      <c r="P87" s="30"/>
    </row>
  </sheetData>
  <sheetProtection algorithmName="SHA-512" hashValue="tAB2T2Ehh4rDg7brXoZ2Ia7oFI7RhUYFnoti1I3eRoRWhzPHcHsRbRaY3mNjLyAxQaJOwWyZnZreiL0noUArjA==" saltValue="BpFryZxfF9FEuUJR2e4Xwg=="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1&amp;L1/3/2023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topLeftCell="A10" zoomScaleNormal="100" zoomScaleSheetLayoutView="100" workbookViewId="0">
      <selection activeCell="B13" sqref="B13"/>
    </sheetView>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0" t="s">
        <v>189</v>
      </c>
      <c r="C1" s="36" t="s">
        <v>190</v>
      </c>
      <c r="D1" s="8"/>
      <c r="E1" s="20"/>
      <c r="F1" s="35" t="str">
        <f>Co_Name</f>
        <v xml:space="preserve">State Farm Mutual Automobile Insurance Company </v>
      </c>
      <c r="G1" s="8"/>
      <c r="H1" s="8"/>
    </row>
    <row r="2" spans="1:9" x14ac:dyDescent="0.25">
      <c r="A2" s="20" t="s">
        <v>192</v>
      </c>
      <c r="C2" s="36" t="s">
        <v>193</v>
      </c>
      <c r="D2" s="8"/>
      <c r="E2" s="20"/>
      <c r="F2" s="35" t="str">
        <f>General_Line</f>
        <v>Auto Liability and Physical Damage</v>
      </c>
      <c r="G2" s="8"/>
      <c r="H2" s="8"/>
    </row>
    <row r="3" spans="1:9" ht="11.25" customHeight="1" x14ac:dyDescent="0.25">
      <c r="B3" s="165"/>
      <c r="G3" s="8"/>
    </row>
    <row r="4" spans="1:9" ht="23.25" x14ac:dyDescent="0.25">
      <c r="A4" s="5" t="s">
        <v>242</v>
      </c>
      <c r="B4" s="3"/>
      <c r="C4" s="3"/>
      <c r="D4" s="3"/>
      <c r="E4" s="3"/>
      <c r="F4" s="3"/>
      <c r="G4" s="8"/>
      <c r="H4" s="3"/>
      <c r="I4" s="3"/>
    </row>
    <row r="5" spans="1:9" ht="5.25" customHeight="1" x14ac:dyDescent="0.25">
      <c r="A5" s="2"/>
      <c r="B5" s="7"/>
      <c r="C5" s="7"/>
      <c r="D5" s="7"/>
      <c r="E5" s="7"/>
      <c r="F5" s="327"/>
      <c r="G5" s="8"/>
    </row>
    <row r="6" spans="1:9" ht="9.75" customHeight="1" x14ac:dyDescent="0.25">
      <c r="A6" s="2"/>
      <c r="B6" s="7"/>
      <c r="C6" s="7"/>
      <c r="D6" s="7"/>
      <c r="E6" s="7"/>
      <c r="F6" s="327">
        <v>1</v>
      </c>
      <c r="G6" s="8"/>
    </row>
    <row r="7" spans="1:9" ht="18" customHeight="1" x14ac:dyDescent="0.25">
      <c r="A7" t="s">
        <v>243</v>
      </c>
      <c r="B7" s="7"/>
      <c r="C7" s="7"/>
      <c r="D7" s="7"/>
      <c r="E7" s="7"/>
      <c r="F7" s="327"/>
      <c r="G7" s="8"/>
    </row>
    <row r="8" spans="1:9" ht="18" customHeight="1" x14ac:dyDescent="0.25">
      <c r="A8" s="2" t="s">
        <v>244</v>
      </c>
      <c r="B8" s="7"/>
      <c r="C8" s="7"/>
      <c r="D8" s="7"/>
      <c r="E8" s="7"/>
      <c r="F8" s="327"/>
      <c r="G8" s="8"/>
    </row>
    <row r="9" spans="1:9" ht="11.25" customHeight="1" x14ac:dyDescent="0.25">
      <c r="A9" s="2"/>
      <c r="B9" s="7"/>
      <c r="C9" s="7"/>
      <c r="D9" s="7"/>
      <c r="E9" s="7"/>
      <c r="F9" s="327"/>
      <c r="G9" s="8"/>
    </row>
    <row r="10" spans="1:9" ht="21" customHeight="1" x14ac:dyDescent="0.25">
      <c r="A10" s="25" t="s">
        <v>245</v>
      </c>
      <c r="G10" s="8"/>
    </row>
    <row r="11" spans="1:9" ht="9.9499999999999993" customHeight="1" x14ac:dyDescent="0.25">
      <c r="A11" s="27"/>
      <c r="B11" s="27"/>
      <c r="C11" s="27"/>
      <c r="D11" s="27"/>
      <c r="E11" s="27"/>
      <c r="F11" s="27"/>
      <c r="G11" s="8"/>
    </row>
    <row r="12" spans="1:9" ht="15" customHeight="1" x14ac:dyDescent="0.25">
      <c r="G12" s="8"/>
    </row>
    <row r="13" spans="1:9" ht="18" customHeight="1" x14ac:dyDescent="0.25">
      <c r="A13" s="1" t="s">
        <v>230</v>
      </c>
      <c r="B13" s="352" t="str">
        <f>IF(ISBLANK('1.General'!B45),"",'1.General'!B45)</f>
        <v xml:space="preserve">State Farm Mutual Automobile Insurance Company </v>
      </c>
      <c r="C13" s="37"/>
      <c r="E13" s="55" t="s">
        <v>246</v>
      </c>
      <c r="F13" s="263"/>
      <c r="G13" s="8"/>
    </row>
    <row r="14" spans="1:9" ht="18" customHeight="1" x14ac:dyDescent="0.25">
      <c r="E14" s="55"/>
      <c r="F14" s="55" t="s">
        <v>247</v>
      </c>
      <c r="G14" s="8"/>
    </row>
    <row r="15" spans="1:9" ht="18" customHeight="1" x14ac:dyDescent="0.25">
      <c r="A15" s="24" t="s">
        <v>232</v>
      </c>
      <c r="B15" s="353">
        <f>IF(ISBLANK('1.General'!B48),"",'1.General'!B48)</f>
        <v>25178</v>
      </c>
      <c r="C15" s="38"/>
      <c r="G15" s="8"/>
    </row>
    <row r="16" spans="1:9" ht="18" customHeight="1" x14ac:dyDescent="0.25">
      <c r="A16" s="348" t="str">
        <f>IF(B13="","","Proposed Rate Impact:")</f>
        <v>Proposed Rate Impact:</v>
      </c>
      <c r="B16" s="355"/>
      <c r="C16" s="358" t="str">
        <f>IF(B13="","","1")</f>
        <v>1</v>
      </c>
      <c r="G16" s="8"/>
    </row>
    <row r="17" spans="1:7" ht="9.9499999999999993" customHeight="1" x14ac:dyDescent="0.25">
      <c r="A17" s="27"/>
      <c r="B17" s="27"/>
      <c r="C17" s="27"/>
      <c r="D17" s="27"/>
      <c r="E17" s="27"/>
      <c r="F17" s="27"/>
      <c r="G17" s="8"/>
    </row>
    <row r="18" spans="1:7" x14ac:dyDescent="0.25">
      <c r="G18" s="8"/>
    </row>
    <row r="19" spans="1:7" x14ac:dyDescent="0.25">
      <c r="A19" s="1" t="s">
        <v>230</v>
      </c>
      <c r="B19" s="264"/>
      <c r="C19" s="37"/>
      <c r="E19" s="55" t="s">
        <v>246</v>
      </c>
      <c r="F19" s="263"/>
      <c r="G19" s="8"/>
    </row>
    <row r="20" spans="1:7" x14ac:dyDescent="0.25">
      <c r="E20" s="55"/>
      <c r="F20" s="55" t="s">
        <v>247</v>
      </c>
      <c r="G20" s="8"/>
    </row>
    <row r="21" spans="1:7" x14ac:dyDescent="0.25">
      <c r="A21" s="24" t="s">
        <v>232</v>
      </c>
      <c r="B21" s="264"/>
      <c r="C21" s="38"/>
      <c r="G21" s="8"/>
    </row>
    <row r="22" spans="1:7" ht="17.25" x14ac:dyDescent="0.25">
      <c r="A22" t="str">
        <f>IF(B19="","","Proposed Rate Impact:")</f>
        <v/>
      </c>
      <c r="B22" s="354"/>
      <c r="C22" s="359" t="str">
        <f>IF(B19="","","1")</f>
        <v/>
      </c>
      <c r="G22" s="8"/>
    </row>
    <row r="23" spans="1:7" ht="9.9499999999999993" customHeight="1" x14ac:dyDescent="0.25">
      <c r="A23" s="27"/>
      <c r="B23" s="27"/>
      <c r="C23" s="27"/>
      <c r="D23" s="27"/>
      <c r="E23" s="27"/>
      <c r="F23" s="27"/>
      <c r="G23" s="8"/>
    </row>
    <row r="24" spans="1:7" x14ac:dyDescent="0.25">
      <c r="G24" s="8"/>
    </row>
    <row r="25" spans="1:7" x14ac:dyDescent="0.25">
      <c r="A25" s="1" t="s">
        <v>230</v>
      </c>
      <c r="B25" s="264"/>
      <c r="C25" s="37"/>
      <c r="E25" s="55" t="s">
        <v>246</v>
      </c>
      <c r="F25" s="263"/>
      <c r="G25" s="8"/>
    </row>
    <row r="26" spans="1:7" x14ac:dyDescent="0.25">
      <c r="E26" s="55"/>
      <c r="F26" s="55" t="s">
        <v>247</v>
      </c>
      <c r="G26" s="8"/>
    </row>
    <row r="27" spans="1:7" x14ac:dyDescent="0.25">
      <c r="A27" s="24" t="s">
        <v>232</v>
      </c>
      <c r="B27" s="264"/>
      <c r="C27" s="38"/>
      <c r="G27" s="8"/>
    </row>
    <row r="28" spans="1:7" ht="17.25" x14ac:dyDescent="0.25">
      <c r="A28" t="str">
        <f>IF(B25="","","Proposed Rate Impact:")</f>
        <v/>
      </c>
      <c r="B28" s="354"/>
      <c r="C28" s="360" t="str">
        <f>IF(B25="","","1")</f>
        <v/>
      </c>
      <c r="G28" s="8"/>
    </row>
    <row r="29" spans="1:7" ht="9.9499999999999993" customHeight="1" x14ac:dyDescent="0.25">
      <c r="A29" s="27"/>
      <c r="B29" s="27"/>
      <c r="C29" s="27"/>
      <c r="D29" s="27"/>
      <c r="E29" s="27"/>
      <c r="F29" s="27"/>
      <c r="G29" s="8"/>
    </row>
    <row r="30" spans="1:7" x14ac:dyDescent="0.25">
      <c r="G30" s="8"/>
    </row>
    <row r="31" spans="1:7" x14ac:dyDescent="0.25">
      <c r="A31" s="1" t="s">
        <v>230</v>
      </c>
      <c r="B31" s="264"/>
      <c r="C31" s="37"/>
      <c r="E31" s="55" t="s">
        <v>246</v>
      </c>
      <c r="F31" s="263"/>
      <c r="G31" s="8"/>
    </row>
    <row r="32" spans="1:7" x14ac:dyDescent="0.25">
      <c r="E32" s="55"/>
      <c r="F32" s="55" t="s">
        <v>247</v>
      </c>
      <c r="G32" s="8"/>
    </row>
    <row r="33" spans="1:7" x14ac:dyDescent="0.25">
      <c r="A33" s="24" t="s">
        <v>232</v>
      </c>
      <c r="B33" s="264"/>
      <c r="C33" s="38"/>
      <c r="G33" s="8"/>
    </row>
    <row r="34" spans="1:7" ht="17.25" x14ac:dyDescent="0.25">
      <c r="A34" t="str">
        <f>IF(B31="","","Proposed Rate Impact:")</f>
        <v/>
      </c>
      <c r="B34" s="354"/>
      <c r="C34" s="360" t="str">
        <f>IF(B31="","","1")</f>
        <v/>
      </c>
      <c r="G34" s="8"/>
    </row>
    <row r="35" spans="1:7" ht="9.9499999999999993" customHeight="1" x14ac:dyDescent="0.25">
      <c r="A35" s="27"/>
      <c r="B35" s="27"/>
      <c r="C35" s="27"/>
      <c r="D35" s="27"/>
      <c r="E35" s="27"/>
      <c r="F35" s="27"/>
      <c r="G35" s="8"/>
    </row>
    <row r="36" spans="1:7" x14ac:dyDescent="0.25">
      <c r="G36" s="8"/>
    </row>
    <row r="37" spans="1:7" x14ac:dyDescent="0.25">
      <c r="A37" s="1" t="s">
        <v>230</v>
      </c>
      <c r="B37" s="264"/>
      <c r="C37" s="37"/>
      <c r="E37" s="55" t="s">
        <v>246</v>
      </c>
      <c r="F37" s="263"/>
      <c r="G37" s="8"/>
    </row>
    <row r="38" spans="1:7" x14ac:dyDescent="0.25">
      <c r="E38" s="55"/>
      <c r="F38" s="55" t="s">
        <v>247</v>
      </c>
      <c r="G38" s="8"/>
    </row>
    <row r="39" spans="1:7" x14ac:dyDescent="0.25">
      <c r="A39" s="24" t="s">
        <v>232</v>
      </c>
      <c r="B39" s="264"/>
      <c r="C39" s="38"/>
      <c r="G39" s="8"/>
    </row>
    <row r="40" spans="1:7" ht="17.25" x14ac:dyDescent="0.25">
      <c r="A40" t="str">
        <f>IF(B37="","","Proposed Rate Impact:")</f>
        <v/>
      </c>
      <c r="B40" s="354"/>
      <c r="C40" s="360" t="str">
        <f>IF(B37="","","1")</f>
        <v/>
      </c>
      <c r="G40" s="8"/>
    </row>
    <row r="41" spans="1:7" ht="9.9499999999999993" customHeight="1" x14ac:dyDescent="0.25">
      <c r="A41" s="27"/>
      <c r="B41" s="27"/>
      <c r="C41" s="27"/>
      <c r="D41" s="27"/>
      <c r="E41" s="27"/>
      <c r="F41" s="27"/>
      <c r="G41" s="8"/>
    </row>
    <row r="42" spans="1:7" ht="15" customHeight="1" x14ac:dyDescent="0.25">
      <c r="G42" s="8"/>
    </row>
    <row r="43" spans="1:7" ht="18" customHeight="1" x14ac:dyDescent="0.25">
      <c r="A43" s="1" t="s">
        <v>230</v>
      </c>
      <c r="B43" s="264"/>
      <c r="C43" s="37"/>
      <c r="E43" s="55" t="s">
        <v>246</v>
      </c>
      <c r="F43" s="263"/>
      <c r="G43" s="8"/>
    </row>
    <row r="44" spans="1:7" ht="18" customHeight="1" x14ac:dyDescent="0.25">
      <c r="E44" s="55"/>
      <c r="F44" s="55" t="s">
        <v>247</v>
      </c>
      <c r="G44" s="8"/>
    </row>
    <row r="45" spans="1:7" ht="18" customHeight="1" x14ac:dyDescent="0.25">
      <c r="A45" s="24" t="s">
        <v>232</v>
      </c>
      <c r="B45" s="264"/>
      <c r="C45" s="38"/>
      <c r="G45" s="8"/>
    </row>
    <row r="46" spans="1:7" ht="18" customHeight="1" x14ac:dyDescent="0.25">
      <c r="A46" t="str">
        <f>IF(B43="","","Proposed Rate Impact:")</f>
        <v/>
      </c>
      <c r="B46" s="354"/>
      <c r="C46" s="360" t="str">
        <f>IF(B43="","","1")</f>
        <v/>
      </c>
      <c r="G46" s="8"/>
    </row>
    <row r="47" spans="1:7" ht="9.9499999999999993" customHeight="1" x14ac:dyDescent="0.25">
      <c r="A47" s="27"/>
      <c r="B47" s="27"/>
      <c r="C47" s="27"/>
      <c r="D47" s="27"/>
      <c r="E47" s="27"/>
      <c r="F47" s="27"/>
      <c r="G47" s="8"/>
    </row>
    <row r="48" spans="1:7" x14ac:dyDescent="0.25">
      <c r="G48" s="8"/>
    </row>
    <row r="49" spans="1:7" x14ac:dyDescent="0.25">
      <c r="A49" s="1" t="s">
        <v>230</v>
      </c>
      <c r="B49" s="264"/>
      <c r="C49" s="37"/>
      <c r="E49" s="55" t="s">
        <v>246</v>
      </c>
      <c r="F49" s="263"/>
      <c r="G49" s="8"/>
    </row>
    <row r="50" spans="1:7" x14ac:dyDescent="0.25">
      <c r="E50" s="55"/>
      <c r="F50" s="55" t="s">
        <v>247</v>
      </c>
      <c r="G50" s="8"/>
    </row>
    <row r="51" spans="1:7" x14ac:dyDescent="0.25">
      <c r="A51" s="24" t="s">
        <v>232</v>
      </c>
      <c r="B51" s="264"/>
      <c r="C51" s="38"/>
      <c r="G51" s="8"/>
    </row>
    <row r="52" spans="1:7" ht="17.25" x14ac:dyDescent="0.25">
      <c r="A52" t="str">
        <f>IF(B49="","","Proposed Rate Impact:")</f>
        <v/>
      </c>
      <c r="B52" s="354"/>
      <c r="C52" s="360" t="str">
        <f>IF(B49="","","1")</f>
        <v/>
      </c>
      <c r="G52" s="8"/>
    </row>
    <row r="53" spans="1:7" ht="9.9499999999999993" customHeight="1" x14ac:dyDescent="0.25">
      <c r="A53" s="27"/>
      <c r="B53" s="27"/>
      <c r="C53" s="27"/>
      <c r="D53" s="27"/>
      <c r="E53" s="27"/>
      <c r="F53" s="27"/>
      <c r="G53" s="8"/>
    </row>
    <row r="54" spans="1:7" x14ac:dyDescent="0.25">
      <c r="G54" s="8"/>
    </row>
    <row r="55" spans="1:7" x14ac:dyDescent="0.25">
      <c r="A55" s="1" t="s">
        <v>230</v>
      </c>
      <c r="B55" s="264"/>
      <c r="C55" s="37"/>
      <c r="E55" s="55" t="s">
        <v>246</v>
      </c>
      <c r="F55" s="263"/>
      <c r="G55" s="8"/>
    </row>
    <row r="56" spans="1:7" x14ac:dyDescent="0.25">
      <c r="E56" s="55"/>
      <c r="F56" s="55" t="s">
        <v>247</v>
      </c>
      <c r="G56" s="8"/>
    </row>
    <row r="57" spans="1:7" x14ac:dyDescent="0.25">
      <c r="A57" s="24" t="s">
        <v>232</v>
      </c>
      <c r="B57" s="264"/>
      <c r="C57" s="38"/>
      <c r="G57" s="8"/>
    </row>
    <row r="58" spans="1:7" ht="17.25" x14ac:dyDescent="0.25">
      <c r="A58" t="str">
        <f>IF(B55="","","Proposed Rate Impact:")</f>
        <v/>
      </c>
      <c r="B58" s="354"/>
      <c r="C58" s="360" t="str">
        <f>IF(B55="","","1")</f>
        <v/>
      </c>
      <c r="G58" s="8"/>
    </row>
    <row r="59" spans="1:7" ht="9.9499999999999993" customHeight="1" x14ac:dyDescent="0.25">
      <c r="A59" s="27"/>
      <c r="B59" s="27"/>
      <c r="C59" s="27"/>
      <c r="D59" s="27"/>
      <c r="E59" s="27"/>
      <c r="F59" s="27"/>
      <c r="G59" s="8"/>
    </row>
    <row r="60" spans="1:7" x14ac:dyDescent="0.25">
      <c r="G60" s="8"/>
    </row>
    <row r="61" spans="1:7" x14ac:dyDescent="0.25">
      <c r="A61" s="1" t="s">
        <v>230</v>
      </c>
      <c r="B61" s="264"/>
      <c r="C61" s="37"/>
      <c r="E61" s="55" t="s">
        <v>246</v>
      </c>
      <c r="F61" s="263"/>
      <c r="G61" s="8"/>
    </row>
    <row r="62" spans="1:7" x14ac:dyDescent="0.25">
      <c r="E62" s="55"/>
      <c r="F62" s="55" t="s">
        <v>247</v>
      </c>
      <c r="G62" s="8"/>
    </row>
    <row r="63" spans="1:7" ht="15" customHeight="1" x14ac:dyDescent="0.25">
      <c r="A63" s="24" t="s">
        <v>232</v>
      </c>
      <c r="B63" s="264"/>
      <c r="C63" s="38"/>
      <c r="G63" s="8"/>
    </row>
    <row r="64" spans="1:7" ht="17.25" x14ac:dyDescent="0.25">
      <c r="A64" t="str">
        <f>IF(B61="","","Proposed Rate Impact:")</f>
        <v/>
      </c>
      <c r="B64" s="354"/>
      <c r="C64" s="360" t="str">
        <f>IF(B61="","","1")</f>
        <v/>
      </c>
      <c r="G64" s="8"/>
    </row>
    <row r="65" spans="1:7" ht="9.9499999999999993" customHeight="1" x14ac:dyDescent="0.25">
      <c r="A65" s="27"/>
      <c r="B65" s="27"/>
      <c r="C65" s="27"/>
      <c r="D65" s="27"/>
      <c r="E65" s="27"/>
      <c r="F65" s="27"/>
      <c r="G65" s="8"/>
    </row>
    <row r="66" spans="1:7" x14ac:dyDescent="0.25">
      <c r="G66" s="8"/>
    </row>
    <row r="67" spans="1:7" x14ac:dyDescent="0.25">
      <c r="A67" s="1" t="s">
        <v>230</v>
      </c>
      <c r="B67" s="264"/>
      <c r="C67" s="37"/>
      <c r="E67" s="55" t="s">
        <v>246</v>
      </c>
      <c r="F67" s="263"/>
      <c r="G67" s="8"/>
    </row>
    <row r="68" spans="1:7" x14ac:dyDescent="0.25">
      <c r="E68" s="55"/>
      <c r="F68" s="55" t="s">
        <v>247</v>
      </c>
      <c r="G68" s="8"/>
    </row>
    <row r="69" spans="1:7" x14ac:dyDescent="0.25">
      <c r="A69" s="24" t="s">
        <v>232</v>
      </c>
      <c r="B69" s="264"/>
      <c r="C69" s="38"/>
      <c r="G69" s="8"/>
    </row>
    <row r="70" spans="1:7" ht="17.25" x14ac:dyDescent="0.25">
      <c r="A70" t="str">
        <f>IF(B67="","","Proposed Rate Impact:")</f>
        <v/>
      </c>
      <c r="B70" s="354"/>
      <c r="C70" s="360" t="str">
        <f>IF(B67="","","1")</f>
        <v/>
      </c>
      <c r="G70" s="8"/>
    </row>
    <row r="71" spans="1:7" ht="9.9499999999999993" customHeight="1" x14ac:dyDescent="0.25">
      <c r="A71" s="27"/>
      <c r="B71" s="27"/>
      <c r="C71" s="27"/>
      <c r="D71" s="27"/>
      <c r="E71" s="27"/>
      <c r="F71" s="27"/>
      <c r="G71" s="8"/>
    </row>
    <row r="72" spans="1:7" ht="15" hidden="1" customHeight="1" x14ac:dyDescent="0.25">
      <c r="G72" s="8"/>
    </row>
    <row r="73" spans="1:7" ht="15" hidden="1" customHeight="1" x14ac:dyDescent="0.25">
      <c r="A73" s="1" t="s">
        <v>230</v>
      </c>
      <c r="B73" s="264"/>
      <c r="C73" s="37"/>
      <c r="E73" s="55" t="s">
        <v>246</v>
      </c>
      <c r="F73" s="263"/>
      <c r="G73" s="8"/>
    </row>
    <row r="74" spans="1:7" ht="15" hidden="1" customHeight="1" x14ac:dyDescent="0.25">
      <c r="E74" s="55"/>
      <c r="F74" s="55" t="s">
        <v>247</v>
      </c>
      <c r="G74" s="8"/>
    </row>
    <row r="75" spans="1:7" ht="15" hidden="1" customHeight="1" x14ac:dyDescent="0.25">
      <c r="A75" s="24" t="s">
        <v>232</v>
      </c>
      <c r="B75" s="264"/>
      <c r="C75" s="38"/>
      <c r="G75" s="8"/>
    </row>
    <row r="76" spans="1:7" ht="18" hidden="1" customHeight="1" x14ac:dyDescent="0.25">
      <c r="A76" t="str">
        <f>IF(B73="","","Proposed Rate Impact:")</f>
        <v/>
      </c>
      <c r="B76" s="354"/>
      <c r="C76" s="360" t="str">
        <f>IF(B73="","","1")</f>
        <v/>
      </c>
      <c r="G76" s="8"/>
    </row>
    <row r="77" spans="1:7" ht="9.75" hidden="1" customHeight="1" x14ac:dyDescent="0.25">
      <c r="A77" s="27"/>
      <c r="B77" s="27"/>
      <c r="C77" s="27"/>
      <c r="D77" s="27"/>
      <c r="E77" s="27"/>
      <c r="F77" s="27"/>
      <c r="G77" s="8"/>
    </row>
    <row r="78" spans="1:7" ht="15" hidden="1" customHeight="1" x14ac:dyDescent="0.25">
      <c r="G78" s="8"/>
    </row>
    <row r="79" spans="1:7" ht="15" hidden="1" customHeight="1" x14ac:dyDescent="0.25">
      <c r="A79" s="1" t="s">
        <v>230</v>
      </c>
      <c r="B79" s="264"/>
      <c r="C79" s="37"/>
      <c r="E79" s="55" t="s">
        <v>246</v>
      </c>
      <c r="F79" s="263"/>
      <c r="G79" s="8"/>
    </row>
    <row r="80" spans="1:7" ht="15" hidden="1" customHeight="1" x14ac:dyDescent="0.25">
      <c r="E80" s="55"/>
      <c r="F80" s="55" t="s">
        <v>247</v>
      </c>
      <c r="G80" s="8"/>
    </row>
    <row r="81" spans="1:7" ht="15" hidden="1" customHeight="1" x14ac:dyDescent="0.25">
      <c r="A81" s="24" t="s">
        <v>232</v>
      </c>
      <c r="B81" s="264"/>
      <c r="C81" s="38"/>
      <c r="G81" s="8"/>
    </row>
    <row r="82" spans="1:7" ht="17.25" hidden="1" x14ac:dyDescent="0.25">
      <c r="A82" t="str">
        <f>IF(B79="","","Proposed Rate Impact:")</f>
        <v/>
      </c>
      <c r="B82" s="354"/>
      <c r="C82" s="360" t="str">
        <f>IF(B79="","","1")</f>
        <v/>
      </c>
      <c r="G82" s="8"/>
    </row>
    <row r="83" spans="1:7" ht="9.75" hidden="1" customHeight="1" x14ac:dyDescent="0.25">
      <c r="A83" s="27"/>
      <c r="B83" s="27"/>
      <c r="C83" s="27"/>
      <c r="D83" s="27"/>
      <c r="E83" s="27"/>
      <c r="F83" s="27"/>
      <c r="G83" s="8"/>
    </row>
    <row r="84" spans="1:7" ht="15" hidden="1" customHeight="1" x14ac:dyDescent="0.25">
      <c r="G84" s="8"/>
    </row>
    <row r="85" spans="1:7" ht="15" hidden="1" customHeight="1" x14ac:dyDescent="0.25">
      <c r="A85" s="1" t="s">
        <v>230</v>
      </c>
      <c r="B85" s="264"/>
      <c r="C85" s="37"/>
      <c r="E85" s="55" t="s">
        <v>246</v>
      </c>
      <c r="F85" s="263"/>
      <c r="G85" s="8"/>
    </row>
    <row r="86" spans="1:7" ht="15" hidden="1" customHeight="1" x14ac:dyDescent="0.25">
      <c r="E86" s="55"/>
      <c r="F86" s="55" t="s">
        <v>247</v>
      </c>
      <c r="G86" s="8"/>
    </row>
    <row r="87" spans="1:7" ht="15" hidden="1" customHeight="1" x14ac:dyDescent="0.25">
      <c r="A87" s="24" t="s">
        <v>232</v>
      </c>
      <c r="B87" s="264"/>
      <c r="C87" s="38"/>
      <c r="G87" s="8"/>
    </row>
    <row r="88" spans="1:7" ht="17.25" hidden="1" x14ac:dyDescent="0.25">
      <c r="A88" t="str">
        <f>IF(B85="","","Proposed Rate Impact:")</f>
        <v/>
      </c>
      <c r="B88" s="354"/>
      <c r="C88" s="360" t="str">
        <f>IF(B85="","","1")</f>
        <v/>
      </c>
      <c r="G88" s="8"/>
    </row>
    <row r="89" spans="1:7" ht="9.75" hidden="1" customHeight="1" x14ac:dyDescent="0.25">
      <c r="A89" s="27"/>
      <c r="B89" s="27"/>
      <c r="C89" s="27"/>
      <c r="D89" s="27"/>
      <c r="E89" s="27"/>
      <c r="F89" s="27"/>
      <c r="G89" s="8"/>
    </row>
    <row r="90" spans="1:7" ht="15" hidden="1" customHeight="1" x14ac:dyDescent="0.25">
      <c r="G90" s="8"/>
    </row>
    <row r="91" spans="1:7" ht="15" hidden="1" customHeight="1" x14ac:dyDescent="0.25">
      <c r="A91" s="1" t="s">
        <v>230</v>
      </c>
      <c r="B91" s="264"/>
      <c r="C91" s="37"/>
      <c r="E91" s="55" t="s">
        <v>246</v>
      </c>
      <c r="F91" s="263"/>
      <c r="G91" s="8"/>
    </row>
    <row r="92" spans="1:7" ht="15" hidden="1" customHeight="1" x14ac:dyDescent="0.25">
      <c r="E92" s="55"/>
      <c r="F92" s="55" t="s">
        <v>247</v>
      </c>
      <c r="G92" s="8"/>
    </row>
    <row r="93" spans="1:7" ht="15" hidden="1" customHeight="1" x14ac:dyDescent="0.25">
      <c r="A93" s="24" t="s">
        <v>232</v>
      </c>
      <c r="B93" s="264"/>
      <c r="C93" s="38"/>
      <c r="G93" s="8"/>
    </row>
    <row r="94" spans="1:7" ht="17.25" hidden="1" x14ac:dyDescent="0.25">
      <c r="A94" t="str">
        <f>IF(B91="","","Proposed Rate Impact:")</f>
        <v/>
      </c>
      <c r="B94" s="354"/>
      <c r="C94" s="360" t="str">
        <f>IF(B91="","","1")</f>
        <v/>
      </c>
      <c r="G94" s="8"/>
    </row>
    <row r="95" spans="1:7" ht="9.75" hidden="1" customHeight="1" x14ac:dyDescent="0.25">
      <c r="A95" s="27"/>
      <c r="B95" s="27"/>
      <c r="C95" s="27"/>
      <c r="D95" s="27"/>
      <c r="E95" s="27"/>
      <c r="F95" s="27"/>
      <c r="G95" s="8"/>
    </row>
    <row r="96" spans="1:7" ht="15" hidden="1" customHeight="1" x14ac:dyDescent="0.25">
      <c r="G96" s="8"/>
    </row>
    <row r="97" spans="1:7" ht="15" hidden="1" customHeight="1" x14ac:dyDescent="0.25">
      <c r="A97" s="1" t="s">
        <v>230</v>
      </c>
      <c r="B97" s="264"/>
      <c r="C97" s="37"/>
      <c r="E97" s="55" t="s">
        <v>246</v>
      </c>
      <c r="F97" s="263"/>
      <c r="G97" s="8"/>
    </row>
    <row r="98" spans="1:7" ht="15" hidden="1" customHeight="1" x14ac:dyDescent="0.25">
      <c r="E98" s="55"/>
      <c r="F98" s="55" t="s">
        <v>247</v>
      </c>
      <c r="G98" s="8"/>
    </row>
    <row r="99" spans="1:7" ht="15" hidden="1" customHeight="1" x14ac:dyDescent="0.25">
      <c r="A99" s="24" t="s">
        <v>232</v>
      </c>
      <c r="B99" s="264"/>
      <c r="C99" s="38"/>
      <c r="G99" s="8"/>
    </row>
    <row r="100" spans="1:7" ht="17.25" hidden="1" x14ac:dyDescent="0.25">
      <c r="A100" t="str">
        <f>IF(B97="","","Proposed Rate Impact:")</f>
        <v/>
      </c>
      <c r="B100" s="354"/>
      <c r="C100" s="360" t="str">
        <f>IF(B97="","","1")</f>
        <v/>
      </c>
      <c r="G100" s="8"/>
    </row>
    <row r="101" spans="1:7" ht="9.75" hidden="1" customHeight="1" x14ac:dyDescent="0.25">
      <c r="A101" s="361"/>
      <c r="B101" s="27"/>
      <c r="C101" s="27"/>
      <c r="D101" s="27"/>
      <c r="E101" s="27"/>
      <c r="F101" s="27"/>
      <c r="G101" s="8"/>
    </row>
    <row r="102" spans="1:7" ht="17.25" x14ac:dyDescent="0.25">
      <c r="A102" s="321" t="s">
        <v>248</v>
      </c>
    </row>
    <row r="103" spans="1:7" x14ac:dyDescent="0.25">
      <c r="A103" s="321" t="s">
        <v>249</v>
      </c>
    </row>
    <row r="105" spans="1:7" hidden="1" x14ac:dyDescent="0.25"/>
  </sheetData>
  <sheetProtection algorithmName="SHA-512" hashValue="BUQtoBrsDcMeMKipz2S42jGyaSUSMW8S1P459feu2mGSBlmDwGCgNYRLld8TWzrzmKHqG6XdScPseC8dJqQ7sg==" saltValue="VBAXnThgpaXTsfxLwE0pfg=="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2&amp;L1/3/2023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election activeCell="F54" sqref="F54"/>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338" customWidth="1"/>
  </cols>
  <sheetData>
    <row r="1" spans="1:8" ht="15.75" thickBot="1" x14ac:dyDescent="0.3">
      <c r="A1" s="20" t="s">
        <v>189</v>
      </c>
      <c r="B1" s="20"/>
      <c r="C1" s="8"/>
      <c r="D1" s="36" t="s">
        <v>190</v>
      </c>
      <c r="E1" s="36"/>
      <c r="F1" s="8"/>
      <c r="G1" s="35" t="str">
        <f>Co_Name</f>
        <v xml:space="preserve">State Farm Mutual Automobile Insurance Company </v>
      </c>
      <c r="H1" s="333" t="s">
        <v>250</v>
      </c>
    </row>
    <row r="2" spans="1:8" x14ac:dyDescent="0.25">
      <c r="A2" s="20" t="s">
        <v>192</v>
      </c>
      <c r="B2" s="20"/>
      <c r="C2" s="8"/>
      <c r="D2" s="36" t="s">
        <v>193</v>
      </c>
      <c r="E2" s="36"/>
      <c r="F2" s="8"/>
      <c r="G2" s="35" t="str">
        <f>General_Line</f>
        <v>Auto Liability and Physical Damage</v>
      </c>
      <c r="H2" s="434"/>
    </row>
    <row r="3" spans="1:8" ht="18" customHeight="1" x14ac:dyDescent="0.25">
      <c r="A3" s="8"/>
      <c r="B3" s="8"/>
      <c r="C3" s="166"/>
      <c r="D3" s="8"/>
      <c r="E3" s="8"/>
      <c r="F3" s="8"/>
      <c r="G3" s="8"/>
      <c r="H3" s="435"/>
    </row>
    <row r="4" spans="1:8" ht="23.25" x14ac:dyDescent="0.25">
      <c r="A4" s="5" t="s">
        <v>251</v>
      </c>
      <c r="B4" s="5"/>
      <c r="C4" s="178"/>
      <c r="D4" s="178"/>
      <c r="E4" s="178"/>
      <c r="F4" s="178"/>
      <c r="G4" s="178"/>
      <c r="H4" s="435" t="str">
        <f>IF(COUNTIF(E6:E12,"")&gt;=1,"",IF(COUNTIF(E6:E12,"Y")=0,"ERROR! You must select yes to at least one filing type.",""))</f>
        <v/>
      </c>
    </row>
    <row r="5" spans="1:8" ht="22.5" customHeight="1" x14ac:dyDescent="0.25">
      <c r="A5" s="383" t="s">
        <v>252</v>
      </c>
      <c r="B5" s="5"/>
      <c r="C5" s="178"/>
      <c r="D5" s="178"/>
      <c r="E5" s="178"/>
      <c r="F5" s="178"/>
      <c r="G5" s="178"/>
      <c r="H5" s="436"/>
    </row>
    <row r="6" spans="1:8" ht="21" customHeight="1" x14ac:dyDescent="0.25">
      <c r="A6" s="366" t="s">
        <v>253</v>
      </c>
      <c r="B6" s="366"/>
      <c r="C6" s="366"/>
      <c r="E6" s="197" t="s">
        <v>58</v>
      </c>
      <c r="G6" s="365"/>
      <c r="H6" s="436" t="str">
        <f>IF(E6="","← ERROR! Please select a response.",IF(E6="Y",IF(OR(E7="Y",E8="Y",E9="Y",E10="Y",E11="Y",E12="Y"),"← ERROR! A New Program Filing cannot be combined with a Rate, Rule, Form, or Transferred Program filing.",""),""))</f>
        <v/>
      </c>
    </row>
    <row r="7" spans="1:8" ht="21" customHeight="1" x14ac:dyDescent="0.25">
      <c r="A7" s="366" t="s">
        <v>254</v>
      </c>
      <c r="B7" s="366"/>
      <c r="C7" s="366"/>
      <c r="E7" s="197" t="s">
        <v>58</v>
      </c>
      <c r="G7" s="365"/>
      <c r="H7" s="436" t="str">
        <f>IF(E7="","← ERROR! Please select a response.",IF(E7="Y",IF(OR(E6="Y",E8="Y",E9="Y",E10="Y",E11="Y",E12="Y"),"← ERROR! A Transferred Program Filing cannot be combined with a Rate, Rule, Form or New Program filing.",""),""))</f>
        <v/>
      </c>
    </row>
    <row r="8" spans="1:8" ht="21" customHeight="1" x14ac:dyDescent="0.25">
      <c r="A8" s="366" t="s">
        <v>255</v>
      </c>
      <c r="B8" s="366"/>
      <c r="C8" s="366"/>
      <c r="E8" s="197" t="s">
        <v>58</v>
      </c>
      <c r="G8" s="365"/>
      <c r="H8" s="437" t="str">
        <f>IF(E8="","← ERROR! Please select a response.","")</f>
        <v/>
      </c>
    </row>
    <row r="9" spans="1:8" ht="21" customHeight="1" x14ac:dyDescent="0.25">
      <c r="A9" s="366" t="s">
        <v>256</v>
      </c>
      <c r="B9" s="366"/>
      <c r="C9" s="366"/>
      <c r="E9" s="197" t="s">
        <v>58</v>
      </c>
      <c r="G9" s="365"/>
      <c r="H9" s="437" t="str">
        <f>IF(E9="","← ERROR! Please select a response.","")</f>
        <v/>
      </c>
    </row>
    <row r="10" spans="1:8" ht="21" customHeight="1" x14ac:dyDescent="0.25">
      <c r="A10" s="366" t="s">
        <v>257</v>
      </c>
      <c r="B10" s="366"/>
      <c r="C10" s="366"/>
      <c r="E10" s="197" t="s">
        <v>58</v>
      </c>
      <c r="G10" s="365"/>
      <c r="H10" s="437" t="str">
        <f>IF(E10="","← ERROR! Please select a response.",IF(E10="Y",IF(E9="Y","","← ERROR! The response to question 3 indicates that this is not a Rule filing."),""))</f>
        <v/>
      </c>
    </row>
    <row r="11" spans="1:8" ht="21" customHeight="1" x14ac:dyDescent="0.25">
      <c r="A11" s="366" t="s">
        <v>258</v>
      </c>
      <c r="B11" s="366"/>
      <c r="C11" s="366"/>
      <c r="E11" s="197" t="s">
        <v>53</v>
      </c>
      <c r="G11" s="365"/>
      <c r="H11" s="437" t="str">
        <f>IF(E11="","← ERROR! Please select a response.","")</f>
        <v/>
      </c>
    </row>
    <row r="12" spans="1:8" ht="21" customHeight="1" x14ac:dyDescent="0.25">
      <c r="A12" s="366" t="s">
        <v>259</v>
      </c>
      <c r="B12" s="366"/>
      <c r="C12" s="366"/>
      <c r="E12" s="197" t="s">
        <v>58</v>
      </c>
      <c r="G12" s="365"/>
      <c r="H12" s="437" t="str">
        <f>IF(E12="","← ERROR! Please select a response.",IF(E12="Y",IF(E11="Y","","← ERROR! The response to question 4 indicates that this is not a Form filing."),""))</f>
        <v/>
      </c>
    </row>
    <row r="13" spans="1:8" ht="21" customHeight="1" x14ac:dyDescent="0.25">
      <c r="A13" s="370" t="s">
        <v>260</v>
      </c>
      <c r="B13" s="366"/>
      <c r="C13" s="366"/>
      <c r="E13" s="440" t="str">
        <f>IF('1.General'!$K$14=1,"Y","N")</f>
        <v>N</v>
      </c>
      <c r="G13" s="549"/>
      <c r="H13" s="438" t="str">
        <f>IF(E13="Y",IF(OR(E6="Y",E7="Y",E8="Y",E10="Y",E12="Y"),"","← ERROR! You cannot file for a variance unless this is a New Program filing, Transferred Program filing or a filing with rate impact."),"")</f>
        <v/>
      </c>
    </row>
    <row r="14" spans="1:8" ht="21" customHeight="1" x14ac:dyDescent="0.25">
      <c r="A14" s="179" t="s">
        <v>261</v>
      </c>
      <c r="B14" s="367"/>
      <c r="C14" s="363"/>
      <c r="D14" s="364"/>
      <c r="E14" s="364"/>
      <c r="F14" s="364"/>
      <c r="G14" s="549"/>
      <c r="H14" s="438"/>
    </row>
    <row r="15" spans="1:8" ht="21" customHeight="1" thickBot="1" x14ac:dyDescent="0.3">
      <c r="A15" s="375" t="s">
        <v>262</v>
      </c>
      <c r="B15" s="368"/>
      <c r="C15" s="363"/>
      <c r="D15" s="364"/>
      <c r="E15" s="364"/>
      <c r="F15" s="364"/>
      <c r="G15" s="549"/>
      <c r="H15" s="439"/>
    </row>
    <row r="16" spans="1:8" ht="23.25" x14ac:dyDescent="0.25">
      <c r="A16" s="5" t="s">
        <v>263</v>
      </c>
      <c r="B16" s="5"/>
      <c r="C16" s="178"/>
      <c r="D16" s="178"/>
      <c r="E16" s="178"/>
      <c r="F16" s="178"/>
      <c r="G16" s="178"/>
    </row>
    <row r="17" spans="1:7" x14ac:dyDescent="0.25">
      <c r="A17" s="369" t="s">
        <v>264</v>
      </c>
      <c r="B17" s="369"/>
      <c r="C17" s="363"/>
      <c r="D17" s="364"/>
      <c r="E17" s="364"/>
      <c r="F17" s="364"/>
      <c r="G17" s="365"/>
    </row>
    <row r="18" spans="1:7" x14ac:dyDescent="0.25">
      <c r="A18" s="387" t="str">
        <f>IF(COUNTIF(H2:H15,"")=14,"","WARNING: This is not a valid filing type. Refer to the Prior Approval Rate Filing Instructions.")</f>
        <v/>
      </c>
      <c r="B18" s="369"/>
      <c r="C18" s="363"/>
      <c r="D18" s="364"/>
      <c r="E18" s="364"/>
      <c r="F18" s="364"/>
      <c r="G18" s="365"/>
    </row>
    <row r="19" spans="1:7" x14ac:dyDescent="0.25">
      <c r="A19" s="162" t="s">
        <v>65</v>
      </c>
      <c r="B19" s="162" t="s">
        <v>66</v>
      </c>
      <c r="C19" s="162" t="s">
        <v>63</v>
      </c>
      <c r="D19" s="162"/>
      <c r="E19" s="364"/>
      <c r="F19" s="364"/>
      <c r="G19" s="365"/>
    </row>
    <row r="20" spans="1:7" ht="21" customHeight="1" x14ac:dyDescent="0.25">
      <c r="A20" s="376"/>
      <c r="B20" s="376"/>
      <c r="C20" s="366" t="s">
        <v>71</v>
      </c>
      <c r="D20" s="366"/>
      <c r="E20" s="366"/>
      <c r="F20" s="49"/>
      <c r="G20" s="49"/>
    </row>
    <row r="21" spans="1:7" ht="21" hidden="1" customHeight="1" x14ac:dyDescent="0.25">
      <c r="A21" s="376"/>
      <c r="B21" s="376"/>
      <c r="C21" s="366" t="s">
        <v>76</v>
      </c>
      <c r="D21" s="366"/>
      <c r="E21" s="366"/>
      <c r="F21" s="49"/>
      <c r="G21" s="49"/>
    </row>
    <row r="22" spans="1:7" ht="21" customHeight="1" x14ac:dyDescent="0.25">
      <c r="A22" s="376"/>
      <c r="B22" s="376"/>
      <c r="C22" s="366" t="s">
        <v>265</v>
      </c>
      <c r="D22" s="366"/>
      <c r="E22" s="366"/>
      <c r="F22" s="49"/>
      <c r="G22" s="49"/>
    </row>
    <row r="23" spans="1:7" ht="21" hidden="1" customHeight="1" x14ac:dyDescent="0.25">
      <c r="A23" s="376"/>
      <c r="B23" s="376"/>
      <c r="C23" s="366" t="s">
        <v>84</v>
      </c>
      <c r="D23" s="366"/>
      <c r="E23" s="366"/>
      <c r="F23" s="49"/>
      <c r="G23" s="49"/>
    </row>
    <row r="24" spans="1:7" ht="21" hidden="1" customHeight="1" x14ac:dyDescent="0.25">
      <c r="A24" s="376"/>
      <c r="B24" s="376"/>
      <c r="C24" s="366" t="s">
        <v>88</v>
      </c>
      <c r="D24" s="366"/>
      <c r="E24" s="366"/>
      <c r="F24" s="49"/>
      <c r="G24" s="49"/>
    </row>
    <row r="25" spans="1:7" ht="21" hidden="1" customHeight="1" x14ac:dyDescent="0.25">
      <c r="A25" s="376"/>
      <c r="B25" s="376"/>
      <c r="C25" s="366" t="s">
        <v>92</v>
      </c>
      <c r="D25" s="366"/>
      <c r="E25" s="366"/>
      <c r="F25" s="49"/>
      <c r="G25" s="49"/>
    </row>
    <row r="26" spans="1:7" ht="21" hidden="1" customHeight="1" x14ac:dyDescent="0.25">
      <c r="A26" s="376"/>
      <c r="B26" s="376"/>
      <c r="C26" s="366" t="s">
        <v>96</v>
      </c>
      <c r="D26" s="366"/>
      <c r="E26" s="366"/>
      <c r="F26" s="49"/>
      <c r="G26" s="49"/>
    </row>
    <row r="27" spans="1:7" ht="21" hidden="1" customHeight="1" x14ac:dyDescent="0.25">
      <c r="A27" s="376"/>
      <c r="B27" s="376"/>
      <c r="C27" s="366" t="s">
        <v>100</v>
      </c>
      <c r="D27" s="366"/>
      <c r="E27" s="366"/>
      <c r="F27" s="49"/>
      <c r="G27" s="49"/>
    </row>
    <row r="28" spans="1:7" ht="21" customHeight="1" x14ac:dyDescent="0.25">
      <c r="A28" s="376"/>
      <c r="B28" s="376"/>
      <c r="C28" s="366" t="s">
        <v>104</v>
      </c>
      <c r="D28" s="366"/>
      <c r="E28" s="366"/>
      <c r="F28" s="49"/>
      <c r="G28" s="49"/>
    </row>
    <row r="29" spans="1:7" ht="21" hidden="1" customHeight="1" x14ac:dyDescent="0.25">
      <c r="A29" s="376"/>
      <c r="B29" s="376"/>
      <c r="C29" s="366" t="s">
        <v>266</v>
      </c>
      <c r="D29" s="366"/>
      <c r="E29" s="366"/>
      <c r="F29" s="49"/>
      <c r="G29" s="49"/>
    </row>
    <row r="30" spans="1:7" ht="21" hidden="1" customHeight="1" x14ac:dyDescent="0.25">
      <c r="A30" s="376"/>
      <c r="B30" s="376"/>
      <c r="C30" s="366" t="s">
        <v>112</v>
      </c>
      <c r="D30" s="366"/>
      <c r="E30" s="366"/>
      <c r="F30" s="49"/>
      <c r="G30" s="49"/>
    </row>
    <row r="31" spans="1:7" ht="21" hidden="1" customHeight="1" x14ac:dyDescent="0.25">
      <c r="A31" s="376"/>
      <c r="B31" s="376"/>
      <c r="C31" s="366" t="s">
        <v>116</v>
      </c>
      <c r="D31" s="366"/>
      <c r="E31" s="366"/>
      <c r="F31" s="49"/>
      <c r="G31" s="49"/>
    </row>
    <row r="32" spans="1:7" ht="21" hidden="1" customHeight="1" x14ac:dyDescent="0.25">
      <c r="A32" s="376"/>
      <c r="B32" s="376"/>
      <c r="C32" s="370" t="s">
        <v>120</v>
      </c>
      <c r="D32" s="366"/>
      <c r="E32" s="366"/>
      <c r="F32" s="49"/>
      <c r="G32" s="49"/>
    </row>
    <row r="33" spans="1:7" ht="21" hidden="1" customHeight="1" x14ac:dyDescent="0.25">
      <c r="A33" s="376"/>
      <c r="B33" s="376"/>
      <c r="C33" s="370" t="s">
        <v>124</v>
      </c>
      <c r="D33" s="366"/>
      <c r="E33" s="366"/>
      <c r="F33" s="49"/>
      <c r="G33" s="49"/>
    </row>
    <row r="34" spans="1:7" ht="21" customHeight="1" x14ac:dyDescent="0.25">
      <c r="A34" s="376"/>
      <c r="B34" s="376"/>
      <c r="C34" s="370" t="s">
        <v>128</v>
      </c>
      <c r="D34" s="366"/>
      <c r="E34" s="366"/>
      <c r="F34" s="49"/>
      <c r="G34" s="49"/>
    </row>
    <row r="35" spans="1:7" ht="21" customHeight="1" x14ac:dyDescent="0.25">
      <c r="A35" s="376"/>
      <c r="B35" s="376"/>
      <c r="C35" s="370" t="s">
        <v>132</v>
      </c>
      <c r="D35" s="370"/>
      <c r="E35" s="370"/>
      <c r="F35" s="370"/>
      <c r="G35" s="370"/>
    </row>
    <row r="36" spans="1:7" ht="21" customHeight="1" x14ac:dyDescent="0.25">
      <c r="A36" s="376"/>
      <c r="B36" s="376"/>
      <c r="C36" s="366" t="s">
        <v>136</v>
      </c>
      <c r="D36" s="366"/>
      <c r="E36" s="366"/>
      <c r="F36" s="49"/>
      <c r="G36" s="49"/>
    </row>
    <row r="37" spans="1:7" ht="21" hidden="1" customHeight="1" x14ac:dyDescent="0.25">
      <c r="A37" s="376"/>
      <c r="B37" s="376"/>
      <c r="C37" s="366" t="s">
        <v>140</v>
      </c>
      <c r="D37" s="366"/>
      <c r="E37" s="366"/>
      <c r="F37" s="49"/>
      <c r="G37" s="49"/>
    </row>
    <row r="38" spans="1:7" ht="21" hidden="1" customHeight="1" x14ac:dyDescent="0.25">
      <c r="A38" s="376"/>
      <c r="B38" s="376"/>
      <c r="C38" s="366" t="s">
        <v>144</v>
      </c>
      <c r="D38" s="366"/>
      <c r="E38" s="366"/>
      <c r="F38" s="49"/>
      <c r="G38" s="49"/>
    </row>
    <row r="39" spans="1:7" ht="21" hidden="1" customHeight="1" x14ac:dyDescent="0.25">
      <c r="A39" s="376"/>
      <c r="B39" s="376"/>
      <c r="C39" s="366" t="s">
        <v>148</v>
      </c>
      <c r="D39" s="366"/>
      <c r="E39" s="366"/>
      <c r="F39" s="49"/>
      <c r="G39" s="49"/>
    </row>
    <row r="40" spans="1:7" ht="21" hidden="1" customHeight="1" x14ac:dyDescent="0.25">
      <c r="A40" s="376"/>
      <c r="B40" s="376"/>
      <c r="C40" s="366" t="s">
        <v>150</v>
      </c>
      <c r="D40" s="366"/>
      <c r="E40" s="366"/>
      <c r="F40" s="49"/>
      <c r="G40" s="49"/>
    </row>
    <row r="41" spans="1:7" ht="21" hidden="1" customHeight="1" x14ac:dyDescent="0.25">
      <c r="A41" s="376"/>
      <c r="B41" s="376"/>
      <c r="C41" s="366" t="s">
        <v>152</v>
      </c>
      <c r="D41" s="366"/>
      <c r="E41" s="366"/>
      <c r="F41" s="49"/>
      <c r="G41" s="49"/>
    </row>
    <row r="42" spans="1:7" ht="21" hidden="1" customHeight="1" x14ac:dyDescent="0.25">
      <c r="A42" s="376"/>
      <c r="B42" s="376"/>
      <c r="C42" s="366" t="s">
        <v>154</v>
      </c>
      <c r="D42" s="366"/>
      <c r="E42" s="366"/>
      <c r="F42" s="49"/>
      <c r="G42" s="49"/>
    </row>
    <row r="43" spans="1:7" ht="21" hidden="1" customHeight="1" x14ac:dyDescent="0.25">
      <c r="A43" s="376"/>
      <c r="B43" s="376"/>
      <c r="C43" s="366" t="s">
        <v>155</v>
      </c>
      <c r="D43" s="366"/>
      <c r="E43" s="366"/>
      <c r="F43" s="49"/>
      <c r="G43" s="49"/>
    </row>
    <row r="44" spans="1:7" ht="21" hidden="1" customHeight="1" x14ac:dyDescent="0.25">
      <c r="A44" s="376"/>
      <c r="B44" s="376"/>
      <c r="C44" s="366" t="s">
        <v>156</v>
      </c>
      <c r="D44" s="366"/>
      <c r="E44" s="366"/>
      <c r="F44" s="49"/>
      <c r="G44" s="49"/>
    </row>
    <row r="45" spans="1:7" ht="21" hidden="1" customHeight="1" x14ac:dyDescent="0.25">
      <c r="A45" s="376"/>
      <c r="B45" s="376"/>
      <c r="C45" s="366" t="s">
        <v>157</v>
      </c>
      <c r="D45" s="366"/>
      <c r="E45" s="366"/>
      <c r="F45" s="49"/>
      <c r="G45" s="49"/>
    </row>
    <row r="46" spans="1:7" ht="21" hidden="1" customHeight="1" x14ac:dyDescent="0.25">
      <c r="A46" s="376"/>
      <c r="B46" s="376"/>
      <c r="C46" s="366" t="s">
        <v>158</v>
      </c>
      <c r="D46" s="366"/>
      <c r="E46" s="366"/>
      <c r="F46" s="49"/>
      <c r="G46" s="49"/>
    </row>
    <row r="47" spans="1:7" ht="21" hidden="1" customHeight="1" x14ac:dyDescent="0.25">
      <c r="A47" s="376"/>
      <c r="B47" s="376"/>
      <c r="C47" s="366" t="s">
        <v>267</v>
      </c>
      <c r="D47" s="366"/>
      <c r="E47" s="366"/>
      <c r="F47" s="49"/>
      <c r="G47" s="49"/>
    </row>
    <row r="48" spans="1:7" ht="21" hidden="1" customHeight="1" x14ac:dyDescent="0.25">
      <c r="A48" s="376"/>
      <c r="B48" s="376"/>
      <c r="C48" s="366" t="s">
        <v>160</v>
      </c>
      <c r="D48" s="366"/>
      <c r="E48" s="366"/>
      <c r="F48" s="49"/>
      <c r="G48" s="49"/>
    </row>
    <row r="49" spans="1:7" ht="21" hidden="1" customHeight="1" x14ac:dyDescent="0.25">
      <c r="A49" s="376"/>
      <c r="B49" s="376"/>
      <c r="C49" s="366" t="s">
        <v>161</v>
      </c>
      <c r="D49" s="366"/>
      <c r="E49" s="366"/>
      <c r="F49" s="49"/>
      <c r="G49" s="49"/>
    </row>
    <row r="50" spans="1:7" ht="21" hidden="1" customHeight="1" x14ac:dyDescent="0.25">
      <c r="A50" s="376"/>
      <c r="B50" s="376"/>
      <c r="C50" s="366" t="s">
        <v>162</v>
      </c>
      <c r="D50" s="366"/>
      <c r="E50" s="366"/>
      <c r="F50" s="49"/>
      <c r="G50" s="49"/>
    </row>
    <row r="51" spans="1:7" ht="21" hidden="1" customHeight="1" x14ac:dyDescent="0.25">
      <c r="A51" s="376"/>
      <c r="B51" s="376"/>
      <c r="C51" s="366" t="s">
        <v>163</v>
      </c>
      <c r="D51" s="366"/>
      <c r="E51" s="366"/>
      <c r="F51" s="49"/>
      <c r="G51" s="49"/>
    </row>
    <row r="52" spans="1:7" ht="21" hidden="1" customHeight="1" x14ac:dyDescent="0.25">
      <c r="A52" s="376"/>
      <c r="B52" s="376"/>
      <c r="C52" s="366" t="s">
        <v>164</v>
      </c>
      <c r="D52" s="366"/>
      <c r="E52" s="366"/>
      <c r="F52" s="49"/>
      <c r="G52" s="49"/>
    </row>
    <row r="53" spans="1:7" ht="21" hidden="1" customHeight="1" x14ac:dyDescent="0.25">
      <c r="A53" s="376"/>
      <c r="B53" s="376"/>
      <c r="C53" s="366" t="s">
        <v>268</v>
      </c>
      <c r="D53" s="366"/>
      <c r="E53" s="366"/>
      <c r="F53" s="49"/>
      <c r="G53" s="49"/>
    </row>
    <row r="54" spans="1:7" ht="21" customHeight="1" x14ac:dyDescent="0.25">
      <c r="A54" s="376"/>
      <c r="B54" s="376"/>
      <c r="C54" s="366" t="s">
        <v>166</v>
      </c>
      <c r="D54" s="366"/>
      <c r="E54" s="366"/>
      <c r="F54" s="49"/>
      <c r="G54" s="49"/>
    </row>
    <row r="55" spans="1:7" ht="21" hidden="1" customHeight="1" x14ac:dyDescent="0.25">
      <c r="A55" s="376"/>
      <c r="B55" s="376"/>
      <c r="C55" s="366" t="s">
        <v>167</v>
      </c>
      <c r="D55" s="366"/>
      <c r="E55" s="366"/>
      <c r="F55" s="49"/>
      <c r="G55" s="49"/>
    </row>
    <row r="56" spans="1:7" ht="21" hidden="1" customHeight="1" x14ac:dyDescent="0.25">
      <c r="A56" s="376"/>
      <c r="B56" s="376"/>
      <c r="C56" s="366" t="s">
        <v>168</v>
      </c>
      <c r="D56" s="366"/>
      <c r="E56" s="366"/>
      <c r="F56" s="49"/>
      <c r="G56" s="49"/>
    </row>
    <row r="57" spans="1:7" ht="21" customHeight="1" x14ac:dyDescent="0.25">
      <c r="A57" s="376"/>
      <c r="B57" s="376"/>
      <c r="C57" s="370" t="s">
        <v>169</v>
      </c>
      <c r="D57" s="370"/>
      <c r="E57" s="370"/>
      <c r="F57" s="49"/>
      <c r="G57" s="49"/>
    </row>
    <row r="58" spans="1:7" ht="21" hidden="1" customHeight="1" x14ac:dyDescent="0.25">
      <c r="A58" s="376"/>
      <c r="B58" s="376"/>
      <c r="C58" s="370" t="s">
        <v>170</v>
      </c>
      <c r="D58" s="370"/>
      <c r="E58" s="370"/>
      <c r="F58" s="49"/>
      <c r="G58" s="49"/>
    </row>
    <row r="59" spans="1:7" ht="21" hidden="1" customHeight="1" x14ac:dyDescent="0.25">
      <c r="A59" s="376"/>
      <c r="B59" s="376"/>
      <c r="C59" s="370" t="s">
        <v>171</v>
      </c>
      <c r="D59" s="370"/>
      <c r="E59" s="370"/>
      <c r="F59" s="49"/>
      <c r="G59" s="49"/>
    </row>
    <row r="60" spans="1:7" ht="21" customHeight="1" x14ac:dyDescent="0.25">
      <c r="A60" s="376"/>
      <c r="B60" s="376"/>
      <c r="C60" s="372" t="str">
        <f>IF('3.Filing Type and Checklist'!E9="Y","Complete Current, Marked-up and Proposed Underwriting Guidelines","Complete Underwriting Guidelines")</f>
        <v>Complete Underwriting Guidelines</v>
      </c>
      <c r="D60" s="370"/>
      <c r="E60" s="370"/>
      <c r="F60" s="49"/>
      <c r="G60" s="49"/>
    </row>
    <row r="61" spans="1:7" ht="21" hidden="1" customHeight="1" x14ac:dyDescent="0.25">
      <c r="A61" s="376"/>
      <c r="B61" s="376"/>
      <c r="C61" s="370" t="str">
        <f>IF('3.Filing Type and Checklist'!E9="Y","Complete Current, Marked-up and Proposed Printed Rate and Rule Manual Pages","Complete Printed Rate and Rule Manual Pages")</f>
        <v>Complete Printed Rate and Rule Manual Pages</v>
      </c>
      <c r="D61" s="370"/>
      <c r="E61" s="370"/>
      <c r="F61" s="49"/>
      <c r="G61" s="49"/>
    </row>
    <row r="62" spans="1:7" ht="21" customHeight="1" x14ac:dyDescent="0.25">
      <c r="A62" s="376"/>
      <c r="B62" s="376"/>
      <c r="C62" s="370" t="s">
        <v>172</v>
      </c>
      <c r="D62" s="370"/>
      <c r="E62" s="370"/>
      <c r="F62" s="49"/>
      <c r="G62" s="49"/>
    </row>
    <row r="63" spans="1:7" ht="21" hidden="1" customHeight="1" x14ac:dyDescent="0.25">
      <c r="A63" s="376"/>
      <c r="B63" s="376"/>
      <c r="C63" s="370" t="s">
        <v>173</v>
      </c>
      <c r="D63" s="370"/>
      <c r="E63" s="370"/>
      <c r="F63" s="49"/>
      <c r="G63" s="49"/>
    </row>
    <row r="64" spans="1:7" ht="21" customHeight="1" x14ac:dyDescent="0.25">
      <c r="A64" s="374" t="s">
        <v>174</v>
      </c>
      <c r="B64" s="376"/>
      <c r="D64" s="371"/>
      <c r="E64" s="371"/>
      <c r="F64" s="373"/>
      <c r="G64" s="373"/>
    </row>
    <row r="65" spans="1:7" ht="17.25" x14ac:dyDescent="0.25">
      <c r="A65" s="374" t="s">
        <v>175</v>
      </c>
      <c r="B65" s="362"/>
      <c r="D65" s="371"/>
      <c r="E65" s="371"/>
      <c r="F65" s="373"/>
      <c r="G65" s="373"/>
    </row>
    <row r="66" spans="1:7" hidden="1" x14ac:dyDescent="0.25">
      <c r="A66" s="24" t="s">
        <v>176</v>
      </c>
    </row>
    <row r="67" spans="1:7" hidden="1" x14ac:dyDescent="0.25">
      <c r="A67" s="51" t="s">
        <v>177</v>
      </c>
      <c r="G67" s="47"/>
    </row>
    <row r="68" spans="1:7" x14ac:dyDescent="0.25">
      <c r="G68" s="47"/>
    </row>
    <row r="69" spans="1:7" x14ac:dyDescent="0.25">
      <c r="G69" s="47"/>
    </row>
    <row r="70" spans="1:7" x14ac:dyDescent="0.25">
      <c r="G70" s="47"/>
    </row>
    <row r="71" spans="1:7" x14ac:dyDescent="0.25">
      <c r="G71" s="47"/>
    </row>
    <row r="72" spans="1:7" x14ac:dyDescent="0.25">
      <c r="G72" s="47"/>
    </row>
    <row r="73" spans="1:7" x14ac:dyDescent="0.25">
      <c r="G73" s="47"/>
    </row>
    <row r="74" spans="1:7" x14ac:dyDescent="0.25">
      <c r="G74" s="47"/>
    </row>
    <row r="75" spans="1:7" x14ac:dyDescent="0.25">
      <c r="G75" s="47"/>
    </row>
    <row r="76" spans="1:7" x14ac:dyDescent="0.25">
      <c r="G76" s="47"/>
    </row>
    <row r="77" spans="1:7" x14ac:dyDescent="0.25">
      <c r="G77" s="47"/>
    </row>
    <row r="78" spans="1:7" x14ac:dyDescent="0.25">
      <c r="G78" s="47"/>
    </row>
    <row r="79" spans="1:7" x14ac:dyDescent="0.25">
      <c r="G79" s="47"/>
    </row>
    <row r="80" spans="1:7" x14ac:dyDescent="0.25">
      <c r="G80" s="47"/>
    </row>
    <row r="81" spans="7:7" x14ac:dyDescent="0.25">
      <c r="G81" s="47"/>
    </row>
    <row r="82" spans="7:7" x14ac:dyDescent="0.25">
      <c r="G82" s="47"/>
    </row>
    <row r="83" spans="7:7" x14ac:dyDescent="0.25">
      <c r="G83" s="47"/>
    </row>
    <row r="84" spans="7:7" x14ac:dyDescent="0.25">
      <c r="G84" s="47"/>
    </row>
    <row r="85" spans="7:7" x14ac:dyDescent="0.25">
      <c r="G85" s="47"/>
    </row>
    <row r="86" spans="7:7" x14ac:dyDescent="0.25">
      <c r="G86" s="47"/>
    </row>
    <row r="87" spans="7:7" x14ac:dyDescent="0.25">
      <c r="G87" s="47"/>
    </row>
    <row r="88" spans="7:7" x14ac:dyDescent="0.25">
      <c r="G88" s="47"/>
    </row>
    <row r="89" spans="7:7" x14ac:dyDescent="0.25">
      <c r="G89" s="47"/>
    </row>
    <row r="90" spans="7:7" x14ac:dyDescent="0.25">
      <c r="G90" s="47"/>
    </row>
    <row r="91" spans="7:7" x14ac:dyDescent="0.25">
      <c r="G91" s="47"/>
    </row>
    <row r="92" spans="7:7" x14ac:dyDescent="0.25">
      <c r="G92" s="47"/>
    </row>
    <row r="93" spans="7:7" x14ac:dyDescent="0.25">
      <c r="G93" s="47"/>
    </row>
    <row r="94" spans="7:7" x14ac:dyDescent="0.25">
      <c r="G94" s="47"/>
    </row>
    <row r="95" spans="7:7" x14ac:dyDescent="0.25">
      <c r="G95" s="47"/>
    </row>
    <row r="96" spans="7:7" x14ac:dyDescent="0.25">
      <c r="G96" s="47"/>
    </row>
    <row r="97" spans="7:7" x14ac:dyDescent="0.25">
      <c r="G97" s="47"/>
    </row>
    <row r="98" spans="7:7" x14ac:dyDescent="0.25">
      <c r="G98" s="47"/>
    </row>
    <row r="99" spans="7:7" x14ac:dyDescent="0.25">
      <c r="G99" s="47"/>
    </row>
    <row r="100" spans="7:7" x14ac:dyDescent="0.25">
      <c r="G100" s="47"/>
    </row>
    <row r="101" spans="7:7" x14ac:dyDescent="0.25">
      <c r="G101" s="47"/>
    </row>
    <row r="102" spans="7:7" x14ac:dyDescent="0.25">
      <c r="G102" s="47"/>
    </row>
    <row r="103" spans="7:7" x14ac:dyDescent="0.25">
      <c r="G103" s="47"/>
    </row>
    <row r="104" spans="7:7" x14ac:dyDescent="0.25">
      <c r="G104" s="47"/>
    </row>
    <row r="105" spans="7:7" x14ac:dyDescent="0.25">
      <c r="G105" s="47"/>
    </row>
    <row r="106" spans="7:7" x14ac:dyDescent="0.25">
      <c r="G106" s="47"/>
    </row>
    <row r="107" spans="7:7" x14ac:dyDescent="0.25">
      <c r="G107" s="47"/>
    </row>
    <row r="108" spans="7:7" x14ac:dyDescent="0.25">
      <c r="G108" s="47"/>
    </row>
    <row r="109" spans="7:7" x14ac:dyDescent="0.25">
      <c r="G109" s="47"/>
    </row>
    <row r="110" spans="7:7" x14ac:dyDescent="0.25">
      <c r="G110" s="47"/>
    </row>
    <row r="111" spans="7:7" x14ac:dyDescent="0.25">
      <c r="G111" s="47"/>
    </row>
    <row r="112" spans="7:7" x14ac:dyDescent="0.25">
      <c r="G112" s="47"/>
    </row>
    <row r="113" spans="7:7" x14ac:dyDescent="0.25">
      <c r="G113" s="47"/>
    </row>
    <row r="114" spans="7:7" x14ac:dyDescent="0.25">
      <c r="G114" s="47"/>
    </row>
    <row r="115" spans="7:7" x14ac:dyDescent="0.25">
      <c r="G115" s="47"/>
    </row>
    <row r="116" spans="7:7" x14ac:dyDescent="0.25">
      <c r="G116" s="47"/>
    </row>
    <row r="117" spans="7:7" x14ac:dyDescent="0.25">
      <c r="G117" s="47"/>
    </row>
    <row r="118" spans="7:7" x14ac:dyDescent="0.25">
      <c r="G118" s="47"/>
    </row>
    <row r="119" spans="7:7" x14ac:dyDescent="0.25">
      <c r="G119" s="47"/>
    </row>
    <row r="120" spans="7:7" x14ac:dyDescent="0.25">
      <c r="G120" s="47"/>
    </row>
    <row r="121" spans="7:7" x14ac:dyDescent="0.25">
      <c r="G121" s="47"/>
    </row>
    <row r="122" spans="7:7" x14ac:dyDescent="0.25">
      <c r="G122" s="47"/>
    </row>
    <row r="123" spans="7:7" x14ac:dyDescent="0.25">
      <c r="G123" s="47"/>
    </row>
    <row r="124" spans="7:7" x14ac:dyDescent="0.25">
      <c r="G124" s="47"/>
    </row>
    <row r="125" spans="7:7" x14ac:dyDescent="0.25">
      <c r="G125" s="47"/>
    </row>
    <row r="126" spans="7:7" x14ac:dyDescent="0.25">
      <c r="G126" s="47"/>
    </row>
    <row r="127" spans="7:7" x14ac:dyDescent="0.25">
      <c r="G127" s="47"/>
    </row>
    <row r="128" spans="7:7" x14ac:dyDescent="0.25">
      <c r="G128" s="47"/>
    </row>
    <row r="129" spans="7:7" x14ac:dyDescent="0.25">
      <c r="G129" s="47"/>
    </row>
    <row r="130" spans="7:7" x14ac:dyDescent="0.25">
      <c r="G130" s="47"/>
    </row>
    <row r="131" spans="7:7" x14ac:dyDescent="0.25">
      <c r="G131" s="47"/>
    </row>
    <row r="132" spans="7:7" x14ac:dyDescent="0.25">
      <c r="G132" s="47"/>
    </row>
    <row r="133" spans="7:7" x14ac:dyDescent="0.25">
      <c r="G133" s="47"/>
    </row>
    <row r="134" spans="7:7" x14ac:dyDescent="0.25">
      <c r="G134" s="47"/>
    </row>
    <row r="135" spans="7:7" x14ac:dyDescent="0.25">
      <c r="G135" s="47"/>
    </row>
    <row r="136" spans="7:7" x14ac:dyDescent="0.25">
      <c r="G136" s="47"/>
    </row>
    <row r="137" spans="7:7" x14ac:dyDescent="0.25">
      <c r="G137" s="47"/>
    </row>
    <row r="138" spans="7:7" x14ac:dyDescent="0.25">
      <c r="G138" s="47"/>
    </row>
    <row r="139" spans="7:7" x14ac:dyDescent="0.25">
      <c r="G139" s="47"/>
    </row>
    <row r="140" spans="7:7" x14ac:dyDescent="0.25">
      <c r="G140" s="47"/>
    </row>
    <row r="141" spans="7:7" x14ac:dyDescent="0.25">
      <c r="G141" s="47"/>
    </row>
    <row r="142" spans="7:7" x14ac:dyDescent="0.25">
      <c r="G142" s="47"/>
    </row>
    <row r="143" spans="7:7" x14ac:dyDescent="0.25">
      <c r="G143" s="47"/>
    </row>
  </sheetData>
  <sheetProtection algorithmName="SHA-512" hashValue="IaWVDKmeaEcjvi1r5yadAOSkY0cwyB+LA8j1WNEPB9jkemAJ3/5azgeWTxB63hom3J7cD0UPZTJToOWvE0OZag==" saltValue="VvjILWVlQZz2j+n8FJujGg=="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3"/>
  <pageSetup scale="78" orientation="portrait" r:id="rId1"/>
  <headerFooter>
    <oddFooter>&amp;CPrior Approval Rate Application&amp;RPage 3&amp;L1/3/2023 Edition</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6195" r:id="rId4" name="Check Box 67">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6196" r:id="rId5" name="Check Box 68">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6197" r:id="rId6" name="Check Box 69">
              <controlPr defaultSize="0" autoFill="0" autoLine="0" autoPict="0">
                <anchor moveWithCells="1">
                  <from>
                    <xdr:col>0</xdr:col>
                    <xdr:colOff>0</xdr:colOff>
                    <xdr:row>21</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176198" r:id="rId7" name="Check Box 70">
              <controlPr defaultSize="0" autoFill="0" autoLine="0" autoPict="0">
                <anchor moveWithCells="1">
                  <from>
                    <xdr:col>1</xdr:col>
                    <xdr:colOff>0</xdr:colOff>
                    <xdr:row>21</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176199" r:id="rId8" name="Check Box 71">
              <controlPr defaultSize="0" autoFill="0" autoLine="0" autoPict="0">
                <anchor moveWithCells="1">
                  <from>
                    <xdr:col>0</xdr:col>
                    <xdr:colOff>0</xdr:colOff>
                    <xdr:row>27</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6200" r:id="rId9" name="Check Box 72">
              <controlPr defaultSize="0" autoFill="0" autoLine="0" autoPict="0">
                <anchor moveWithCells="1">
                  <from>
                    <xdr:col>1</xdr:col>
                    <xdr:colOff>0</xdr:colOff>
                    <xdr:row>27</xdr:row>
                    <xdr:rowOff>0</xdr:rowOff>
                  </from>
                  <to>
                    <xdr:col>1</xdr:col>
                    <xdr:colOff>295275</xdr:colOff>
                    <xdr:row>33</xdr:row>
                    <xdr:rowOff>19050</xdr:rowOff>
                  </to>
                </anchor>
              </controlPr>
            </control>
          </mc:Choice>
        </mc:AlternateContent>
        <mc:AlternateContent xmlns:mc="http://schemas.openxmlformats.org/markup-compatibility/2006">
          <mc:Choice Requires="x14">
            <control shapeId="176201" r:id="rId10" name="Check Box 73">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6202" r:id="rId11" name="Check Box 74">
              <controlPr defaultSize="0" autoFill="0" autoLine="0" autoPict="0">
                <anchor moveWithCells="1">
                  <from>
                    <xdr:col>0</xdr:col>
                    <xdr:colOff>0</xdr:colOff>
                    <xdr:row>35</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6203" r:id="rId12" name="Check Box 75">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6204" r:id="rId13" name="Check Box 76">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6205" r:id="rId14" name="Check Box 77">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6206" r:id="rId15" name="Check Box 78">
              <controlPr defaultSize="0" autoFill="0" autoLine="0" autoPict="0">
                <anchor moveWithCells="1">
                  <from>
                    <xdr:col>0</xdr:col>
                    <xdr:colOff>0</xdr:colOff>
                    <xdr:row>61</xdr:row>
                    <xdr:rowOff>0</xdr:rowOff>
                  </from>
                  <to>
                    <xdr:col>0</xdr:col>
                    <xdr:colOff>295275</xdr:colOff>
                    <xdr:row>63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31" customWidth="1"/>
  </cols>
  <sheetData>
    <row r="1" spans="1:7" x14ac:dyDescent="0.25">
      <c r="A1" s="20" t="s">
        <v>189</v>
      </c>
      <c r="D1" s="36" t="s">
        <v>190</v>
      </c>
      <c r="F1" s="35" t="str">
        <f>Co_Name</f>
        <v xml:space="preserve">State Farm Mutual Automobile Insurance Company </v>
      </c>
    </row>
    <row r="2" spans="1:7" x14ac:dyDescent="0.25">
      <c r="A2" s="20" t="s">
        <v>192</v>
      </c>
      <c r="D2" s="36" t="s">
        <v>193</v>
      </c>
      <c r="F2" s="35" t="str">
        <f>General_Line</f>
        <v>Auto Liability and Physical Damage</v>
      </c>
    </row>
    <row r="3" spans="1:7" x14ac:dyDescent="0.25">
      <c r="B3" s="165"/>
    </row>
    <row r="4" spans="1:7" ht="23.25" x14ac:dyDescent="0.25">
      <c r="A4" s="5" t="s">
        <v>269</v>
      </c>
      <c r="B4" s="3"/>
      <c r="C4" s="3"/>
      <c r="D4" s="3"/>
      <c r="E4" s="3"/>
      <c r="F4" s="3"/>
    </row>
    <row r="6" spans="1:7" ht="15.75" x14ac:dyDescent="0.25">
      <c r="B6" s="54" t="s">
        <v>270</v>
      </c>
      <c r="C6" s="26"/>
      <c r="D6" s="318" t="e">
        <f>$D$22</f>
        <v>#DIV/0!</v>
      </c>
    </row>
    <row r="7" spans="1:7" ht="4.5" customHeight="1" x14ac:dyDescent="0.25"/>
    <row r="8" spans="1:7" s="47" customFormat="1" ht="18" customHeight="1" x14ac:dyDescent="0.25">
      <c r="A8" s="53"/>
      <c r="B8" s="54" t="s">
        <v>271</v>
      </c>
      <c r="C8" s="26"/>
      <c r="D8" s="319"/>
      <c r="G8" s="332" t="str">
        <f>IF(ISBLANK(D8),"←ERROR! Enter the Proposed Earned Premium Per Exposure.","")</f>
        <v>←ERROR! Enter the Proposed Earned Premium Per Exposure.</v>
      </c>
    </row>
    <row r="9" spans="1:7" ht="18" customHeight="1" x14ac:dyDescent="0.25">
      <c r="A9" s="53"/>
      <c r="B9" s="54" t="s">
        <v>272</v>
      </c>
      <c r="C9" s="26"/>
      <c r="D9" s="266"/>
      <c r="G9" s="213" t="str">
        <f>IF(ISBLANK(D9),"←ERROR! Enter the Proposed Effective Date.","")</f>
        <v>←ERROR! Enter the Proposed Effective Date.</v>
      </c>
    </row>
    <row r="10" spans="1:7" ht="15.75" thickBot="1" x14ac:dyDescent="0.3">
      <c r="A10" s="52"/>
    </row>
    <row r="11" spans="1:7" ht="33" thickBot="1" x14ac:dyDescent="0.3">
      <c r="A11" s="57"/>
      <c r="B11" s="58" t="s">
        <v>273</v>
      </c>
      <c r="C11" s="58" t="s">
        <v>274</v>
      </c>
      <c r="D11" s="58" t="s">
        <v>275</v>
      </c>
      <c r="E11" s="58" t="s">
        <v>276</v>
      </c>
      <c r="F11" s="59" t="s">
        <v>277</v>
      </c>
    </row>
    <row r="12" spans="1:7" ht="30" customHeight="1" x14ac:dyDescent="0.25">
      <c r="A12" s="60">
        <v>-1</v>
      </c>
      <c r="B12" s="267"/>
      <c r="C12" s="268"/>
      <c r="D12" s="268"/>
      <c r="E12" s="269"/>
      <c r="F12" s="73">
        <f>E12*(1+D12)</f>
        <v>0</v>
      </c>
      <c r="G12" s="213" t="str">
        <f>IF(AND(COUNTA(B12:E12)&gt;=1,COUNTA(B12:E12)&lt;=3),"←ERROR! Fill out each cell in this row.","")</f>
        <v/>
      </c>
    </row>
    <row r="13" spans="1:7" ht="30" customHeight="1" x14ac:dyDescent="0.25">
      <c r="A13" s="61">
        <v>-2</v>
      </c>
      <c r="B13" s="270"/>
      <c r="C13" s="271"/>
      <c r="D13" s="271"/>
      <c r="E13" s="272"/>
      <c r="F13" s="74">
        <f t="shared" ref="F13:F21" si="0">E13*(1+D13)</f>
        <v>0</v>
      </c>
      <c r="G13" s="213" t="str">
        <f t="shared" ref="G13:G21" si="1">IF(AND(COUNTA(B13:E13)&gt;=1,COUNTA(B13:E13)&lt;=3),"←ERROR! Fill out each cell in this row.","")</f>
        <v/>
      </c>
    </row>
    <row r="14" spans="1:7" ht="30" customHeight="1" x14ac:dyDescent="0.25">
      <c r="A14" s="61">
        <v>-3</v>
      </c>
      <c r="B14" s="270"/>
      <c r="C14" s="271"/>
      <c r="D14" s="271"/>
      <c r="E14" s="272"/>
      <c r="F14" s="74">
        <f t="shared" si="0"/>
        <v>0</v>
      </c>
      <c r="G14" s="213" t="str">
        <f t="shared" si="1"/>
        <v/>
      </c>
    </row>
    <row r="15" spans="1:7" ht="30" customHeight="1" x14ac:dyDescent="0.25">
      <c r="A15" s="61">
        <v>-4</v>
      </c>
      <c r="B15" s="270"/>
      <c r="C15" s="271"/>
      <c r="D15" s="271"/>
      <c r="E15" s="272"/>
      <c r="F15" s="74">
        <f t="shared" si="0"/>
        <v>0</v>
      </c>
      <c r="G15" s="213" t="str">
        <f t="shared" si="1"/>
        <v/>
      </c>
    </row>
    <row r="16" spans="1:7" ht="30" customHeight="1" x14ac:dyDescent="0.25">
      <c r="A16" s="61">
        <v>-5</v>
      </c>
      <c r="B16" s="270"/>
      <c r="C16" s="271"/>
      <c r="D16" s="271"/>
      <c r="E16" s="272"/>
      <c r="F16" s="74">
        <f t="shared" si="0"/>
        <v>0</v>
      </c>
      <c r="G16" s="213" t="str">
        <f t="shared" si="1"/>
        <v/>
      </c>
    </row>
    <row r="17" spans="1:7" ht="30" customHeight="1" x14ac:dyDescent="0.25">
      <c r="A17" s="61">
        <v>-6</v>
      </c>
      <c r="B17" s="270"/>
      <c r="C17" s="271"/>
      <c r="D17" s="271"/>
      <c r="E17" s="272"/>
      <c r="F17" s="74">
        <f t="shared" si="0"/>
        <v>0</v>
      </c>
      <c r="G17" s="213" t="str">
        <f t="shared" si="1"/>
        <v/>
      </c>
    </row>
    <row r="18" spans="1:7" ht="30" customHeight="1" x14ac:dyDescent="0.25">
      <c r="A18" s="61">
        <v>-7</v>
      </c>
      <c r="B18" s="270"/>
      <c r="C18" s="271"/>
      <c r="D18" s="271"/>
      <c r="E18" s="272"/>
      <c r="F18" s="74">
        <f t="shared" si="0"/>
        <v>0</v>
      </c>
      <c r="G18" s="213" t="str">
        <f t="shared" si="1"/>
        <v/>
      </c>
    </row>
    <row r="19" spans="1:7" ht="30" customHeight="1" x14ac:dyDescent="0.25">
      <c r="A19" s="61">
        <v>-8</v>
      </c>
      <c r="B19" s="270"/>
      <c r="C19" s="271"/>
      <c r="D19" s="271"/>
      <c r="E19" s="272"/>
      <c r="F19" s="74">
        <f t="shared" si="0"/>
        <v>0</v>
      </c>
      <c r="G19" s="213" t="str">
        <f t="shared" si="1"/>
        <v/>
      </c>
    </row>
    <row r="20" spans="1:7" ht="30" customHeight="1" x14ac:dyDescent="0.25">
      <c r="A20" s="61">
        <v>-9</v>
      </c>
      <c r="B20" s="270"/>
      <c r="C20" s="271"/>
      <c r="D20" s="271"/>
      <c r="E20" s="272"/>
      <c r="F20" s="74">
        <f t="shared" si="0"/>
        <v>0</v>
      </c>
      <c r="G20" s="213" t="str">
        <f t="shared" si="1"/>
        <v/>
      </c>
    </row>
    <row r="21" spans="1:7" ht="30" customHeight="1" x14ac:dyDescent="0.25">
      <c r="A21" s="61">
        <v>-10</v>
      </c>
      <c r="B21" s="273"/>
      <c r="C21" s="274"/>
      <c r="D21" s="274"/>
      <c r="E21" s="275"/>
      <c r="F21" s="74">
        <f t="shared" si="0"/>
        <v>0</v>
      </c>
      <c r="G21" s="213" t="str">
        <f t="shared" si="1"/>
        <v/>
      </c>
    </row>
    <row r="22" spans="1:7" ht="30" customHeight="1" thickBot="1" x14ac:dyDescent="0.3">
      <c r="A22" s="76" t="s">
        <v>278</v>
      </c>
      <c r="B22" s="71"/>
      <c r="C22" s="77" t="e">
        <f>SUMPRODUCT(C$12:C$21,$E$12:$E$21)/$E$22</f>
        <v>#DIV/0!</v>
      </c>
      <c r="D22" s="77" t="e">
        <f>SUMPRODUCT(D$12:D$21,$E$12:$E$21)/$E$22</f>
        <v>#DIV/0!</v>
      </c>
      <c r="E22" s="78">
        <f>SUM($E$12:$E$21)</f>
        <v>0</v>
      </c>
      <c r="F22" s="75">
        <f>SUM($F$12:$F$21)</f>
        <v>0</v>
      </c>
    </row>
    <row r="23" spans="1:7" x14ac:dyDescent="0.25">
      <c r="D23" s="56"/>
    </row>
    <row r="24" spans="1:7" ht="17.25" x14ac:dyDescent="0.25">
      <c r="A24" t="s">
        <v>279</v>
      </c>
      <c r="D24" s="56"/>
    </row>
    <row r="25" spans="1:7" x14ac:dyDescent="0.25">
      <c r="A25" t="s">
        <v>280</v>
      </c>
      <c r="D25" s="56"/>
    </row>
    <row r="26" spans="1:7" ht="18" customHeight="1" x14ac:dyDescent="0.25">
      <c r="A26" s="48" t="s">
        <v>281</v>
      </c>
    </row>
    <row r="27" spans="1:7" ht="18" customHeight="1" x14ac:dyDescent="0.25">
      <c r="A27" s="321" t="s">
        <v>282</v>
      </c>
    </row>
    <row r="28" spans="1:7" ht="5.0999999999999996" customHeight="1" x14ac:dyDescent="0.25">
      <c r="A28" s="2"/>
    </row>
    <row r="29" spans="1:7" ht="18" customHeight="1" x14ac:dyDescent="0.25">
      <c r="A29" t="s">
        <v>283</v>
      </c>
    </row>
    <row r="30" spans="1:7" ht="18" customHeight="1" x14ac:dyDescent="0.25">
      <c r="A30" s="321" t="s">
        <v>284</v>
      </c>
    </row>
    <row r="31" spans="1:7" ht="18" customHeight="1" x14ac:dyDescent="0.25">
      <c r="A31" s="321" t="s">
        <v>285</v>
      </c>
    </row>
    <row r="32" spans="1:7" ht="5.0999999999999996" customHeight="1" x14ac:dyDescent="0.25">
      <c r="A32" s="321"/>
    </row>
    <row r="33" spans="1:1" ht="17.25" x14ac:dyDescent="0.25">
      <c r="A33" t="s">
        <v>286</v>
      </c>
    </row>
    <row r="34" spans="1:1" ht="18" customHeight="1" x14ac:dyDescent="0.25">
      <c r="A34" s="321" t="s">
        <v>287</v>
      </c>
    </row>
    <row r="35" spans="1:1" ht="5.0999999999999996" customHeight="1" x14ac:dyDescent="0.25">
      <c r="A35" s="2"/>
    </row>
    <row r="36" spans="1:1" ht="17.25" x14ac:dyDescent="0.25">
      <c r="A36" t="s">
        <v>288</v>
      </c>
    </row>
  </sheetData>
  <sheetProtection algorithmName="SHA-512" hashValue="/iB34b9gcG9YrvVJ0DD/PYWNKkPEGwuSvjhdsah7TDEtkLmeFNZKQvQ92xoEnEV95ENhHKCBOEiwJJuX0wBwKA==" saltValue="9O3ZQC0KhdFgMxmzqxLfiA==" spinCount="100000" sheet="1" objects="1" scenarios="1" formatColumns="0" formatRows="0" sort="0"/>
  <printOptions horizontalCentered="1"/>
  <pageMargins left="0.45" right="0.45" top="0.5" bottom="0.5" header="0.3" footer="0.3"/>
  <pageSetup scale="78" orientation="portrait" r:id="rId1"/>
  <headerFooter>
    <oddFooter>&amp;CPrior Approval Rate Application&amp;RPage 4&amp;L1/3/2023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1" customWidth="1"/>
  </cols>
  <sheetData>
    <row r="1" spans="1:10" x14ac:dyDescent="0.25">
      <c r="A1" s="20" t="s">
        <v>189</v>
      </c>
      <c r="C1" s="36" t="s">
        <v>190</v>
      </c>
      <c r="F1" s="35" t="str">
        <f>Co_Name</f>
        <v xml:space="preserve">State Farm Mutual Automobile Insurance Company </v>
      </c>
    </row>
    <row r="2" spans="1:10" x14ac:dyDescent="0.25">
      <c r="A2" s="20" t="s">
        <v>192</v>
      </c>
      <c r="C2" s="36" t="s">
        <v>193</v>
      </c>
      <c r="F2" s="35" t="str">
        <f>General_Line</f>
        <v>Auto Liability and Physical Damage</v>
      </c>
    </row>
    <row r="3" spans="1:10" x14ac:dyDescent="0.25">
      <c r="B3" s="165"/>
    </row>
    <row r="4" spans="1:10" ht="23.25" x14ac:dyDescent="0.25">
      <c r="A4" s="5" t="s">
        <v>289</v>
      </c>
      <c r="B4" s="5"/>
      <c r="C4" s="5"/>
      <c r="D4" s="5"/>
      <c r="E4" s="5"/>
      <c r="F4" s="5"/>
    </row>
    <row r="5" spans="1:10" ht="18.75" x14ac:dyDescent="0.3">
      <c r="A5" s="81" t="s">
        <v>290</v>
      </c>
      <c r="B5" s="81"/>
      <c r="C5" s="81"/>
      <c r="D5" s="81"/>
      <c r="E5" s="81"/>
      <c r="F5" s="81"/>
    </row>
    <row r="6" spans="1:10" ht="15.75" thickBot="1" x14ac:dyDescent="0.3"/>
    <row r="7" spans="1:10" ht="33" thickBot="1" x14ac:dyDescent="0.3">
      <c r="A7" s="70"/>
      <c r="B7" s="58" t="s">
        <v>273</v>
      </c>
      <c r="C7" s="58" t="s">
        <v>291</v>
      </c>
      <c r="D7" s="58" t="s">
        <v>292</v>
      </c>
      <c r="E7" s="58" t="s">
        <v>293</v>
      </c>
      <c r="F7" s="59" t="s">
        <v>294</v>
      </c>
    </row>
    <row r="8" spans="1:10" ht="18" customHeight="1" thickBot="1" x14ac:dyDescent="0.3">
      <c r="A8" s="159"/>
      <c r="B8" s="160"/>
      <c r="C8" s="160"/>
      <c r="D8" s="253" t="e">
        <f>E8-1</f>
        <v>#VALUE!</v>
      </c>
      <c r="E8" s="253" t="e">
        <f>F8-1</f>
        <v>#VALUE!</v>
      </c>
      <c r="F8" s="252" t="s">
        <v>295</v>
      </c>
    </row>
    <row r="9" spans="1:10" ht="30" customHeight="1" x14ac:dyDescent="0.25">
      <c r="A9" s="60">
        <v>-1</v>
      </c>
      <c r="B9" s="276"/>
      <c r="C9" s="277"/>
      <c r="D9" s="278"/>
      <c r="E9" s="278"/>
      <c r="F9" s="279"/>
      <c r="J9" s="329"/>
    </row>
    <row r="10" spans="1:10" ht="30" customHeight="1" x14ac:dyDescent="0.25">
      <c r="A10" s="61">
        <v>-2</v>
      </c>
      <c r="B10" s="280"/>
      <c r="C10" s="281"/>
      <c r="D10" s="282"/>
      <c r="E10" s="282"/>
      <c r="F10" s="283"/>
    </row>
    <row r="11" spans="1:10" ht="30" customHeight="1" x14ac:dyDescent="0.25">
      <c r="A11" s="61">
        <v>-3</v>
      </c>
      <c r="B11" s="280"/>
      <c r="C11" s="281"/>
      <c r="D11" s="282"/>
      <c r="E11" s="282"/>
      <c r="F11" s="283"/>
    </row>
    <row r="12" spans="1:10" ht="30" customHeight="1" x14ac:dyDescent="0.25">
      <c r="A12" s="61">
        <v>-4</v>
      </c>
      <c r="B12" s="280"/>
      <c r="C12" s="281"/>
      <c r="D12" s="282"/>
      <c r="E12" s="282"/>
      <c r="F12" s="283"/>
    </row>
    <row r="13" spans="1:10" ht="30" customHeight="1" x14ac:dyDescent="0.25">
      <c r="A13" s="61">
        <v>-5</v>
      </c>
      <c r="B13" s="280"/>
      <c r="C13" s="281"/>
      <c r="D13" s="282"/>
      <c r="E13" s="282"/>
      <c r="F13" s="283"/>
    </row>
    <row r="14" spans="1:10" ht="30" customHeight="1" x14ac:dyDescent="0.25">
      <c r="A14" s="61">
        <v>-6</v>
      </c>
      <c r="B14" s="280"/>
      <c r="C14" s="281"/>
      <c r="D14" s="282"/>
      <c r="E14" s="282"/>
      <c r="F14" s="283"/>
    </row>
    <row r="15" spans="1:10" ht="30" customHeight="1" x14ac:dyDescent="0.25">
      <c r="A15" s="61">
        <v>-7</v>
      </c>
      <c r="B15" s="280"/>
      <c r="C15" s="281"/>
      <c r="D15" s="282"/>
      <c r="E15" s="282"/>
      <c r="F15" s="283"/>
    </row>
    <row r="16" spans="1:10" ht="30" customHeight="1" x14ac:dyDescent="0.25">
      <c r="A16" s="61">
        <v>-8</v>
      </c>
      <c r="B16" s="280"/>
      <c r="C16" s="281"/>
      <c r="D16" s="282"/>
      <c r="E16" s="282"/>
      <c r="F16" s="283"/>
    </row>
    <row r="17" spans="1:7" ht="30" customHeight="1" x14ac:dyDescent="0.25">
      <c r="A17" s="61">
        <v>-9</v>
      </c>
      <c r="B17" s="280"/>
      <c r="C17" s="281"/>
      <c r="D17" s="282"/>
      <c r="E17" s="282"/>
      <c r="F17" s="283"/>
    </row>
    <row r="18" spans="1:7" ht="30" customHeight="1" x14ac:dyDescent="0.25">
      <c r="A18" s="61">
        <v>-10</v>
      </c>
      <c r="B18" s="284"/>
      <c r="C18" s="285"/>
      <c r="D18" s="286"/>
      <c r="E18" s="286"/>
      <c r="F18" s="287"/>
    </row>
    <row r="19" spans="1:7" ht="30" customHeight="1" thickBot="1" x14ac:dyDescent="0.3">
      <c r="A19" s="76" t="s">
        <v>278</v>
      </c>
      <c r="B19" s="71"/>
      <c r="C19" s="72"/>
      <c r="D19" s="79">
        <f>SUM(D$9:D$18)</f>
        <v>0</v>
      </c>
      <c r="E19" s="79">
        <f>SUM(E$9:E$18)</f>
        <v>0</v>
      </c>
      <c r="F19" s="80">
        <f>SUM(F$9:F$18)</f>
        <v>0</v>
      </c>
    </row>
    <row r="20" spans="1:7" ht="24.95" customHeight="1" x14ac:dyDescent="0.25">
      <c r="A20" s="232" t="s">
        <v>296</v>
      </c>
      <c r="B20" s="233"/>
      <c r="C20" s="234"/>
      <c r="D20" s="288"/>
      <c r="E20" s="289"/>
      <c r="F20" s="290"/>
      <c r="G20" s="332" t="str">
        <f>IF(COUNTA(D20:F20)&lt;3,"←ERROR! Enter Statutory Page 14 Data."," ")</f>
        <v>←ERROR! Enter Statutory Page 14 Data.</v>
      </c>
    </row>
    <row r="21" spans="1:7" ht="24.95" customHeight="1" thickBot="1" x14ac:dyDescent="0.3">
      <c r="A21" s="235" t="s">
        <v>297</v>
      </c>
      <c r="B21" s="236"/>
      <c r="C21" s="237"/>
      <c r="D21" s="238">
        <f>D19-D20</f>
        <v>0</v>
      </c>
      <c r="E21" s="238">
        <f t="shared" ref="E21:F21" si="0">E19-E20</f>
        <v>0</v>
      </c>
      <c r="F21" s="255">
        <f t="shared" si="0"/>
        <v>0</v>
      </c>
    </row>
    <row r="23" spans="1:7" ht="15.75" thickBot="1" x14ac:dyDescent="0.3">
      <c r="A23" t="s">
        <v>298</v>
      </c>
    </row>
    <row r="24" spans="1:7" ht="136.5" customHeight="1" thickBot="1" x14ac:dyDescent="0.3">
      <c r="A24" s="582"/>
      <c r="B24" s="583"/>
      <c r="C24" s="583"/>
      <c r="D24" s="583"/>
      <c r="E24" s="583"/>
      <c r="F24" s="584"/>
      <c r="G24" s="332" t="str">
        <f>IF(AND(ISBLANK(A24),OR(ROUND(D21,0)&lt;&gt;0,ROUND(E21,0)&lt;&gt;0,ROUND(F21,0)&lt;&gt;0)),"← WARNING! Explain any differences.","")</f>
        <v/>
      </c>
    </row>
    <row r="25" spans="1:7" ht="5.0999999999999996" customHeight="1" x14ac:dyDescent="0.25"/>
    <row r="26" spans="1:7" ht="17.25" x14ac:dyDescent="0.25">
      <c r="A26" s="328" t="s">
        <v>299</v>
      </c>
    </row>
    <row r="27" spans="1:7" x14ac:dyDescent="0.25">
      <c r="A27" s="328" t="s">
        <v>300</v>
      </c>
    </row>
    <row r="28" spans="1:7" x14ac:dyDescent="0.25">
      <c r="A28" s="328" t="s">
        <v>301</v>
      </c>
    </row>
    <row r="29" spans="1:7" ht="17.25" x14ac:dyDescent="0.25">
      <c r="A29" t="s">
        <v>302</v>
      </c>
    </row>
  </sheetData>
  <sheetProtection algorithmName="SHA-512" hashValue="Ph4H4MAbdKDwdrgvoyu7DX8M470dSMKq71cGo3P8XJlolNgNK7OFncFJk8Gw67KCo0Tt2a+yhsglJGjaWnHYzQ==" saltValue="71o12W1DpRUoX8qpQfhy9Q==" spinCount="100000" sheet="1" objects="1" scenarios="1" formatColumns="0" formatRows="0" sort="0"/>
  <mergeCells count="1">
    <mergeCell ref="A24:F24"/>
  </mergeCells>
  <printOptions horizontalCentered="1"/>
  <pageMargins left="0.45" right="0.45" top="0.5" bottom="0.5" header="0.3" footer="0.3"/>
  <pageSetup scale="77" orientation="portrait" r:id="rId1"/>
  <headerFooter>
    <oddFooter>&amp;CPrior Approval Rate Application&amp;RPage 5&amp;L1/3/2023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election activeCell="X16" sqref="X16"/>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0" t="s">
        <v>189</v>
      </c>
      <c r="G1" s="36" t="s">
        <v>190</v>
      </c>
      <c r="J1" s="35" t="str">
        <f>Co_Name</f>
        <v xml:space="preserve">State Farm Mutual Automobile Insurance Company </v>
      </c>
    </row>
    <row r="2" spans="1:10" x14ac:dyDescent="0.25">
      <c r="A2" s="20" t="s">
        <v>192</v>
      </c>
      <c r="G2" s="36" t="s">
        <v>193</v>
      </c>
      <c r="J2" s="35" t="str">
        <f>General_Line</f>
        <v>Auto Liability and Physical Damage</v>
      </c>
    </row>
    <row r="3" spans="1:10" x14ac:dyDescent="0.25">
      <c r="B3" s="229"/>
    </row>
    <row r="4" spans="1:10" ht="24" thickBot="1" x14ac:dyDescent="0.4">
      <c r="B4" s="300" t="str">
        <f>CONCATENATE("ANNUAL STATEMENT LINE - ", J2,)</f>
        <v>ANNUAL STATEMENT LINE - Auto Liability and Physical Damage</v>
      </c>
      <c r="C4" s="205"/>
      <c r="D4" s="205"/>
      <c r="E4" s="205"/>
      <c r="F4" s="205"/>
      <c r="G4" s="205"/>
      <c r="H4" s="205"/>
      <c r="I4" s="205"/>
      <c r="J4" s="205"/>
    </row>
    <row r="5" spans="1:10" ht="30.75" thickBot="1" x14ac:dyDescent="0.3">
      <c r="B5" s="206" t="s">
        <v>303</v>
      </c>
      <c r="C5" s="206" t="s">
        <v>304</v>
      </c>
      <c r="D5" s="206" t="s">
        <v>305</v>
      </c>
      <c r="E5" s="206" t="s">
        <v>306</v>
      </c>
      <c r="F5" s="206" t="s">
        <v>307</v>
      </c>
      <c r="G5" s="206" t="s">
        <v>308</v>
      </c>
      <c r="H5" s="206" t="s">
        <v>309</v>
      </c>
      <c r="I5" s="206" t="s">
        <v>310</v>
      </c>
      <c r="J5" s="206" t="s">
        <v>311</v>
      </c>
    </row>
    <row r="6" spans="1:10" x14ac:dyDescent="0.25">
      <c r="A6" s="207" t="s">
        <v>312</v>
      </c>
      <c r="B6" s="258" t="s">
        <v>295</v>
      </c>
      <c r="C6" s="310">
        <v>0</v>
      </c>
      <c r="D6" s="301">
        <v>0</v>
      </c>
      <c r="E6" s="302">
        <v>0</v>
      </c>
      <c r="F6" s="216" t="e">
        <f>E6/$D6</f>
        <v>#DIV/0!</v>
      </c>
      <c r="G6" s="307">
        <v>0</v>
      </c>
      <c r="H6" s="216" t="e">
        <f>G6/$D6</f>
        <v>#DIV/0!</v>
      </c>
      <c r="I6" s="215">
        <f>E6+G6</f>
        <v>0</v>
      </c>
      <c r="J6" s="216" t="e">
        <f>I6/$D6</f>
        <v>#DIV/0!</v>
      </c>
    </row>
    <row r="7" spans="1:10" x14ac:dyDescent="0.25">
      <c r="A7" s="207" t="s">
        <v>313</v>
      </c>
      <c r="B7" s="259" t="e">
        <f>B6-1</f>
        <v>#VALUE!</v>
      </c>
      <c r="C7" s="311">
        <v>0</v>
      </c>
      <c r="D7" s="303">
        <v>0</v>
      </c>
      <c r="E7" s="304">
        <v>0</v>
      </c>
      <c r="F7" s="216" t="e">
        <f>E7/$D7</f>
        <v>#DIV/0!</v>
      </c>
      <c r="G7" s="308">
        <v>0</v>
      </c>
      <c r="H7" s="216" t="e">
        <f>G7/$D7</f>
        <v>#DIV/0!</v>
      </c>
      <c r="I7" s="215">
        <f>E7+G7</f>
        <v>0</v>
      </c>
      <c r="J7" s="216" t="e">
        <f>I7/$D7</f>
        <v>#DIV/0!</v>
      </c>
    </row>
    <row r="8" spans="1:10" x14ac:dyDescent="0.25">
      <c r="A8" s="207" t="s">
        <v>314</v>
      </c>
      <c r="B8" s="260" t="e">
        <f>B7-1</f>
        <v>#VALUE!</v>
      </c>
      <c r="C8" s="312">
        <v>0</v>
      </c>
      <c r="D8" s="305">
        <v>0</v>
      </c>
      <c r="E8" s="306">
        <v>0</v>
      </c>
      <c r="F8" s="217" t="e">
        <f>E8/$D8</f>
        <v>#DIV/0!</v>
      </c>
      <c r="G8" s="309">
        <v>0</v>
      </c>
      <c r="H8" s="217" t="e">
        <f>G8/$D8</f>
        <v>#DIV/0!</v>
      </c>
      <c r="I8" s="224">
        <f>E8+G8</f>
        <v>0</v>
      </c>
      <c r="J8" s="217" t="e">
        <f>I8/$D8</f>
        <v>#DIV/0!</v>
      </c>
    </row>
    <row r="9" spans="1:10" x14ac:dyDescent="0.25">
      <c r="A9" s="207" t="s">
        <v>315</v>
      </c>
      <c r="B9" s="261" t="s">
        <v>316</v>
      </c>
      <c r="C9" s="215">
        <f>AVERAGE(C6:C8)</f>
        <v>0</v>
      </c>
      <c r="D9" s="215">
        <f>AVERAGE(D6:D8)</f>
        <v>0</v>
      </c>
      <c r="E9" s="215">
        <f>AVERAGE(E6:E8)</f>
        <v>0</v>
      </c>
      <c r="F9" s="216" t="e">
        <f>E9/$D9</f>
        <v>#DIV/0!</v>
      </c>
      <c r="G9" s="215">
        <f>AVERAGE(G6:G8)</f>
        <v>0</v>
      </c>
      <c r="H9" s="216" t="e">
        <f>G9/$D9</f>
        <v>#DIV/0!</v>
      </c>
      <c r="I9" s="215">
        <f>AVERAGE(I6:I8)</f>
        <v>0</v>
      </c>
      <c r="J9" s="216" t="e">
        <f>I9/$D9</f>
        <v>#DIV/0!</v>
      </c>
    </row>
    <row r="10" spans="1:10" ht="5.0999999999999996" customHeight="1" x14ac:dyDescent="0.25">
      <c r="A10" s="207"/>
      <c r="B10" s="4"/>
      <c r="C10" s="209"/>
      <c r="D10" s="209"/>
      <c r="E10" s="209"/>
      <c r="F10" s="208"/>
      <c r="G10" s="209"/>
      <c r="H10" s="208"/>
      <c r="I10" s="209"/>
      <c r="J10" s="208"/>
    </row>
    <row r="11" spans="1:10" x14ac:dyDescent="0.25">
      <c r="A11" s="146"/>
      <c r="B11" s="210" t="e">
        <f>"Source: Annual Statement for "&amp;B8&amp;", "&amp;B7&amp;" &amp; "&amp;B6</f>
        <v>#VALUE!</v>
      </c>
      <c r="F11" s="211"/>
    </row>
    <row r="12" spans="1:10" x14ac:dyDescent="0.25">
      <c r="B12" s="326" t="s">
        <v>317</v>
      </c>
      <c r="F12" s="211"/>
    </row>
    <row r="13" spans="1:10" x14ac:dyDescent="0.25">
      <c r="A13" s="146"/>
      <c r="B13" s="210" t="s">
        <v>318</v>
      </c>
    </row>
    <row r="14" spans="1:10" x14ac:dyDescent="0.25">
      <c r="A14" s="146"/>
    </row>
    <row r="15" spans="1:10" x14ac:dyDescent="0.25">
      <c r="A15" s="146"/>
      <c r="B15" s="211" t="s">
        <v>319</v>
      </c>
    </row>
    <row r="16" spans="1:10" ht="30.75" thickBot="1" x14ac:dyDescent="0.3">
      <c r="A16" s="146"/>
      <c r="B16" s="206" t="s">
        <v>303</v>
      </c>
      <c r="C16" s="206" t="s">
        <v>304</v>
      </c>
      <c r="D16" s="206" t="s">
        <v>305</v>
      </c>
      <c r="E16" s="206" t="s">
        <v>306</v>
      </c>
      <c r="F16" s="206" t="s">
        <v>307</v>
      </c>
      <c r="G16" s="206" t="s">
        <v>308</v>
      </c>
      <c r="H16" s="206" t="s">
        <v>309</v>
      </c>
      <c r="I16" s="206" t="s">
        <v>310</v>
      </c>
      <c r="J16" s="206" t="s">
        <v>311</v>
      </c>
    </row>
    <row r="17" spans="1:10" x14ac:dyDescent="0.25">
      <c r="A17" s="207" t="s">
        <v>320</v>
      </c>
      <c r="B17" s="214" t="str">
        <f>$B$6</f>
        <v>YYYY</v>
      </c>
      <c r="C17" s="218">
        <f t="shared" ref="C17:E18" si="0">C26+C33+C40+C47+C54+C61+C68+C75+C82+C89+C96+C103+C110+C117+C124+C131+C138+C145+C152+C159+C166+C173+C180+C187+C194+C201+C208+C215+C222+C229</f>
        <v>0</v>
      </c>
      <c r="D17" s="218">
        <f t="shared" si="0"/>
        <v>0</v>
      </c>
      <c r="E17" s="218">
        <f t="shared" si="0"/>
        <v>0</v>
      </c>
      <c r="F17" s="219" t="e">
        <f>E17/$D17</f>
        <v>#DIV/0!</v>
      </c>
      <c r="G17" s="218">
        <f>G26+G33+G40+G47+G54+G61+G68+G75+G82+G89+G96+G103+G110+G117+G124+G131+G138+G145+G152+G159+G166+G173+G180+G187+G194+G201+G208+G215+G222+G229</f>
        <v>0</v>
      </c>
      <c r="H17" s="219" t="e">
        <f>G17/$D17</f>
        <v>#DIV/0!</v>
      </c>
      <c r="I17" s="218">
        <f>I26+I33+I40+I47+I54+I61+I68+I75+I82+I89+I96+I103+I110+I117+I124+I131+I138+I145+I152+I159+I166+I173+I180+I187+I194+I201+I208+I215+I222+I229</f>
        <v>0</v>
      </c>
      <c r="J17" s="219" t="e">
        <f>I17/$D17</f>
        <v>#DIV/0!</v>
      </c>
    </row>
    <row r="18" spans="1:10" x14ac:dyDescent="0.25">
      <c r="A18" s="207" t="s">
        <v>321</v>
      </c>
      <c r="B18" s="214" t="e">
        <f>$B$7</f>
        <v>#VALUE!</v>
      </c>
      <c r="C18" s="218">
        <f t="shared" si="0"/>
        <v>0</v>
      </c>
      <c r="D18" s="218">
        <f t="shared" si="0"/>
        <v>0</v>
      </c>
      <c r="E18" s="218">
        <f t="shared" si="0"/>
        <v>0</v>
      </c>
      <c r="F18" s="219" t="e">
        <f>E18/$D18</f>
        <v>#DIV/0!</v>
      </c>
      <c r="G18" s="218">
        <f>G27+G34+G41+G48+G55+G62+G69+G76+G83+G90+G97+G104+G111+G118+G125+G132+G139+G146+G153+G160+G167+G174+G181+G188+G195+G202+G209+G216+G223+G230</f>
        <v>0</v>
      </c>
      <c r="H18" s="219" t="e">
        <f>G18/$D18</f>
        <v>#DIV/0!</v>
      </c>
      <c r="I18" s="218">
        <f>I27+I34+I41+I48+I55+I62+I69+I76+I83+I90+I97+I104+I111+I118+I125+I132+I139+I146+I153+I160+I167+I174+I181+I188+I195+I1202+I209+I216+I223+I230</f>
        <v>0</v>
      </c>
      <c r="J18" s="219" t="e">
        <f>I18/$D18</f>
        <v>#DIV/0!</v>
      </c>
    </row>
    <row r="19" spans="1:10" x14ac:dyDescent="0.25">
      <c r="A19" s="207" t="s">
        <v>322</v>
      </c>
      <c r="B19" s="220" t="e">
        <f>$B$8</f>
        <v>#VALUE!</v>
      </c>
      <c r="C19" s="221">
        <f>C28+C35+C42+C49+C56+C63+C70+C77+C84+C91+C98+C105+C112+C119+C126+C133+C140+C147+C154+C161+C168+C175+C182+C189+C196+C203+C210+C217+C224+C231</f>
        <v>0</v>
      </c>
      <c r="D19" s="221">
        <f>D28+D35+D42+D49+D56+D63+D70+D77+D84+D91+D98+D105+D112+D119+D126+D133+D140+D147+D154+D161+D168+D175+D182+D189+D196+D203+D210+D217+D224+D231</f>
        <v>0</v>
      </c>
      <c r="E19" s="221">
        <f>E28+E35+E42+E49+E56+E63+E70+E77+E84+E91+E98+E105+E112+E119+E126+E133+E140+E147+E154+E161+E168+E175+E182+E189+E196+E203+E210+E217+E224+E231</f>
        <v>0</v>
      </c>
      <c r="F19" s="222" t="e">
        <f>E19/$D19</f>
        <v>#DIV/0!</v>
      </c>
      <c r="G19" s="221">
        <f>G28+G35+G42+G49+G56+G63+G70+G77+G84+G91+G98+G105+G112+G119+G126+G133+G140+G147+G154+G161+G168+G175+G181+G189+G196+G203+G210+G217+G224+G231</f>
        <v>0</v>
      </c>
      <c r="H19" s="222" t="e">
        <f>G19/$D19</f>
        <v>#DIV/0!</v>
      </c>
      <c r="I19" s="221">
        <f>I28+I35+I42+I49+I56+I63+I70+I77+I84+I91+I98+I105+I112+I119+I126+I133+I140+I147+I154+I161+I168+I175+I182+I189+I196+I203+I210+I217+I224+I231</f>
        <v>0</v>
      </c>
      <c r="J19" s="222" t="e">
        <f>I19/$D19</f>
        <v>#DIV/0!</v>
      </c>
    </row>
    <row r="20" spans="1:10" x14ac:dyDescent="0.25">
      <c r="A20" s="207" t="s">
        <v>323</v>
      </c>
      <c r="B20" s="214" t="s">
        <v>316</v>
      </c>
      <c r="C20" s="218">
        <f>AVERAGE(C17:C19)</f>
        <v>0</v>
      </c>
      <c r="D20" s="218">
        <f>AVERAGE(D17:D19)</f>
        <v>0</v>
      </c>
      <c r="E20" s="218">
        <f>AVERAGE(E17:E19)</f>
        <v>0</v>
      </c>
      <c r="F20" s="219" t="e">
        <f>E20/$D20</f>
        <v>#DIV/0!</v>
      </c>
      <c r="G20" s="218">
        <f>AVERAGE(G17:G19)</f>
        <v>0</v>
      </c>
      <c r="H20" s="219" t="e">
        <f>G20/$D20</f>
        <v>#DIV/0!</v>
      </c>
      <c r="I20" s="218">
        <f>AVERAGE(I17:I19)</f>
        <v>0</v>
      </c>
      <c r="J20" s="219" t="e">
        <f>I20/$D20</f>
        <v>#DIV/0!</v>
      </c>
    </row>
    <row r="21" spans="1:10" x14ac:dyDescent="0.25">
      <c r="A21" s="146"/>
      <c r="B21" s="4"/>
      <c r="C21" s="212"/>
      <c r="D21" s="212"/>
      <c r="E21" s="212"/>
      <c r="F21" s="208"/>
      <c r="G21" s="212"/>
      <c r="H21" s="208"/>
      <c r="I21" s="212"/>
      <c r="J21" s="208"/>
    </row>
    <row r="22" spans="1:10" x14ac:dyDescent="0.25">
      <c r="A22" s="146"/>
      <c r="B22" s="214" t="s">
        <v>297</v>
      </c>
      <c r="C22" s="223">
        <f>C20-C9</f>
        <v>0</v>
      </c>
      <c r="D22" s="223">
        <f t="shared" ref="D22:J22" si="1">D20-D9</f>
        <v>0</v>
      </c>
      <c r="E22" s="223">
        <f t="shared" si="1"/>
        <v>0</v>
      </c>
      <c r="F22" s="223" t="e">
        <f t="shared" si="1"/>
        <v>#DIV/0!</v>
      </c>
      <c r="G22" s="223">
        <f t="shared" si="1"/>
        <v>0</v>
      </c>
      <c r="H22" s="223" t="e">
        <f t="shared" si="1"/>
        <v>#DIV/0!</v>
      </c>
      <c r="I22" s="223">
        <f>I20-I9</f>
        <v>0</v>
      </c>
      <c r="J22" s="223" t="e">
        <f t="shared" si="1"/>
        <v>#DIV/0!</v>
      </c>
    </row>
    <row r="23" spans="1:10" x14ac:dyDescent="0.25">
      <c r="A23" s="146"/>
      <c r="B23" s="213" t="str">
        <f>IF(OR(C20&lt;&gt;C9,D20&lt;&gt;D9,E20&lt;&gt;E9,G20&lt;&gt;G9,I20&lt;&gt;I9),"ERROR! Total of all forms [Line (8)] must match Annual Statement in [Line (4)] above.  (Round-off will be ignored.)","")</f>
        <v/>
      </c>
    </row>
    <row r="24" spans="1:10" x14ac:dyDescent="0.25">
      <c r="A24" s="146"/>
      <c r="B24" s="585" t="s">
        <v>324</v>
      </c>
      <c r="C24" s="585"/>
    </row>
    <row r="25" spans="1:10" ht="30.75" thickBot="1" x14ac:dyDescent="0.3">
      <c r="A25" s="146"/>
      <c r="B25" s="206" t="s">
        <v>303</v>
      </c>
      <c r="C25" s="206" t="s">
        <v>304</v>
      </c>
      <c r="D25" s="206" t="s">
        <v>305</v>
      </c>
      <c r="E25" s="206" t="s">
        <v>306</v>
      </c>
      <c r="F25" s="206" t="s">
        <v>307</v>
      </c>
      <c r="G25" s="206" t="s">
        <v>308</v>
      </c>
      <c r="H25" s="206" t="s">
        <v>309</v>
      </c>
      <c r="I25" s="206" t="s">
        <v>310</v>
      </c>
      <c r="J25" s="206" t="s">
        <v>311</v>
      </c>
    </row>
    <row r="26" spans="1:10" x14ac:dyDescent="0.25">
      <c r="A26" s="146"/>
      <c r="B26" s="214" t="str">
        <f>$B$6</f>
        <v>YYYY</v>
      </c>
      <c r="C26" s="310">
        <v>0</v>
      </c>
      <c r="D26" s="301">
        <v>0</v>
      </c>
      <c r="E26" s="302">
        <v>0</v>
      </c>
      <c r="F26" s="216" t="e">
        <f>E26/$D26</f>
        <v>#DIV/0!</v>
      </c>
      <c r="G26" s="307">
        <v>0</v>
      </c>
      <c r="H26" s="216" t="e">
        <f>G26/$D26</f>
        <v>#DIV/0!</v>
      </c>
      <c r="I26" s="215">
        <f>E26+G26</f>
        <v>0</v>
      </c>
      <c r="J26" s="216" t="e">
        <f>I26/$D26</f>
        <v>#DIV/0!</v>
      </c>
    </row>
    <row r="27" spans="1:10" x14ac:dyDescent="0.25">
      <c r="A27" s="146"/>
      <c r="B27" s="214" t="e">
        <f>$B$7</f>
        <v>#VALUE!</v>
      </c>
      <c r="C27" s="311">
        <v>0</v>
      </c>
      <c r="D27" s="303">
        <v>0</v>
      </c>
      <c r="E27" s="304">
        <v>0</v>
      </c>
      <c r="F27" s="216" t="e">
        <f>E27/$D27</f>
        <v>#DIV/0!</v>
      </c>
      <c r="G27" s="308">
        <v>0</v>
      </c>
      <c r="H27" s="216" t="e">
        <f>G27/$D27</f>
        <v>#DIV/0!</v>
      </c>
      <c r="I27" s="215">
        <f>E27+G27</f>
        <v>0</v>
      </c>
      <c r="J27" s="216" t="e">
        <f>I27/$D27</f>
        <v>#DIV/0!</v>
      </c>
    </row>
    <row r="28" spans="1:10" x14ac:dyDescent="0.25">
      <c r="A28" s="146"/>
      <c r="B28" s="220" t="e">
        <f>$B$8</f>
        <v>#VALUE!</v>
      </c>
      <c r="C28" s="312">
        <v>0</v>
      </c>
      <c r="D28" s="305">
        <v>0</v>
      </c>
      <c r="E28" s="306">
        <v>0</v>
      </c>
      <c r="F28" s="217" t="e">
        <f>E28/$D28</f>
        <v>#DIV/0!</v>
      </c>
      <c r="G28" s="309">
        <v>0</v>
      </c>
      <c r="H28" s="217" t="e">
        <f>G28/$D28</f>
        <v>#DIV/0!</v>
      </c>
      <c r="I28" s="224">
        <f>E28+G28</f>
        <v>0</v>
      </c>
      <c r="J28" s="217" t="e">
        <f>I28/$D28</f>
        <v>#DIV/0!</v>
      </c>
    </row>
    <row r="29" spans="1:10" x14ac:dyDescent="0.25">
      <c r="A29" s="146"/>
      <c r="B29" s="214" t="s">
        <v>316</v>
      </c>
      <c r="C29" s="215">
        <f>AVERAGE(C26:C28)</f>
        <v>0</v>
      </c>
      <c r="D29" s="215">
        <f>AVERAGE(D26:D28)</f>
        <v>0</v>
      </c>
      <c r="E29" s="215">
        <f>AVERAGE(E26:E28)</f>
        <v>0</v>
      </c>
      <c r="F29" s="216" t="e">
        <f>E29/$D29</f>
        <v>#DIV/0!</v>
      </c>
      <c r="G29" s="215">
        <f>AVERAGE(G26:G28)</f>
        <v>0</v>
      </c>
      <c r="H29" s="216" t="e">
        <f>G29/$D29</f>
        <v>#DIV/0!</v>
      </c>
      <c r="I29" s="215">
        <f>AVERAGE(I26:I28)</f>
        <v>0</v>
      </c>
      <c r="J29" s="216" t="e">
        <f>I29/$D29</f>
        <v>#DIV/0!</v>
      </c>
    </row>
    <row r="30" spans="1:10" x14ac:dyDescent="0.25">
      <c r="A30" s="146"/>
    </row>
    <row r="31" spans="1:10" x14ac:dyDescent="0.25">
      <c r="A31" s="146"/>
      <c r="B31" s="585" t="s">
        <v>324</v>
      </c>
      <c r="C31" s="585"/>
    </row>
    <row r="32" spans="1:10" ht="30.75" thickBot="1" x14ac:dyDescent="0.3">
      <c r="A32" s="146"/>
      <c r="B32" s="206" t="s">
        <v>303</v>
      </c>
      <c r="C32" s="206" t="s">
        <v>304</v>
      </c>
      <c r="D32" s="206" t="s">
        <v>305</v>
      </c>
      <c r="E32" s="206" t="s">
        <v>306</v>
      </c>
      <c r="F32" s="206" t="s">
        <v>307</v>
      </c>
      <c r="G32" s="206" t="s">
        <v>308</v>
      </c>
      <c r="H32" s="206" t="s">
        <v>309</v>
      </c>
      <c r="I32" s="206" t="s">
        <v>310</v>
      </c>
      <c r="J32" s="206" t="s">
        <v>311</v>
      </c>
    </row>
    <row r="33" spans="1:10" x14ac:dyDescent="0.25">
      <c r="A33" s="146"/>
      <c r="B33" s="214" t="str">
        <f>$B$6</f>
        <v>YYYY</v>
      </c>
      <c r="C33" s="310">
        <v>0</v>
      </c>
      <c r="D33" s="301">
        <v>0</v>
      </c>
      <c r="E33" s="302">
        <v>0</v>
      </c>
      <c r="F33" s="216" t="e">
        <f>E33/$D33</f>
        <v>#DIV/0!</v>
      </c>
      <c r="G33" s="307">
        <v>0</v>
      </c>
      <c r="H33" s="216" t="e">
        <f>G33/$D33</f>
        <v>#DIV/0!</v>
      </c>
      <c r="I33" s="215">
        <f>E33+G33</f>
        <v>0</v>
      </c>
      <c r="J33" s="216" t="e">
        <f>I33/$D33</f>
        <v>#DIV/0!</v>
      </c>
    </row>
    <row r="34" spans="1:10" x14ac:dyDescent="0.25">
      <c r="A34" s="146"/>
      <c r="B34" s="214" t="e">
        <f>$B$7</f>
        <v>#VALUE!</v>
      </c>
      <c r="C34" s="311">
        <v>0</v>
      </c>
      <c r="D34" s="303">
        <v>0</v>
      </c>
      <c r="E34" s="304">
        <v>0</v>
      </c>
      <c r="F34" s="216" t="e">
        <f>E34/$D34</f>
        <v>#DIV/0!</v>
      </c>
      <c r="G34" s="308">
        <v>0</v>
      </c>
      <c r="H34" s="216" t="e">
        <f>G34/$D34</f>
        <v>#DIV/0!</v>
      </c>
      <c r="I34" s="215">
        <f>E34+G34</f>
        <v>0</v>
      </c>
      <c r="J34" s="216" t="e">
        <f>I34/$D34</f>
        <v>#DIV/0!</v>
      </c>
    </row>
    <row r="35" spans="1:10" x14ac:dyDescent="0.25">
      <c r="A35" s="146"/>
      <c r="B35" s="220" t="e">
        <f>$B$8</f>
        <v>#VALUE!</v>
      </c>
      <c r="C35" s="312">
        <v>0</v>
      </c>
      <c r="D35" s="305">
        <v>0</v>
      </c>
      <c r="E35" s="306">
        <v>0</v>
      </c>
      <c r="F35" s="217" t="e">
        <f>E35/$D35</f>
        <v>#DIV/0!</v>
      </c>
      <c r="G35" s="309">
        <v>0</v>
      </c>
      <c r="H35" s="217" t="e">
        <f>G35/$D35</f>
        <v>#DIV/0!</v>
      </c>
      <c r="I35" s="224">
        <f>E35+G35</f>
        <v>0</v>
      </c>
      <c r="J35" s="217" t="e">
        <f>I35/$D35</f>
        <v>#DIV/0!</v>
      </c>
    </row>
    <row r="36" spans="1:10" x14ac:dyDescent="0.25">
      <c r="A36" s="146"/>
      <c r="B36" s="214" t="s">
        <v>316</v>
      </c>
      <c r="C36" s="215">
        <f>AVERAGE(C33:C35)</f>
        <v>0</v>
      </c>
      <c r="D36" s="215">
        <f>AVERAGE(D33:D35)</f>
        <v>0</v>
      </c>
      <c r="E36" s="215">
        <f>AVERAGE(E33:E35)</f>
        <v>0</v>
      </c>
      <c r="F36" s="216" t="e">
        <f>E36/$D36</f>
        <v>#DIV/0!</v>
      </c>
      <c r="G36" s="215">
        <f>AVERAGE(G33:G35)</f>
        <v>0</v>
      </c>
      <c r="H36" s="216" t="e">
        <f>G36/$D36</f>
        <v>#DIV/0!</v>
      </c>
      <c r="I36" s="215">
        <f>AVERAGE(I33:I35)</f>
        <v>0</v>
      </c>
      <c r="J36" s="216" t="e">
        <f>I36/$D36</f>
        <v>#DIV/0!</v>
      </c>
    </row>
    <row r="37" spans="1:10" x14ac:dyDescent="0.25">
      <c r="A37" s="146"/>
    </row>
    <row r="38" spans="1:10" x14ac:dyDescent="0.25">
      <c r="A38" s="146"/>
      <c r="B38" s="585" t="s">
        <v>324</v>
      </c>
      <c r="C38" s="585"/>
    </row>
    <row r="39" spans="1:10" ht="30.75" thickBot="1" x14ac:dyDescent="0.3">
      <c r="A39" s="146"/>
      <c r="B39" s="206" t="s">
        <v>303</v>
      </c>
      <c r="C39" s="206" t="s">
        <v>304</v>
      </c>
      <c r="D39" s="206" t="s">
        <v>305</v>
      </c>
      <c r="E39" s="206" t="s">
        <v>306</v>
      </c>
      <c r="F39" s="206" t="s">
        <v>307</v>
      </c>
      <c r="G39" s="206" t="s">
        <v>308</v>
      </c>
      <c r="H39" s="206" t="s">
        <v>309</v>
      </c>
      <c r="I39" s="206" t="s">
        <v>310</v>
      </c>
      <c r="J39" s="206" t="s">
        <v>311</v>
      </c>
    </row>
    <row r="40" spans="1:10" x14ac:dyDescent="0.25">
      <c r="A40" s="146"/>
      <c r="B40" s="214" t="str">
        <f>$B$6</f>
        <v>YYYY</v>
      </c>
      <c r="C40" s="310">
        <v>0</v>
      </c>
      <c r="D40" s="301">
        <v>0</v>
      </c>
      <c r="E40" s="302">
        <v>0</v>
      </c>
      <c r="F40" s="216" t="e">
        <f>E40/$D40</f>
        <v>#DIV/0!</v>
      </c>
      <c r="G40" s="307">
        <v>0</v>
      </c>
      <c r="H40" s="216" t="e">
        <f>G40/$D40</f>
        <v>#DIV/0!</v>
      </c>
      <c r="I40" s="215">
        <f>E40+G40</f>
        <v>0</v>
      </c>
      <c r="J40" s="216" t="e">
        <f>I40/$D40</f>
        <v>#DIV/0!</v>
      </c>
    </row>
    <row r="41" spans="1:10" x14ac:dyDescent="0.25">
      <c r="A41" s="146"/>
      <c r="B41" s="214" t="e">
        <f>$B$7</f>
        <v>#VALUE!</v>
      </c>
      <c r="C41" s="311">
        <v>0</v>
      </c>
      <c r="D41" s="303">
        <v>0</v>
      </c>
      <c r="E41" s="304">
        <v>0</v>
      </c>
      <c r="F41" s="216" t="e">
        <f>E41/$D41</f>
        <v>#DIV/0!</v>
      </c>
      <c r="G41" s="308">
        <v>0</v>
      </c>
      <c r="H41" s="216" t="e">
        <f>G41/$D41</f>
        <v>#DIV/0!</v>
      </c>
      <c r="I41" s="215">
        <f>E41+G41</f>
        <v>0</v>
      </c>
      <c r="J41" s="216" t="e">
        <f>I41/$D41</f>
        <v>#DIV/0!</v>
      </c>
    </row>
    <row r="42" spans="1:10" x14ac:dyDescent="0.25">
      <c r="A42" s="146"/>
      <c r="B42" s="220" t="e">
        <f>$B$8</f>
        <v>#VALUE!</v>
      </c>
      <c r="C42" s="312">
        <v>0</v>
      </c>
      <c r="D42" s="305">
        <v>0</v>
      </c>
      <c r="E42" s="306">
        <v>0</v>
      </c>
      <c r="F42" s="217" t="e">
        <f>E42/$D42</f>
        <v>#DIV/0!</v>
      </c>
      <c r="G42" s="309">
        <v>0</v>
      </c>
      <c r="H42" s="217" t="e">
        <f>G42/$D42</f>
        <v>#DIV/0!</v>
      </c>
      <c r="I42" s="224">
        <f>E42+G42</f>
        <v>0</v>
      </c>
      <c r="J42" s="217" t="e">
        <f>I42/$D42</f>
        <v>#DIV/0!</v>
      </c>
    </row>
    <row r="43" spans="1:10" x14ac:dyDescent="0.25">
      <c r="A43" s="146"/>
      <c r="B43" s="214" t="s">
        <v>316</v>
      </c>
      <c r="C43" s="215">
        <f>AVERAGE(C40:C42)</f>
        <v>0</v>
      </c>
      <c r="D43" s="215">
        <f>AVERAGE(D40:D42)</f>
        <v>0</v>
      </c>
      <c r="E43" s="215">
        <f>AVERAGE(E40:E42)</f>
        <v>0</v>
      </c>
      <c r="F43" s="216" t="e">
        <f>E43/$D43</f>
        <v>#DIV/0!</v>
      </c>
      <c r="G43" s="215">
        <f>AVERAGE(G40:G42)</f>
        <v>0</v>
      </c>
      <c r="H43" s="216" t="e">
        <f>G43/$D43</f>
        <v>#DIV/0!</v>
      </c>
      <c r="I43" s="215">
        <f>AVERAGE(I40:I42)</f>
        <v>0</v>
      </c>
      <c r="J43" s="216" t="e">
        <f>I43/$D43</f>
        <v>#DIV/0!</v>
      </c>
    </row>
    <row r="44" spans="1:10" x14ac:dyDescent="0.25">
      <c r="A44" s="146"/>
    </row>
    <row r="45" spans="1:10" x14ac:dyDescent="0.25">
      <c r="A45" s="146"/>
      <c r="B45" s="585" t="s">
        <v>324</v>
      </c>
      <c r="C45" s="585"/>
    </row>
    <row r="46" spans="1:10" ht="30.75" thickBot="1" x14ac:dyDescent="0.3">
      <c r="A46" s="146"/>
      <c r="B46" s="206" t="s">
        <v>303</v>
      </c>
      <c r="C46" s="206" t="s">
        <v>304</v>
      </c>
      <c r="D46" s="206" t="s">
        <v>305</v>
      </c>
      <c r="E46" s="206" t="s">
        <v>306</v>
      </c>
      <c r="F46" s="206" t="s">
        <v>307</v>
      </c>
      <c r="G46" s="206" t="s">
        <v>308</v>
      </c>
      <c r="H46" s="206" t="s">
        <v>309</v>
      </c>
      <c r="I46" s="206" t="s">
        <v>310</v>
      </c>
      <c r="J46" s="206" t="s">
        <v>311</v>
      </c>
    </row>
    <row r="47" spans="1:10" x14ac:dyDescent="0.25">
      <c r="A47" s="146"/>
      <c r="B47" s="214" t="str">
        <f>$B$6</f>
        <v>YYYY</v>
      </c>
      <c r="C47" s="310">
        <v>0</v>
      </c>
      <c r="D47" s="301">
        <v>0</v>
      </c>
      <c r="E47" s="302">
        <v>0</v>
      </c>
      <c r="F47" s="216" t="e">
        <f>E47/$D47</f>
        <v>#DIV/0!</v>
      </c>
      <c r="G47" s="307">
        <v>0</v>
      </c>
      <c r="H47" s="216" t="e">
        <f>G47/$D47</f>
        <v>#DIV/0!</v>
      </c>
      <c r="I47" s="215">
        <f>E47+G47</f>
        <v>0</v>
      </c>
      <c r="J47" s="216" t="e">
        <f>I47/$D47</f>
        <v>#DIV/0!</v>
      </c>
    </row>
    <row r="48" spans="1:10" x14ac:dyDescent="0.25">
      <c r="A48" s="146"/>
      <c r="B48" s="214" t="e">
        <f>$B$7</f>
        <v>#VALUE!</v>
      </c>
      <c r="C48" s="311">
        <v>0</v>
      </c>
      <c r="D48" s="303">
        <v>0</v>
      </c>
      <c r="E48" s="304">
        <v>0</v>
      </c>
      <c r="F48" s="216" t="e">
        <f>E48/$D48</f>
        <v>#DIV/0!</v>
      </c>
      <c r="G48" s="308">
        <v>0</v>
      </c>
      <c r="H48" s="216" t="e">
        <f>G48/$D48</f>
        <v>#DIV/0!</v>
      </c>
      <c r="I48" s="215">
        <f>E48+G48</f>
        <v>0</v>
      </c>
      <c r="J48" s="216" t="e">
        <f>I48/$D48</f>
        <v>#DIV/0!</v>
      </c>
    </row>
    <row r="49" spans="1:10" x14ac:dyDescent="0.25">
      <c r="A49" s="146"/>
      <c r="B49" s="220" t="e">
        <f>$B$8</f>
        <v>#VALUE!</v>
      </c>
      <c r="C49" s="312">
        <v>0</v>
      </c>
      <c r="D49" s="305">
        <v>0</v>
      </c>
      <c r="E49" s="306">
        <v>0</v>
      </c>
      <c r="F49" s="217" t="e">
        <f>E49/$D49</f>
        <v>#DIV/0!</v>
      </c>
      <c r="G49" s="309">
        <v>0</v>
      </c>
      <c r="H49" s="217" t="e">
        <f>G49/$D49</f>
        <v>#DIV/0!</v>
      </c>
      <c r="I49" s="224">
        <f>E49+G49</f>
        <v>0</v>
      </c>
      <c r="J49" s="217" t="e">
        <f>I49/$D49</f>
        <v>#DIV/0!</v>
      </c>
    </row>
    <row r="50" spans="1:10" x14ac:dyDescent="0.25">
      <c r="A50" s="146"/>
      <c r="B50" s="214" t="s">
        <v>316</v>
      </c>
      <c r="C50" s="215">
        <f>AVERAGE(C47:C49)</f>
        <v>0</v>
      </c>
      <c r="D50" s="215">
        <f>AVERAGE(D47:D49)</f>
        <v>0</v>
      </c>
      <c r="E50" s="215">
        <f>AVERAGE(E47:E49)</f>
        <v>0</v>
      </c>
      <c r="F50" s="216" t="e">
        <f>E50/$D50</f>
        <v>#DIV/0!</v>
      </c>
      <c r="G50" s="215">
        <f>AVERAGE(G47:G49)</f>
        <v>0</v>
      </c>
      <c r="H50" s="216" t="e">
        <f>G50/$D50</f>
        <v>#DIV/0!</v>
      </c>
      <c r="I50" s="215">
        <f>AVERAGE(I47:I49)</f>
        <v>0</v>
      </c>
      <c r="J50" s="216" t="e">
        <f>I50/$D50</f>
        <v>#DIV/0!</v>
      </c>
    </row>
    <row r="51" spans="1:10" x14ac:dyDescent="0.25">
      <c r="A51" s="146"/>
    </row>
    <row r="52" spans="1:10" x14ac:dyDescent="0.25">
      <c r="A52" s="146"/>
      <c r="B52" s="585" t="s">
        <v>324</v>
      </c>
      <c r="C52" s="585"/>
    </row>
    <row r="53" spans="1:10" ht="30.75" thickBot="1" x14ac:dyDescent="0.3">
      <c r="A53" s="146"/>
      <c r="B53" s="206" t="s">
        <v>303</v>
      </c>
      <c r="C53" s="206" t="s">
        <v>304</v>
      </c>
      <c r="D53" s="206" t="s">
        <v>305</v>
      </c>
      <c r="E53" s="206" t="s">
        <v>306</v>
      </c>
      <c r="F53" s="206" t="s">
        <v>307</v>
      </c>
      <c r="G53" s="206" t="s">
        <v>308</v>
      </c>
      <c r="H53" s="206" t="s">
        <v>309</v>
      </c>
      <c r="I53" s="206" t="s">
        <v>310</v>
      </c>
      <c r="J53" s="206" t="s">
        <v>311</v>
      </c>
    </row>
    <row r="54" spans="1:10" x14ac:dyDescent="0.25">
      <c r="A54" s="146"/>
      <c r="B54" s="214" t="str">
        <f>$B$6</f>
        <v>YYYY</v>
      </c>
      <c r="C54" s="310">
        <v>0</v>
      </c>
      <c r="D54" s="301">
        <v>0</v>
      </c>
      <c r="E54" s="302">
        <v>0</v>
      </c>
      <c r="F54" s="216" t="e">
        <f>E54/$D54</f>
        <v>#DIV/0!</v>
      </c>
      <c r="G54" s="307">
        <v>0</v>
      </c>
      <c r="H54" s="216" t="e">
        <f>G54/$D54</f>
        <v>#DIV/0!</v>
      </c>
      <c r="I54" s="215">
        <f>E54+G54</f>
        <v>0</v>
      </c>
      <c r="J54" s="216" t="e">
        <f>I54/$D54</f>
        <v>#DIV/0!</v>
      </c>
    </row>
    <row r="55" spans="1:10" x14ac:dyDescent="0.25">
      <c r="A55" s="146"/>
      <c r="B55" s="214" t="e">
        <f>$B$7</f>
        <v>#VALUE!</v>
      </c>
      <c r="C55" s="311">
        <v>0</v>
      </c>
      <c r="D55" s="303">
        <v>0</v>
      </c>
      <c r="E55" s="304">
        <v>0</v>
      </c>
      <c r="F55" s="216" t="e">
        <f>E55/$D55</f>
        <v>#DIV/0!</v>
      </c>
      <c r="G55" s="308">
        <v>0</v>
      </c>
      <c r="H55" s="216" t="e">
        <f>G55/$D55</f>
        <v>#DIV/0!</v>
      </c>
      <c r="I55" s="215">
        <f>E55+G55</f>
        <v>0</v>
      </c>
      <c r="J55" s="216" t="e">
        <f>I55/$D55</f>
        <v>#DIV/0!</v>
      </c>
    </row>
    <row r="56" spans="1:10" x14ac:dyDescent="0.25">
      <c r="A56" s="146"/>
      <c r="B56" s="220" t="e">
        <f>$B$8</f>
        <v>#VALUE!</v>
      </c>
      <c r="C56" s="312">
        <v>0</v>
      </c>
      <c r="D56" s="305">
        <v>0</v>
      </c>
      <c r="E56" s="306">
        <v>0</v>
      </c>
      <c r="F56" s="217" t="e">
        <f>E56/$D56</f>
        <v>#DIV/0!</v>
      </c>
      <c r="G56" s="309">
        <v>0</v>
      </c>
      <c r="H56" s="217" t="e">
        <f>G56/$D56</f>
        <v>#DIV/0!</v>
      </c>
      <c r="I56" s="224">
        <f>E56+G56</f>
        <v>0</v>
      </c>
      <c r="J56" s="217" t="e">
        <f>I56/$D56</f>
        <v>#DIV/0!</v>
      </c>
    </row>
    <row r="57" spans="1:10" x14ac:dyDescent="0.25">
      <c r="A57" s="146"/>
      <c r="B57" s="214" t="s">
        <v>316</v>
      </c>
      <c r="C57" s="215">
        <f>AVERAGE(C54:C56)</f>
        <v>0</v>
      </c>
      <c r="D57" s="215">
        <f>AVERAGE(D54:D56)</f>
        <v>0</v>
      </c>
      <c r="E57" s="215">
        <f>AVERAGE(E54:E56)</f>
        <v>0</v>
      </c>
      <c r="F57" s="216" t="e">
        <f>E57/$D57</f>
        <v>#DIV/0!</v>
      </c>
      <c r="G57" s="215">
        <f>AVERAGE(G54:G56)</f>
        <v>0</v>
      </c>
      <c r="H57" s="216" t="e">
        <f>G57/$D57</f>
        <v>#DIV/0!</v>
      </c>
      <c r="I57" s="215">
        <f>AVERAGE(I54:I56)</f>
        <v>0</v>
      </c>
      <c r="J57" s="216" t="e">
        <f>I57/$D57</f>
        <v>#DIV/0!</v>
      </c>
    </row>
    <row r="58" spans="1:10" hidden="1" x14ac:dyDescent="0.25">
      <c r="A58" s="146"/>
    </row>
    <row r="59" spans="1:10" hidden="1" x14ac:dyDescent="0.25">
      <c r="A59" s="146"/>
      <c r="B59" s="585" t="s">
        <v>324</v>
      </c>
      <c r="C59" s="585"/>
    </row>
    <row r="60" spans="1:10" ht="30.75" hidden="1" thickBot="1" x14ac:dyDescent="0.3">
      <c r="A60" s="146"/>
      <c r="B60" s="206" t="s">
        <v>303</v>
      </c>
      <c r="C60" s="206" t="s">
        <v>304</v>
      </c>
      <c r="D60" s="206" t="s">
        <v>305</v>
      </c>
      <c r="E60" s="206" t="s">
        <v>306</v>
      </c>
      <c r="F60" s="206" t="s">
        <v>307</v>
      </c>
      <c r="G60" s="206" t="s">
        <v>308</v>
      </c>
      <c r="H60" s="206" t="s">
        <v>309</v>
      </c>
      <c r="I60" s="206" t="s">
        <v>310</v>
      </c>
      <c r="J60" s="206" t="s">
        <v>311</v>
      </c>
    </row>
    <row r="61" spans="1:10" hidden="1" x14ac:dyDescent="0.25">
      <c r="A61" s="146"/>
      <c r="B61" s="214" t="str">
        <f>$B$6</f>
        <v>YYYY</v>
      </c>
      <c r="C61" s="310">
        <v>0</v>
      </c>
      <c r="D61" s="301">
        <v>0</v>
      </c>
      <c r="E61" s="302">
        <v>0</v>
      </c>
      <c r="F61" s="216" t="e">
        <f>E61/$D61</f>
        <v>#DIV/0!</v>
      </c>
      <c r="G61" s="307">
        <v>0</v>
      </c>
      <c r="H61" s="216" t="e">
        <f>G61/$D61</f>
        <v>#DIV/0!</v>
      </c>
      <c r="I61" s="215">
        <f>E61+G61</f>
        <v>0</v>
      </c>
      <c r="J61" s="216" t="e">
        <f>I61/$D61</f>
        <v>#DIV/0!</v>
      </c>
    </row>
    <row r="62" spans="1:10" hidden="1" x14ac:dyDescent="0.25">
      <c r="A62" s="146"/>
      <c r="B62" s="214" t="e">
        <f>$B$7</f>
        <v>#VALUE!</v>
      </c>
      <c r="C62" s="311">
        <v>0</v>
      </c>
      <c r="D62" s="303">
        <v>0</v>
      </c>
      <c r="E62" s="304">
        <v>0</v>
      </c>
      <c r="F62" s="216" t="e">
        <f>E62/$D62</f>
        <v>#DIV/0!</v>
      </c>
      <c r="G62" s="308">
        <v>0</v>
      </c>
      <c r="H62" s="216" t="e">
        <f>G62/$D62</f>
        <v>#DIV/0!</v>
      </c>
      <c r="I62" s="215">
        <f>E62+G62</f>
        <v>0</v>
      </c>
      <c r="J62" s="216" t="e">
        <f>I62/$D62</f>
        <v>#DIV/0!</v>
      </c>
    </row>
    <row r="63" spans="1:10" hidden="1" x14ac:dyDescent="0.25">
      <c r="A63" s="146"/>
      <c r="B63" s="220" t="e">
        <f>$B$8</f>
        <v>#VALUE!</v>
      </c>
      <c r="C63" s="312">
        <v>0</v>
      </c>
      <c r="D63" s="305">
        <v>0</v>
      </c>
      <c r="E63" s="306">
        <v>0</v>
      </c>
      <c r="F63" s="217" t="e">
        <f>E63/$D63</f>
        <v>#DIV/0!</v>
      </c>
      <c r="G63" s="309">
        <v>0</v>
      </c>
      <c r="H63" s="217" t="e">
        <f>G63/$D63</f>
        <v>#DIV/0!</v>
      </c>
      <c r="I63" s="224">
        <f>E63+G63</f>
        <v>0</v>
      </c>
      <c r="J63" s="217" t="e">
        <f>I63/$D63</f>
        <v>#DIV/0!</v>
      </c>
    </row>
    <row r="64" spans="1:10" hidden="1" x14ac:dyDescent="0.25">
      <c r="A64" s="146"/>
      <c r="B64" s="214" t="s">
        <v>316</v>
      </c>
      <c r="C64" s="215">
        <f>AVERAGE(C61:C63)</f>
        <v>0</v>
      </c>
      <c r="D64" s="215">
        <f>AVERAGE(D61:D63)</f>
        <v>0</v>
      </c>
      <c r="E64" s="215">
        <f>AVERAGE(E61:E63)</f>
        <v>0</v>
      </c>
      <c r="F64" s="216" t="e">
        <f>E64/$D64</f>
        <v>#DIV/0!</v>
      </c>
      <c r="G64" s="215">
        <f>AVERAGE(G61:G63)</f>
        <v>0</v>
      </c>
      <c r="H64" s="216" t="e">
        <f>G64/$D64</f>
        <v>#DIV/0!</v>
      </c>
      <c r="I64" s="215">
        <f>AVERAGE(I61:I63)</f>
        <v>0</v>
      </c>
      <c r="J64" s="216" t="e">
        <f>I64/$D64</f>
        <v>#DIV/0!</v>
      </c>
    </row>
    <row r="65" spans="1:10" hidden="1" x14ac:dyDescent="0.25">
      <c r="A65" s="146"/>
    </row>
    <row r="66" spans="1:10" hidden="1" x14ac:dyDescent="0.25">
      <c r="A66" s="146"/>
      <c r="B66" s="585" t="s">
        <v>324</v>
      </c>
      <c r="C66" s="585"/>
    </row>
    <row r="67" spans="1:10" ht="30.75" hidden="1" thickBot="1" x14ac:dyDescent="0.3">
      <c r="A67" s="146"/>
      <c r="B67" s="206" t="s">
        <v>303</v>
      </c>
      <c r="C67" s="206" t="s">
        <v>304</v>
      </c>
      <c r="D67" s="206" t="s">
        <v>305</v>
      </c>
      <c r="E67" s="206" t="s">
        <v>306</v>
      </c>
      <c r="F67" s="206" t="s">
        <v>307</v>
      </c>
      <c r="G67" s="206" t="s">
        <v>308</v>
      </c>
      <c r="H67" s="206" t="s">
        <v>309</v>
      </c>
      <c r="I67" s="206" t="s">
        <v>310</v>
      </c>
      <c r="J67" s="206" t="s">
        <v>311</v>
      </c>
    </row>
    <row r="68" spans="1:10" hidden="1" x14ac:dyDescent="0.25">
      <c r="A68" s="146"/>
      <c r="B68" s="214" t="str">
        <f>$B$6</f>
        <v>YYYY</v>
      </c>
      <c r="C68" s="310">
        <v>0</v>
      </c>
      <c r="D68" s="301">
        <v>0</v>
      </c>
      <c r="E68" s="302">
        <v>0</v>
      </c>
      <c r="F68" s="216" t="e">
        <f>E68/$D68</f>
        <v>#DIV/0!</v>
      </c>
      <c r="G68" s="307">
        <v>0</v>
      </c>
      <c r="H68" s="216" t="e">
        <f>G68/$D68</f>
        <v>#DIV/0!</v>
      </c>
      <c r="I68" s="215">
        <f>E68+G68</f>
        <v>0</v>
      </c>
      <c r="J68" s="216" t="e">
        <f>I68/$D68</f>
        <v>#DIV/0!</v>
      </c>
    </row>
    <row r="69" spans="1:10" hidden="1" x14ac:dyDescent="0.25">
      <c r="A69" s="146"/>
      <c r="B69" s="214" t="e">
        <f>$B$7</f>
        <v>#VALUE!</v>
      </c>
      <c r="C69" s="311">
        <v>0</v>
      </c>
      <c r="D69" s="303">
        <v>0</v>
      </c>
      <c r="E69" s="304">
        <v>0</v>
      </c>
      <c r="F69" s="216" t="e">
        <f>E69/$D69</f>
        <v>#DIV/0!</v>
      </c>
      <c r="G69" s="308">
        <v>0</v>
      </c>
      <c r="H69" s="216" t="e">
        <f>G69/$D69</f>
        <v>#DIV/0!</v>
      </c>
      <c r="I69" s="215">
        <f>E69+G69</f>
        <v>0</v>
      </c>
      <c r="J69" s="216" t="e">
        <f>I69/$D69</f>
        <v>#DIV/0!</v>
      </c>
    </row>
    <row r="70" spans="1:10" hidden="1" x14ac:dyDescent="0.25">
      <c r="A70" s="146"/>
      <c r="B70" s="220" t="e">
        <f>$B$8</f>
        <v>#VALUE!</v>
      </c>
      <c r="C70" s="312">
        <v>0</v>
      </c>
      <c r="D70" s="305">
        <v>0</v>
      </c>
      <c r="E70" s="306">
        <v>0</v>
      </c>
      <c r="F70" s="217" t="e">
        <f>E70/$D70</f>
        <v>#DIV/0!</v>
      </c>
      <c r="G70" s="309">
        <v>0</v>
      </c>
      <c r="H70" s="217" t="e">
        <f>G70/$D70</f>
        <v>#DIV/0!</v>
      </c>
      <c r="I70" s="224">
        <f>E70+G70</f>
        <v>0</v>
      </c>
      <c r="J70" s="217" t="e">
        <f>I70/$D70</f>
        <v>#DIV/0!</v>
      </c>
    </row>
    <row r="71" spans="1:10" hidden="1" x14ac:dyDescent="0.25">
      <c r="A71" s="146"/>
      <c r="B71" s="214" t="s">
        <v>316</v>
      </c>
      <c r="C71" s="215">
        <f>AVERAGE(C68:C70)</f>
        <v>0</v>
      </c>
      <c r="D71" s="215">
        <f>AVERAGE(D68:D70)</f>
        <v>0</v>
      </c>
      <c r="E71" s="215">
        <f>AVERAGE(E68:E70)</f>
        <v>0</v>
      </c>
      <c r="F71" s="216" t="e">
        <f>E71/$D71</f>
        <v>#DIV/0!</v>
      </c>
      <c r="G71" s="215">
        <f>AVERAGE(G68:G70)</f>
        <v>0</v>
      </c>
      <c r="H71" s="216" t="e">
        <f>G71/$D71</f>
        <v>#DIV/0!</v>
      </c>
      <c r="I71" s="215">
        <f>AVERAGE(I68:I70)</f>
        <v>0</v>
      </c>
      <c r="J71" s="216" t="e">
        <f>I71/$D71</f>
        <v>#DIV/0!</v>
      </c>
    </row>
    <row r="72" spans="1:10" hidden="1" x14ac:dyDescent="0.25">
      <c r="A72" s="146"/>
    </row>
    <row r="73" spans="1:10" hidden="1" x14ac:dyDescent="0.25">
      <c r="A73" s="146"/>
      <c r="B73" s="585" t="s">
        <v>324</v>
      </c>
      <c r="C73" s="585"/>
    </row>
    <row r="74" spans="1:10" ht="30.75" hidden="1" thickBot="1" x14ac:dyDescent="0.3">
      <c r="A74" s="146"/>
      <c r="B74" s="206" t="s">
        <v>303</v>
      </c>
      <c r="C74" s="206" t="s">
        <v>304</v>
      </c>
      <c r="D74" s="206" t="s">
        <v>305</v>
      </c>
      <c r="E74" s="206" t="s">
        <v>306</v>
      </c>
      <c r="F74" s="206" t="s">
        <v>307</v>
      </c>
      <c r="G74" s="206" t="s">
        <v>308</v>
      </c>
      <c r="H74" s="206" t="s">
        <v>309</v>
      </c>
      <c r="I74" s="206" t="s">
        <v>310</v>
      </c>
      <c r="J74" s="206" t="s">
        <v>311</v>
      </c>
    </row>
    <row r="75" spans="1:10" hidden="1" x14ac:dyDescent="0.25">
      <c r="A75" s="146"/>
      <c r="B75" s="214" t="str">
        <f>$B$6</f>
        <v>YYYY</v>
      </c>
      <c r="C75" s="310">
        <v>0</v>
      </c>
      <c r="D75" s="301">
        <v>0</v>
      </c>
      <c r="E75" s="302">
        <v>0</v>
      </c>
      <c r="F75" s="216" t="e">
        <f>E75/$D75</f>
        <v>#DIV/0!</v>
      </c>
      <c r="G75" s="307">
        <v>0</v>
      </c>
      <c r="H75" s="216" t="e">
        <f>G75/$D75</f>
        <v>#DIV/0!</v>
      </c>
      <c r="I75" s="215">
        <f>E75+G75</f>
        <v>0</v>
      </c>
      <c r="J75" s="216" t="e">
        <f>I75/$D75</f>
        <v>#DIV/0!</v>
      </c>
    </row>
    <row r="76" spans="1:10" hidden="1" x14ac:dyDescent="0.25">
      <c r="A76" s="146"/>
      <c r="B76" s="214" t="e">
        <f>$B$7</f>
        <v>#VALUE!</v>
      </c>
      <c r="C76" s="311">
        <v>0</v>
      </c>
      <c r="D76" s="303">
        <v>0</v>
      </c>
      <c r="E76" s="304">
        <v>0</v>
      </c>
      <c r="F76" s="216" t="e">
        <f>E76/$D76</f>
        <v>#DIV/0!</v>
      </c>
      <c r="G76" s="308">
        <v>0</v>
      </c>
      <c r="H76" s="216" t="e">
        <f>G76/$D76</f>
        <v>#DIV/0!</v>
      </c>
      <c r="I76" s="215">
        <f>E76+G76</f>
        <v>0</v>
      </c>
      <c r="J76" s="216" t="e">
        <f>I76/$D76</f>
        <v>#DIV/0!</v>
      </c>
    </row>
    <row r="77" spans="1:10" hidden="1" x14ac:dyDescent="0.25">
      <c r="A77" s="146"/>
      <c r="B77" s="220" t="e">
        <f>$B$8</f>
        <v>#VALUE!</v>
      </c>
      <c r="C77" s="312">
        <v>0</v>
      </c>
      <c r="D77" s="305">
        <v>0</v>
      </c>
      <c r="E77" s="306">
        <v>0</v>
      </c>
      <c r="F77" s="217" t="e">
        <f>E77/$D77</f>
        <v>#DIV/0!</v>
      </c>
      <c r="G77" s="309">
        <v>0</v>
      </c>
      <c r="H77" s="217" t="e">
        <f>G77/$D77</f>
        <v>#DIV/0!</v>
      </c>
      <c r="I77" s="224">
        <f>E77+G77</f>
        <v>0</v>
      </c>
      <c r="J77" s="217" t="e">
        <f>I77/$D77</f>
        <v>#DIV/0!</v>
      </c>
    </row>
    <row r="78" spans="1:10" hidden="1" x14ac:dyDescent="0.25">
      <c r="A78" s="146"/>
      <c r="B78" s="214" t="s">
        <v>316</v>
      </c>
      <c r="C78" s="215">
        <f>AVERAGE(C75:C77)</f>
        <v>0</v>
      </c>
      <c r="D78" s="215">
        <f>AVERAGE(D75:D77)</f>
        <v>0</v>
      </c>
      <c r="E78" s="215">
        <f>AVERAGE(E75:E77)</f>
        <v>0</v>
      </c>
      <c r="F78" s="216" t="e">
        <f>E78/$D78</f>
        <v>#DIV/0!</v>
      </c>
      <c r="G78" s="215">
        <f>AVERAGE(G75:G77)</f>
        <v>0</v>
      </c>
      <c r="H78" s="216" t="e">
        <f>G78/$D78</f>
        <v>#DIV/0!</v>
      </c>
      <c r="I78" s="215">
        <f>AVERAGE(I75:I77)</f>
        <v>0</v>
      </c>
      <c r="J78" s="216" t="e">
        <f>I78/$D78</f>
        <v>#DIV/0!</v>
      </c>
    </row>
    <row r="79" spans="1:10" hidden="1" x14ac:dyDescent="0.25">
      <c r="A79" s="146"/>
    </row>
    <row r="80" spans="1:10" hidden="1" x14ac:dyDescent="0.25">
      <c r="A80" s="146"/>
      <c r="B80" s="585" t="s">
        <v>324</v>
      </c>
      <c r="C80" s="585"/>
    </row>
    <row r="81" spans="1:10" ht="30.75" hidden="1" thickBot="1" x14ac:dyDescent="0.3">
      <c r="A81" s="146"/>
      <c r="B81" s="206" t="s">
        <v>303</v>
      </c>
      <c r="C81" s="206" t="s">
        <v>304</v>
      </c>
      <c r="D81" s="206" t="s">
        <v>305</v>
      </c>
      <c r="E81" s="206" t="s">
        <v>306</v>
      </c>
      <c r="F81" s="206" t="s">
        <v>307</v>
      </c>
      <c r="G81" s="206" t="s">
        <v>308</v>
      </c>
      <c r="H81" s="206" t="s">
        <v>309</v>
      </c>
      <c r="I81" s="206" t="s">
        <v>310</v>
      </c>
      <c r="J81" s="206" t="s">
        <v>311</v>
      </c>
    </row>
    <row r="82" spans="1:10" hidden="1" x14ac:dyDescent="0.25">
      <c r="A82" s="146"/>
      <c r="B82" s="214" t="str">
        <f>$B$6</f>
        <v>YYYY</v>
      </c>
      <c r="C82" s="310">
        <v>0</v>
      </c>
      <c r="D82" s="301">
        <v>0</v>
      </c>
      <c r="E82" s="302">
        <v>0</v>
      </c>
      <c r="F82" s="216" t="e">
        <f>E82/$D82</f>
        <v>#DIV/0!</v>
      </c>
      <c r="G82" s="307">
        <v>0</v>
      </c>
      <c r="H82" s="216" t="e">
        <f>G82/$D82</f>
        <v>#DIV/0!</v>
      </c>
      <c r="I82" s="215">
        <f>E82+G82</f>
        <v>0</v>
      </c>
      <c r="J82" s="216" t="e">
        <f>I82/$D82</f>
        <v>#DIV/0!</v>
      </c>
    </row>
    <row r="83" spans="1:10" hidden="1" x14ac:dyDescent="0.25">
      <c r="A83" s="146"/>
      <c r="B83" s="214" t="e">
        <f>$B$7</f>
        <v>#VALUE!</v>
      </c>
      <c r="C83" s="311">
        <v>0</v>
      </c>
      <c r="D83" s="303">
        <v>0</v>
      </c>
      <c r="E83" s="304">
        <v>0</v>
      </c>
      <c r="F83" s="216" t="e">
        <f>E83/$D83</f>
        <v>#DIV/0!</v>
      </c>
      <c r="G83" s="308">
        <v>0</v>
      </c>
      <c r="H83" s="216" t="e">
        <f>G83/$D83</f>
        <v>#DIV/0!</v>
      </c>
      <c r="I83" s="215">
        <f>E83+G83</f>
        <v>0</v>
      </c>
      <c r="J83" s="216" t="e">
        <f>I83/$D83</f>
        <v>#DIV/0!</v>
      </c>
    </row>
    <row r="84" spans="1:10" hidden="1" x14ac:dyDescent="0.25">
      <c r="A84" s="146"/>
      <c r="B84" s="220" t="e">
        <f>$B$8</f>
        <v>#VALUE!</v>
      </c>
      <c r="C84" s="312">
        <v>0</v>
      </c>
      <c r="D84" s="305">
        <v>0</v>
      </c>
      <c r="E84" s="306">
        <v>0</v>
      </c>
      <c r="F84" s="217" t="e">
        <f>E84/$D84</f>
        <v>#DIV/0!</v>
      </c>
      <c r="G84" s="309">
        <v>0</v>
      </c>
      <c r="H84" s="217" t="e">
        <f>G84/$D84</f>
        <v>#DIV/0!</v>
      </c>
      <c r="I84" s="224">
        <f>E84+G84</f>
        <v>0</v>
      </c>
      <c r="J84" s="217" t="e">
        <f>I84/$D84</f>
        <v>#DIV/0!</v>
      </c>
    </row>
    <row r="85" spans="1:10" hidden="1" x14ac:dyDescent="0.25">
      <c r="A85" s="146"/>
      <c r="B85" s="214" t="s">
        <v>316</v>
      </c>
      <c r="C85" s="215">
        <f>AVERAGE(C82:C84)</f>
        <v>0</v>
      </c>
      <c r="D85" s="215">
        <f>AVERAGE(D82:D84)</f>
        <v>0</v>
      </c>
      <c r="E85" s="215">
        <f>AVERAGE(E82:E84)</f>
        <v>0</v>
      </c>
      <c r="F85" s="216" t="e">
        <f>E85/$D85</f>
        <v>#DIV/0!</v>
      </c>
      <c r="G85" s="215">
        <f>AVERAGE(G82:G84)</f>
        <v>0</v>
      </c>
      <c r="H85" s="216" t="e">
        <f>G85/$D85</f>
        <v>#DIV/0!</v>
      </c>
      <c r="I85" s="215">
        <f>AVERAGE(I82:I84)</f>
        <v>0</v>
      </c>
      <c r="J85" s="216" t="e">
        <f>I85/$D85</f>
        <v>#DIV/0!</v>
      </c>
    </row>
    <row r="86" spans="1:10" hidden="1" x14ac:dyDescent="0.25">
      <c r="A86" s="146"/>
    </row>
    <row r="87" spans="1:10" hidden="1" x14ac:dyDescent="0.25">
      <c r="A87" s="146"/>
      <c r="B87" s="585" t="s">
        <v>324</v>
      </c>
      <c r="C87" s="585"/>
    </row>
    <row r="88" spans="1:10" ht="30.75" hidden="1" thickBot="1" x14ac:dyDescent="0.3">
      <c r="A88" s="146"/>
      <c r="B88" s="206" t="s">
        <v>303</v>
      </c>
      <c r="C88" s="206" t="s">
        <v>304</v>
      </c>
      <c r="D88" s="206" t="s">
        <v>305</v>
      </c>
      <c r="E88" s="206" t="s">
        <v>306</v>
      </c>
      <c r="F88" s="206" t="s">
        <v>307</v>
      </c>
      <c r="G88" s="206" t="s">
        <v>308</v>
      </c>
      <c r="H88" s="206" t="s">
        <v>309</v>
      </c>
      <c r="I88" s="206" t="s">
        <v>310</v>
      </c>
      <c r="J88" s="206" t="s">
        <v>311</v>
      </c>
    </row>
    <row r="89" spans="1:10" hidden="1" x14ac:dyDescent="0.25">
      <c r="A89" s="146"/>
      <c r="B89" s="214" t="str">
        <f>$B$6</f>
        <v>YYYY</v>
      </c>
      <c r="C89" s="310">
        <v>0</v>
      </c>
      <c r="D89" s="301">
        <v>0</v>
      </c>
      <c r="E89" s="302">
        <v>0</v>
      </c>
      <c r="F89" s="216" t="e">
        <f>E89/$D89</f>
        <v>#DIV/0!</v>
      </c>
      <c r="G89" s="307">
        <v>0</v>
      </c>
      <c r="H89" s="216" t="e">
        <f>G89/$D89</f>
        <v>#DIV/0!</v>
      </c>
      <c r="I89" s="215">
        <f>E89+G89</f>
        <v>0</v>
      </c>
      <c r="J89" s="216" t="e">
        <f>I89/$D89</f>
        <v>#DIV/0!</v>
      </c>
    </row>
    <row r="90" spans="1:10" hidden="1" x14ac:dyDescent="0.25">
      <c r="A90" s="146"/>
      <c r="B90" s="214" t="e">
        <f>$B$7</f>
        <v>#VALUE!</v>
      </c>
      <c r="C90" s="311">
        <v>0</v>
      </c>
      <c r="D90" s="303">
        <v>0</v>
      </c>
      <c r="E90" s="304">
        <v>0</v>
      </c>
      <c r="F90" s="216" t="e">
        <f>E90/$D90</f>
        <v>#DIV/0!</v>
      </c>
      <c r="G90" s="308">
        <v>0</v>
      </c>
      <c r="H90" s="216" t="e">
        <f>G90/$D90</f>
        <v>#DIV/0!</v>
      </c>
      <c r="I90" s="215">
        <f>E90+G90</f>
        <v>0</v>
      </c>
      <c r="J90" s="216" t="e">
        <f>I90/$D90</f>
        <v>#DIV/0!</v>
      </c>
    </row>
    <row r="91" spans="1:10" hidden="1" x14ac:dyDescent="0.25">
      <c r="A91" s="146"/>
      <c r="B91" s="220" t="e">
        <f>$B$8</f>
        <v>#VALUE!</v>
      </c>
      <c r="C91" s="312">
        <v>0</v>
      </c>
      <c r="D91" s="305">
        <v>0</v>
      </c>
      <c r="E91" s="306">
        <v>0</v>
      </c>
      <c r="F91" s="217" t="e">
        <f>E91/$D91</f>
        <v>#DIV/0!</v>
      </c>
      <c r="G91" s="309">
        <v>0</v>
      </c>
      <c r="H91" s="217" t="e">
        <f>G91/$D91</f>
        <v>#DIV/0!</v>
      </c>
      <c r="I91" s="224">
        <f>E91+G91</f>
        <v>0</v>
      </c>
      <c r="J91" s="217" t="e">
        <f>I91/$D91</f>
        <v>#DIV/0!</v>
      </c>
    </row>
    <row r="92" spans="1:10" hidden="1" x14ac:dyDescent="0.25">
      <c r="A92" s="146"/>
      <c r="B92" s="214" t="s">
        <v>316</v>
      </c>
      <c r="C92" s="215">
        <f>AVERAGE(C89:C91)</f>
        <v>0</v>
      </c>
      <c r="D92" s="215">
        <f>AVERAGE(D89:D91)</f>
        <v>0</v>
      </c>
      <c r="E92" s="215">
        <f>AVERAGE(E89:E91)</f>
        <v>0</v>
      </c>
      <c r="F92" s="216" t="e">
        <f>E92/$D92</f>
        <v>#DIV/0!</v>
      </c>
      <c r="G92" s="215">
        <f>AVERAGE(G89:G91)</f>
        <v>0</v>
      </c>
      <c r="H92" s="216" t="e">
        <f>G92/$D92</f>
        <v>#DIV/0!</v>
      </c>
      <c r="I92" s="215">
        <f>AVERAGE(I89:I91)</f>
        <v>0</v>
      </c>
      <c r="J92" s="216" t="e">
        <f>I92/$D92</f>
        <v>#DIV/0!</v>
      </c>
    </row>
    <row r="93" spans="1:10" hidden="1" x14ac:dyDescent="0.25">
      <c r="A93" s="146"/>
    </row>
    <row r="94" spans="1:10" hidden="1" x14ac:dyDescent="0.25">
      <c r="A94" s="146"/>
      <c r="B94" s="585" t="s">
        <v>324</v>
      </c>
      <c r="C94" s="585"/>
    </row>
    <row r="95" spans="1:10" ht="30.75" hidden="1" thickBot="1" x14ac:dyDescent="0.3">
      <c r="A95" s="146"/>
      <c r="B95" s="206" t="s">
        <v>303</v>
      </c>
      <c r="C95" s="206" t="s">
        <v>304</v>
      </c>
      <c r="D95" s="206" t="s">
        <v>305</v>
      </c>
      <c r="E95" s="206" t="s">
        <v>306</v>
      </c>
      <c r="F95" s="206" t="s">
        <v>307</v>
      </c>
      <c r="G95" s="206" t="s">
        <v>308</v>
      </c>
      <c r="H95" s="206" t="s">
        <v>309</v>
      </c>
      <c r="I95" s="206" t="s">
        <v>310</v>
      </c>
      <c r="J95" s="206" t="s">
        <v>311</v>
      </c>
    </row>
    <row r="96" spans="1:10" hidden="1" x14ac:dyDescent="0.25">
      <c r="A96" s="146"/>
      <c r="B96" s="214" t="str">
        <f>$B$6</f>
        <v>YYYY</v>
      </c>
      <c r="C96" s="310">
        <v>0</v>
      </c>
      <c r="D96" s="301">
        <v>0</v>
      </c>
      <c r="E96" s="302">
        <v>0</v>
      </c>
      <c r="F96" s="216" t="e">
        <f>E96/$D96</f>
        <v>#DIV/0!</v>
      </c>
      <c r="G96" s="307">
        <v>0</v>
      </c>
      <c r="H96" s="216" t="e">
        <f>G96/$D96</f>
        <v>#DIV/0!</v>
      </c>
      <c r="I96" s="215">
        <f>E96+G96</f>
        <v>0</v>
      </c>
      <c r="J96" s="216" t="e">
        <f>I96/$D96</f>
        <v>#DIV/0!</v>
      </c>
    </row>
    <row r="97" spans="1:10" hidden="1" x14ac:dyDescent="0.25">
      <c r="A97" s="146"/>
      <c r="B97" s="214" t="e">
        <f>$B$7</f>
        <v>#VALUE!</v>
      </c>
      <c r="C97" s="311">
        <v>0</v>
      </c>
      <c r="D97" s="303">
        <v>0</v>
      </c>
      <c r="E97" s="304">
        <v>0</v>
      </c>
      <c r="F97" s="216" t="e">
        <f>E97/$D97</f>
        <v>#DIV/0!</v>
      </c>
      <c r="G97" s="308">
        <v>0</v>
      </c>
      <c r="H97" s="216" t="e">
        <f>G97/$D97</f>
        <v>#DIV/0!</v>
      </c>
      <c r="I97" s="215">
        <f>E97+G97</f>
        <v>0</v>
      </c>
      <c r="J97" s="216" t="e">
        <f>I97/$D97</f>
        <v>#DIV/0!</v>
      </c>
    </row>
    <row r="98" spans="1:10" hidden="1" x14ac:dyDescent="0.25">
      <c r="A98" s="146"/>
      <c r="B98" s="220" t="e">
        <f>$B$8</f>
        <v>#VALUE!</v>
      </c>
      <c r="C98" s="312">
        <v>0</v>
      </c>
      <c r="D98" s="305">
        <v>0</v>
      </c>
      <c r="E98" s="306">
        <v>0</v>
      </c>
      <c r="F98" s="217" t="e">
        <f>E98/$D98</f>
        <v>#DIV/0!</v>
      </c>
      <c r="G98" s="309">
        <v>0</v>
      </c>
      <c r="H98" s="217" t="e">
        <f>G98/$D98</f>
        <v>#DIV/0!</v>
      </c>
      <c r="I98" s="224">
        <f>E98+G98</f>
        <v>0</v>
      </c>
      <c r="J98" s="217" t="e">
        <f>I98/$D98</f>
        <v>#DIV/0!</v>
      </c>
    </row>
    <row r="99" spans="1:10" hidden="1" x14ac:dyDescent="0.25">
      <c r="A99" s="146"/>
      <c r="B99" s="214" t="s">
        <v>316</v>
      </c>
      <c r="C99" s="215">
        <f>AVERAGE(C96:C98)</f>
        <v>0</v>
      </c>
      <c r="D99" s="215">
        <f>AVERAGE(D96:D98)</f>
        <v>0</v>
      </c>
      <c r="E99" s="215">
        <f>AVERAGE(E96:E98)</f>
        <v>0</v>
      </c>
      <c r="F99" s="216" t="e">
        <f>E99/$D99</f>
        <v>#DIV/0!</v>
      </c>
      <c r="G99" s="215">
        <f>AVERAGE(G96:G98)</f>
        <v>0</v>
      </c>
      <c r="H99" s="216" t="e">
        <f>G99/$D99</f>
        <v>#DIV/0!</v>
      </c>
      <c r="I99" s="215">
        <f>AVERAGE(I96:I98)</f>
        <v>0</v>
      </c>
      <c r="J99" s="216" t="e">
        <f>I99/$D99</f>
        <v>#DIV/0!</v>
      </c>
    </row>
    <row r="100" spans="1:10" hidden="1" x14ac:dyDescent="0.25">
      <c r="A100" s="146"/>
    </row>
    <row r="101" spans="1:10" hidden="1" x14ac:dyDescent="0.25">
      <c r="A101" s="146"/>
      <c r="B101" s="585" t="s">
        <v>324</v>
      </c>
      <c r="C101" s="585"/>
    </row>
    <row r="102" spans="1:10" ht="30.75" hidden="1" thickBot="1" x14ac:dyDescent="0.3">
      <c r="A102" s="146"/>
      <c r="B102" s="206" t="s">
        <v>303</v>
      </c>
      <c r="C102" s="206" t="s">
        <v>304</v>
      </c>
      <c r="D102" s="206" t="s">
        <v>305</v>
      </c>
      <c r="E102" s="206" t="s">
        <v>306</v>
      </c>
      <c r="F102" s="206" t="s">
        <v>307</v>
      </c>
      <c r="G102" s="206" t="s">
        <v>308</v>
      </c>
      <c r="H102" s="206" t="s">
        <v>309</v>
      </c>
      <c r="I102" s="206" t="s">
        <v>310</v>
      </c>
      <c r="J102" s="206" t="s">
        <v>311</v>
      </c>
    </row>
    <row r="103" spans="1:10" hidden="1" x14ac:dyDescent="0.25">
      <c r="A103" s="146"/>
      <c r="B103" s="214" t="str">
        <f>$B$6</f>
        <v>YYYY</v>
      </c>
      <c r="C103" s="310">
        <v>0</v>
      </c>
      <c r="D103" s="301">
        <v>0</v>
      </c>
      <c r="E103" s="302">
        <v>0</v>
      </c>
      <c r="F103" s="216" t="e">
        <f>E103/$D103</f>
        <v>#DIV/0!</v>
      </c>
      <c r="G103" s="307">
        <v>0</v>
      </c>
      <c r="H103" s="216" t="e">
        <f>G103/$D103</f>
        <v>#DIV/0!</v>
      </c>
      <c r="I103" s="215">
        <f>E103+G103</f>
        <v>0</v>
      </c>
      <c r="J103" s="216" t="e">
        <f>I103/$D103</f>
        <v>#DIV/0!</v>
      </c>
    </row>
    <row r="104" spans="1:10" hidden="1" x14ac:dyDescent="0.25">
      <c r="A104" s="146"/>
      <c r="B104" s="214" t="e">
        <f>$B$7</f>
        <v>#VALUE!</v>
      </c>
      <c r="C104" s="311">
        <v>0</v>
      </c>
      <c r="D104" s="303">
        <v>0</v>
      </c>
      <c r="E104" s="304">
        <v>0</v>
      </c>
      <c r="F104" s="216" t="e">
        <f>E104/$D104</f>
        <v>#DIV/0!</v>
      </c>
      <c r="G104" s="308">
        <v>0</v>
      </c>
      <c r="H104" s="216" t="e">
        <f>G104/$D104</f>
        <v>#DIV/0!</v>
      </c>
      <c r="I104" s="215">
        <f>E104+G104</f>
        <v>0</v>
      </c>
      <c r="J104" s="216" t="e">
        <f>I104/$D104</f>
        <v>#DIV/0!</v>
      </c>
    </row>
    <row r="105" spans="1:10" hidden="1" x14ac:dyDescent="0.25">
      <c r="A105" s="146"/>
      <c r="B105" s="220" t="e">
        <f>$B$8</f>
        <v>#VALUE!</v>
      </c>
      <c r="C105" s="312">
        <v>0</v>
      </c>
      <c r="D105" s="305">
        <v>0</v>
      </c>
      <c r="E105" s="306">
        <v>0</v>
      </c>
      <c r="F105" s="217" t="e">
        <f>E105/$D105</f>
        <v>#DIV/0!</v>
      </c>
      <c r="G105" s="309">
        <v>0</v>
      </c>
      <c r="H105" s="217" t="e">
        <f>G105/$D105</f>
        <v>#DIV/0!</v>
      </c>
      <c r="I105" s="224">
        <f>E105+G105</f>
        <v>0</v>
      </c>
      <c r="J105" s="217" t="e">
        <f>I105/$D105</f>
        <v>#DIV/0!</v>
      </c>
    </row>
    <row r="106" spans="1:10" hidden="1" x14ac:dyDescent="0.25">
      <c r="A106" s="146"/>
      <c r="B106" s="214" t="s">
        <v>316</v>
      </c>
      <c r="C106" s="215">
        <f>AVERAGE(C103:C105)</f>
        <v>0</v>
      </c>
      <c r="D106" s="215">
        <f>AVERAGE(D103:D105)</f>
        <v>0</v>
      </c>
      <c r="E106" s="215">
        <f>AVERAGE(E103:E105)</f>
        <v>0</v>
      </c>
      <c r="F106" s="216" t="e">
        <f>E106/$D106</f>
        <v>#DIV/0!</v>
      </c>
      <c r="G106" s="215">
        <f>AVERAGE(G103:G105)</f>
        <v>0</v>
      </c>
      <c r="H106" s="216" t="e">
        <f>G106/$D106</f>
        <v>#DIV/0!</v>
      </c>
      <c r="I106" s="215">
        <f>AVERAGE(I103:I105)</f>
        <v>0</v>
      </c>
      <c r="J106" s="216" t="e">
        <f>I106/$D106</f>
        <v>#DIV/0!</v>
      </c>
    </row>
    <row r="107" spans="1:10" hidden="1" x14ac:dyDescent="0.25">
      <c r="A107" s="146"/>
    </row>
    <row r="108" spans="1:10" hidden="1" x14ac:dyDescent="0.25">
      <c r="A108" s="146"/>
      <c r="B108" s="585" t="s">
        <v>324</v>
      </c>
      <c r="C108" s="585"/>
    </row>
    <row r="109" spans="1:10" ht="30.75" hidden="1" thickBot="1" x14ac:dyDescent="0.3">
      <c r="A109" s="146"/>
      <c r="B109" s="206" t="s">
        <v>303</v>
      </c>
      <c r="C109" s="206" t="s">
        <v>304</v>
      </c>
      <c r="D109" s="206" t="s">
        <v>305</v>
      </c>
      <c r="E109" s="206" t="s">
        <v>306</v>
      </c>
      <c r="F109" s="206" t="s">
        <v>307</v>
      </c>
      <c r="G109" s="206" t="s">
        <v>308</v>
      </c>
      <c r="H109" s="206" t="s">
        <v>309</v>
      </c>
      <c r="I109" s="206" t="s">
        <v>310</v>
      </c>
      <c r="J109" s="206" t="s">
        <v>311</v>
      </c>
    </row>
    <row r="110" spans="1:10" hidden="1" x14ac:dyDescent="0.25">
      <c r="A110" s="146"/>
      <c r="B110" s="214" t="str">
        <f>$B$6</f>
        <v>YYYY</v>
      </c>
      <c r="C110" s="310">
        <v>0</v>
      </c>
      <c r="D110" s="301">
        <v>0</v>
      </c>
      <c r="E110" s="302">
        <v>0</v>
      </c>
      <c r="F110" s="216" t="e">
        <f>E110/$D110</f>
        <v>#DIV/0!</v>
      </c>
      <c r="G110" s="307">
        <v>0</v>
      </c>
      <c r="H110" s="216" t="e">
        <f>G110/$D110</f>
        <v>#DIV/0!</v>
      </c>
      <c r="I110" s="215">
        <f>E110+G110</f>
        <v>0</v>
      </c>
      <c r="J110" s="216" t="e">
        <f>I110/$D110</f>
        <v>#DIV/0!</v>
      </c>
    </row>
    <row r="111" spans="1:10" hidden="1" x14ac:dyDescent="0.25">
      <c r="A111" s="146"/>
      <c r="B111" s="214" t="e">
        <f>$B$7</f>
        <v>#VALUE!</v>
      </c>
      <c r="C111" s="311">
        <v>0</v>
      </c>
      <c r="D111" s="303">
        <v>0</v>
      </c>
      <c r="E111" s="304">
        <v>0</v>
      </c>
      <c r="F111" s="216" t="e">
        <f>E111/$D111</f>
        <v>#DIV/0!</v>
      </c>
      <c r="G111" s="308">
        <v>0</v>
      </c>
      <c r="H111" s="216" t="e">
        <f>G111/$D111</f>
        <v>#DIV/0!</v>
      </c>
      <c r="I111" s="215">
        <f>E111+G111</f>
        <v>0</v>
      </c>
      <c r="J111" s="216" t="e">
        <f>I111/$D111</f>
        <v>#DIV/0!</v>
      </c>
    </row>
    <row r="112" spans="1:10" hidden="1" x14ac:dyDescent="0.25">
      <c r="A112" s="146"/>
      <c r="B112" s="220" t="e">
        <f>$B$8</f>
        <v>#VALUE!</v>
      </c>
      <c r="C112" s="312">
        <v>0</v>
      </c>
      <c r="D112" s="305">
        <v>0</v>
      </c>
      <c r="E112" s="306">
        <v>0</v>
      </c>
      <c r="F112" s="217" t="e">
        <f>E112/$D112</f>
        <v>#DIV/0!</v>
      </c>
      <c r="G112" s="309">
        <v>0</v>
      </c>
      <c r="H112" s="217" t="e">
        <f>G112/$D112</f>
        <v>#DIV/0!</v>
      </c>
      <c r="I112" s="224">
        <f>E112+G112</f>
        <v>0</v>
      </c>
      <c r="J112" s="217" t="e">
        <f>I112/$D112</f>
        <v>#DIV/0!</v>
      </c>
    </row>
    <row r="113" spans="1:10" hidden="1" x14ac:dyDescent="0.25">
      <c r="A113" s="146"/>
      <c r="B113" s="214" t="s">
        <v>316</v>
      </c>
      <c r="C113" s="215">
        <f>AVERAGE(C110:C112)</f>
        <v>0</v>
      </c>
      <c r="D113" s="215">
        <f>AVERAGE(D110:D112)</f>
        <v>0</v>
      </c>
      <c r="E113" s="215">
        <f>AVERAGE(E110:E112)</f>
        <v>0</v>
      </c>
      <c r="F113" s="216" t="e">
        <f>E113/$D113</f>
        <v>#DIV/0!</v>
      </c>
      <c r="G113" s="215">
        <f>AVERAGE(G110:G112)</f>
        <v>0</v>
      </c>
      <c r="H113" s="216" t="e">
        <f>G113/$D113</f>
        <v>#DIV/0!</v>
      </c>
      <c r="I113" s="215">
        <f>AVERAGE(I110:I112)</f>
        <v>0</v>
      </c>
      <c r="J113" s="216" t="e">
        <f>I113/$D113</f>
        <v>#DIV/0!</v>
      </c>
    </row>
    <row r="114" spans="1:10" hidden="1" x14ac:dyDescent="0.25">
      <c r="A114" s="146"/>
    </row>
    <row r="115" spans="1:10" hidden="1" x14ac:dyDescent="0.25">
      <c r="A115" s="146"/>
      <c r="B115" s="585" t="s">
        <v>324</v>
      </c>
      <c r="C115" s="585"/>
    </row>
    <row r="116" spans="1:10" ht="30.75" hidden="1" thickBot="1" x14ac:dyDescent="0.3">
      <c r="A116" s="146"/>
      <c r="B116" s="206" t="s">
        <v>303</v>
      </c>
      <c r="C116" s="206" t="s">
        <v>304</v>
      </c>
      <c r="D116" s="206" t="s">
        <v>305</v>
      </c>
      <c r="E116" s="206" t="s">
        <v>306</v>
      </c>
      <c r="F116" s="206" t="s">
        <v>307</v>
      </c>
      <c r="G116" s="206" t="s">
        <v>308</v>
      </c>
      <c r="H116" s="206" t="s">
        <v>309</v>
      </c>
      <c r="I116" s="206" t="s">
        <v>310</v>
      </c>
      <c r="J116" s="206" t="s">
        <v>311</v>
      </c>
    </row>
    <row r="117" spans="1:10" hidden="1" x14ac:dyDescent="0.25">
      <c r="A117" s="146"/>
      <c r="B117" s="214" t="str">
        <f>$B$6</f>
        <v>YYYY</v>
      </c>
      <c r="C117" s="310">
        <v>0</v>
      </c>
      <c r="D117" s="301">
        <v>0</v>
      </c>
      <c r="E117" s="302">
        <v>0</v>
      </c>
      <c r="F117" s="216" t="e">
        <f>E117/$D117</f>
        <v>#DIV/0!</v>
      </c>
      <c r="G117" s="307">
        <v>0</v>
      </c>
      <c r="H117" s="216" t="e">
        <f>G117/$D117</f>
        <v>#DIV/0!</v>
      </c>
      <c r="I117" s="215">
        <f>E117+G117</f>
        <v>0</v>
      </c>
      <c r="J117" s="216" t="e">
        <f>I117/$D117</f>
        <v>#DIV/0!</v>
      </c>
    </row>
    <row r="118" spans="1:10" hidden="1" x14ac:dyDescent="0.25">
      <c r="A118" s="146"/>
      <c r="B118" s="214" t="e">
        <f>$B$7</f>
        <v>#VALUE!</v>
      </c>
      <c r="C118" s="311">
        <v>0</v>
      </c>
      <c r="D118" s="303">
        <v>0</v>
      </c>
      <c r="E118" s="304">
        <v>0</v>
      </c>
      <c r="F118" s="216" t="e">
        <f>E118/$D118</f>
        <v>#DIV/0!</v>
      </c>
      <c r="G118" s="308">
        <v>0</v>
      </c>
      <c r="H118" s="216" t="e">
        <f>G118/$D118</f>
        <v>#DIV/0!</v>
      </c>
      <c r="I118" s="215">
        <f>E118+G118</f>
        <v>0</v>
      </c>
      <c r="J118" s="216" t="e">
        <f>I118/$D118</f>
        <v>#DIV/0!</v>
      </c>
    </row>
    <row r="119" spans="1:10" hidden="1" x14ac:dyDescent="0.25">
      <c r="A119" s="146"/>
      <c r="B119" s="220" t="e">
        <f>$B$8</f>
        <v>#VALUE!</v>
      </c>
      <c r="C119" s="312">
        <v>0</v>
      </c>
      <c r="D119" s="305">
        <v>0</v>
      </c>
      <c r="E119" s="306">
        <v>0</v>
      </c>
      <c r="F119" s="217" t="e">
        <f>E119/$D119</f>
        <v>#DIV/0!</v>
      </c>
      <c r="G119" s="309">
        <v>0</v>
      </c>
      <c r="H119" s="217" t="e">
        <f>G119/$D119</f>
        <v>#DIV/0!</v>
      </c>
      <c r="I119" s="224">
        <f>E119+G119</f>
        <v>0</v>
      </c>
      <c r="J119" s="217" t="e">
        <f>I119/$D119</f>
        <v>#DIV/0!</v>
      </c>
    </row>
    <row r="120" spans="1:10" hidden="1" x14ac:dyDescent="0.25">
      <c r="A120" s="146"/>
      <c r="B120" s="214" t="s">
        <v>316</v>
      </c>
      <c r="C120" s="215">
        <f>AVERAGE(C117:C119)</f>
        <v>0</v>
      </c>
      <c r="D120" s="215">
        <f>AVERAGE(D117:D119)</f>
        <v>0</v>
      </c>
      <c r="E120" s="215">
        <f>AVERAGE(E117:E119)</f>
        <v>0</v>
      </c>
      <c r="F120" s="216" t="e">
        <f>E120/$D120</f>
        <v>#DIV/0!</v>
      </c>
      <c r="G120" s="215">
        <f>AVERAGE(G117:G119)</f>
        <v>0</v>
      </c>
      <c r="H120" s="216" t="e">
        <f>G120/$D120</f>
        <v>#DIV/0!</v>
      </c>
      <c r="I120" s="215">
        <f>AVERAGE(I117:I119)</f>
        <v>0</v>
      </c>
      <c r="J120" s="216" t="e">
        <f>I120/$D120</f>
        <v>#DIV/0!</v>
      </c>
    </row>
    <row r="121" spans="1:10" hidden="1" x14ac:dyDescent="0.25">
      <c r="A121" s="146"/>
    </row>
    <row r="122" spans="1:10" hidden="1" x14ac:dyDescent="0.25">
      <c r="A122" s="146"/>
      <c r="B122" s="585" t="s">
        <v>324</v>
      </c>
      <c r="C122" s="585"/>
    </row>
    <row r="123" spans="1:10" ht="30.75" hidden="1" thickBot="1" x14ac:dyDescent="0.3">
      <c r="A123" s="146"/>
      <c r="B123" s="206" t="s">
        <v>303</v>
      </c>
      <c r="C123" s="206" t="s">
        <v>304</v>
      </c>
      <c r="D123" s="206" t="s">
        <v>305</v>
      </c>
      <c r="E123" s="206" t="s">
        <v>306</v>
      </c>
      <c r="F123" s="206" t="s">
        <v>307</v>
      </c>
      <c r="G123" s="206" t="s">
        <v>308</v>
      </c>
      <c r="H123" s="206" t="s">
        <v>309</v>
      </c>
      <c r="I123" s="206" t="s">
        <v>310</v>
      </c>
      <c r="J123" s="206" t="s">
        <v>311</v>
      </c>
    </row>
    <row r="124" spans="1:10" hidden="1" x14ac:dyDescent="0.25">
      <c r="A124" s="146"/>
      <c r="B124" s="214" t="str">
        <f>$B$6</f>
        <v>YYYY</v>
      </c>
      <c r="C124" s="310">
        <v>0</v>
      </c>
      <c r="D124" s="301">
        <v>0</v>
      </c>
      <c r="E124" s="302">
        <v>0</v>
      </c>
      <c r="F124" s="216" t="e">
        <f>E124/$D124</f>
        <v>#DIV/0!</v>
      </c>
      <c r="G124" s="307">
        <v>0</v>
      </c>
      <c r="H124" s="216" t="e">
        <f>G124/$D124</f>
        <v>#DIV/0!</v>
      </c>
      <c r="I124" s="215">
        <f>E124+G124</f>
        <v>0</v>
      </c>
      <c r="J124" s="216" t="e">
        <f>I124/$D124</f>
        <v>#DIV/0!</v>
      </c>
    </row>
    <row r="125" spans="1:10" hidden="1" x14ac:dyDescent="0.25">
      <c r="A125" s="146"/>
      <c r="B125" s="214" t="e">
        <f>$B$7</f>
        <v>#VALUE!</v>
      </c>
      <c r="C125" s="311">
        <v>0</v>
      </c>
      <c r="D125" s="303">
        <v>0</v>
      </c>
      <c r="E125" s="304">
        <v>0</v>
      </c>
      <c r="F125" s="216" t="e">
        <f>E125/$D125</f>
        <v>#DIV/0!</v>
      </c>
      <c r="G125" s="308">
        <v>0</v>
      </c>
      <c r="H125" s="216" t="e">
        <f>G125/$D125</f>
        <v>#DIV/0!</v>
      </c>
      <c r="I125" s="215">
        <f>E125+G125</f>
        <v>0</v>
      </c>
      <c r="J125" s="216" t="e">
        <f>I125/$D125</f>
        <v>#DIV/0!</v>
      </c>
    </row>
    <row r="126" spans="1:10" hidden="1" x14ac:dyDescent="0.25">
      <c r="A126" s="146"/>
      <c r="B126" s="220" t="e">
        <f>$B$8</f>
        <v>#VALUE!</v>
      </c>
      <c r="C126" s="312">
        <v>0</v>
      </c>
      <c r="D126" s="305">
        <v>0</v>
      </c>
      <c r="E126" s="306">
        <v>0</v>
      </c>
      <c r="F126" s="217" t="e">
        <f>E126/$D126</f>
        <v>#DIV/0!</v>
      </c>
      <c r="G126" s="309">
        <v>0</v>
      </c>
      <c r="H126" s="217" t="e">
        <f>G126/$D126</f>
        <v>#DIV/0!</v>
      </c>
      <c r="I126" s="224">
        <f>E126+G126</f>
        <v>0</v>
      </c>
      <c r="J126" s="217" t="e">
        <f>I126/$D126</f>
        <v>#DIV/0!</v>
      </c>
    </row>
    <row r="127" spans="1:10" hidden="1" x14ac:dyDescent="0.25">
      <c r="A127" s="146"/>
      <c r="B127" s="214" t="s">
        <v>316</v>
      </c>
      <c r="C127" s="215">
        <f>AVERAGE(C124:C126)</f>
        <v>0</v>
      </c>
      <c r="D127" s="215">
        <f>AVERAGE(D124:D126)</f>
        <v>0</v>
      </c>
      <c r="E127" s="215">
        <f>AVERAGE(E124:E126)</f>
        <v>0</v>
      </c>
      <c r="F127" s="216" t="e">
        <f>E127/$D127</f>
        <v>#DIV/0!</v>
      </c>
      <c r="G127" s="215">
        <f>AVERAGE(G124:G126)</f>
        <v>0</v>
      </c>
      <c r="H127" s="216" t="e">
        <f>G127/$D127</f>
        <v>#DIV/0!</v>
      </c>
      <c r="I127" s="215">
        <f>AVERAGE(I124:I126)</f>
        <v>0</v>
      </c>
      <c r="J127" s="216" t="e">
        <f>I127/$D127</f>
        <v>#DIV/0!</v>
      </c>
    </row>
    <row r="128" spans="1:10" hidden="1" x14ac:dyDescent="0.25">
      <c r="A128" s="146"/>
    </row>
    <row r="129" spans="1:10" hidden="1" x14ac:dyDescent="0.25">
      <c r="A129" s="146"/>
      <c r="B129" s="585" t="s">
        <v>324</v>
      </c>
      <c r="C129" s="585"/>
    </row>
    <row r="130" spans="1:10" ht="30.75" hidden="1" thickBot="1" x14ac:dyDescent="0.3">
      <c r="A130" s="146"/>
      <c r="B130" s="206" t="s">
        <v>303</v>
      </c>
      <c r="C130" s="206" t="s">
        <v>304</v>
      </c>
      <c r="D130" s="206" t="s">
        <v>305</v>
      </c>
      <c r="E130" s="206" t="s">
        <v>306</v>
      </c>
      <c r="F130" s="206" t="s">
        <v>307</v>
      </c>
      <c r="G130" s="206" t="s">
        <v>308</v>
      </c>
      <c r="H130" s="206" t="s">
        <v>309</v>
      </c>
      <c r="I130" s="206" t="s">
        <v>310</v>
      </c>
      <c r="J130" s="206" t="s">
        <v>311</v>
      </c>
    </row>
    <row r="131" spans="1:10" hidden="1" x14ac:dyDescent="0.25">
      <c r="A131" s="146"/>
      <c r="B131" s="214" t="str">
        <f>$B$6</f>
        <v>YYYY</v>
      </c>
      <c r="C131" s="310">
        <v>0</v>
      </c>
      <c r="D131" s="301">
        <v>0</v>
      </c>
      <c r="E131" s="302">
        <v>0</v>
      </c>
      <c r="F131" s="216" t="e">
        <f>E131/$D131</f>
        <v>#DIV/0!</v>
      </c>
      <c r="G131" s="307">
        <v>0</v>
      </c>
      <c r="H131" s="216" t="e">
        <f>G131/$D131</f>
        <v>#DIV/0!</v>
      </c>
      <c r="I131" s="215">
        <f>E131+G131</f>
        <v>0</v>
      </c>
      <c r="J131" s="216" t="e">
        <f>I131/$D131</f>
        <v>#DIV/0!</v>
      </c>
    </row>
    <row r="132" spans="1:10" hidden="1" x14ac:dyDescent="0.25">
      <c r="A132" s="146"/>
      <c r="B132" s="214" t="e">
        <f>$B$7</f>
        <v>#VALUE!</v>
      </c>
      <c r="C132" s="311">
        <v>0</v>
      </c>
      <c r="D132" s="303">
        <v>0</v>
      </c>
      <c r="E132" s="304">
        <v>0</v>
      </c>
      <c r="F132" s="216" t="e">
        <f>E132/$D132</f>
        <v>#DIV/0!</v>
      </c>
      <c r="G132" s="308">
        <v>0</v>
      </c>
      <c r="H132" s="216" t="e">
        <f>G132/$D132</f>
        <v>#DIV/0!</v>
      </c>
      <c r="I132" s="215">
        <f>E132+G132</f>
        <v>0</v>
      </c>
      <c r="J132" s="216" t="e">
        <f>I132/$D132</f>
        <v>#DIV/0!</v>
      </c>
    </row>
    <row r="133" spans="1:10" hidden="1" x14ac:dyDescent="0.25">
      <c r="A133" s="146"/>
      <c r="B133" s="220" t="e">
        <f>$B$8</f>
        <v>#VALUE!</v>
      </c>
      <c r="C133" s="312">
        <v>0</v>
      </c>
      <c r="D133" s="305">
        <v>0</v>
      </c>
      <c r="E133" s="306">
        <v>0</v>
      </c>
      <c r="F133" s="217" t="e">
        <f>E133/$D133</f>
        <v>#DIV/0!</v>
      </c>
      <c r="G133" s="309">
        <v>0</v>
      </c>
      <c r="H133" s="217" t="e">
        <f>G133/$D133</f>
        <v>#DIV/0!</v>
      </c>
      <c r="I133" s="224">
        <f>E133+G133</f>
        <v>0</v>
      </c>
      <c r="J133" s="217" t="e">
        <f>I133/$D133</f>
        <v>#DIV/0!</v>
      </c>
    </row>
    <row r="134" spans="1:10" hidden="1" x14ac:dyDescent="0.25">
      <c r="A134" s="146"/>
      <c r="B134" s="214" t="s">
        <v>316</v>
      </c>
      <c r="C134" s="215">
        <f>AVERAGE(C131:C133)</f>
        <v>0</v>
      </c>
      <c r="D134" s="215">
        <f>AVERAGE(D131:D133)</f>
        <v>0</v>
      </c>
      <c r="E134" s="215">
        <f>AVERAGE(E131:E133)</f>
        <v>0</v>
      </c>
      <c r="F134" s="216" t="e">
        <f>E134/$D134</f>
        <v>#DIV/0!</v>
      </c>
      <c r="G134" s="215">
        <f>AVERAGE(G131:G133)</f>
        <v>0</v>
      </c>
      <c r="H134" s="216" t="e">
        <f>G134/$D134</f>
        <v>#DIV/0!</v>
      </c>
      <c r="I134" s="215">
        <f>AVERAGE(I131:I133)</f>
        <v>0</v>
      </c>
      <c r="J134" s="216" t="e">
        <f>I134/$D134</f>
        <v>#DIV/0!</v>
      </c>
    </row>
    <row r="135" spans="1:10" hidden="1" x14ac:dyDescent="0.25">
      <c r="A135" s="146"/>
    </row>
    <row r="136" spans="1:10" hidden="1" x14ac:dyDescent="0.25">
      <c r="A136" s="146"/>
      <c r="B136" s="585" t="s">
        <v>324</v>
      </c>
      <c r="C136" s="585"/>
    </row>
    <row r="137" spans="1:10" ht="30.75" hidden="1" thickBot="1" x14ac:dyDescent="0.3">
      <c r="A137" s="146"/>
      <c r="B137" s="206" t="s">
        <v>303</v>
      </c>
      <c r="C137" s="206" t="s">
        <v>304</v>
      </c>
      <c r="D137" s="206" t="s">
        <v>305</v>
      </c>
      <c r="E137" s="206" t="s">
        <v>306</v>
      </c>
      <c r="F137" s="206" t="s">
        <v>307</v>
      </c>
      <c r="G137" s="206" t="s">
        <v>308</v>
      </c>
      <c r="H137" s="206" t="s">
        <v>309</v>
      </c>
      <c r="I137" s="206" t="s">
        <v>310</v>
      </c>
      <c r="J137" s="206" t="s">
        <v>311</v>
      </c>
    </row>
    <row r="138" spans="1:10" hidden="1" x14ac:dyDescent="0.25">
      <c r="A138" s="146"/>
      <c r="B138" s="214" t="str">
        <f>$B$6</f>
        <v>YYYY</v>
      </c>
      <c r="C138" s="310">
        <v>0</v>
      </c>
      <c r="D138" s="301">
        <v>0</v>
      </c>
      <c r="E138" s="302">
        <v>0</v>
      </c>
      <c r="F138" s="216" t="e">
        <f>E138/$D138</f>
        <v>#DIV/0!</v>
      </c>
      <c r="G138" s="307">
        <v>0</v>
      </c>
      <c r="H138" s="216" t="e">
        <f>G138/$D138</f>
        <v>#DIV/0!</v>
      </c>
      <c r="I138" s="215">
        <f>E138+G138</f>
        <v>0</v>
      </c>
      <c r="J138" s="216" t="e">
        <f>I138/$D138</f>
        <v>#DIV/0!</v>
      </c>
    </row>
    <row r="139" spans="1:10" hidden="1" x14ac:dyDescent="0.25">
      <c r="A139" s="146"/>
      <c r="B139" s="214" t="e">
        <f>$B$7</f>
        <v>#VALUE!</v>
      </c>
      <c r="C139" s="311">
        <v>0</v>
      </c>
      <c r="D139" s="303">
        <v>0</v>
      </c>
      <c r="E139" s="304">
        <v>0</v>
      </c>
      <c r="F139" s="216" t="e">
        <f>E139/$D139</f>
        <v>#DIV/0!</v>
      </c>
      <c r="G139" s="308">
        <v>0</v>
      </c>
      <c r="H139" s="216" t="e">
        <f>G139/$D139</f>
        <v>#DIV/0!</v>
      </c>
      <c r="I139" s="215">
        <f>E139+G139</f>
        <v>0</v>
      </c>
      <c r="J139" s="216" t="e">
        <f>I139/$D139</f>
        <v>#DIV/0!</v>
      </c>
    </row>
    <row r="140" spans="1:10" hidden="1" x14ac:dyDescent="0.25">
      <c r="A140" s="146"/>
      <c r="B140" s="220" t="e">
        <f>$B$8</f>
        <v>#VALUE!</v>
      </c>
      <c r="C140" s="312">
        <v>0</v>
      </c>
      <c r="D140" s="305">
        <v>0</v>
      </c>
      <c r="E140" s="306">
        <v>0</v>
      </c>
      <c r="F140" s="217" t="e">
        <f>E140/$D140</f>
        <v>#DIV/0!</v>
      </c>
      <c r="G140" s="309">
        <v>0</v>
      </c>
      <c r="H140" s="217" t="e">
        <f>G140/$D140</f>
        <v>#DIV/0!</v>
      </c>
      <c r="I140" s="224">
        <f>E140+G140</f>
        <v>0</v>
      </c>
      <c r="J140" s="217" t="e">
        <f>I140/$D140</f>
        <v>#DIV/0!</v>
      </c>
    </row>
    <row r="141" spans="1:10" hidden="1" x14ac:dyDescent="0.25">
      <c r="A141" s="146"/>
      <c r="B141" s="214" t="s">
        <v>316</v>
      </c>
      <c r="C141" s="215">
        <f>AVERAGE(C138:C140)</f>
        <v>0</v>
      </c>
      <c r="D141" s="215">
        <f>AVERAGE(D138:D140)</f>
        <v>0</v>
      </c>
      <c r="E141" s="215">
        <f>AVERAGE(E138:E140)</f>
        <v>0</v>
      </c>
      <c r="F141" s="216" t="e">
        <f>E141/$D141</f>
        <v>#DIV/0!</v>
      </c>
      <c r="G141" s="215">
        <f>AVERAGE(G138:G140)</f>
        <v>0</v>
      </c>
      <c r="H141" s="216" t="e">
        <f>G141/$D141</f>
        <v>#DIV/0!</v>
      </c>
      <c r="I141" s="215">
        <f>AVERAGE(I138:I140)</f>
        <v>0</v>
      </c>
      <c r="J141" s="216" t="e">
        <f>I141/$D141</f>
        <v>#DIV/0!</v>
      </c>
    </row>
    <row r="142" spans="1:10" hidden="1" x14ac:dyDescent="0.25">
      <c r="A142" s="146"/>
    </row>
    <row r="143" spans="1:10" hidden="1" x14ac:dyDescent="0.25">
      <c r="A143" s="146"/>
      <c r="B143" s="585" t="s">
        <v>324</v>
      </c>
      <c r="C143" s="585"/>
    </row>
    <row r="144" spans="1:10" ht="30.75" hidden="1" thickBot="1" x14ac:dyDescent="0.3">
      <c r="A144" s="146"/>
      <c r="B144" s="206" t="s">
        <v>303</v>
      </c>
      <c r="C144" s="206" t="s">
        <v>304</v>
      </c>
      <c r="D144" s="206" t="s">
        <v>305</v>
      </c>
      <c r="E144" s="206" t="s">
        <v>306</v>
      </c>
      <c r="F144" s="206" t="s">
        <v>307</v>
      </c>
      <c r="G144" s="206" t="s">
        <v>308</v>
      </c>
      <c r="H144" s="206" t="s">
        <v>309</v>
      </c>
      <c r="I144" s="206" t="s">
        <v>310</v>
      </c>
      <c r="J144" s="206" t="s">
        <v>311</v>
      </c>
    </row>
    <row r="145" spans="1:10" hidden="1" x14ac:dyDescent="0.25">
      <c r="A145" s="146"/>
      <c r="B145" s="214" t="str">
        <f>$B$6</f>
        <v>YYYY</v>
      </c>
      <c r="C145" s="310">
        <v>0</v>
      </c>
      <c r="D145" s="301">
        <v>0</v>
      </c>
      <c r="E145" s="302">
        <v>0</v>
      </c>
      <c r="F145" s="216" t="e">
        <f>E145/$D145</f>
        <v>#DIV/0!</v>
      </c>
      <c r="G145" s="307">
        <v>0</v>
      </c>
      <c r="H145" s="216" t="e">
        <f>G145/$D145</f>
        <v>#DIV/0!</v>
      </c>
      <c r="I145" s="215">
        <f>E145+G145</f>
        <v>0</v>
      </c>
      <c r="J145" s="216" t="e">
        <f>I145/$D145</f>
        <v>#DIV/0!</v>
      </c>
    </row>
    <row r="146" spans="1:10" hidden="1" x14ac:dyDescent="0.25">
      <c r="A146" s="146"/>
      <c r="B146" s="214" t="e">
        <f>$B$7</f>
        <v>#VALUE!</v>
      </c>
      <c r="C146" s="311">
        <v>0</v>
      </c>
      <c r="D146" s="303">
        <v>0</v>
      </c>
      <c r="E146" s="304">
        <v>0</v>
      </c>
      <c r="F146" s="216" t="e">
        <f>E146/$D146</f>
        <v>#DIV/0!</v>
      </c>
      <c r="G146" s="308">
        <v>0</v>
      </c>
      <c r="H146" s="216" t="e">
        <f>G146/$D146</f>
        <v>#DIV/0!</v>
      </c>
      <c r="I146" s="215">
        <f>E146+G146</f>
        <v>0</v>
      </c>
      <c r="J146" s="216" t="e">
        <f>I146/$D146</f>
        <v>#DIV/0!</v>
      </c>
    </row>
    <row r="147" spans="1:10" hidden="1" x14ac:dyDescent="0.25">
      <c r="A147" s="146"/>
      <c r="B147" s="220" t="e">
        <f>$B$8</f>
        <v>#VALUE!</v>
      </c>
      <c r="C147" s="312">
        <v>0</v>
      </c>
      <c r="D147" s="305">
        <v>0</v>
      </c>
      <c r="E147" s="306">
        <v>0</v>
      </c>
      <c r="F147" s="217" t="e">
        <f>E147/$D147</f>
        <v>#DIV/0!</v>
      </c>
      <c r="G147" s="309">
        <v>0</v>
      </c>
      <c r="H147" s="217" t="e">
        <f>G147/$D147</f>
        <v>#DIV/0!</v>
      </c>
      <c r="I147" s="224">
        <f>E147+G147</f>
        <v>0</v>
      </c>
      <c r="J147" s="217" t="e">
        <f>I147/$D147</f>
        <v>#DIV/0!</v>
      </c>
    </row>
    <row r="148" spans="1:10" hidden="1" x14ac:dyDescent="0.25">
      <c r="A148" s="146"/>
      <c r="B148" s="214" t="s">
        <v>316</v>
      </c>
      <c r="C148" s="215">
        <f>AVERAGE(C145:C147)</f>
        <v>0</v>
      </c>
      <c r="D148" s="215">
        <f>AVERAGE(D145:D147)</f>
        <v>0</v>
      </c>
      <c r="E148" s="215">
        <f>AVERAGE(E145:E147)</f>
        <v>0</v>
      </c>
      <c r="F148" s="216" t="e">
        <f>E148/$D148</f>
        <v>#DIV/0!</v>
      </c>
      <c r="G148" s="215">
        <f>AVERAGE(G145:G147)</f>
        <v>0</v>
      </c>
      <c r="H148" s="216" t="e">
        <f>G148/$D148</f>
        <v>#DIV/0!</v>
      </c>
      <c r="I148" s="215">
        <f>AVERAGE(I145:I147)</f>
        <v>0</v>
      </c>
      <c r="J148" s="216" t="e">
        <f>I148/$D148</f>
        <v>#DIV/0!</v>
      </c>
    </row>
    <row r="149" spans="1:10" hidden="1" x14ac:dyDescent="0.25">
      <c r="A149" s="146"/>
    </row>
    <row r="150" spans="1:10" hidden="1" x14ac:dyDescent="0.25">
      <c r="A150" s="146"/>
      <c r="B150" s="585" t="s">
        <v>324</v>
      </c>
      <c r="C150" s="585"/>
    </row>
    <row r="151" spans="1:10" ht="30.75" hidden="1" thickBot="1" x14ac:dyDescent="0.3">
      <c r="A151" s="146"/>
      <c r="B151" s="206" t="s">
        <v>303</v>
      </c>
      <c r="C151" s="206" t="s">
        <v>304</v>
      </c>
      <c r="D151" s="206" t="s">
        <v>305</v>
      </c>
      <c r="E151" s="206" t="s">
        <v>306</v>
      </c>
      <c r="F151" s="206" t="s">
        <v>307</v>
      </c>
      <c r="G151" s="206" t="s">
        <v>308</v>
      </c>
      <c r="H151" s="206" t="s">
        <v>309</v>
      </c>
      <c r="I151" s="206" t="s">
        <v>310</v>
      </c>
      <c r="J151" s="206" t="s">
        <v>311</v>
      </c>
    </row>
    <row r="152" spans="1:10" hidden="1" x14ac:dyDescent="0.25">
      <c r="A152" s="146"/>
      <c r="B152" s="214" t="str">
        <f>$B$6</f>
        <v>YYYY</v>
      </c>
      <c r="C152" s="310">
        <v>0</v>
      </c>
      <c r="D152" s="301">
        <v>0</v>
      </c>
      <c r="E152" s="302">
        <v>0</v>
      </c>
      <c r="F152" s="216" t="e">
        <f>E152/$D152</f>
        <v>#DIV/0!</v>
      </c>
      <c r="G152" s="307">
        <v>0</v>
      </c>
      <c r="H152" s="216" t="e">
        <f>G152/$D152</f>
        <v>#DIV/0!</v>
      </c>
      <c r="I152" s="215">
        <f>E152+G152</f>
        <v>0</v>
      </c>
      <c r="J152" s="216" t="e">
        <f>I152/$D152</f>
        <v>#DIV/0!</v>
      </c>
    </row>
    <row r="153" spans="1:10" hidden="1" x14ac:dyDescent="0.25">
      <c r="A153" s="146"/>
      <c r="B153" s="214" t="e">
        <f>$B$7</f>
        <v>#VALUE!</v>
      </c>
      <c r="C153" s="311">
        <v>0</v>
      </c>
      <c r="D153" s="303">
        <v>0</v>
      </c>
      <c r="E153" s="304">
        <v>0</v>
      </c>
      <c r="F153" s="216" t="e">
        <f>E153/$D153</f>
        <v>#DIV/0!</v>
      </c>
      <c r="G153" s="308">
        <v>0</v>
      </c>
      <c r="H153" s="216" t="e">
        <f>G153/$D153</f>
        <v>#DIV/0!</v>
      </c>
      <c r="I153" s="215">
        <f>E153+G153</f>
        <v>0</v>
      </c>
      <c r="J153" s="216" t="e">
        <f>I153/$D153</f>
        <v>#DIV/0!</v>
      </c>
    </row>
    <row r="154" spans="1:10" hidden="1" x14ac:dyDescent="0.25">
      <c r="A154" s="146"/>
      <c r="B154" s="220" t="e">
        <f>$B$8</f>
        <v>#VALUE!</v>
      </c>
      <c r="C154" s="312">
        <v>0</v>
      </c>
      <c r="D154" s="305">
        <v>0</v>
      </c>
      <c r="E154" s="306">
        <v>0</v>
      </c>
      <c r="F154" s="217" t="e">
        <f>E154/$D154</f>
        <v>#DIV/0!</v>
      </c>
      <c r="G154" s="309">
        <v>0</v>
      </c>
      <c r="H154" s="217" t="e">
        <f>G154/$D154</f>
        <v>#DIV/0!</v>
      </c>
      <c r="I154" s="224">
        <f>E154+G154</f>
        <v>0</v>
      </c>
      <c r="J154" s="217" t="e">
        <f>I154/$D154</f>
        <v>#DIV/0!</v>
      </c>
    </row>
    <row r="155" spans="1:10" hidden="1" x14ac:dyDescent="0.25">
      <c r="A155" s="146"/>
      <c r="B155" s="214" t="s">
        <v>316</v>
      </c>
      <c r="C155" s="215">
        <f>AVERAGE(C152:C154)</f>
        <v>0</v>
      </c>
      <c r="D155" s="215">
        <f>AVERAGE(D152:D154)</f>
        <v>0</v>
      </c>
      <c r="E155" s="215">
        <f>AVERAGE(E152:E154)</f>
        <v>0</v>
      </c>
      <c r="F155" s="216" t="e">
        <f>E155/$D155</f>
        <v>#DIV/0!</v>
      </c>
      <c r="G155" s="215">
        <f>AVERAGE(G152:G154)</f>
        <v>0</v>
      </c>
      <c r="H155" s="216" t="e">
        <f>G155/$D155</f>
        <v>#DIV/0!</v>
      </c>
      <c r="I155" s="215">
        <f>AVERAGE(I152:I154)</f>
        <v>0</v>
      </c>
      <c r="J155" s="216" t="e">
        <f>I155/$D155</f>
        <v>#DIV/0!</v>
      </c>
    </row>
    <row r="156" spans="1:10" hidden="1" x14ac:dyDescent="0.25">
      <c r="A156" s="146"/>
    </row>
    <row r="157" spans="1:10" hidden="1" x14ac:dyDescent="0.25">
      <c r="A157" s="146"/>
      <c r="B157" s="585" t="s">
        <v>324</v>
      </c>
      <c r="C157" s="585"/>
    </row>
    <row r="158" spans="1:10" ht="30.75" hidden="1" thickBot="1" x14ac:dyDescent="0.3">
      <c r="A158" s="146"/>
      <c r="B158" s="206" t="s">
        <v>303</v>
      </c>
      <c r="C158" s="206" t="s">
        <v>304</v>
      </c>
      <c r="D158" s="206" t="s">
        <v>305</v>
      </c>
      <c r="E158" s="206" t="s">
        <v>306</v>
      </c>
      <c r="F158" s="206" t="s">
        <v>307</v>
      </c>
      <c r="G158" s="206" t="s">
        <v>308</v>
      </c>
      <c r="H158" s="206" t="s">
        <v>309</v>
      </c>
      <c r="I158" s="206" t="s">
        <v>310</v>
      </c>
      <c r="J158" s="206" t="s">
        <v>311</v>
      </c>
    </row>
    <row r="159" spans="1:10" hidden="1" x14ac:dyDescent="0.25">
      <c r="A159" s="146"/>
      <c r="B159" s="214" t="str">
        <f>$B$6</f>
        <v>YYYY</v>
      </c>
      <c r="C159" s="310">
        <v>0</v>
      </c>
      <c r="D159" s="301">
        <v>0</v>
      </c>
      <c r="E159" s="302">
        <v>0</v>
      </c>
      <c r="F159" s="216" t="e">
        <f>E159/$D159</f>
        <v>#DIV/0!</v>
      </c>
      <c r="G159" s="307">
        <v>0</v>
      </c>
      <c r="H159" s="216" t="e">
        <f>G159/$D159</f>
        <v>#DIV/0!</v>
      </c>
      <c r="I159" s="215">
        <f>E159+G159</f>
        <v>0</v>
      </c>
      <c r="J159" s="216" t="e">
        <f>I159/$D159</f>
        <v>#DIV/0!</v>
      </c>
    </row>
    <row r="160" spans="1:10" hidden="1" x14ac:dyDescent="0.25">
      <c r="A160" s="146"/>
      <c r="B160" s="214" t="e">
        <f>$B$7</f>
        <v>#VALUE!</v>
      </c>
      <c r="C160" s="311">
        <v>0</v>
      </c>
      <c r="D160" s="303">
        <v>0</v>
      </c>
      <c r="E160" s="304">
        <v>0</v>
      </c>
      <c r="F160" s="216" t="e">
        <f>E160/$D160</f>
        <v>#DIV/0!</v>
      </c>
      <c r="G160" s="308">
        <v>0</v>
      </c>
      <c r="H160" s="216" t="e">
        <f>G160/$D160</f>
        <v>#DIV/0!</v>
      </c>
      <c r="I160" s="215">
        <f>E160+G160</f>
        <v>0</v>
      </c>
      <c r="J160" s="216" t="e">
        <f>I160/$D160</f>
        <v>#DIV/0!</v>
      </c>
    </row>
    <row r="161" spans="1:10" hidden="1" x14ac:dyDescent="0.25">
      <c r="A161" s="146"/>
      <c r="B161" s="220" t="e">
        <f>$B$8</f>
        <v>#VALUE!</v>
      </c>
      <c r="C161" s="312">
        <v>0</v>
      </c>
      <c r="D161" s="305">
        <v>0</v>
      </c>
      <c r="E161" s="306">
        <v>0</v>
      </c>
      <c r="F161" s="217" t="e">
        <f>E161/$D161</f>
        <v>#DIV/0!</v>
      </c>
      <c r="G161" s="309">
        <v>0</v>
      </c>
      <c r="H161" s="217" t="e">
        <f>G161/$D161</f>
        <v>#DIV/0!</v>
      </c>
      <c r="I161" s="224">
        <f>E161+G161</f>
        <v>0</v>
      </c>
      <c r="J161" s="217" t="e">
        <f>I161/$D161</f>
        <v>#DIV/0!</v>
      </c>
    </row>
    <row r="162" spans="1:10" hidden="1" x14ac:dyDescent="0.25">
      <c r="A162" s="146"/>
      <c r="B162" s="214" t="s">
        <v>316</v>
      </c>
      <c r="C162" s="215">
        <f>AVERAGE(C159:C161)</f>
        <v>0</v>
      </c>
      <c r="D162" s="215">
        <f>AVERAGE(D159:D161)</f>
        <v>0</v>
      </c>
      <c r="E162" s="215">
        <f>AVERAGE(E159:E161)</f>
        <v>0</v>
      </c>
      <c r="F162" s="216" t="e">
        <f>E162/$D162</f>
        <v>#DIV/0!</v>
      </c>
      <c r="G162" s="215">
        <f>AVERAGE(G159:G161)</f>
        <v>0</v>
      </c>
      <c r="H162" s="216" t="e">
        <f>G162/$D162</f>
        <v>#DIV/0!</v>
      </c>
      <c r="I162" s="215">
        <f>AVERAGE(I159:I161)</f>
        <v>0</v>
      </c>
      <c r="J162" s="216" t="e">
        <f>I162/$D162</f>
        <v>#DIV/0!</v>
      </c>
    </row>
    <row r="163" spans="1:10" hidden="1" x14ac:dyDescent="0.25">
      <c r="A163" s="146"/>
    </row>
    <row r="164" spans="1:10" hidden="1" x14ac:dyDescent="0.25">
      <c r="A164" s="146"/>
      <c r="B164" s="585" t="s">
        <v>324</v>
      </c>
      <c r="C164" s="585"/>
    </row>
    <row r="165" spans="1:10" ht="30.75" hidden="1" thickBot="1" x14ac:dyDescent="0.3">
      <c r="A165" s="146"/>
      <c r="B165" s="206" t="s">
        <v>303</v>
      </c>
      <c r="C165" s="206" t="s">
        <v>304</v>
      </c>
      <c r="D165" s="206" t="s">
        <v>305</v>
      </c>
      <c r="E165" s="206" t="s">
        <v>306</v>
      </c>
      <c r="F165" s="206" t="s">
        <v>307</v>
      </c>
      <c r="G165" s="206" t="s">
        <v>308</v>
      </c>
      <c r="H165" s="206" t="s">
        <v>309</v>
      </c>
      <c r="I165" s="206" t="s">
        <v>310</v>
      </c>
      <c r="J165" s="206" t="s">
        <v>311</v>
      </c>
    </row>
    <row r="166" spans="1:10" hidden="1" x14ac:dyDescent="0.25">
      <c r="A166" s="146"/>
      <c r="B166" s="214" t="str">
        <f>$B$6</f>
        <v>YYYY</v>
      </c>
      <c r="C166" s="310">
        <v>0</v>
      </c>
      <c r="D166" s="301">
        <v>0</v>
      </c>
      <c r="E166" s="302">
        <v>0</v>
      </c>
      <c r="F166" s="216" t="e">
        <f>E166/$D166</f>
        <v>#DIV/0!</v>
      </c>
      <c r="G166" s="307">
        <v>0</v>
      </c>
      <c r="H166" s="216" t="e">
        <f>G166/$D166</f>
        <v>#DIV/0!</v>
      </c>
      <c r="I166" s="215">
        <f>E166+G166</f>
        <v>0</v>
      </c>
      <c r="J166" s="216" t="e">
        <f>I166/$D166</f>
        <v>#DIV/0!</v>
      </c>
    </row>
    <row r="167" spans="1:10" hidden="1" x14ac:dyDescent="0.25">
      <c r="A167" s="146"/>
      <c r="B167" s="214" t="e">
        <f>$B$7</f>
        <v>#VALUE!</v>
      </c>
      <c r="C167" s="311">
        <v>0</v>
      </c>
      <c r="D167" s="303">
        <v>0</v>
      </c>
      <c r="E167" s="304">
        <v>0</v>
      </c>
      <c r="F167" s="216" t="e">
        <f>E167/$D167</f>
        <v>#DIV/0!</v>
      </c>
      <c r="G167" s="308">
        <v>0</v>
      </c>
      <c r="H167" s="216" t="e">
        <f>G167/$D167</f>
        <v>#DIV/0!</v>
      </c>
      <c r="I167" s="215">
        <f>E167+G167</f>
        <v>0</v>
      </c>
      <c r="J167" s="216" t="e">
        <f>I167/$D167</f>
        <v>#DIV/0!</v>
      </c>
    </row>
    <row r="168" spans="1:10" hidden="1" x14ac:dyDescent="0.25">
      <c r="A168" s="146"/>
      <c r="B168" s="220" t="e">
        <f>$B$8</f>
        <v>#VALUE!</v>
      </c>
      <c r="C168" s="312">
        <v>0</v>
      </c>
      <c r="D168" s="305">
        <v>0</v>
      </c>
      <c r="E168" s="306">
        <v>0</v>
      </c>
      <c r="F168" s="217" t="e">
        <f>E168/$D168</f>
        <v>#DIV/0!</v>
      </c>
      <c r="G168" s="309">
        <v>0</v>
      </c>
      <c r="H168" s="217" t="e">
        <f>G168/$D168</f>
        <v>#DIV/0!</v>
      </c>
      <c r="I168" s="224">
        <f>E168+G168</f>
        <v>0</v>
      </c>
      <c r="J168" s="217" t="e">
        <f>I168/$D168</f>
        <v>#DIV/0!</v>
      </c>
    </row>
    <row r="169" spans="1:10" hidden="1" x14ac:dyDescent="0.25">
      <c r="A169" s="146"/>
      <c r="B169" s="214" t="s">
        <v>316</v>
      </c>
      <c r="C169" s="215">
        <f>AVERAGE(C166:C168)</f>
        <v>0</v>
      </c>
      <c r="D169" s="215">
        <f>AVERAGE(D166:D168)</f>
        <v>0</v>
      </c>
      <c r="E169" s="215">
        <f>AVERAGE(E166:E168)</f>
        <v>0</v>
      </c>
      <c r="F169" s="216" t="e">
        <f>E169/$D169</f>
        <v>#DIV/0!</v>
      </c>
      <c r="G169" s="215">
        <f>AVERAGE(G166:G168)</f>
        <v>0</v>
      </c>
      <c r="H169" s="216" t="e">
        <f>G169/$D169</f>
        <v>#DIV/0!</v>
      </c>
      <c r="I169" s="215">
        <f>AVERAGE(I166:I168)</f>
        <v>0</v>
      </c>
      <c r="J169" s="216" t="e">
        <f>I169/$D169</f>
        <v>#DIV/0!</v>
      </c>
    </row>
    <row r="170" spans="1:10" hidden="1" x14ac:dyDescent="0.25">
      <c r="A170" s="146"/>
    </row>
    <row r="171" spans="1:10" hidden="1" x14ac:dyDescent="0.25">
      <c r="A171" s="146"/>
      <c r="B171" s="585" t="s">
        <v>324</v>
      </c>
      <c r="C171" s="585"/>
    </row>
    <row r="172" spans="1:10" ht="30.75" hidden="1" thickBot="1" x14ac:dyDescent="0.3">
      <c r="A172" s="146"/>
      <c r="B172" s="206" t="s">
        <v>303</v>
      </c>
      <c r="C172" s="206" t="s">
        <v>304</v>
      </c>
      <c r="D172" s="206" t="s">
        <v>305</v>
      </c>
      <c r="E172" s="206" t="s">
        <v>306</v>
      </c>
      <c r="F172" s="206" t="s">
        <v>307</v>
      </c>
      <c r="G172" s="206" t="s">
        <v>308</v>
      </c>
      <c r="H172" s="206" t="s">
        <v>309</v>
      </c>
      <c r="I172" s="206" t="s">
        <v>310</v>
      </c>
      <c r="J172" s="206" t="s">
        <v>311</v>
      </c>
    </row>
    <row r="173" spans="1:10" hidden="1" x14ac:dyDescent="0.25">
      <c r="A173" s="146"/>
      <c r="B173" s="214" t="str">
        <f>$B$6</f>
        <v>YYYY</v>
      </c>
      <c r="C173" s="310">
        <v>0</v>
      </c>
      <c r="D173" s="301">
        <v>0</v>
      </c>
      <c r="E173" s="302">
        <v>0</v>
      </c>
      <c r="F173" s="216" t="e">
        <f>E173/$D173</f>
        <v>#DIV/0!</v>
      </c>
      <c r="G173" s="307">
        <v>0</v>
      </c>
      <c r="H173" s="216" t="e">
        <f>G173/$D173</f>
        <v>#DIV/0!</v>
      </c>
      <c r="I173" s="215">
        <f>E173+G173</f>
        <v>0</v>
      </c>
      <c r="J173" s="216" t="e">
        <f>I173/$D173</f>
        <v>#DIV/0!</v>
      </c>
    </row>
    <row r="174" spans="1:10" hidden="1" x14ac:dyDescent="0.25">
      <c r="A174" s="146"/>
      <c r="B174" s="214" t="e">
        <f>$B$7</f>
        <v>#VALUE!</v>
      </c>
      <c r="C174" s="311">
        <v>0</v>
      </c>
      <c r="D174" s="303">
        <v>0</v>
      </c>
      <c r="E174" s="304">
        <v>0</v>
      </c>
      <c r="F174" s="216" t="e">
        <f>E174/$D174</f>
        <v>#DIV/0!</v>
      </c>
      <c r="G174" s="308">
        <v>0</v>
      </c>
      <c r="H174" s="216" t="e">
        <f>G174/$D174</f>
        <v>#DIV/0!</v>
      </c>
      <c r="I174" s="215">
        <f>E174+G174</f>
        <v>0</v>
      </c>
      <c r="J174" s="216" t="e">
        <f>I174/$D174</f>
        <v>#DIV/0!</v>
      </c>
    </row>
    <row r="175" spans="1:10" hidden="1" x14ac:dyDescent="0.25">
      <c r="A175" s="146"/>
      <c r="B175" s="220" t="e">
        <f>$B$8</f>
        <v>#VALUE!</v>
      </c>
      <c r="C175" s="312">
        <v>0</v>
      </c>
      <c r="D175" s="305">
        <v>0</v>
      </c>
      <c r="E175" s="306">
        <v>0</v>
      </c>
      <c r="F175" s="217" t="e">
        <f>E175/$D175</f>
        <v>#DIV/0!</v>
      </c>
      <c r="G175" s="309">
        <v>0</v>
      </c>
      <c r="H175" s="217" t="e">
        <f>G175/$D175</f>
        <v>#DIV/0!</v>
      </c>
      <c r="I175" s="224">
        <f>E175+G175</f>
        <v>0</v>
      </c>
      <c r="J175" s="217" t="e">
        <f>I175/$D175</f>
        <v>#DIV/0!</v>
      </c>
    </row>
    <row r="176" spans="1:10" hidden="1" x14ac:dyDescent="0.25">
      <c r="A176" s="146"/>
      <c r="B176" s="214" t="s">
        <v>316</v>
      </c>
      <c r="C176" s="215">
        <f>AVERAGE(C173:C175)</f>
        <v>0</v>
      </c>
      <c r="D176" s="215">
        <f>AVERAGE(D173:D175)</f>
        <v>0</v>
      </c>
      <c r="E176" s="215">
        <f>AVERAGE(E173:E175)</f>
        <v>0</v>
      </c>
      <c r="F176" s="216" t="e">
        <f>E176/$D176</f>
        <v>#DIV/0!</v>
      </c>
      <c r="G176" s="215">
        <f>AVERAGE(G173:G175)</f>
        <v>0</v>
      </c>
      <c r="H176" s="216" t="e">
        <f>G176/$D176</f>
        <v>#DIV/0!</v>
      </c>
      <c r="I176" s="215">
        <f>AVERAGE(I173:I175)</f>
        <v>0</v>
      </c>
      <c r="J176" s="216" t="e">
        <f>I176/$D176</f>
        <v>#DIV/0!</v>
      </c>
    </row>
    <row r="177" spans="1:10" hidden="1" x14ac:dyDescent="0.25">
      <c r="A177" s="146"/>
    </row>
    <row r="178" spans="1:10" hidden="1" x14ac:dyDescent="0.25">
      <c r="A178" s="146"/>
      <c r="B178" s="585" t="s">
        <v>324</v>
      </c>
      <c r="C178" s="585"/>
    </row>
    <row r="179" spans="1:10" ht="30.75" hidden="1" thickBot="1" x14ac:dyDescent="0.3">
      <c r="A179" s="146"/>
      <c r="B179" s="206" t="s">
        <v>303</v>
      </c>
      <c r="C179" s="206" t="s">
        <v>304</v>
      </c>
      <c r="D179" s="206" t="s">
        <v>305</v>
      </c>
      <c r="E179" s="206" t="s">
        <v>306</v>
      </c>
      <c r="F179" s="206" t="s">
        <v>307</v>
      </c>
      <c r="G179" s="206" t="s">
        <v>308</v>
      </c>
      <c r="H179" s="206" t="s">
        <v>309</v>
      </c>
      <c r="I179" s="206" t="s">
        <v>310</v>
      </c>
      <c r="J179" s="206" t="s">
        <v>311</v>
      </c>
    </row>
    <row r="180" spans="1:10" hidden="1" x14ac:dyDescent="0.25">
      <c r="A180" s="146"/>
      <c r="B180" s="214" t="str">
        <f>$B$6</f>
        <v>YYYY</v>
      </c>
      <c r="C180" s="310">
        <v>0</v>
      </c>
      <c r="D180" s="301">
        <v>0</v>
      </c>
      <c r="E180" s="302">
        <v>0</v>
      </c>
      <c r="F180" s="216" t="e">
        <f>E180/$D180</f>
        <v>#DIV/0!</v>
      </c>
      <c r="G180" s="307">
        <v>0</v>
      </c>
      <c r="H180" s="216" t="e">
        <f>G180/$D180</f>
        <v>#DIV/0!</v>
      </c>
      <c r="I180" s="215">
        <f>E180+G180</f>
        <v>0</v>
      </c>
      <c r="J180" s="216" t="e">
        <f>I180/$D180</f>
        <v>#DIV/0!</v>
      </c>
    </row>
    <row r="181" spans="1:10" hidden="1" x14ac:dyDescent="0.25">
      <c r="A181" s="146"/>
      <c r="B181" s="214" t="e">
        <f>$B$7</f>
        <v>#VALUE!</v>
      </c>
      <c r="C181" s="311">
        <v>0</v>
      </c>
      <c r="D181" s="303">
        <v>0</v>
      </c>
      <c r="E181" s="304">
        <v>0</v>
      </c>
      <c r="F181" s="216" t="e">
        <f>E181/$D181</f>
        <v>#DIV/0!</v>
      </c>
      <c r="G181" s="308">
        <v>0</v>
      </c>
      <c r="H181" s="216" t="e">
        <f>G181/$D181</f>
        <v>#DIV/0!</v>
      </c>
      <c r="I181" s="215">
        <f>E181+G181</f>
        <v>0</v>
      </c>
      <c r="J181" s="216" t="e">
        <f>I181/$D181</f>
        <v>#DIV/0!</v>
      </c>
    </row>
    <row r="182" spans="1:10" hidden="1" x14ac:dyDescent="0.25">
      <c r="A182" s="146"/>
      <c r="B182" s="220" t="e">
        <f>$B$8</f>
        <v>#VALUE!</v>
      </c>
      <c r="C182" s="312">
        <v>0</v>
      </c>
      <c r="D182" s="305">
        <v>0</v>
      </c>
      <c r="E182" s="306">
        <v>0</v>
      </c>
      <c r="F182" s="217" t="e">
        <f>E182/$D182</f>
        <v>#DIV/0!</v>
      </c>
      <c r="G182" s="309">
        <v>0</v>
      </c>
      <c r="H182" s="217" t="e">
        <f>G182/$D182</f>
        <v>#DIV/0!</v>
      </c>
      <c r="I182" s="224">
        <f>E182+G182</f>
        <v>0</v>
      </c>
      <c r="J182" s="217" t="e">
        <f>I182/$D182</f>
        <v>#DIV/0!</v>
      </c>
    </row>
    <row r="183" spans="1:10" hidden="1" x14ac:dyDescent="0.25">
      <c r="A183" s="146"/>
      <c r="B183" s="214" t="s">
        <v>316</v>
      </c>
      <c r="C183" s="215">
        <f>AVERAGE(C180:C182)</f>
        <v>0</v>
      </c>
      <c r="D183" s="215">
        <f>AVERAGE(D180:D182)</f>
        <v>0</v>
      </c>
      <c r="E183" s="215">
        <f>AVERAGE(E180:E182)</f>
        <v>0</v>
      </c>
      <c r="F183" s="216" t="e">
        <f>E183/$D183</f>
        <v>#DIV/0!</v>
      </c>
      <c r="G183" s="215">
        <f>AVERAGE(G180:G182)</f>
        <v>0</v>
      </c>
      <c r="H183" s="216" t="e">
        <f>G183/$D183</f>
        <v>#DIV/0!</v>
      </c>
      <c r="I183" s="215">
        <f>AVERAGE(I180:I182)</f>
        <v>0</v>
      </c>
      <c r="J183" s="216" t="e">
        <f>I183/$D183</f>
        <v>#DIV/0!</v>
      </c>
    </row>
    <row r="184" spans="1:10" hidden="1" x14ac:dyDescent="0.25">
      <c r="A184" s="146"/>
    </row>
    <row r="185" spans="1:10" hidden="1" x14ac:dyDescent="0.25">
      <c r="A185" s="146"/>
      <c r="B185" s="585" t="s">
        <v>324</v>
      </c>
      <c r="C185" s="585"/>
    </row>
    <row r="186" spans="1:10" ht="30.75" hidden="1" thickBot="1" x14ac:dyDescent="0.3">
      <c r="A186" s="146"/>
      <c r="B186" s="206" t="s">
        <v>303</v>
      </c>
      <c r="C186" s="206" t="s">
        <v>304</v>
      </c>
      <c r="D186" s="206" t="s">
        <v>305</v>
      </c>
      <c r="E186" s="206" t="s">
        <v>306</v>
      </c>
      <c r="F186" s="206" t="s">
        <v>307</v>
      </c>
      <c r="G186" s="206" t="s">
        <v>308</v>
      </c>
      <c r="H186" s="206" t="s">
        <v>309</v>
      </c>
      <c r="I186" s="206" t="s">
        <v>310</v>
      </c>
      <c r="J186" s="206" t="s">
        <v>311</v>
      </c>
    </row>
    <row r="187" spans="1:10" hidden="1" x14ac:dyDescent="0.25">
      <c r="A187" s="146"/>
      <c r="B187" s="214" t="str">
        <f>$B$6</f>
        <v>YYYY</v>
      </c>
      <c r="C187" s="310">
        <v>0</v>
      </c>
      <c r="D187" s="301">
        <v>0</v>
      </c>
      <c r="E187" s="302">
        <v>0</v>
      </c>
      <c r="F187" s="216" t="e">
        <f>E187/$D187</f>
        <v>#DIV/0!</v>
      </c>
      <c r="G187" s="307">
        <v>0</v>
      </c>
      <c r="H187" s="216" t="e">
        <f>G187/$D187</f>
        <v>#DIV/0!</v>
      </c>
      <c r="I187" s="215">
        <f>E187+G187</f>
        <v>0</v>
      </c>
      <c r="J187" s="216" t="e">
        <f>I187/$D187</f>
        <v>#DIV/0!</v>
      </c>
    </row>
    <row r="188" spans="1:10" hidden="1" x14ac:dyDescent="0.25">
      <c r="A188" s="146"/>
      <c r="B188" s="214" t="e">
        <f>$B$7</f>
        <v>#VALUE!</v>
      </c>
      <c r="C188" s="311">
        <v>0</v>
      </c>
      <c r="D188" s="303">
        <v>0</v>
      </c>
      <c r="E188" s="304">
        <v>0</v>
      </c>
      <c r="F188" s="216" t="e">
        <f>E188/$D188</f>
        <v>#DIV/0!</v>
      </c>
      <c r="G188" s="308">
        <v>0</v>
      </c>
      <c r="H188" s="216" t="e">
        <f>G188/$D188</f>
        <v>#DIV/0!</v>
      </c>
      <c r="I188" s="215">
        <f>E188+G188</f>
        <v>0</v>
      </c>
      <c r="J188" s="216" t="e">
        <f>I188/$D188</f>
        <v>#DIV/0!</v>
      </c>
    </row>
    <row r="189" spans="1:10" hidden="1" x14ac:dyDescent="0.25">
      <c r="A189" s="146"/>
      <c r="B189" s="220" t="e">
        <f>$B$8</f>
        <v>#VALUE!</v>
      </c>
      <c r="C189" s="312">
        <v>0</v>
      </c>
      <c r="D189" s="305">
        <v>0</v>
      </c>
      <c r="E189" s="306">
        <v>0</v>
      </c>
      <c r="F189" s="217" t="e">
        <f>E189/$D189</f>
        <v>#DIV/0!</v>
      </c>
      <c r="G189" s="309">
        <v>0</v>
      </c>
      <c r="H189" s="217" t="e">
        <f>G189/$D189</f>
        <v>#DIV/0!</v>
      </c>
      <c r="I189" s="224">
        <f>E189+G189</f>
        <v>0</v>
      </c>
      <c r="J189" s="217" t="e">
        <f>I189/$D189</f>
        <v>#DIV/0!</v>
      </c>
    </row>
    <row r="190" spans="1:10" hidden="1" x14ac:dyDescent="0.25">
      <c r="A190" s="146"/>
      <c r="B190" s="214" t="s">
        <v>316</v>
      </c>
      <c r="C190" s="215">
        <f>AVERAGE(C187:C189)</f>
        <v>0</v>
      </c>
      <c r="D190" s="215">
        <f>AVERAGE(D187:D189)</f>
        <v>0</v>
      </c>
      <c r="E190" s="215">
        <f>AVERAGE(E187:E189)</f>
        <v>0</v>
      </c>
      <c r="F190" s="216" t="e">
        <f>E190/$D190</f>
        <v>#DIV/0!</v>
      </c>
      <c r="G190" s="215">
        <f>AVERAGE(G187:G189)</f>
        <v>0</v>
      </c>
      <c r="H190" s="216" t="e">
        <f>G190/$D190</f>
        <v>#DIV/0!</v>
      </c>
      <c r="I190" s="215">
        <f>AVERAGE(I187:I189)</f>
        <v>0</v>
      </c>
      <c r="J190" s="216" t="e">
        <f>I190/$D190</f>
        <v>#DIV/0!</v>
      </c>
    </row>
    <row r="191" spans="1:10" hidden="1" x14ac:dyDescent="0.25">
      <c r="A191" s="146"/>
    </row>
    <row r="192" spans="1:10" hidden="1" x14ac:dyDescent="0.25">
      <c r="A192" s="146"/>
      <c r="B192" s="585" t="s">
        <v>324</v>
      </c>
      <c r="C192" s="585"/>
    </row>
    <row r="193" spans="1:10" ht="30.75" hidden="1" thickBot="1" x14ac:dyDescent="0.3">
      <c r="A193" s="146"/>
      <c r="B193" s="206" t="s">
        <v>303</v>
      </c>
      <c r="C193" s="206" t="s">
        <v>304</v>
      </c>
      <c r="D193" s="206" t="s">
        <v>305</v>
      </c>
      <c r="E193" s="206" t="s">
        <v>306</v>
      </c>
      <c r="F193" s="206" t="s">
        <v>307</v>
      </c>
      <c r="G193" s="206" t="s">
        <v>308</v>
      </c>
      <c r="H193" s="206" t="s">
        <v>309</v>
      </c>
      <c r="I193" s="206" t="s">
        <v>310</v>
      </c>
      <c r="J193" s="206" t="s">
        <v>311</v>
      </c>
    </row>
    <row r="194" spans="1:10" hidden="1" x14ac:dyDescent="0.25">
      <c r="A194" s="146"/>
      <c r="B194" s="214" t="str">
        <f>$B$6</f>
        <v>YYYY</v>
      </c>
      <c r="C194" s="310">
        <v>0</v>
      </c>
      <c r="D194" s="301">
        <v>0</v>
      </c>
      <c r="E194" s="302">
        <v>0</v>
      </c>
      <c r="F194" s="216" t="e">
        <f>E194/$D194</f>
        <v>#DIV/0!</v>
      </c>
      <c r="G194" s="307">
        <v>0</v>
      </c>
      <c r="H194" s="216" t="e">
        <f>G194/$D194</f>
        <v>#DIV/0!</v>
      </c>
      <c r="I194" s="215">
        <f>E194+G194</f>
        <v>0</v>
      </c>
      <c r="J194" s="216" t="e">
        <f>I194/$D194</f>
        <v>#DIV/0!</v>
      </c>
    </row>
    <row r="195" spans="1:10" hidden="1" x14ac:dyDescent="0.25">
      <c r="A195" s="146"/>
      <c r="B195" s="214" t="e">
        <f>$B$7</f>
        <v>#VALUE!</v>
      </c>
      <c r="C195" s="311">
        <v>0</v>
      </c>
      <c r="D195" s="303">
        <v>0</v>
      </c>
      <c r="E195" s="304">
        <v>0</v>
      </c>
      <c r="F195" s="216" t="e">
        <f>E195/$D195</f>
        <v>#DIV/0!</v>
      </c>
      <c r="G195" s="308">
        <v>0</v>
      </c>
      <c r="H195" s="216" t="e">
        <f>G195/$D195</f>
        <v>#DIV/0!</v>
      </c>
      <c r="I195" s="215">
        <f>E195+G195</f>
        <v>0</v>
      </c>
      <c r="J195" s="216" t="e">
        <f>I195/$D195</f>
        <v>#DIV/0!</v>
      </c>
    </row>
    <row r="196" spans="1:10" hidden="1" x14ac:dyDescent="0.25">
      <c r="A196" s="146"/>
      <c r="B196" s="220" t="e">
        <f>$B$8</f>
        <v>#VALUE!</v>
      </c>
      <c r="C196" s="312">
        <v>0</v>
      </c>
      <c r="D196" s="305">
        <v>0</v>
      </c>
      <c r="E196" s="306">
        <v>0</v>
      </c>
      <c r="F196" s="217" t="e">
        <f>E196/$D196</f>
        <v>#DIV/0!</v>
      </c>
      <c r="G196" s="309">
        <v>0</v>
      </c>
      <c r="H196" s="217" t="e">
        <f>G196/$D196</f>
        <v>#DIV/0!</v>
      </c>
      <c r="I196" s="224">
        <f>E196+G196</f>
        <v>0</v>
      </c>
      <c r="J196" s="217" t="e">
        <f>I196/$D196</f>
        <v>#DIV/0!</v>
      </c>
    </row>
    <row r="197" spans="1:10" hidden="1" x14ac:dyDescent="0.25">
      <c r="A197" s="146"/>
      <c r="B197" s="214" t="s">
        <v>316</v>
      </c>
      <c r="C197" s="215">
        <f>AVERAGE(C194:C196)</f>
        <v>0</v>
      </c>
      <c r="D197" s="215">
        <f>AVERAGE(D194:D196)</f>
        <v>0</v>
      </c>
      <c r="E197" s="215">
        <f>AVERAGE(E194:E196)</f>
        <v>0</v>
      </c>
      <c r="F197" s="216" t="e">
        <f>E197/$D197</f>
        <v>#DIV/0!</v>
      </c>
      <c r="G197" s="215">
        <f>AVERAGE(G194:G196)</f>
        <v>0</v>
      </c>
      <c r="H197" s="216" t="e">
        <f>G197/$D197</f>
        <v>#DIV/0!</v>
      </c>
      <c r="I197" s="215">
        <f>AVERAGE(I194:I196)</f>
        <v>0</v>
      </c>
      <c r="J197" s="216" t="e">
        <f>I197/$D197</f>
        <v>#DIV/0!</v>
      </c>
    </row>
    <row r="198" spans="1:10" hidden="1" x14ac:dyDescent="0.25">
      <c r="A198" s="146"/>
    </row>
    <row r="199" spans="1:10" hidden="1" x14ac:dyDescent="0.25">
      <c r="A199" s="146"/>
      <c r="B199" s="585" t="s">
        <v>324</v>
      </c>
      <c r="C199" s="585"/>
    </row>
    <row r="200" spans="1:10" ht="30.75" hidden="1" thickBot="1" x14ac:dyDescent="0.3">
      <c r="A200" s="146"/>
      <c r="B200" s="206" t="s">
        <v>303</v>
      </c>
      <c r="C200" s="206" t="s">
        <v>304</v>
      </c>
      <c r="D200" s="206" t="s">
        <v>305</v>
      </c>
      <c r="E200" s="206" t="s">
        <v>306</v>
      </c>
      <c r="F200" s="206" t="s">
        <v>307</v>
      </c>
      <c r="G200" s="206" t="s">
        <v>308</v>
      </c>
      <c r="H200" s="206" t="s">
        <v>309</v>
      </c>
      <c r="I200" s="206" t="s">
        <v>310</v>
      </c>
      <c r="J200" s="206" t="s">
        <v>311</v>
      </c>
    </row>
    <row r="201" spans="1:10" hidden="1" x14ac:dyDescent="0.25">
      <c r="A201" s="146"/>
      <c r="B201" s="214" t="str">
        <f>$B$6</f>
        <v>YYYY</v>
      </c>
      <c r="C201" s="310">
        <v>0</v>
      </c>
      <c r="D201" s="301">
        <v>0</v>
      </c>
      <c r="E201" s="302">
        <v>0</v>
      </c>
      <c r="F201" s="216" t="e">
        <f>E201/$D201</f>
        <v>#DIV/0!</v>
      </c>
      <c r="G201" s="307">
        <v>0</v>
      </c>
      <c r="H201" s="216" t="e">
        <f>G201/$D201</f>
        <v>#DIV/0!</v>
      </c>
      <c r="I201" s="215">
        <f>E201+G201</f>
        <v>0</v>
      </c>
      <c r="J201" s="216" t="e">
        <f>I201/$D201</f>
        <v>#DIV/0!</v>
      </c>
    </row>
    <row r="202" spans="1:10" hidden="1" x14ac:dyDescent="0.25">
      <c r="A202" s="146"/>
      <c r="B202" s="214" t="e">
        <f>$B$7</f>
        <v>#VALUE!</v>
      </c>
      <c r="C202" s="311">
        <v>0</v>
      </c>
      <c r="D202" s="303">
        <v>0</v>
      </c>
      <c r="E202" s="304">
        <v>0</v>
      </c>
      <c r="F202" s="216" t="e">
        <f>E202/$D202</f>
        <v>#DIV/0!</v>
      </c>
      <c r="G202" s="308">
        <v>0</v>
      </c>
      <c r="H202" s="216" t="e">
        <f>G202/$D202</f>
        <v>#DIV/0!</v>
      </c>
      <c r="I202" s="215">
        <f>E202+G202</f>
        <v>0</v>
      </c>
      <c r="J202" s="216" t="e">
        <f>I202/$D202</f>
        <v>#DIV/0!</v>
      </c>
    </row>
    <row r="203" spans="1:10" hidden="1" x14ac:dyDescent="0.25">
      <c r="A203" s="146"/>
      <c r="B203" s="220" t="e">
        <f>$B$8</f>
        <v>#VALUE!</v>
      </c>
      <c r="C203" s="312">
        <v>0</v>
      </c>
      <c r="D203" s="305">
        <v>0</v>
      </c>
      <c r="E203" s="306">
        <v>0</v>
      </c>
      <c r="F203" s="217" t="e">
        <f>E203/$D203</f>
        <v>#DIV/0!</v>
      </c>
      <c r="G203" s="309">
        <v>0</v>
      </c>
      <c r="H203" s="217" t="e">
        <f>G203/$D203</f>
        <v>#DIV/0!</v>
      </c>
      <c r="I203" s="224">
        <f>E203+G203</f>
        <v>0</v>
      </c>
      <c r="J203" s="217" t="e">
        <f>I203/$D203</f>
        <v>#DIV/0!</v>
      </c>
    </row>
    <row r="204" spans="1:10" hidden="1" x14ac:dyDescent="0.25">
      <c r="A204" s="146"/>
      <c r="B204" s="214" t="s">
        <v>316</v>
      </c>
      <c r="C204" s="215">
        <f>AVERAGE(C201:C203)</f>
        <v>0</v>
      </c>
      <c r="D204" s="215">
        <f>AVERAGE(D201:D203)</f>
        <v>0</v>
      </c>
      <c r="E204" s="215">
        <f>AVERAGE(E201:E203)</f>
        <v>0</v>
      </c>
      <c r="F204" s="216" t="e">
        <f>E204/$D204</f>
        <v>#DIV/0!</v>
      </c>
      <c r="G204" s="215">
        <f>AVERAGE(G201:G203)</f>
        <v>0</v>
      </c>
      <c r="H204" s="216" t="e">
        <f>G204/$D204</f>
        <v>#DIV/0!</v>
      </c>
      <c r="I204" s="215">
        <f>AVERAGE(I201:I203)</f>
        <v>0</v>
      </c>
      <c r="J204" s="216" t="e">
        <f>I204/$D204</f>
        <v>#DIV/0!</v>
      </c>
    </row>
    <row r="205" spans="1:10" hidden="1" x14ac:dyDescent="0.25">
      <c r="A205" s="146"/>
    </row>
    <row r="206" spans="1:10" hidden="1" x14ac:dyDescent="0.25">
      <c r="A206" s="146"/>
      <c r="B206" s="585" t="s">
        <v>324</v>
      </c>
      <c r="C206" s="585"/>
    </row>
    <row r="207" spans="1:10" ht="30.75" hidden="1" thickBot="1" x14ac:dyDescent="0.3">
      <c r="A207" s="146"/>
      <c r="B207" s="206" t="s">
        <v>303</v>
      </c>
      <c r="C207" s="206" t="s">
        <v>304</v>
      </c>
      <c r="D207" s="206" t="s">
        <v>305</v>
      </c>
      <c r="E207" s="206" t="s">
        <v>306</v>
      </c>
      <c r="F207" s="206" t="s">
        <v>307</v>
      </c>
      <c r="G207" s="206" t="s">
        <v>308</v>
      </c>
      <c r="H207" s="206" t="s">
        <v>309</v>
      </c>
      <c r="I207" s="206" t="s">
        <v>310</v>
      </c>
      <c r="J207" s="206" t="s">
        <v>311</v>
      </c>
    </row>
    <row r="208" spans="1:10" hidden="1" x14ac:dyDescent="0.25">
      <c r="A208" s="146"/>
      <c r="B208" s="214" t="str">
        <f>$B$6</f>
        <v>YYYY</v>
      </c>
      <c r="C208" s="310">
        <v>0</v>
      </c>
      <c r="D208" s="301">
        <v>0</v>
      </c>
      <c r="E208" s="302">
        <v>0</v>
      </c>
      <c r="F208" s="216" t="e">
        <f>E208/$D208</f>
        <v>#DIV/0!</v>
      </c>
      <c r="G208" s="307">
        <v>0</v>
      </c>
      <c r="H208" s="216" t="e">
        <f>G208/$D208</f>
        <v>#DIV/0!</v>
      </c>
      <c r="I208" s="215">
        <f>E208+G208</f>
        <v>0</v>
      </c>
      <c r="J208" s="216" t="e">
        <f>I208/$D208</f>
        <v>#DIV/0!</v>
      </c>
    </row>
    <row r="209" spans="1:10" hidden="1" x14ac:dyDescent="0.25">
      <c r="A209" s="146"/>
      <c r="B209" s="214" t="e">
        <f>$B$7</f>
        <v>#VALUE!</v>
      </c>
      <c r="C209" s="311">
        <v>0</v>
      </c>
      <c r="D209" s="303">
        <v>0</v>
      </c>
      <c r="E209" s="304">
        <v>0</v>
      </c>
      <c r="F209" s="216" t="e">
        <f>E209/$D209</f>
        <v>#DIV/0!</v>
      </c>
      <c r="G209" s="308">
        <v>0</v>
      </c>
      <c r="H209" s="216" t="e">
        <f>G209/$D209</f>
        <v>#DIV/0!</v>
      </c>
      <c r="I209" s="215">
        <f>E209+G209</f>
        <v>0</v>
      </c>
      <c r="J209" s="216" t="e">
        <f>I209/$D209</f>
        <v>#DIV/0!</v>
      </c>
    </row>
    <row r="210" spans="1:10" hidden="1" x14ac:dyDescent="0.25">
      <c r="A210" s="146"/>
      <c r="B210" s="220" t="e">
        <f>$B$8</f>
        <v>#VALUE!</v>
      </c>
      <c r="C210" s="312">
        <v>0</v>
      </c>
      <c r="D210" s="305">
        <v>0</v>
      </c>
      <c r="E210" s="306">
        <v>0</v>
      </c>
      <c r="F210" s="217" t="e">
        <f>E210/$D210</f>
        <v>#DIV/0!</v>
      </c>
      <c r="G210" s="309">
        <v>0</v>
      </c>
      <c r="H210" s="217" t="e">
        <f>G210/$D210</f>
        <v>#DIV/0!</v>
      </c>
      <c r="I210" s="224">
        <f>E210+G210</f>
        <v>0</v>
      </c>
      <c r="J210" s="217" t="e">
        <f>I210/$D210</f>
        <v>#DIV/0!</v>
      </c>
    </row>
    <row r="211" spans="1:10" hidden="1" x14ac:dyDescent="0.25">
      <c r="A211" s="146"/>
      <c r="B211" s="214" t="s">
        <v>316</v>
      </c>
      <c r="C211" s="215">
        <f>AVERAGE(C208:C210)</f>
        <v>0</v>
      </c>
      <c r="D211" s="215">
        <f>AVERAGE(D208:D210)</f>
        <v>0</v>
      </c>
      <c r="E211" s="215">
        <f>AVERAGE(E208:E210)</f>
        <v>0</v>
      </c>
      <c r="F211" s="216" t="e">
        <f>E211/$D211</f>
        <v>#DIV/0!</v>
      </c>
      <c r="G211" s="215">
        <f>AVERAGE(G208:G210)</f>
        <v>0</v>
      </c>
      <c r="H211" s="216" t="e">
        <f>G211/$D211</f>
        <v>#DIV/0!</v>
      </c>
      <c r="I211" s="215">
        <f>AVERAGE(I208:I210)</f>
        <v>0</v>
      </c>
      <c r="J211" s="216" t="e">
        <f>I211/$D211</f>
        <v>#DIV/0!</v>
      </c>
    </row>
    <row r="212" spans="1:10" hidden="1" x14ac:dyDescent="0.25">
      <c r="A212" s="146"/>
    </row>
    <row r="213" spans="1:10" hidden="1" x14ac:dyDescent="0.25">
      <c r="A213" s="146"/>
      <c r="B213" s="585" t="s">
        <v>324</v>
      </c>
      <c r="C213" s="585"/>
    </row>
    <row r="214" spans="1:10" ht="30.75" hidden="1" thickBot="1" x14ac:dyDescent="0.3">
      <c r="A214" s="146"/>
      <c r="B214" s="206" t="s">
        <v>303</v>
      </c>
      <c r="C214" s="206" t="s">
        <v>304</v>
      </c>
      <c r="D214" s="206" t="s">
        <v>305</v>
      </c>
      <c r="E214" s="206" t="s">
        <v>306</v>
      </c>
      <c r="F214" s="206" t="s">
        <v>307</v>
      </c>
      <c r="G214" s="206" t="s">
        <v>308</v>
      </c>
      <c r="H214" s="206" t="s">
        <v>309</v>
      </c>
      <c r="I214" s="206" t="s">
        <v>310</v>
      </c>
      <c r="J214" s="206" t="s">
        <v>311</v>
      </c>
    </row>
    <row r="215" spans="1:10" hidden="1" x14ac:dyDescent="0.25">
      <c r="A215" s="146"/>
      <c r="B215" s="214" t="str">
        <f>$B$6</f>
        <v>YYYY</v>
      </c>
      <c r="C215" s="310">
        <v>0</v>
      </c>
      <c r="D215" s="301">
        <v>0</v>
      </c>
      <c r="E215" s="302">
        <v>0</v>
      </c>
      <c r="F215" s="216" t="e">
        <f>E215/$D215</f>
        <v>#DIV/0!</v>
      </c>
      <c r="G215" s="307">
        <v>0</v>
      </c>
      <c r="H215" s="216" t="e">
        <f>G215/$D215</f>
        <v>#DIV/0!</v>
      </c>
      <c r="I215" s="215">
        <f>E215+G215</f>
        <v>0</v>
      </c>
      <c r="J215" s="216" t="e">
        <f>I215/$D215</f>
        <v>#DIV/0!</v>
      </c>
    </row>
    <row r="216" spans="1:10" hidden="1" x14ac:dyDescent="0.25">
      <c r="A216" s="146"/>
      <c r="B216" s="214" t="e">
        <f>$B$7</f>
        <v>#VALUE!</v>
      </c>
      <c r="C216" s="311">
        <v>0</v>
      </c>
      <c r="D216" s="303">
        <v>0</v>
      </c>
      <c r="E216" s="304">
        <v>0</v>
      </c>
      <c r="F216" s="216" t="e">
        <f>E216/$D216</f>
        <v>#DIV/0!</v>
      </c>
      <c r="G216" s="308">
        <v>0</v>
      </c>
      <c r="H216" s="216" t="e">
        <f>G216/$D216</f>
        <v>#DIV/0!</v>
      </c>
      <c r="I216" s="215">
        <f>E216+G216</f>
        <v>0</v>
      </c>
      <c r="J216" s="216" t="e">
        <f>I216/$D216</f>
        <v>#DIV/0!</v>
      </c>
    </row>
    <row r="217" spans="1:10" hidden="1" x14ac:dyDescent="0.25">
      <c r="A217" s="146"/>
      <c r="B217" s="220" t="e">
        <f>$B$8</f>
        <v>#VALUE!</v>
      </c>
      <c r="C217" s="312">
        <v>0</v>
      </c>
      <c r="D217" s="305">
        <v>0</v>
      </c>
      <c r="E217" s="306">
        <v>0</v>
      </c>
      <c r="F217" s="217" t="e">
        <f>E217/$D217</f>
        <v>#DIV/0!</v>
      </c>
      <c r="G217" s="309">
        <v>0</v>
      </c>
      <c r="H217" s="217" t="e">
        <f>G217/$D217</f>
        <v>#DIV/0!</v>
      </c>
      <c r="I217" s="224">
        <f>E217+G217</f>
        <v>0</v>
      </c>
      <c r="J217" s="217" t="e">
        <f>I217/$D217</f>
        <v>#DIV/0!</v>
      </c>
    </row>
    <row r="218" spans="1:10" hidden="1" x14ac:dyDescent="0.25">
      <c r="A218" s="146"/>
      <c r="B218" s="214" t="s">
        <v>316</v>
      </c>
      <c r="C218" s="215">
        <f>AVERAGE(C215:C217)</f>
        <v>0</v>
      </c>
      <c r="D218" s="215">
        <f>AVERAGE(D215:D217)</f>
        <v>0</v>
      </c>
      <c r="E218" s="215">
        <f>AVERAGE(E215:E217)</f>
        <v>0</v>
      </c>
      <c r="F218" s="216" t="e">
        <f>E218/$D218</f>
        <v>#DIV/0!</v>
      </c>
      <c r="G218" s="215">
        <f>AVERAGE(G215:G217)</f>
        <v>0</v>
      </c>
      <c r="H218" s="216" t="e">
        <f>G218/$D218</f>
        <v>#DIV/0!</v>
      </c>
      <c r="I218" s="215">
        <f>AVERAGE(I215:I217)</f>
        <v>0</v>
      </c>
      <c r="J218" s="216" t="e">
        <f>I218/$D218</f>
        <v>#DIV/0!</v>
      </c>
    </row>
    <row r="219" spans="1:10" hidden="1" x14ac:dyDescent="0.25">
      <c r="A219" s="146"/>
    </row>
    <row r="220" spans="1:10" hidden="1" x14ac:dyDescent="0.25">
      <c r="A220" s="146"/>
      <c r="B220" s="585" t="s">
        <v>324</v>
      </c>
      <c r="C220" s="585"/>
    </row>
    <row r="221" spans="1:10" ht="30.75" hidden="1" thickBot="1" x14ac:dyDescent="0.3">
      <c r="A221" s="146"/>
      <c r="B221" s="206" t="s">
        <v>303</v>
      </c>
      <c r="C221" s="206" t="s">
        <v>304</v>
      </c>
      <c r="D221" s="206" t="s">
        <v>305</v>
      </c>
      <c r="E221" s="206" t="s">
        <v>306</v>
      </c>
      <c r="F221" s="206" t="s">
        <v>307</v>
      </c>
      <c r="G221" s="206" t="s">
        <v>308</v>
      </c>
      <c r="H221" s="206" t="s">
        <v>309</v>
      </c>
      <c r="I221" s="206" t="s">
        <v>310</v>
      </c>
      <c r="J221" s="206" t="s">
        <v>311</v>
      </c>
    </row>
    <row r="222" spans="1:10" hidden="1" x14ac:dyDescent="0.25">
      <c r="A222" s="146"/>
      <c r="B222" s="214" t="str">
        <f>$B$6</f>
        <v>YYYY</v>
      </c>
      <c r="C222" s="310">
        <v>0</v>
      </c>
      <c r="D222" s="301">
        <v>0</v>
      </c>
      <c r="E222" s="302">
        <v>0</v>
      </c>
      <c r="F222" s="216" t="e">
        <f>E222/$D222</f>
        <v>#DIV/0!</v>
      </c>
      <c r="G222" s="307">
        <v>0</v>
      </c>
      <c r="H222" s="216" t="e">
        <f>G222/$D222</f>
        <v>#DIV/0!</v>
      </c>
      <c r="I222" s="215">
        <f>E222+G222</f>
        <v>0</v>
      </c>
      <c r="J222" s="216" t="e">
        <f>I222/$D222</f>
        <v>#DIV/0!</v>
      </c>
    </row>
    <row r="223" spans="1:10" hidden="1" x14ac:dyDescent="0.25">
      <c r="A223" s="146"/>
      <c r="B223" s="214" t="e">
        <f>$B$7</f>
        <v>#VALUE!</v>
      </c>
      <c r="C223" s="311">
        <v>0</v>
      </c>
      <c r="D223" s="303">
        <v>0</v>
      </c>
      <c r="E223" s="304">
        <v>0</v>
      </c>
      <c r="F223" s="216" t="e">
        <f>E223/$D223</f>
        <v>#DIV/0!</v>
      </c>
      <c r="G223" s="308">
        <v>0</v>
      </c>
      <c r="H223" s="216" t="e">
        <f>G223/$D223</f>
        <v>#DIV/0!</v>
      </c>
      <c r="I223" s="215">
        <f>E223+G223</f>
        <v>0</v>
      </c>
      <c r="J223" s="216" t="e">
        <f>I223/$D223</f>
        <v>#DIV/0!</v>
      </c>
    </row>
    <row r="224" spans="1:10" hidden="1" x14ac:dyDescent="0.25">
      <c r="A224" s="146"/>
      <c r="B224" s="220" t="e">
        <f>$B$8</f>
        <v>#VALUE!</v>
      </c>
      <c r="C224" s="312">
        <v>0</v>
      </c>
      <c r="D224" s="305">
        <v>0</v>
      </c>
      <c r="E224" s="306">
        <v>0</v>
      </c>
      <c r="F224" s="217" t="e">
        <f>E224/$D224</f>
        <v>#DIV/0!</v>
      </c>
      <c r="G224" s="309">
        <v>0</v>
      </c>
      <c r="H224" s="217" t="e">
        <f>G224/$D224</f>
        <v>#DIV/0!</v>
      </c>
      <c r="I224" s="224">
        <f>E224+G224</f>
        <v>0</v>
      </c>
      <c r="J224" s="217" t="e">
        <f>I224/$D224</f>
        <v>#DIV/0!</v>
      </c>
    </row>
    <row r="225" spans="1:10" hidden="1" x14ac:dyDescent="0.25">
      <c r="A225" s="146"/>
      <c r="B225" s="214" t="s">
        <v>316</v>
      </c>
      <c r="C225" s="215">
        <f>AVERAGE(C222:C224)</f>
        <v>0</v>
      </c>
      <c r="D225" s="215">
        <f>AVERAGE(D222:D224)</f>
        <v>0</v>
      </c>
      <c r="E225" s="215">
        <f>AVERAGE(E222:E224)</f>
        <v>0</v>
      </c>
      <c r="F225" s="216" t="e">
        <f>E225/$D225</f>
        <v>#DIV/0!</v>
      </c>
      <c r="G225" s="215">
        <f>AVERAGE(G222:G224)</f>
        <v>0</v>
      </c>
      <c r="H225" s="216" t="e">
        <f>G225/$D225</f>
        <v>#DIV/0!</v>
      </c>
      <c r="I225" s="215">
        <f>AVERAGE(I222:I224)</f>
        <v>0</v>
      </c>
      <c r="J225" s="216" t="e">
        <f>I225/$D225</f>
        <v>#DIV/0!</v>
      </c>
    </row>
    <row r="226" spans="1:10" hidden="1" x14ac:dyDescent="0.25">
      <c r="A226" s="146"/>
    </row>
    <row r="227" spans="1:10" hidden="1" x14ac:dyDescent="0.25">
      <c r="A227" s="146"/>
      <c r="B227" s="585" t="s">
        <v>324</v>
      </c>
      <c r="C227" s="585"/>
    </row>
    <row r="228" spans="1:10" ht="30.75" hidden="1" thickBot="1" x14ac:dyDescent="0.3">
      <c r="A228" s="146"/>
      <c r="B228" s="206" t="s">
        <v>303</v>
      </c>
      <c r="C228" s="206" t="s">
        <v>304</v>
      </c>
      <c r="D228" s="206" t="s">
        <v>305</v>
      </c>
      <c r="E228" s="206" t="s">
        <v>306</v>
      </c>
      <c r="F228" s="206" t="s">
        <v>307</v>
      </c>
      <c r="G228" s="206" t="s">
        <v>308</v>
      </c>
      <c r="H228" s="206" t="s">
        <v>309</v>
      </c>
      <c r="I228" s="206" t="s">
        <v>310</v>
      </c>
      <c r="J228" s="206" t="s">
        <v>311</v>
      </c>
    </row>
    <row r="229" spans="1:10" hidden="1" x14ac:dyDescent="0.25">
      <c r="A229" s="146"/>
      <c r="B229" s="214" t="str">
        <f>$B$6</f>
        <v>YYYY</v>
      </c>
      <c r="C229" s="310">
        <v>0</v>
      </c>
      <c r="D229" s="301">
        <v>0</v>
      </c>
      <c r="E229" s="302">
        <v>0</v>
      </c>
      <c r="F229" s="216" t="e">
        <f>E229/$D229</f>
        <v>#DIV/0!</v>
      </c>
      <c r="G229" s="307">
        <v>0</v>
      </c>
      <c r="H229" s="216" t="e">
        <f>G229/$D229</f>
        <v>#DIV/0!</v>
      </c>
      <c r="I229" s="215">
        <f>E229+G229</f>
        <v>0</v>
      </c>
      <c r="J229" s="216" t="e">
        <f>I229/$D229</f>
        <v>#DIV/0!</v>
      </c>
    </row>
    <row r="230" spans="1:10" hidden="1" x14ac:dyDescent="0.25">
      <c r="A230" s="146"/>
      <c r="B230" s="214" t="e">
        <f>$B$7</f>
        <v>#VALUE!</v>
      </c>
      <c r="C230" s="311">
        <v>0</v>
      </c>
      <c r="D230" s="303">
        <v>0</v>
      </c>
      <c r="E230" s="304">
        <v>0</v>
      </c>
      <c r="F230" s="216" t="e">
        <f>E230/$D230</f>
        <v>#DIV/0!</v>
      </c>
      <c r="G230" s="308">
        <v>0</v>
      </c>
      <c r="H230" s="216" t="e">
        <f>G230/$D230</f>
        <v>#DIV/0!</v>
      </c>
      <c r="I230" s="215">
        <f>E230+G230</f>
        <v>0</v>
      </c>
      <c r="J230" s="216" t="e">
        <f>I230/$D230</f>
        <v>#DIV/0!</v>
      </c>
    </row>
    <row r="231" spans="1:10" hidden="1" x14ac:dyDescent="0.25">
      <c r="A231" s="146"/>
      <c r="B231" s="220" t="e">
        <f>$B$8</f>
        <v>#VALUE!</v>
      </c>
      <c r="C231" s="312">
        <v>0</v>
      </c>
      <c r="D231" s="305">
        <v>0</v>
      </c>
      <c r="E231" s="306">
        <v>0</v>
      </c>
      <c r="F231" s="217" t="e">
        <f>E231/$D231</f>
        <v>#DIV/0!</v>
      </c>
      <c r="G231" s="309">
        <v>0</v>
      </c>
      <c r="H231" s="217" t="e">
        <f>G231/$D231</f>
        <v>#DIV/0!</v>
      </c>
      <c r="I231" s="224">
        <f>E231+G231</f>
        <v>0</v>
      </c>
      <c r="J231" s="217" t="e">
        <f>I231/$D231</f>
        <v>#DIV/0!</v>
      </c>
    </row>
    <row r="232" spans="1:10" hidden="1" x14ac:dyDescent="0.25">
      <c r="A232" s="146"/>
      <c r="B232" s="214" t="s">
        <v>316</v>
      </c>
      <c r="C232" s="215">
        <f>AVERAGE(C229:C231)</f>
        <v>0</v>
      </c>
      <c r="D232" s="215">
        <f>AVERAGE(D229:D231)</f>
        <v>0</v>
      </c>
      <c r="E232" s="215">
        <f>AVERAGE(E229:E231)</f>
        <v>0</v>
      </c>
      <c r="F232" s="216" t="e">
        <f>E232/$D232</f>
        <v>#DIV/0!</v>
      </c>
      <c r="G232" s="215">
        <f>AVERAGE(G229:G231)</f>
        <v>0</v>
      </c>
      <c r="H232" s="216" t="e">
        <f>G232/$D232</f>
        <v>#DIV/0!</v>
      </c>
      <c r="I232" s="215">
        <f>AVERAGE(I229:I231)</f>
        <v>0</v>
      </c>
      <c r="J232" s="216" t="e">
        <f>I232/$D232</f>
        <v>#DIV/0!</v>
      </c>
    </row>
  </sheetData>
  <sheetProtection algorithmName="SHA-512" hashValue="mpFHgV8Li8hPBlkBoAkCaR+7k6/KWS6YGCt1Y4pIKNwCNAzwM1ZOInq0+eL8efwEU5YflVfpjcvkkwHAUZur/w==" saltValue="OSuJtUAwdvhTwvf8wjfH/g=="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3"/>
  <pageSetup scale="73" orientation="portrait" r:id="rId1"/>
  <headerFooter>
    <oddFooter>&amp;CPrior Approval Rate Application&amp;RPage 6&amp;L1/3/2023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0" t="s">
        <v>189</v>
      </c>
      <c r="C1" s="36" t="s">
        <v>190</v>
      </c>
      <c r="E1" s="35" t="str">
        <f>Co_Name</f>
        <v xml:space="preserve">State Farm Mutual Automobile Insurance Company </v>
      </c>
    </row>
    <row r="2" spans="1:5" x14ac:dyDescent="0.25">
      <c r="A2" s="20" t="s">
        <v>192</v>
      </c>
      <c r="C2" s="36" t="s">
        <v>193</v>
      </c>
      <c r="E2" s="35" t="str">
        <f>General_Line</f>
        <v>Auto Liability and Physical Damage</v>
      </c>
    </row>
    <row r="3" spans="1:5" x14ac:dyDescent="0.25">
      <c r="B3" s="165"/>
    </row>
    <row r="4" spans="1:5" ht="23.25" x14ac:dyDescent="0.25">
      <c r="A4" s="5" t="s">
        <v>325</v>
      </c>
      <c r="B4" s="3"/>
      <c r="C4" s="3"/>
      <c r="D4" s="3"/>
      <c r="E4" s="3"/>
    </row>
    <row r="6" spans="1:5" x14ac:dyDescent="0.25">
      <c r="A6" s="51" t="s">
        <v>326</v>
      </c>
    </row>
    <row r="7" spans="1:5" ht="15.75" thickBot="1" x14ac:dyDescent="0.3"/>
    <row r="8" spans="1:5" ht="30.75" thickBot="1" x14ac:dyDescent="0.3">
      <c r="A8" s="84" t="s">
        <v>327</v>
      </c>
      <c r="B8" s="85" t="s">
        <v>328</v>
      </c>
      <c r="C8" s="85"/>
      <c r="D8" s="91"/>
      <c r="E8" s="82" t="s">
        <v>294</v>
      </c>
    </row>
    <row r="9" spans="1:5" ht="15.75" thickBot="1" x14ac:dyDescent="0.3">
      <c r="A9" s="88" t="s">
        <v>329</v>
      </c>
      <c r="B9" s="86" t="s">
        <v>330</v>
      </c>
      <c r="C9" s="92"/>
      <c r="D9" s="83"/>
      <c r="E9" s="254" t="s">
        <v>295</v>
      </c>
    </row>
    <row r="10" spans="1:5" ht="18" customHeight="1" x14ac:dyDescent="0.25">
      <c r="A10" s="60">
        <v>-1</v>
      </c>
      <c r="B10" s="167" t="s">
        <v>331</v>
      </c>
      <c r="C10" s="93"/>
      <c r="D10" s="87"/>
      <c r="E10" s="291"/>
    </row>
    <row r="11" spans="1:5" ht="18" customHeight="1" x14ac:dyDescent="0.25">
      <c r="A11" s="61">
        <v>-2</v>
      </c>
      <c r="B11" s="168" t="s">
        <v>332</v>
      </c>
      <c r="C11" s="94"/>
      <c r="D11" s="66"/>
      <c r="E11" s="292"/>
    </row>
    <row r="12" spans="1:5" ht="18" customHeight="1" x14ac:dyDescent="0.25">
      <c r="A12" s="61">
        <v>-3</v>
      </c>
      <c r="B12" s="168" t="s">
        <v>333</v>
      </c>
      <c r="C12" s="94"/>
      <c r="D12" s="67"/>
      <c r="E12" s="293"/>
    </row>
    <row r="13" spans="1:5" ht="18" customHeight="1" x14ac:dyDescent="0.25">
      <c r="A13" s="61">
        <v>-4</v>
      </c>
      <c r="B13" s="168" t="s">
        <v>334</v>
      </c>
      <c r="C13" s="94"/>
      <c r="D13" s="67"/>
      <c r="E13" s="182">
        <f>E10+E11-E12</f>
        <v>0</v>
      </c>
    </row>
    <row r="14" spans="1:5" ht="18" customHeight="1" x14ac:dyDescent="0.25">
      <c r="A14" s="61">
        <v>-5</v>
      </c>
      <c r="B14" s="168" t="s">
        <v>335</v>
      </c>
      <c r="C14" s="94"/>
      <c r="D14" s="66"/>
      <c r="E14" s="294"/>
    </row>
    <row r="15" spans="1:5" ht="18" customHeight="1" x14ac:dyDescent="0.25">
      <c r="A15" s="61">
        <v>-6</v>
      </c>
      <c r="B15" s="168" t="s">
        <v>336</v>
      </c>
      <c r="C15" s="94"/>
      <c r="D15" s="66"/>
      <c r="E15" s="295"/>
    </row>
    <row r="16" spans="1:5" ht="18" customHeight="1" x14ac:dyDescent="0.25">
      <c r="A16" s="61">
        <v>-7</v>
      </c>
      <c r="B16" s="168" t="s">
        <v>337</v>
      </c>
      <c r="C16" s="94"/>
      <c r="D16" s="66"/>
      <c r="E16" s="295"/>
    </row>
    <row r="17" spans="1:5" ht="18" customHeight="1" x14ac:dyDescent="0.25">
      <c r="A17" s="61">
        <v>-8</v>
      </c>
      <c r="B17" s="168" t="s">
        <v>338</v>
      </c>
      <c r="C17" s="94"/>
      <c r="D17" s="66"/>
      <c r="E17" s="295"/>
    </row>
    <row r="18" spans="1:5" ht="18" customHeight="1" x14ac:dyDescent="0.25">
      <c r="A18" s="61">
        <v>-9</v>
      </c>
      <c r="B18" s="168" t="s">
        <v>339</v>
      </c>
      <c r="C18" s="94"/>
      <c r="D18" s="67"/>
      <c r="E18" s="296"/>
    </row>
    <row r="19" spans="1:5" ht="18" customHeight="1" x14ac:dyDescent="0.25">
      <c r="A19" s="61">
        <v>-10</v>
      </c>
      <c r="B19" s="168" t="s">
        <v>340</v>
      </c>
      <c r="C19" s="94"/>
      <c r="D19" s="67"/>
      <c r="E19" s="297"/>
    </row>
    <row r="20" spans="1:5" ht="18" customHeight="1" x14ac:dyDescent="0.25">
      <c r="A20" s="61">
        <v>-11</v>
      </c>
      <c r="B20" s="168" t="s">
        <v>341</v>
      </c>
      <c r="C20" s="94"/>
      <c r="D20" s="67"/>
      <c r="E20" s="181">
        <f>E19+E24</f>
        <v>0</v>
      </c>
    </row>
    <row r="21" spans="1:5" ht="18" customHeight="1" x14ac:dyDescent="0.25">
      <c r="A21" s="61">
        <v>-12</v>
      </c>
      <c r="B21" s="168" t="s">
        <v>342</v>
      </c>
      <c r="C21" s="94"/>
      <c r="D21" s="67"/>
      <c r="E21" s="298"/>
    </row>
    <row r="22" spans="1:5" ht="18" customHeight="1" x14ac:dyDescent="0.25">
      <c r="A22" s="61">
        <v>-13</v>
      </c>
      <c r="B22" s="168" t="s">
        <v>343</v>
      </c>
      <c r="C22" s="94"/>
      <c r="D22" s="67"/>
      <c r="E22" s="292"/>
    </row>
    <row r="23" spans="1:5" ht="18" customHeight="1" x14ac:dyDescent="0.25">
      <c r="A23" s="61">
        <v>-14</v>
      </c>
      <c r="B23" s="168" t="s">
        <v>344</v>
      </c>
      <c r="C23" s="94"/>
      <c r="D23" s="67"/>
      <c r="E23" s="292"/>
    </row>
    <row r="24" spans="1:5" ht="18" customHeight="1" x14ac:dyDescent="0.25">
      <c r="A24" s="61">
        <v>-15</v>
      </c>
      <c r="B24" s="168" t="s">
        <v>345</v>
      </c>
      <c r="C24" s="94"/>
      <c r="D24" s="67"/>
      <c r="E24" s="297"/>
    </row>
    <row r="25" spans="1:5" ht="18" customHeight="1" x14ac:dyDescent="0.25">
      <c r="A25" s="61">
        <v>-16</v>
      </c>
      <c r="B25" s="168" t="s">
        <v>346</v>
      </c>
      <c r="C25" s="94"/>
      <c r="D25" s="67"/>
      <c r="E25" s="180"/>
    </row>
    <row r="26" spans="1:5" ht="18" customHeight="1" x14ac:dyDescent="0.25">
      <c r="A26" s="61">
        <v>-17</v>
      </c>
      <c r="B26" s="169" t="s">
        <v>347</v>
      </c>
      <c r="C26" s="95"/>
      <c r="D26" s="67"/>
      <c r="E26" s="294"/>
    </row>
    <row r="27" spans="1:5" ht="18" customHeight="1" x14ac:dyDescent="0.25">
      <c r="A27" s="61">
        <v>-18</v>
      </c>
      <c r="B27" s="169" t="s">
        <v>348</v>
      </c>
      <c r="C27" s="95"/>
      <c r="D27" s="67"/>
      <c r="E27" s="295"/>
    </row>
    <row r="28" spans="1:5" ht="18" customHeight="1" x14ac:dyDescent="0.25">
      <c r="A28" s="61">
        <v>-19</v>
      </c>
      <c r="B28" s="169" t="s">
        <v>349</v>
      </c>
      <c r="C28" s="95"/>
      <c r="D28" s="67"/>
      <c r="E28" s="295"/>
    </row>
    <row r="29" spans="1:5" ht="18" customHeight="1" x14ac:dyDescent="0.25">
      <c r="A29" s="61">
        <v>-20</v>
      </c>
      <c r="B29" s="169" t="s">
        <v>350</v>
      </c>
      <c r="C29" s="95"/>
      <c r="D29" s="67"/>
      <c r="E29" s="295"/>
    </row>
    <row r="30" spans="1:5" ht="18" customHeight="1" x14ac:dyDescent="0.25">
      <c r="A30" s="61">
        <v>-21</v>
      </c>
      <c r="B30" s="169" t="s">
        <v>351</v>
      </c>
      <c r="C30" s="95"/>
      <c r="D30" s="67"/>
      <c r="E30" s="295"/>
    </row>
    <row r="31" spans="1:5" ht="18" customHeight="1" thickBot="1" x14ac:dyDescent="0.3">
      <c r="A31" s="89">
        <v>-22</v>
      </c>
      <c r="B31" s="170" t="s">
        <v>352</v>
      </c>
      <c r="C31" s="96"/>
      <c r="D31" s="90"/>
      <c r="E31" s="299"/>
    </row>
  </sheetData>
  <sheetProtection algorithmName="SHA-512" hashValue="mSpWUiVxoQE1YfxbJkgk6SgH+F0TirxdG7v2I6+javPi6+c34uRQfEd+SafGTCx/qy4dT2uT8EeOK3a+rRUMJg==" saltValue="BXN2BBRbLMBzHMeFSJb8Ww=="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7&amp;L1/3/2023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1" customWidth="1"/>
  </cols>
  <sheetData>
    <row r="1" spans="1:7" ht="15.75" thickBot="1" x14ac:dyDescent="0.3">
      <c r="A1" s="20" t="s">
        <v>189</v>
      </c>
      <c r="C1" s="36" t="s">
        <v>190</v>
      </c>
      <c r="F1" s="35" t="str">
        <f>Co_Name</f>
        <v xml:space="preserve">State Farm Mutual Automobile Insurance Company </v>
      </c>
      <c r="G1" s="341" t="s">
        <v>353</v>
      </c>
    </row>
    <row r="2" spans="1:7" x14ac:dyDescent="0.25">
      <c r="A2" s="20" t="s">
        <v>192</v>
      </c>
      <c r="C2" s="36" t="s">
        <v>193</v>
      </c>
      <c r="F2" s="35" t="str">
        <f>General_Line</f>
        <v>Auto Liability and Physical Damage</v>
      </c>
      <c r="G2" s="342" t="s">
        <v>194</v>
      </c>
    </row>
    <row r="3" spans="1:7" x14ac:dyDescent="0.25">
      <c r="B3" s="165"/>
      <c r="G3" s="343"/>
    </row>
    <row r="4" spans="1:7" ht="23.25" x14ac:dyDescent="0.25">
      <c r="A4" s="5" t="s">
        <v>354</v>
      </c>
      <c r="B4" s="3"/>
      <c r="C4" s="3"/>
      <c r="D4" s="3"/>
      <c r="E4" s="3"/>
      <c r="F4" s="3"/>
      <c r="G4" s="343"/>
    </row>
    <row r="5" spans="1:7" x14ac:dyDescent="0.25">
      <c r="G5" s="343"/>
    </row>
    <row r="6" spans="1:7" ht="18" customHeight="1" x14ac:dyDescent="0.25">
      <c r="A6" t="s">
        <v>355</v>
      </c>
      <c r="G6" s="343"/>
    </row>
    <row r="7" spans="1:7" ht="18" customHeight="1" x14ac:dyDescent="0.25">
      <c r="A7" t="s">
        <v>356</v>
      </c>
      <c r="C7" s="68"/>
      <c r="G7" s="256"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357</v>
      </c>
      <c r="C8" s="68"/>
      <c r="G8" s="256" t="str">
        <f>IF(AND(No_Fees=TRUE,OR(COUNTA(D12:D25)&lt;&gt;0,COUNTA(F12:F25)&lt;&gt;0,COUNTA(D29:D37)&lt;&gt;0,COUNTA(F29:F37)&lt;&gt;0)),"no fees apply.","")</f>
        <v/>
      </c>
    </row>
    <row r="9" spans="1:7" ht="18" customHeight="1" x14ac:dyDescent="0.25">
      <c r="A9" t="s">
        <v>358</v>
      </c>
      <c r="G9" s="257"/>
    </row>
    <row r="10" spans="1:7" ht="30" customHeight="1" thickBot="1" x14ac:dyDescent="0.3">
      <c r="A10" s="99" t="s">
        <v>359</v>
      </c>
      <c r="B10" s="100"/>
      <c r="C10" s="100"/>
      <c r="D10" s="100"/>
      <c r="E10" s="100"/>
      <c r="F10" s="100"/>
      <c r="G10" s="343"/>
    </row>
    <row r="11" spans="1:7" s="47" customFormat="1" ht="30" customHeight="1" x14ac:dyDescent="0.25">
      <c r="A11" s="101"/>
      <c r="B11" s="102"/>
      <c r="C11" s="102"/>
      <c r="D11" s="103" t="s">
        <v>360</v>
      </c>
      <c r="E11" s="98"/>
      <c r="F11" s="103" t="s">
        <v>361</v>
      </c>
      <c r="G11" s="344"/>
    </row>
    <row r="12" spans="1:7" s="47" customFormat="1" ht="18" customHeight="1" x14ac:dyDescent="0.25">
      <c r="A12" t="s">
        <v>362</v>
      </c>
      <c r="B12" s="102"/>
      <c r="C12" s="102"/>
      <c r="D12" s="195"/>
      <c r="E12" s="98"/>
      <c r="F12" s="195"/>
      <c r="G12" s="396"/>
    </row>
    <row r="13" spans="1:7" ht="18" customHeight="1" x14ac:dyDescent="0.25">
      <c r="A13" t="s">
        <v>363</v>
      </c>
      <c r="C13" s="68"/>
      <c r="D13" s="195"/>
      <c r="E13" s="68"/>
      <c r="F13" s="195"/>
      <c r="G13" s="347"/>
    </row>
    <row r="14" spans="1:7" ht="18" customHeight="1" x14ac:dyDescent="0.25">
      <c r="A14" t="s">
        <v>364</v>
      </c>
      <c r="C14" s="68"/>
      <c r="D14" s="195"/>
      <c r="E14" s="68"/>
      <c r="F14" s="195"/>
      <c r="G14" s="345"/>
    </row>
    <row r="15" spans="1:7" ht="18" customHeight="1" x14ac:dyDescent="0.25">
      <c r="A15" t="s">
        <v>365</v>
      </c>
      <c r="C15" s="68"/>
      <c r="D15" s="195"/>
      <c r="E15" s="68"/>
      <c r="F15" s="195"/>
      <c r="G15" s="345"/>
    </row>
    <row r="16" spans="1:7" ht="18" customHeight="1" x14ac:dyDescent="0.25">
      <c r="A16" t="s">
        <v>366</v>
      </c>
      <c r="C16" s="68"/>
      <c r="D16" s="195"/>
      <c r="E16" s="68"/>
      <c r="F16" s="195"/>
      <c r="G16" s="345"/>
    </row>
    <row r="17" spans="1:7" ht="18" customHeight="1" x14ac:dyDescent="0.25">
      <c r="A17" t="s">
        <v>367</v>
      </c>
      <c r="C17" s="68"/>
      <c r="D17" s="195"/>
      <c r="E17" s="68"/>
      <c r="F17" s="195"/>
      <c r="G17" s="345"/>
    </row>
    <row r="18" spans="1:7" ht="18" customHeight="1" x14ac:dyDescent="0.25">
      <c r="A18" t="s">
        <v>368</v>
      </c>
      <c r="C18" s="68"/>
      <c r="D18" s="195"/>
      <c r="E18" s="68"/>
      <c r="F18" s="195"/>
      <c r="G18" s="345"/>
    </row>
    <row r="19" spans="1:7" ht="18" customHeight="1" x14ac:dyDescent="0.25">
      <c r="A19" t="s">
        <v>369</v>
      </c>
      <c r="C19" s="68"/>
      <c r="D19" s="195"/>
      <c r="E19" s="68"/>
      <c r="F19" s="195"/>
      <c r="G19" s="345"/>
    </row>
    <row r="20" spans="1:7" ht="18" customHeight="1" x14ac:dyDescent="0.25">
      <c r="A20" t="s">
        <v>370</v>
      </c>
      <c r="C20" s="68"/>
      <c r="D20" s="195"/>
      <c r="E20" s="68"/>
      <c r="F20" s="195"/>
      <c r="G20" s="345"/>
    </row>
    <row r="21" spans="1:7" ht="18" customHeight="1" x14ac:dyDescent="0.25">
      <c r="A21" t="s">
        <v>371</v>
      </c>
      <c r="B21" s="8"/>
      <c r="C21" s="8"/>
      <c r="D21" s="8"/>
      <c r="E21" s="8"/>
      <c r="F21" s="8"/>
      <c r="G21" s="345"/>
    </row>
    <row r="22" spans="1:7" ht="18" customHeight="1" x14ac:dyDescent="0.25">
      <c r="A22" s="323" t="s">
        <v>372</v>
      </c>
      <c r="C22" s="68"/>
      <c r="D22" s="195"/>
      <c r="E22" s="68"/>
      <c r="F22" s="195"/>
      <c r="G22" s="345"/>
    </row>
    <row r="23" spans="1:7" ht="18" customHeight="1" x14ac:dyDescent="0.25">
      <c r="A23" s="323" t="s">
        <v>373</v>
      </c>
      <c r="C23" s="68"/>
      <c r="D23" s="195"/>
      <c r="E23" s="68"/>
      <c r="F23" s="195"/>
      <c r="G23" s="345"/>
    </row>
    <row r="24" spans="1:7" ht="18" customHeight="1" x14ac:dyDescent="0.25">
      <c r="A24" s="323" t="s">
        <v>374</v>
      </c>
      <c r="C24" s="68"/>
      <c r="D24" s="195"/>
      <c r="E24" s="68"/>
      <c r="F24" s="195"/>
      <c r="G24" s="345"/>
    </row>
    <row r="25" spans="1:7" ht="18" customHeight="1" x14ac:dyDescent="0.25">
      <c r="A25" s="323" t="s">
        <v>375</v>
      </c>
      <c r="C25" s="68"/>
      <c r="D25" s="195"/>
      <c r="E25" s="68"/>
      <c r="F25" s="195"/>
      <c r="G25" s="345"/>
    </row>
    <row r="26" spans="1:7" ht="18" customHeight="1" x14ac:dyDescent="0.25">
      <c r="G26" s="343"/>
    </row>
    <row r="27" spans="1:7" ht="30" customHeight="1" thickBot="1" x14ac:dyDescent="0.3">
      <c r="A27" s="99" t="s">
        <v>376</v>
      </c>
      <c r="B27" s="100"/>
      <c r="C27" s="100"/>
      <c r="D27" s="100"/>
      <c r="E27" s="100"/>
      <c r="F27" s="100"/>
      <c r="G27" s="343"/>
    </row>
    <row r="28" spans="1:7" ht="30" customHeight="1" x14ac:dyDescent="0.25">
      <c r="A28" s="101"/>
      <c r="B28" s="102"/>
      <c r="C28" s="102"/>
      <c r="D28" s="103" t="s">
        <v>360</v>
      </c>
      <c r="E28" s="98"/>
      <c r="F28" s="103" t="s">
        <v>361</v>
      </c>
      <c r="G28" s="343"/>
    </row>
    <row r="29" spans="1:7" ht="18" customHeight="1" x14ac:dyDescent="0.25">
      <c r="A29" s="97" t="s">
        <v>377</v>
      </c>
      <c r="C29" s="68"/>
      <c r="D29" s="196"/>
      <c r="E29" s="68"/>
      <c r="F29" s="196"/>
      <c r="G29" s="345"/>
    </row>
    <row r="30" spans="1:7" ht="18" customHeight="1" x14ac:dyDescent="0.25">
      <c r="A30" t="s">
        <v>378</v>
      </c>
      <c r="C30" s="68"/>
      <c r="D30" s="195"/>
      <c r="E30" s="68"/>
      <c r="F30" s="195"/>
      <c r="G30" s="345"/>
    </row>
    <row r="31" spans="1:7" ht="18" customHeight="1" x14ac:dyDescent="0.25">
      <c r="A31" t="s">
        <v>379</v>
      </c>
      <c r="C31" s="68"/>
      <c r="D31" s="195"/>
      <c r="E31" s="68"/>
      <c r="F31" s="195"/>
      <c r="G31" s="345"/>
    </row>
    <row r="32" spans="1:7" ht="18" customHeight="1" x14ac:dyDescent="0.25">
      <c r="A32" t="s">
        <v>380</v>
      </c>
      <c r="C32" s="68"/>
      <c r="D32" s="195"/>
      <c r="E32" s="68"/>
      <c r="F32" s="195"/>
      <c r="G32" s="345"/>
    </row>
    <row r="33" spans="1:7" ht="18" customHeight="1" x14ac:dyDescent="0.25">
      <c r="A33" t="s">
        <v>371</v>
      </c>
      <c r="B33" s="8"/>
      <c r="C33" s="8"/>
      <c r="D33" s="8"/>
      <c r="E33" s="8"/>
      <c r="F33" s="8"/>
      <c r="G33" s="345"/>
    </row>
    <row r="34" spans="1:7" ht="18" customHeight="1" x14ac:dyDescent="0.25">
      <c r="A34" s="323" t="s">
        <v>372</v>
      </c>
      <c r="C34" s="68"/>
      <c r="D34" s="195"/>
      <c r="E34" s="68"/>
      <c r="F34" s="195"/>
      <c r="G34" s="345"/>
    </row>
    <row r="35" spans="1:7" ht="18" customHeight="1" x14ac:dyDescent="0.25">
      <c r="A35" s="323" t="s">
        <v>373</v>
      </c>
      <c r="C35" s="68"/>
      <c r="D35" s="195"/>
      <c r="E35" s="68"/>
      <c r="F35" s="195"/>
      <c r="G35" s="345"/>
    </row>
    <row r="36" spans="1:7" ht="18" customHeight="1" x14ac:dyDescent="0.25">
      <c r="A36" s="323" t="s">
        <v>374</v>
      </c>
      <c r="C36" s="68"/>
      <c r="D36" s="195"/>
      <c r="E36" s="68"/>
      <c r="F36" s="195"/>
      <c r="G36" s="345"/>
    </row>
    <row r="37" spans="1:7" ht="18" customHeight="1" x14ac:dyDescent="0.25">
      <c r="A37" s="323" t="s">
        <v>375</v>
      </c>
      <c r="C37" s="68"/>
      <c r="D37" s="195"/>
      <c r="E37" s="68"/>
      <c r="F37" s="195"/>
      <c r="G37" s="343"/>
    </row>
    <row r="38" spans="1:7" x14ac:dyDescent="0.25">
      <c r="G38" s="343"/>
    </row>
    <row r="39" spans="1:7" ht="15.75" thickBot="1" x14ac:dyDescent="0.3">
      <c r="A39" s="97" t="s">
        <v>381</v>
      </c>
      <c r="G39" s="346"/>
    </row>
  </sheetData>
  <sheetProtection algorithmName="SHA-512" hashValue="t8cS1eWpJkRKNfMU7PwVQwO7pmKWxsSa2ydPXrWg+HnsDE08WVZW80Xu6KdSxZO1N4PBVyW9B85gP53+4n8g0A==" saltValue="YlBGGa7+HHkeMIdJPVOuxA=="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activeCell="D59" sqref="D59:L59"/>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47" customWidth="1"/>
    <col min="8" max="8" width="9.28515625" customWidth="1"/>
    <col min="9" max="12" width="16.28515625" customWidth="1"/>
    <col min="13" max="13" width="74" style="332" customWidth="1"/>
  </cols>
  <sheetData>
    <row r="1" spans="1:12" x14ac:dyDescent="0.25">
      <c r="A1" s="20" t="s">
        <v>189</v>
      </c>
      <c r="B1" s="20"/>
      <c r="G1"/>
      <c r="J1" s="36" t="s">
        <v>190</v>
      </c>
      <c r="L1" t="str">
        <f>Co_Name</f>
        <v xml:space="preserve">State Farm Mutual Automobile Insurance Company </v>
      </c>
    </row>
    <row r="2" spans="1:12" x14ac:dyDescent="0.25">
      <c r="A2" s="20" t="s">
        <v>192</v>
      </c>
      <c r="B2" s="20"/>
      <c r="G2"/>
      <c r="J2" s="36" t="s">
        <v>193</v>
      </c>
      <c r="L2" t="str">
        <f>General_Line</f>
        <v>Auto Liability and Physical Damage</v>
      </c>
    </row>
    <row r="3" spans="1:12" ht="5.0999999999999996" customHeight="1" x14ac:dyDescent="0.25">
      <c r="B3" s="165"/>
      <c r="G3" s="211"/>
    </row>
    <row r="4" spans="1:12" ht="23.25" x14ac:dyDescent="0.25">
      <c r="A4" s="5" t="s">
        <v>382</v>
      </c>
      <c r="B4" s="5"/>
      <c r="C4" s="3"/>
      <c r="D4" s="3"/>
      <c r="E4" s="3"/>
      <c r="F4" s="3"/>
      <c r="G4" s="3"/>
      <c r="H4" s="3"/>
      <c r="I4" s="3"/>
      <c r="J4" s="3"/>
      <c r="K4" s="3"/>
      <c r="L4" s="3"/>
    </row>
    <row r="5" spans="1:12" ht="26.25" x14ac:dyDescent="0.4">
      <c r="A5" s="262"/>
      <c r="B5" s="5"/>
      <c r="C5" s="3"/>
      <c r="D5" s="262"/>
      <c r="E5" s="3"/>
      <c r="F5" s="3"/>
      <c r="G5" s="3"/>
      <c r="H5" s="3"/>
      <c r="I5" s="3"/>
      <c r="J5" s="3"/>
      <c r="K5" s="3"/>
      <c r="L5" s="3"/>
    </row>
    <row r="6" spans="1:12" ht="5.0999999999999996" customHeight="1" x14ac:dyDescent="0.25">
      <c r="A6" s="450"/>
      <c r="B6" s="5"/>
      <c r="C6" s="3"/>
      <c r="D6" s="3"/>
      <c r="E6" s="3"/>
      <c r="F6" s="3"/>
      <c r="G6" s="3"/>
      <c r="H6" s="3"/>
      <c r="I6" s="3"/>
      <c r="J6" s="3"/>
      <c r="K6" s="3"/>
      <c r="L6" s="3"/>
    </row>
    <row r="7" spans="1:12" ht="15.75" thickBot="1" x14ac:dyDescent="0.3">
      <c r="A7" s="518"/>
      <c r="B7" s="541" t="s">
        <v>383</v>
      </c>
      <c r="C7" s="111"/>
      <c r="D7" s="111"/>
      <c r="E7" s="542"/>
      <c r="F7" s="111"/>
      <c r="G7" s="111"/>
      <c r="H7" s="111"/>
      <c r="I7" s="111"/>
      <c r="J7" s="111"/>
      <c r="K7" s="111"/>
      <c r="L7" s="111"/>
    </row>
    <row r="8" spans="1:12" x14ac:dyDescent="0.25">
      <c r="A8" s="492"/>
      <c r="B8" s="471" t="s">
        <v>384</v>
      </c>
      <c r="C8" s="474"/>
      <c r="D8" s="472" t="s">
        <v>385</v>
      </c>
      <c r="E8" s="493" t="s">
        <v>386</v>
      </c>
      <c r="F8" s="482"/>
      <c r="G8" s="482"/>
      <c r="H8" s="482"/>
      <c r="I8" s="482"/>
      <c r="J8" s="476"/>
      <c r="K8" s="479"/>
      <c r="L8" s="491"/>
    </row>
    <row r="9" spans="1:12" x14ac:dyDescent="0.25">
      <c r="A9" s="475"/>
      <c r="B9" s="49" t="s">
        <v>387</v>
      </c>
      <c r="C9" s="475"/>
      <c r="D9" s="473" t="s">
        <v>388</v>
      </c>
      <c r="E9" s="483" t="s">
        <v>389</v>
      </c>
      <c r="F9" s="483"/>
      <c r="G9" s="483"/>
      <c r="H9" s="483" t="s">
        <v>390</v>
      </c>
      <c r="I9" s="483"/>
      <c r="J9" s="477"/>
      <c r="K9" s="480" t="s">
        <v>391</v>
      </c>
      <c r="L9" s="485"/>
    </row>
    <row r="10" spans="1:12" x14ac:dyDescent="0.25">
      <c r="A10" s="475"/>
      <c r="B10" s="49" t="s">
        <v>392</v>
      </c>
      <c r="C10" s="475"/>
      <c r="D10" s="473" t="s">
        <v>393</v>
      </c>
      <c r="E10" s="483" t="s">
        <v>394</v>
      </c>
      <c r="F10" s="483"/>
      <c r="G10" s="483"/>
      <c r="H10" s="483" t="s">
        <v>395</v>
      </c>
      <c r="I10" s="483"/>
      <c r="J10" s="477"/>
      <c r="K10" s="480" t="s">
        <v>396</v>
      </c>
      <c r="L10" s="485"/>
    </row>
    <row r="11" spans="1:12" x14ac:dyDescent="0.25">
      <c r="A11" s="475"/>
      <c r="B11" s="49" t="s">
        <v>397</v>
      </c>
      <c r="C11" s="475"/>
      <c r="D11" s="473" t="s">
        <v>398</v>
      </c>
      <c r="E11" s="483" t="s">
        <v>399</v>
      </c>
      <c r="F11" s="483"/>
      <c r="G11" s="483"/>
      <c r="H11" s="483" t="s">
        <v>400</v>
      </c>
      <c r="I11" s="483"/>
      <c r="J11" s="477"/>
      <c r="K11" s="480" t="s">
        <v>401</v>
      </c>
      <c r="L11" s="485"/>
    </row>
    <row r="12" spans="1:12" x14ac:dyDescent="0.25">
      <c r="A12" s="532">
        <v>1</v>
      </c>
      <c r="B12" s="49" t="s">
        <v>402</v>
      </c>
      <c r="C12" s="475"/>
      <c r="D12" s="473" t="s">
        <v>403</v>
      </c>
      <c r="E12" s="483"/>
      <c r="F12" s="483"/>
      <c r="G12" s="483"/>
      <c r="H12" s="483"/>
      <c r="I12" s="483"/>
      <c r="J12" s="477"/>
      <c r="K12" s="480" t="s">
        <v>404</v>
      </c>
      <c r="L12" s="485"/>
    </row>
    <row r="13" spans="1:12" x14ac:dyDescent="0.25">
      <c r="A13" s="487"/>
      <c r="B13" s="49"/>
      <c r="C13" s="487"/>
      <c r="D13" s="489"/>
      <c r="E13" s="483" t="s">
        <v>405</v>
      </c>
      <c r="F13" s="483"/>
      <c r="G13" s="483"/>
      <c r="H13" s="483"/>
      <c r="I13" s="483"/>
      <c r="J13" s="477"/>
      <c r="K13" s="480"/>
      <c r="L13" s="485"/>
    </row>
    <row r="14" spans="1:12" x14ac:dyDescent="0.25">
      <c r="A14" s="487"/>
      <c r="B14" s="49"/>
      <c r="C14" s="487"/>
      <c r="D14" s="489"/>
      <c r="E14" s="483" t="s">
        <v>406</v>
      </c>
      <c r="F14" s="483"/>
      <c r="G14" s="483"/>
      <c r="H14" s="483"/>
      <c r="I14" s="483"/>
      <c r="J14" s="477"/>
      <c r="K14" s="480"/>
      <c r="L14" s="485"/>
    </row>
    <row r="15" spans="1:12" ht="15.75" thickBot="1" x14ac:dyDescent="0.3">
      <c r="A15" s="487"/>
      <c r="B15" s="111"/>
      <c r="C15" s="488"/>
      <c r="D15" s="490"/>
      <c r="E15" s="484" t="s">
        <v>407</v>
      </c>
      <c r="F15" s="484"/>
      <c r="G15" s="484"/>
      <c r="H15" s="484"/>
      <c r="I15" s="484"/>
      <c r="J15" s="478"/>
      <c r="K15" s="481"/>
      <c r="L15" s="486"/>
    </row>
    <row r="16" spans="1:12" ht="4.5" customHeight="1" thickBot="1" x14ac:dyDescent="0.3">
      <c r="A16" s="265"/>
      <c r="B16" s="543"/>
      <c r="C16" s="543"/>
      <c r="D16" s="543"/>
      <c r="E16" s="543"/>
      <c r="F16" s="543"/>
      <c r="G16" s="543"/>
      <c r="H16" s="543"/>
      <c r="I16" s="543"/>
      <c r="J16" s="543"/>
      <c r="K16" s="543"/>
      <c r="L16" s="543"/>
    </row>
    <row r="17" spans="1:15" x14ac:dyDescent="0.25">
      <c r="A17" s="151"/>
      <c r="B17" s="149"/>
      <c r="C17" s="152" t="s">
        <v>408</v>
      </c>
      <c r="D17" s="148"/>
      <c r="E17" s="150"/>
      <c r="F17" s="152" t="s">
        <v>409</v>
      </c>
      <c r="G17" s="150"/>
      <c r="H17" s="154"/>
      <c r="I17" s="152" t="s">
        <v>410</v>
      </c>
      <c r="J17" s="150"/>
      <c r="K17" s="152" t="s">
        <v>411</v>
      </c>
      <c r="L17" s="150"/>
    </row>
    <row r="18" spans="1:15" ht="18" thickBot="1" x14ac:dyDescent="0.3">
      <c r="A18" s="156"/>
      <c r="B18" s="155"/>
      <c r="C18" s="153" t="s">
        <v>412</v>
      </c>
      <c r="D18" s="462" t="s">
        <v>413</v>
      </c>
      <c r="E18" s="463" t="s">
        <v>414</v>
      </c>
      <c r="F18" s="153" t="s">
        <v>415</v>
      </c>
      <c r="G18" s="463" t="s">
        <v>416</v>
      </c>
      <c r="H18" s="468" t="s">
        <v>417</v>
      </c>
      <c r="I18" s="153" t="s">
        <v>418</v>
      </c>
      <c r="J18" s="463" t="s">
        <v>419</v>
      </c>
      <c r="K18" s="153" t="s">
        <v>420</v>
      </c>
      <c r="L18" s="463" t="s">
        <v>421</v>
      </c>
      <c r="N18" s="68"/>
      <c r="O18" s="68"/>
    </row>
    <row r="19" spans="1:15" hidden="1" x14ac:dyDescent="0.25">
      <c r="A19" s="459">
        <f>A12-1</f>
        <v>0</v>
      </c>
      <c r="B19" s="537" t="s">
        <v>422</v>
      </c>
      <c r="C19" s="515"/>
      <c r="D19" s="506"/>
      <c r="E19" s="507"/>
      <c r="F19" s="507"/>
      <c r="G19" s="508"/>
      <c r="H19" s="507"/>
      <c r="I19" s="507"/>
      <c r="J19" s="507"/>
      <c r="K19" s="507"/>
      <c r="L19" s="509"/>
      <c r="M19" s="332"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68"/>
      <c r="O19" s="68"/>
    </row>
    <row r="20" spans="1:15" hidden="1" x14ac:dyDescent="0.25">
      <c r="A20" s="451"/>
      <c r="B20" s="538" t="s">
        <v>423</v>
      </c>
      <c r="C20" s="516"/>
      <c r="D20" s="511"/>
      <c r="E20" s="512"/>
      <c r="F20" s="512"/>
      <c r="G20" s="510"/>
      <c r="H20" s="512"/>
      <c r="I20" s="513"/>
      <c r="J20" s="513"/>
      <c r="K20" s="513"/>
      <c r="L20" s="514"/>
      <c r="M20" s="332" t="str">
        <f>IF(OR(H19=1,H19=2,H19=3,H19=7,H19=8,H19=9,ISBLANK(H19)),"",
IF(COUNTBLANK(C20:H20)&gt;0,"←ERROR! Fill out all of the required information in the current line."))</f>
        <v/>
      </c>
      <c r="N20" s="68"/>
      <c r="O20" s="68"/>
    </row>
    <row r="21" spans="1:15" hidden="1" x14ac:dyDescent="0.25">
      <c r="A21" s="451"/>
      <c r="B21" s="618" t="s">
        <v>424</v>
      </c>
      <c r="C21" s="619"/>
      <c r="D21" s="620"/>
      <c r="E21" s="620"/>
      <c r="F21" s="620"/>
      <c r="G21" s="620"/>
      <c r="H21" s="620"/>
      <c r="I21" s="620"/>
      <c r="J21" s="620"/>
      <c r="K21" s="620"/>
      <c r="L21" s="621"/>
      <c r="M21" s="332" t="str">
        <f>IF(LEN(TRIM(CLEAN(D21)))=0,"←ERROR! Detailed explanation was not provided.","")</f>
        <v>←ERROR! Detailed explanation was not provided.</v>
      </c>
      <c r="N21" s="68"/>
      <c r="O21" s="68"/>
    </row>
    <row r="22" spans="1:15" hidden="1" x14ac:dyDescent="0.25">
      <c r="A22" s="459"/>
      <c r="B22" s="618" t="s">
        <v>425</v>
      </c>
      <c r="C22" s="619"/>
      <c r="D22" s="590"/>
      <c r="E22" s="590"/>
      <c r="F22" s="590"/>
      <c r="G22" s="590"/>
      <c r="H22" s="590"/>
      <c r="I22" s="590"/>
      <c r="J22" s="590"/>
      <c r="K22" s="590"/>
      <c r="L22" s="591"/>
      <c r="N22" s="68"/>
      <c r="O22" s="68"/>
    </row>
    <row r="23" spans="1:15" hidden="1" x14ac:dyDescent="0.25">
      <c r="A23" s="451"/>
      <c r="B23" s="618" t="s">
        <v>426</v>
      </c>
      <c r="C23" s="619"/>
      <c r="D23" s="590"/>
      <c r="E23" s="590"/>
      <c r="F23" s="590"/>
      <c r="G23" s="590"/>
      <c r="H23" s="590"/>
      <c r="I23" s="590"/>
      <c r="J23" s="590"/>
      <c r="K23" s="590"/>
      <c r="L23" s="591"/>
      <c r="N23" s="68"/>
      <c r="O23" s="68"/>
    </row>
    <row r="24" spans="1:15" hidden="1" x14ac:dyDescent="0.25">
      <c r="A24" s="451"/>
      <c r="B24" s="618" t="s">
        <v>427</v>
      </c>
      <c r="C24" s="619"/>
      <c r="D24" s="590"/>
      <c r="E24" s="590"/>
      <c r="F24" s="590"/>
      <c r="G24" s="590"/>
      <c r="H24" s="590"/>
      <c r="I24" s="590"/>
      <c r="J24" s="590"/>
      <c r="K24" s="590"/>
      <c r="L24" s="591"/>
      <c r="N24" s="68"/>
      <c r="O24" s="68"/>
    </row>
    <row r="25" spans="1:15" ht="15.75" hidden="1" thickBot="1" x14ac:dyDescent="0.3">
      <c r="A25" s="451"/>
      <c r="B25" s="622"/>
      <c r="C25" s="622"/>
      <c r="D25" s="597"/>
      <c r="E25" s="597"/>
      <c r="F25" s="597"/>
      <c r="G25" s="597"/>
      <c r="H25" s="597"/>
      <c r="I25" s="597"/>
      <c r="J25" s="597"/>
      <c r="K25" s="597"/>
      <c r="L25" s="597"/>
      <c r="N25" s="68"/>
      <c r="O25" s="68"/>
    </row>
    <row r="26" spans="1:15" hidden="1" x14ac:dyDescent="0.25">
      <c r="A26" s="519">
        <f>A19-1</f>
        <v>-1</v>
      </c>
      <c r="B26" s="539" t="s">
        <v>422</v>
      </c>
      <c r="C26" s="520"/>
      <c r="D26" s="521"/>
      <c r="E26" s="522"/>
      <c r="F26" s="522"/>
      <c r="G26" s="523"/>
      <c r="H26" s="524"/>
      <c r="I26" s="525"/>
      <c r="J26" s="524"/>
      <c r="K26" s="526"/>
      <c r="L26" s="527"/>
      <c r="M26" s="332"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68"/>
      <c r="O26" s="68"/>
    </row>
    <row r="27" spans="1:15" hidden="1" x14ac:dyDescent="0.25">
      <c r="A27" s="452"/>
      <c r="B27" s="540" t="s">
        <v>423</v>
      </c>
      <c r="C27" s="453"/>
      <c r="D27" s="454"/>
      <c r="E27" s="455"/>
      <c r="F27" s="455"/>
      <c r="G27" s="456"/>
      <c r="H27" s="457"/>
      <c r="I27" s="469"/>
      <c r="J27" s="467"/>
      <c r="K27" s="470"/>
      <c r="L27" s="467"/>
      <c r="M27" s="332" t="str">
        <f>IF(OR(H26=1,H26=2,H26=3,H26=7,H26=8,H26=9,ISBLANK(H26)),"",
IF(COUNTBLANK(C27:H27)&gt;0,"←ERROR! Fill out all of the required information in the current line.",
))</f>
        <v/>
      </c>
      <c r="N27" s="68"/>
      <c r="O27" s="68"/>
    </row>
    <row r="28" spans="1:15" hidden="1" x14ac:dyDescent="0.25">
      <c r="A28" s="452"/>
      <c r="B28" s="623" t="s">
        <v>424</v>
      </c>
      <c r="C28" s="624"/>
      <c r="D28" s="598"/>
      <c r="E28" s="599"/>
      <c r="F28" s="599"/>
      <c r="G28" s="599"/>
      <c r="H28" s="599"/>
      <c r="I28" s="599"/>
      <c r="J28" s="599"/>
      <c r="K28" s="599"/>
      <c r="L28" s="600"/>
      <c r="M28" s="332" t="str">
        <f>IF(LEN(TRIM(CLEAN(D28)))=0,"←ERROR! Detailed explanation was not provided.","")</f>
        <v>←ERROR! Detailed explanation was not provided.</v>
      </c>
      <c r="N28" s="68"/>
      <c r="O28" s="68"/>
    </row>
    <row r="29" spans="1:15" hidden="1" x14ac:dyDescent="0.25">
      <c r="A29" s="460"/>
      <c r="B29" s="625" t="s">
        <v>425</v>
      </c>
      <c r="C29" s="626"/>
      <c r="D29" s="598"/>
      <c r="E29" s="599"/>
      <c r="F29" s="599"/>
      <c r="G29" s="599"/>
      <c r="H29" s="599"/>
      <c r="I29" s="599"/>
      <c r="J29" s="599"/>
      <c r="K29" s="599"/>
      <c r="L29" s="600"/>
      <c r="N29" s="68"/>
      <c r="O29" s="68"/>
    </row>
    <row r="30" spans="1:15" hidden="1" x14ac:dyDescent="0.25">
      <c r="A30" s="452"/>
      <c r="B30" s="625" t="s">
        <v>426</v>
      </c>
      <c r="C30" s="626"/>
      <c r="D30" s="598"/>
      <c r="E30" s="599"/>
      <c r="F30" s="599"/>
      <c r="G30" s="599"/>
      <c r="H30" s="599"/>
      <c r="I30" s="599"/>
      <c r="J30" s="599"/>
      <c r="K30" s="599"/>
      <c r="L30" s="600"/>
      <c r="N30" s="68"/>
      <c r="O30" s="68"/>
    </row>
    <row r="31" spans="1:15" hidden="1" x14ac:dyDescent="0.25">
      <c r="A31" s="452"/>
      <c r="B31" s="625" t="s">
        <v>427</v>
      </c>
      <c r="C31" s="626"/>
      <c r="D31" s="598"/>
      <c r="E31" s="599"/>
      <c r="F31" s="599"/>
      <c r="G31" s="599"/>
      <c r="H31" s="599"/>
      <c r="I31" s="599"/>
      <c r="J31" s="599"/>
      <c r="K31" s="599"/>
      <c r="L31" s="600"/>
      <c r="N31" s="68"/>
      <c r="O31" s="68"/>
    </row>
    <row r="32" spans="1:15" ht="15.75" hidden="1" thickBot="1" x14ac:dyDescent="0.3">
      <c r="A32" s="494"/>
      <c r="B32" s="628"/>
      <c r="C32" s="628"/>
      <c r="D32" s="615"/>
      <c r="E32" s="615"/>
      <c r="F32" s="615"/>
      <c r="G32" s="615"/>
      <c r="H32" s="615"/>
      <c r="I32" s="615"/>
      <c r="J32" s="615"/>
      <c r="K32" s="615"/>
      <c r="L32" s="615"/>
      <c r="N32" s="68"/>
      <c r="O32" s="68"/>
    </row>
    <row r="33" spans="1:15" x14ac:dyDescent="0.25">
      <c r="A33" s="519">
        <f>A19-1</f>
        <v>-1</v>
      </c>
      <c r="B33" s="533" t="s">
        <v>422</v>
      </c>
      <c r="C33" s="499" t="s">
        <v>537</v>
      </c>
      <c r="D33" s="495" t="s">
        <v>538</v>
      </c>
      <c r="E33" s="496">
        <v>2</v>
      </c>
      <c r="F33" s="496">
        <v>3</v>
      </c>
      <c r="G33" s="497" t="s">
        <v>545</v>
      </c>
      <c r="H33" s="496">
        <v>4</v>
      </c>
      <c r="I33" s="496" t="s">
        <v>53</v>
      </c>
      <c r="J33" s="496" t="s">
        <v>53</v>
      </c>
      <c r="K33" s="496" t="s">
        <v>58</v>
      </c>
      <c r="L33" s="498">
        <v>0</v>
      </c>
      <c r="M33" s="332"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←Warning! There is no corresponding rate impact associated with the restriction or broadening of coverage. Provide an explanation in the comment box below.</v>
      </c>
      <c r="N33" s="68"/>
      <c r="O33" s="68"/>
    </row>
    <row r="34" spans="1:15" ht="18" customHeight="1" x14ac:dyDescent="0.25">
      <c r="A34" s="451"/>
      <c r="B34" s="534" t="s">
        <v>423</v>
      </c>
      <c r="C34" s="505" t="s">
        <v>539</v>
      </c>
      <c r="D34" s="501" t="s">
        <v>538</v>
      </c>
      <c r="E34" s="502">
        <v>2</v>
      </c>
      <c r="F34" s="502">
        <v>3</v>
      </c>
      <c r="G34" s="500" t="s">
        <v>528</v>
      </c>
      <c r="H34" s="502">
        <v>7</v>
      </c>
      <c r="I34" s="503"/>
      <c r="J34" s="503"/>
      <c r="K34" s="503"/>
      <c r="L34" s="467"/>
      <c r="M34" s="332">
        <f>IF(OR(H33=1,H33=2,H33=3,H33=7,H33=8,H33=9,ISBLANK(H33)),"",
IF(COUNTBLANK(C34:H34)&gt;0,"←ERROR! Fill out all of the required information in the current line.",
))</f>
        <v>0</v>
      </c>
      <c r="N34" s="68"/>
      <c r="O34" s="68"/>
    </row>
    <row r="35" spans="1:15" ht="75" customHeight="1" x14ac:dyDescent="0.25">
      <c r="A35" s="451"/>
      <c r="B35" s="586" t="s">
        <v>424</v>
      </c>
      <c r="C35" s="587"/>
      <c r="D35" s="590" t="s">
        <v>540</v>
      </c>
      <c r="E35" s="590"/>
      <c r="F35" s="590"/>
      <c r="G35" s="590"/>
      <c r="H35" s="590"/>
      <c r="I35" s="590"/>
      <c r="J35" s="590"/>
      <c r="K35" s="590"/>
      <c r="L35" s="591"/>
      <c r="M35" s="332" t="str">
        <f>IF(LEN(TRIM(CLEAN(D35)))=0,"←ERROR! Detailed explanation was not provided.","")</f>
        <v/>
      </c>
      <c r="N35" s="68"/>
      <c r="O35" s="68"/>
    </row>
    <row r="36" spans="1:15" ht="105" customHeight="1" x14ac:dyDescent="0.25">
      <c r="A36" s="459"/>
      <c r="B36" s="586" t="s">
        <v>425</v>
      </c>
      <c r="C36" s="587"/>
      <c r="D36" s="590" t="s">
        <v>541</v>
      </c>
      <c r="E36" s="590"/>
      <c r="F36" s="590"/>
      <c r="G36" s="590"/>
      <c r="H36" s="590"/>
      <c r="I36" s="590"/>
      <c r="J36" s="590"/>
      <c r="K36" s="590"/>
      <c r="L36" s="591"/>
      <c r="N36" s="68"/>
      <c r="O36" s="68"/>
    </row>
    <row r="37" spans="1:15" ht="45.95" customHeight="1" x14ac:dyDescent="0.25">
      <c r="A37" s="451"/>
      <c r="B37" s="586" t="s">
        <v>426</v>
      </c>
      <c r="C37" s="587"/>
      <c r="D37" s="590" t="s">
        <v>542</v>
      </c>
      <c r="E37" s="590"/>
      <c r="F37" s="590"/>
      <c r="G37" s="590"/>
      <c r="H37" s="590"/>
      <c r="I37" s="590"/>
      <c r="J37" s="590"/>
      <c r="K37" s="590"/>
      <c r="L37" s="591"/>
      <c r="N37" s="68"/>
      <c r="O37" s="68"/>
    </row>
    <row r="38" spans="1:15" ht="45.95" customHeight="1" x14ac:dyDescent="0.25">
      <c r="A38" s="451"/>
      <c r="B38" s="586" t="s">
        <v>427</v>
      </c>
      <c r="C38" s="587"/>
      <c r="D38" s="590" t="s">
        <v>536</v>
      </c>
      <c r="E38" s="590"/>
      <c r="F38" s="590"/>
      <c r="G38" s="590"/>
      <c r="H38" s="590"/>
      <c r="I38" s="590"/>
      <c r="J38" s="590"/>
      <c r="K38" s="590"/>
      <c r="L38" s="591"/>
      <c r="N38" s="68"/>
      <c r="O38" s="68"/>
    </row>
    <row r="39" spans="1:15" ht="9" customHeight="1" thickBot="1" x14ac:dyDescent="0.3">
      <c r="A39" s="451"/>
      <c r="B39" s="627"/>
      <c r="C39" s="627"/>
      <c r="D39" s="597"/>
      <c r="E39" s="597"/>
      <c r="F39" s="597"/>
      <c r="G39" s="597"/>
      <c r="H39" s="597"/>
      <c r="I39" s="597"/>
      <c r="J39" s="597"/>
      <c r="K39" s="597"/>
      <c r="L39" s="597"/>
      <c r="N39" s="68"/>
      <c r="O39" s="68"/>
    </row>
    <row r="40" spans="1:15" ht="35.25" customHeight="1" thickBot="1" x14ac:dyDescent="0.3">
      <c r="A40" s="528">
        <f>A33-1</f>
        <v>-2</v>
      </c>
      <c r="B40" s="535" t="s">
        <v>422</v>
      </c>
      <c r="C40" s="520" t="s">
        <v>553</v>
      </c>
      <c r="D40" s="495" t="s">
        <v>555</v>
      </c>
      <c r="E40" s="522">
        <v>2</v>
      </c>
      <c r="F40" s="522">
        <v>3</v>
      </c>
      <c r="G40" s="530" t="s">
        <v>545</v>
      </c>
      <c r="H40" s="524">
        <v>4</v>
      </c>
      <c r="I40" s="525" t="s">
        <v>53</v>
      </c>
      <c r="J40" s="524" t="s">
        <v>53</v>
      </c>
      <c r="K40" s="526" t="s">
        <v>58</v>
      </c>
      <c r="L40" s="527">
        <v>0</v>
      </c>
      <c r="M40" s="332"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←Warning! There is no corresponding rate impact associated with the restriction or broadening of coverage. Provide an explanation in the comment box below.</v>
      </c>
      <c r="N40" s="68"/>
      <c r="O40" s="68"/>
    </row>
    <row r="41" spans="1:15" ht="34.5" customHeight="1" x14ac:dyDescent="0.25">
      <c r="A41" s="458"/>
      <c r="B41" s="536" t="s">
        <v>423</v>
      </c>
      <c r="C41" s="453" t="s">
        <v>554</v>
      </c>
      <c r="D41" s="495" t="s">
        <v>555</v>
      </c>
      <c r="E41" s="455">
        <v>2</v>
      </c>
      <c r="F41" s="455">
        <v>3</v>
      </c>
      <c r="G41" s="456" t="s">
        <v>528</v>
      </c>
      <c r="H41" s="457">
        <v>7</v>
      </c>
      <c r="I41" s="464"/>
      <c r="J41" s="465"/>
      <c r="K41" s="466"/>
      <c r="L41" s="467"/>
      <c r="M41" s="332">
        <f>IF(OR(H40=1,H40=2,H40=3,H40=7,H40=8,H40=9,ISBLANK(H40)),"",
IF(COUNTBLANK(C41:H41)&gt;0,"←ERROR! Fill out all of the required information in the current line.",
))</f>
        <v>0</v>
      </c>
      <c r="N41" s="68"/>
      <c r="O41" s="68"/>
    </row>
    <row r="42" spans="1:15" ht="90" customHeight="1" x14ac:dyDescent="0.25">
      <c r="A42" s="458"/>
      <c r="B42" s="593" t="s">
        <v>424</v>
      </c>
      <c r="C42" s="594"/>
      <c r="D42" s="590" t="s">
        <v>556</v>
      </c>
      <c r="E42" s="590"/>
      <c r="F42" s="590"/>
      <c r="G42" s="590"/>
      <c r="H42" s="590"/>
      <c r="I42" s="590"/>
      <c r="J42" s="590"/>
      <c r="K42" s="590"/>
      <c r="L42" s="591"/>
      <c r="M42" s="332" t="str">
        <f>IF(LEN(TRIM(CLEAN(D42)))=0,"←ERROR! Detailed explanation was not provided.","")</f>
        <v/>
      </c>
      <c r="N42" s="68"/>
      <c r="O42" s="68"/>
    </row>
    <row r="43" spans="1:15" ht="120" customHeight="1" x14ac:dyDescent="0.25">
      <c r="A43" s="461"/>
      <c r="B43" s="593" t="s">
        <v>425</v>
      </c>
      <c r="C43" s="594"/>
      <c r="D43" s="590" t="s">
        <v>541</v>
      </c>
      <c r="E43" s="590"/>
      <c r="F43" s="590"/>
      <c r="G43" s="590"/>
      <c r="H43" s="590"/>
      <c r="I43" s="590"/>
      <c r="J43" s="590"/>
      <c r="K43" s="590"/>
      <c r="L43" s="591"/>
      <c r="N43" s="68"/>
      <c r="O43" s="68"/>
    </row>
    <row r="44" spans="1:15" ht="45.95" customHeight="1" x14ac:dyDescent="0.25">
      <c r="A44" s="458"/>
      <c r="B44" s="593" t="s">
        <v>426</v>
      </c>
      <c r="C44" s="594"/>
      <c r="D44" s="590" t="s">
        <v>557</v>
      </c>
      <c r="E44" s="590"/>
      <c r="F44" s="590"/>
      <c r="G44" s="590"/>
      <c r="H44" s="590"/>
      <c r="I44" s="590"/>
      <c r="J44" s="590"/>
      <c r="K44" s="590"/>
      <c r="L44" s="591"/>
      <c r="N44" s="68"/>
      <c r="O44" s="68"/>
    </row>
    <row r="45" spans="1:15" ht="60.95" customHeight="1" x14ac:dyDescent="0.25">
      <c r="A45" s="458"/>
      <c r="B45" s="593" t="s">
        <v>427</v>
      </c>
      <c r="C45" s="594"/>
      <c r="D45" s="590" t="s">
        <v>536</v>
      </c>
      <c r="E45" s="590"/>
      <c r="F45" s="590"/>
      <c r="G45" s="590"/>
      <c r="H45" s="590"/>
      <c r="I45" s="590"/>
      <c r="J45" s="590"/>
      <c r="K45" s="590"/>
      <c r="L45" s="591"/>
      <c r="N45" s="68"/>
      <c r="O45" s="68"/>
    </row>
    <row r="46" spans="1:15" ht="9" customHeight="1" thickBot="1" x14ac:dyDescent="0.3">
      <c r="A46" s="458"/>
      <c r="B46" s="595"/>
      <c r="C46" s="596"/>
      <c r="D46" s="592"/>
      <c r="E46" s="592"/>
      <c r="F46" s="592"/>
      <c r="G46" s="592"/>
      <c r="H46" s="592"/>
      <c r="I46" s="592"/>
      <c r="J46" s="592"/>
      <c r="K46" s="592"/>
      <c r="L46" s="592"/>
      <c r="N46" s="68"/>
      <c r="O46" s="68"/>
    </row>
    <row r="47" spans="1:15" ht="30" customHeight="1" thickBot="1" x14ac:dyDescent="0.3">
      <c r="A47" s="519">
        <f>A40-1</f>
        <v>-3</v>
      </c>
      <c r="B47" s="533" t="s">
        <v>422</v>
      </c>
      <c r="C47" s="520" t="s">
        <v>543</v>
      </c>
      <c r="D47" s="521" t="s">
        <v>544</v>
      </c>
      <c r="E47" s="496">
        <v>4</v>
      </c>
      <c r="F47" s="496">
        <v>3</v>
      </c>
      <c r="G47" s="497" t="s">
        <v>545</v>
      </c>
      <c r="H47" s="496">
        <v>4</v>
      </c>
      <c r="I47" s="496" t="s">
        <v>58</v>
      </c>
      <c r="J47" s="496" t="s">
        <v>58</v>
      </c>
      <c r="K47" s="496" t="s">
        <v>58</v>
      </c>
      <c r="L47" s="498">
        <v>0</v>
      </c>
      <c r="M47" s="332"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
      </c>
      <c r="N47" s="68"/>
      <c r="O47" s="68"/>
    </row>
    <row r="48" spans="1:15" ht="30" customHeight="1" x14ac:dyDescent="0.25">
      <c r="A48" s="451"/>
      <c r="B48" s="534" t="s">
        <v>423</v>
      </c>
      <c r="C48" s="453" t="s">
        <v>546</v>
      </c>
      <c r="D48" s="521" t="s">
        <v>544</v>
      </c>
      <c r="E48" s="502">
        <v>2</v>
      </c>
      <c r="F48" s="502">
        <v>3</v>
      </c>
      <c r="G48" s="500" t="s">
        <v>533</v>
      </c>
      <c r="H48" s="502">
        <v>7</v>
      </c>
      <c r="I48" s="503"/>
      <c r="J48" s="503"/>
      <c r="K48" s="503"/>
      <c r="L48" s="467"/>
      <c r="M48" s="332">
        <f>IF(OR(H47=1,H47=2,H47=3,H47=7,H47=8,H47=9,ISBLANK(H47)),"",
IF(COUNTBLANK(C48:H48)&gt;0,"←ERROR! Fill out all of the required information in the current line.",
))</f>
        <v>0</v>
      </c>
      <c r="N48" s="68"/>
      <c r="O48" s="68"/>
    </row>
    <row r="49" spans="1:15" ht="90" customHeight="1" x14ac:dyDescent="0.25">
      <c r="A49" s="451"/>
      <c r="B49" s="586" t="s">
        <v>424</v>
      </c>
      <c r="C49" s="587"/>
      <c r="D49" s="588" t="s">
        <v>547</v>
      </c>
      <c r="E49" s="588"/>
      <c r="F49" s="588"/>
      <c r="G49" s="588"/>
      <c r="H49" s="588"/>
      <c r="I49" s="588"/>
      <c r="J49" s="588"/>
      <c r="K49" s="588"/>
      <c r="L49" s="589"/>
      <c r="M49" s="332" t="str">
        <f>IF(LEN(TRIM(CLEAN(D49)))=0,"←ERROR! Detailed explanation was not provided.","")</f>
        <v/>
      </c>
      <c r="N49" s="68"/>
      <c r="O49" s="68"/>
    </row>
    <row r="50" spans="1:15" ht="120" customHeight="1" x14ac:dyDescent="0.25">
      <c r="A50" s="459"/>
      <c r="B50" s="586" t="s">
        <v>425</v>
      </c>
      <c r="C50" s="587"/>
      <c r="D50" s="588" t="s">
        <v>548</v>
      </c>
      <c r="E50" s="588"/>
      <c r="F50" s="588"/>
      <c r="G50" s="588"/>
      <c r="H50" s="588"/>
      <c r="I50" s="588"/>
      <c r="J50" s="588"/>
      <c r="K50" s="588"/>
      <c r="L50" s="589"/>
      <c r="N50" s="68"/>
      <c r="O50" s="68"/>
    </row>
    <row r="51" spans="1:15" ht="45.95" customHeight="1" x14ac:dyDescent="0.25">
      <c r="A51" s="451"/>
      <c r="B51" s="586" t="s">
        <v>426</v>
      </c>
      <c r="C51" s="587"/>
      <c r="D51" s="588" t="s">
        <v>549</v>
      </c>
      <c r="E51" s="588"/>
      <c r="F51" s="588"/>
      <c r="G51" s="588"/>
      <c r="H51" s="588"/>
      <c r="I51" s="588"/>
      <c r="J51" s="588"/>
      <c r="K51" s="588"/>
      <c r="L51" s="589"/>
      <c r="N51" s="68"/>
      <c r="O51" s="68"/>
    </row>
    <row r="52" spans="1:15" ht="60.95" customHeight="1" x14ac:dyDescent="0.25">
      <c r="A52" s="451"/>
      <c r="B52" s="586" t="s">
        <v>427</v>
      </c>
      <c r="C52" s="587"/>
      <c r="D52" s="588" t="s">
        <v>536</v>
      </c>
      <c r="E52" s="588"/>
      <c r="F52" s="588"/>
      <c r="G52" s="588"/>
      <c r="H52" s="588"/>
      <c r="I52" s="588"/>
      <c r="J52" s="588"/>
      <c r="K52" s="588"/>
      <c r="L52" s="589"/>
      <c r="N52" s="68"/>
      <c r="O52" s="68"/>
    </row>
    <row r="53" spans="1:15" ht="9" customHeight="1" thickBot="1" x14ac:dyDescent="0.3">
      <c r="A53" s="451"/>
      <c r="B53" s="611"/>
      <c r="C53" s="612"/>
      <c r="D53" s="610"/>
      <c r="E53" s="610"/>
      <c r="F53" s="610"/>
      <c r="G53" s="610"/>
      <c r="H53" s="610"/>
      <c r="I53" s="610"/>
      <c r="J53" s="610"/>
      <c r="K53" s="610"/>
      <c r="L53" s="610"/>
      <c r="N53" s="68"/>
      <c r="O53" s="68"/>
    </row>
    <row r="54" spans="1:15" ht="18" customHeight="1" x14ac:dyDescent="0.25">
      <c r="A54" s="528">
        <f>A47-1</f>
        <v>-4</v>
      </c>
      <c r="B54" s="529" t="s">
        <v>422</v>
      </c>
      <c r="C54" s="520"/>
      <c r="D54" s="521"/>
      <c r="E54" s="522"/>
      <c r="F54" s="522"/>
      <c r="G54" s="530"/>
      <c r="H54" s="524"/>
      <c r="I54" s="525"/>
      <c r="J54" s="524"/>
      <c r="K54" s="526"/>
      <c r="L54" s="527"/>
      <c r="M54" s="332"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68"/>
      <c r="O54" s="68"/>
    </row>
    <row r="55" spans="1:15" ht="18" customHeight="1" x14ac:dyDescent="0.25">
      <c r="A55" s="458"/>
      <c r="B55" s="517" t="s">
        <v>423</v>
      </c>
      <c r="C55" s="504"/>
      <c r="D55" s="501"/>
      <c r="E55" s="455"/>
      <c r="F55" s="455"/>
      <c r="G55" s="456"/>
      <c r="H55" s="457"/>
      <c r="I55" s="464"/>
      <c r="J55" s="465"/>
      <c r="K55" s="466"/>
      <c r="L55" s="467"/>
      <c r="M55" s="332" t="str">
        <f>IF(OR(H54=1,H54=2,H54=3,H54=7,H54=8,H54=9,ISBLANK(H54)),"",
IF(COUNTBLANK(C55:H55)&gt;0,"←ERROR! Fill out all of the required information in the current line.",
))</f>
        <v/>
      </c>
      <c r="N55" s="68"/>
      <c r="O55" s="68"/>
    </row>
    <row r="56" spans="1:15" ht="90" customHeight="1" x14ac:dyDescent="0.25">
      <c r="A56" s="458"/>
      <c r="B56" s="613" t="s">
        <v>424</v>
      </c>
      <c r="C56" s="614"/>
      <c r="D56" s="590"/>
      <c r="E56" s="590"/>
      <c r="F56" s="590"/>
      <c r="G56" s="590"/>
      <c r="H56" s="590"/>
      <c r="I56" s="590"/>
      <c r="J56" s="590"/>
      <c r="K56" s="590"/>
      <c r="L56" s="591"/>
      <c r="M56" s="332" t="str">
        <f>IF(LEN(TRIM(CLEAN(D56)))=0,"←ERROR! Detailed explanation was not provided.","")</f>
        <v>←ERROR! Detailed explanation was not provided.</v>
      </c>
      <c r="N56" s="68"/>
      <c r="O56" s="68"/>
    </row>
    <row r="57" spans="1:15" ht="120" customHeight="1" x14ac:dyDescent="0.25">
      <c r="A57" s="461"/>
      <c r="B57" s="613" t="s">
        <v>425</v>
      </c>
      <c r="C57" s="614"/>
      <c r="D57" s="590"/>
      <c r="E57" s="590"/>
      <c r="F57" s="590"/>
      <c r="G57" s="590"/>
      <c r="H57" s="590"/>
      <c r="I57" s="590"/>
      <c r="J57" s="590"/>
      <c r="K57" s="590"/>
      <c r="L57" s="591"/>
      <c r="N57" s="68"/>
      <c r="O57" s="68"/>
    </row>
    <row r="58" spans="1:15" ht="45.95" customHeight="1" x14ac:dyDescent="0.25">
      <c r="A58" s="458"/>
      <c r="B58" s="613" t="s">
        <v>426</v>
      </c>
      <c r="C58" s="614"/>
      <c r="D58" s="590"/>
      <c r="E58" s="590"/>
      <c r="F58" s="590"/>
      <c r="G58" s="590"/>
      <c r="H58" s="590"/>
      <c r="I58" s="590"/>
      <c r="J58" s="590"/>
      <c r="K58" s="590"/>
      <c r="L58" s="591"/>
      <c r="N58" s="68"/>
      <c r="O58" s="68"/>
    </row>
    <row r="59" spans="1:15" ht="60.95" customHeight="1" x14ac:dyDescent="0.25">
      <c r="A59" s="458"/>
      <c r="B59" s="613" t="s">
        <v>427</v>
      </c>
      <c r="C59" s="614"/>
      <c r="D59" s="588"/>
      <c r="E59" s="588"/>
      <c r="F59" s="588"/>
      <c r="G59" s="588"/>
      <c r="H59" s="588"/>
      <c r="I59" s="588"/>
      <c r="J59" s="588"/>
      <c r="K59" s="588"/>
      <c r="L59" s="589"/>
      <c r="N59" s="68"/>
      <c r="O59" s="68"/>
    </row>
    <row r="60" spans="1:15" ht="9" customHeight="1" thickBot="1" x14ac:dyDescent="0.3">
      <c r="A60" s="531"/>
      <c r="B60" s="616"/>
      <c r="C60" s="617"/>
      <c r="D60" s="615"/>
      <c r="E60" s="615"/>
      <c r="F60" s="615"/>
      <c r="G60" s="615"/>
      <c r="H60" s="615"/>
      <c r="I60" s="615"/>
      <c r="J60" s="615"/>
      <c r="K60" s="615"/>
      <c r="L60" s="615"/>
      <c r="N60" s="68"/>
      <c r="O60" s="68"/>
    </row>
    <row r="61" spans="1:15" ht="3.75" customHeight="1" x14ac:dyDescent="0.25"/>
    <row r="62" spans="1:15" ht="17.25" x14ac:dyDescent="0.25">
      <c r="B62" s="47" t="s">
        <v>428</v>
      </c>
    </row>
    <row r="63" spans="1:15" x14ac:dyDescent="0.25">
      <c r="B63" s="449" t="s">
        <v>429</v>
      </c>
    </row>
    <row r="64" spans="1:15" ht="17.25" customHeight="1" x14ac:dyDescent="0.25">
      <c r="B64" s="47" t="s">
        <v>430</v>
      </c>
    </row>
    <row r="65" spans="2:12" ht="17.25" x14ac:dyDescent="0.25">
      <c r="B65" s="47" t="s">
        <v>431</v>
      </c>
    </row>
    <row r="66" spans="2:12" x14ac:dyDescent="0.25">
      <c r="B66" s="47"/>
    </row>
    <row r="67" spans="2:12" ht="15.75" thickBot="1" x14ac:dyDescent="0.3">
      <c r="B67" s="1" t="s">
        <v>432</v>
      </c>
      <c r="F67" s="147"/>
      <c r="G67"/>
    </row>
    <row r="68" spans="2:12" ht="15" customHeight="1" x14ac:dyDescent="0.25">
      <c r="B68" s="601"/>
      <c r="C68" s="602"/>
      <c r="D68" s="602"/>
      <c r="E68" s="602"/>
      <c r="F68" s="602"/>
      <c r="G68" s="602"/>
      <c r="H68" s="602"/>
      <c r="I68" s="602"/>
      <c r="J68" s="602"/>
      <c r="K68" s="602"/>
      <c r="L68" s="603"/>
    </row>
    <row r="69" spans="2:12" x14ac:dyDescent="0.25">
      <c r="B69" s="604"/>
      <c r="C69" s="605"/>
      <c r="D69" s="605"/>
      <c r="E69" s="605"/>
      <c r="F69" s="605"/>
      <c r="G69" s="605"/>
      <c r="H69" s="605"/>
      <c r="I69" s="605"/>
      <c r="J69" s="605"/>
      <c r="K69" s="605"/>
      <c r="L69" s="606"/>
    </row>
    <row r="70" spans="2:12" x14ac:dyDescent="0.25">
      <c r="B70" s="604"/>
      <c r="C70" s="605"/>
      <c r="D70" s="605"/>
      <c r="E70" s="605"/>
      <c r="F70" s="605"/>
      <c r="G70" s="605"/>
      <c r="H70" s="605"/>
      <c r="I70" s="605"/>
      <c r="J70" s="605"/>
      <c r="K70" s="605"/>
      <c r="L70" s="606"/>
    </row>
    <row r="71" spans="2:12" x14ac:dyDescent="0.25">
      <c r="B71" s="604"/>
      <c r="C71" s="605"/>
      <c r="D71" s="605"/>
      <c r="E71" s="605"/>
      <c r="F71" s="605"/>
      <c r="G71" s="605"/>
      <c r="H71" s="605"/>
      <c r="I71" s="605"/>
      <c r="J71" s="605"/>
      <c r="K71" s="605"/>
      <c r="L71" s="606"/>
    </row>
    <row r="72" spans="2:12" x14ac:dyDescent="0.25">
      <c r="B72" s="604"/>
      <c r="C72" s="605"/>
      <c r="D72" s="605"/>
      <c r="E72" s="605"/>
      <c r="F72" s="605"/>
      <c r="G72" s="605"/>
      <c r="H72" s="605"/>
      <c r="I72" s="605"/>
      <c r="J72" s="605"/>
      <c r="K72" s="605"/>
      <c r="L72" s="606"/>
    </row>
    <row r="73" spans="2:12" x14ac:dyDescent="0.25">
      <c r="B73" s="604"/>
      <c r="C73" s="605"/>
      <c r="D73" s="605"/>
      <c r="E73" s="605"/>
      <c r="F73" s="605"/>
      <c r="G73" s="605"/>
      <c r="H73" s="605"/>
      <c r="I73" s="605"/>
      <c r="J73" s="605"/>
      <c r="K73" s="605"/>
      <c r="L73" s="606"/>
    </row>
    <row r="74" spans="2:12" x14ac:dyDescent="0.25">
      <c r="B74" s="604"/>
      <c r="C74" s="605"/>
      <c r="D74" s="605"/>
      <c r="E74" s="605"/>
      <c r="F74" s="605"/>
      <c r="G74" s="605"/>
      <c r="H74" s="605"/>
      <c r="I74" s="605"/>
      <c r="J74" s="605"/>
      <c r="K74" s="605"/>
      <c r="L74" s="606"/>
    </row>
    <row r="75" spans="2:12" x14ac:dyDescent="0.25">
      <c r="B75" s="604"/>
      <c r="C75" s="605"/>
      <c r="D75" s="605"/>
      <c r="E75" s="605"/>
      <c r="F75" s="605"/>
      <c r="G75" s="605"/>
      <c r="H75" s="605"/>
      <c r="I75" s="605"/>
      <c r="J75" s="605"/>
      <c r="K75" s="605"/>
      <c r="L75" s="606"/>
    </row>
    <row r="76" spans="2:12" ht="15.75" thickBot="1" x14ac:dyDescent="0.3">
      <c r="B76" s="607"/>
      <c r="C76" s="608"/>
      <c r="D76" s="608"/>
      <c r="E76" s="608"/>
      <c r="F76" s="608"/>
      <c r="G76" s="608"/>
      <c r="H76" s="608"/>
      <c r="I76" s="608"/>
      <c r="J76" s="608"/>
      <c r="K76" s="608"/>
      <c r="L76" s="609"/>
    </row>
  </sheetData>
  <sheetProtection algorithmName="SHA-512" hashValue="jJ/y2uB/gsUbQhHqfEDppeSlxzw34Z7XukJ9Jp0uMU3QUJ3QPy4ILDiXlkc9fHNMk1PYLNosdiDIANcmflLLTg==" saltValue="+u5PcUPzJeJNyXOMqqrlkA=="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8:L76"/>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3" fitToHeight="0" orientation="landscape" useFirstPageNumber="1" r:id="rId1"/>
  <headerFooter>
    <oddFooter>&amp;CPrior Approval Rate Application&amp;RPage 9.&amp;P&amp;L1/3/2023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view="pageBreakPreview" zoomScaleNormal="100" zoomScaleSheetLayoutView="100" workbookViewId="0"/>
  </sheetViews>
  <sheetFormatPr defaultColWidth="9.140625" defaultRowHeight="15" x14ac:dyDescent="0.25"/>
  <cols>
    <col min="1" max="1" width="9.140625" style="47"/>
    <col min="2" max="2" width="40.140625" style="47" customWidth="1"/>
    <col min="3" max="3" width="15.140625" style="47" customWidth="1"/>
    <col min="4" max="4" width="42.140625" style="47" customWidth="1"/>
    <col min="5" max="5" width="0.5703125" style="47" customWidth="1"/>
    <col min="6" max="16384" width="9.140625" style="47"/>
  </cols>
  <sheetData>
    <row r="1" spans="1:14" x14ac:dyDescent="0.25">
      <c r="A1" s="10" t="s">
        <v>189</v>
      </c>
      <c r="B1" s="10"/>
      <c r="C1" s="157" t="s">
        <v>190</v>
      </c>
      <c r="D1" s="158" t="str">
        <f>Co_Name</f>
        <v xml:space="preserve">State Farm Mutual Automobile Insurance Company </v>
      </c>
      <c r="H1" s="158"/>
      <c r="I1" s="157"/>
    </row>
    <row r="2" spans="1:14" x14ac:dyDescent="0.25">
      <c r="A2" s="10" t="s">
        <v>192</v>
      </c>
      <c r="B2" s="10"/>
      <c r="C2" s="157" t="s">
        <v>193</v>
      </c>
      <c r="D2" s="158" t="str">
        <f>General_Line</f>
        <v>Auto Liability and Physical Damage</v>
      </c>
      <c r="H2" s="158"/>
      <c r="I2" s="157"/>
    </row>
    <row r="3" spans="1:14" x14ac:dyDescent="0.25">
      <c r="B3" s="164"/>
    </row>
    <row r="4" spans="1:14" ht="23.25" x14ac:dyDescent="0.25">
      <c r="A4" s="5" t="s">
        <v>433</v>
      </c>
      <c r="B4" s="5"/>
      <c r="C4" s="145"/>
      <c r="D4" s="145"/>
      <c r="F4" s="145"/>
      <c r="G4" s="145"/>
      <c r="H4" s="145"/>
      <c r="I4" s="145"/>
      <c r="J4" s="145"/>
      <c r="K4" s="145"/>
      <c r="L4" s="145"/>
      <c r="M4" s="145"/>
      <c r="N4" s="145"/>
    </row>
    <row r="6" spans="1:14" x14ac:dyDescent="0.25">
      <c r="A6" s="47" t="s">
        <v>434</v>
      </c>
    </row>
    <row r="7" spans="1:14" x14ac:dyDescent="0.25">
      <c r="A7" s="47" t="s">
        <v>435</v>
      </c>
    </row>
    <row r="9" spans="1:14" ht="18" customHeight="1" x14ac:dyDescent="0.25">
      <c r="A9" s="47" t="s">
        <v>436</v>
      </c>
    </row>
    <row r="10" spans="1:14" ht="24.95" customHeight="1" x14ac:dyDescent="0.25">
      <c r="B10" s="47" t="s">
        <v>437</v>
      </c>
    </row>
    <row r="11" spans="1:14" ht="24.95" customHeight="1" x14ac:dyDescent="0.25">
      <c r="B11" s="47" t="s">
        <v>438</v>
      </c>
    </row>
    <row r="12" spans="1:14" ht="24.95" customHeight="1" x14ac:dyDescent="0.25">
      <c r="B12" s="47" t="s">
        <v>439</v>
      </c>
      <c r="E12" s="22" t="b">
        <v>0</v>
      </c>
    </row>
    <row r="13" spans="1:14" ht="24.95" customHeight="1" x14ac:dyDescent="0.25">
      <c r="B13" s="47" t="s">
        <v>440</v>
      </c>
    </row>
    <row r="14" spans="1:14" ht="24.75" customHeight="1" x14ac:dyDescent="0.25">
      <c r="B14" s="47" t="s">
        <v>441</v>
      </c>
    </row>
    <row r="15" spans="1:14" ht="9.75" customHeight="1" x14ac:dyDescent="0.25"/>
    <row r="16" spans="1:14" ht="18" customHeight="1" x14ac:dyDescent="0.25">
      <c r="A16" s="230" t="s">
        <v>442</v>
      </c>
    </row>
    <row r="17" spans="1:6" ht="24.95" customHeight="1" x14ac:dyDescent="0.25">
      <c r="B17" s="47" t="s">
        <v>443</v>
      </c>
    </row>
    <row r="18" spans="1:6" ht="24.95" customHeight="1" x14ac:dyDescent="0.25">
      <c r="B18" s="28" t="s">
        <v>444</v>
      </c>
    </row>
    <row r="19" spans="1:6" ht="24.95" customHeight="1" x14ac:dyDescent="0.25">
      <c r="B19" s="47" t="s">
        <v>445</v>
      </c>
    </row>
    <row r="20" spans="1:6" ht="24.95" customHeight="1" x14ac:dyDescent="0.25">
      <c r="B20" s="47" t="s">
        <v>446</v>
      </c>
    </row>
    <row r="21" spans="1:6" ht="24.95" customHeight="1" x14ac:dyDescent="0.25">
      <c r="B21" s="28" t="s">
        <v>447</v>
      </c>
    </row>
    <row r="22" spans="1:6" ht="24.95" customHeight="1" x14ac:dyDescent="0.25">
      <c r="B22" s="47" t="s">
        <v>448</v>
      </c>
    </row>
    <row r="23" spans="1:6" ht="24.95" customHeight="1" x14ac:dyDescent="0.25">
      <c r="B23" s="28" t="s">
        <v>449</v>
      </c>
    </row>
    <row r="24" spans="1:6" ht="24.95" customHeight="1" x14ac:dyDescent="0.25">
      <c r="B24" s="47" t="s">
        <v>450</v>
      </c>
    </row>
    <row r="25" spans="1:6" ht="18" customHeight="1" x14ac:dyDescent="0.25">
      <c r="B25" s="28" t="s">
        <v>451</v>
      </c>
    </row>
    <row r="26" spans="1:6" ht="18" customHeight="1" x14ac:dyDescent="0.25">
      <c r="B26" s="28" t="s">
        <v>452</v>
      </c>
    </row>
    <row r="27" spans="1:6" ht="9.9499999999999993" customHeight="1" x14ac:dyDescent="0.25"/>
    <row r="28" spans="1:6" ht="18" customHeight="1" x14ac:dyDescent="0.25">
      <c r="A28" s="47" t="s">
        <v>453</v>
      </c>
      <c r="D28" s="197"/>
      <c r="F28" s="332" t="str">
        <f>IF(AND(ISBLANK(D28),E12=TRUE),"← WARNING! If (3) above is checked, specify the approved CDI File #(s) of the AO rule.","")</f>
        <v/>
      </c>
    </row>
    <row r="29" spans="1:6" ht="9.9499999999999993" customHeight="1" x14ac:dyDescent="0.25"/>
    <row r="30" spans="1:6" ht="18" customHeight="1" x14ac:dyDescent="0.25">
      <c r="A30" s="47" t="s">
        <v>454</v>
      </c>
    </row>
    <row r="31" spans="1:6" ht="24.95" customHeight="1" x14ac:dyDescent="0.25">
      <c r="B31" s="47" t="s">
        <v>455</v>
      </c>
    </row>
    <row r="32" spans="1:6" ht="24.95" customHeight="1" x14ac:dyDescent="0.25">
      <c r="B32" s="47" t="s">
        <v>456</v>
      </c>
    </row>
    <row r="33" spans="1:2" ht="24.95" customHeight="1" x14ac:dyDescent="0.25">
      <c r="B33" s="47" t="s">
        <v>457</v>
      </c>
    </row>
    <row r="34" spans="1:2" ht="24.95" customHeight="1" x14ac:dyDescent="0.25">
      <c r="B34" s="28" t="s">
        <v>449</v>
      </c>
    </row>
    <row r="36" spans="1:2" ht="18" customHeight="1" x14ac:dyDescent="0.25">
      <c r="A36" s="47" t="s">
        <v>458</v>
      </c>
    </row>
    <row r="37" spans="1:2" ht="18" customHeight="1" x14ac:dyDescent="0.25">
      <c r="A37" s="47" t="s">
        <v>459</v>
      </c>
    </row>
    <row r="39" spans="1:2" ht="17.25" x14ac:dyDescent="0.25">
      <c r="A39" s="47" t="s">
        <v>460</v>
      </c>
    </row>
    <row r="40" spans="1:2" x14ac:dyDescent="0.25">
      <c r="A40" s="62" t="s">
        <v>461</v>
      </c>
    </row>
  </sheetData>
  <sheetProtection algorithmName="SHA-512" hashValue="4JlMBQekkKB+hJvk0cvyXWTpCCMsvAUQfz5+dfheCw0RhvzhJnALJ8WYi6ysqawLLIccf1Oi9YzwqKXEbKeXEQ==" saltValue="VEJA4sQJa66bmiUOrlWxfA==" spinCount="100000" sheet="1" objects="1" scenarios="1" formatColumns="0" formatRows="0" sort="0"/>
  <pageMargins left="0.7" right="0.7" top="0.75" bottom="0.75" header="0.3" footer="0.3"/>
  <pageSetup scale="84" orientation="portrait" r:id="rId1"/>
  <headerFooter>
    <oddFooter>&amp;CPrior Approval Rate Application&amp;RPage 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0" t="s">
        <v>189</v>
      </c>
      <c r="E1" s="36" t="s">
        <v>190</v>
      </c>
      <c r="G1" s="35" t="str">
        <f>Co_Name</f>
        <v xml:space="preserve">State Farm Mutual Automobile Insurance Company </v>
      </c>
      <c r="I1" s="48"/>
    </row>
    <row r="2" spans="1:10" x14ac:dyDescent="0.25">
      <c r="A2" s="20" t="s">
        <v>192</v>
      </c>
      <c r="E2" s="36" t="s">
        <v>193</v>
      </c>
      <c r="G2" s="35" t="str">
        <f>General_Line</f>
        <v>Auto Liability and Physical Damage</v>
      </c>
      <c r="I2" s="48"/>
    </row>
    <row r="3" spans="1:10" x14ac:dyDescent="0.25">
      <c r="B3" s="165"/>
      <c r="I3" s="48"/>
    </row>
    <row r="4" spans="1:10" ht="23.25" x14ac:dyDescent="0.25">
      <c r="A4" s="5" t="s">
        <v>462</v>
      </c>
      <c r="B4" s="3"/>
      <c r="C4" s="3"/>
      <c r="D4" s="3"/>
      <c r="E4" s="3"/>
      <c r="F4" s="3"/>
      <c r="G4" s="3"/>
      <c r="I4" s="231"/>
    </row>
    <row r="5" spans="1:10" x14ac:dyDescent="0.25">
      <c r="I5" s="48"/>
    </row>
    <row r="6" spans="1:10" x14ac:dyDescent="0.25">
      <c r="A6" t="s">
        <v>463</v>
      </c>
      <c r="I6" s="48"/>
    </row>
    <row r="7" spans="1:10" x14ac:dyDescent="0.25">
      <c r="A7" s="2" t="s">
        <v>464</v>
      </c>
      <c r="I7" s="48"/>
    </row>
    <row r="8" spans="1:10" ht="5.0999999999999996" customHeight="1" x14ac:dyDescent="0.25">
      <c r="A8" s="2"/>
      <c r="I8" s="48"/>
    </row>
    <row r="9" spans="1:10" x14ac:dyDescent="0.25">
      <c r="A9" t="s">
        <v>465</v>
      </c>
      <c r="I9" s="48"/>
    </row>
    <row r="10" spans="1:10" x14ac:dyDescent="0.25">
      <c r="A10" s="2" t="s">
        <v>466</v>
      </c>
      <c r="I10" s="48"/>
    </row>
    <row r="11" spans="1:10" ht="15.75" thickBot="1" x14ac:dyDescent="0.3">
      <c r="I11" s="48"/>
    </row>
    <row r="12" spans="1:10" ht="195" x14ac:dyDescent="0.25">
      <c r="A12" s="107"/>
      <c r="B12" s="108"/>
      <c r="C12" s="108"/>
      <c r="D12" s="226" t="s">
        <v>467</v>
      </c>
      <c r="E12" s="226" t="s">
        <v>468</v>
      </c>
      <c r="F12" s="226" t="s">
        <v>469</v>
      </c>
      <c r="G12" s="109" t="s">
        <v>470</v>
      </c>
      <c r="H12" s="105" t="s">
        <v>471</v>
      </c>
      <c r="I12" s="48"/>
    </row>
    <row r="13" spans="1:10" ht="5.0999999999999996" customHeight="1" thickBot="1" x14ac:dyDescent="0.3">
      <c r="A13" s="113"/>
      <c r="B13" s="111"/>
      <c r="C13" s="111"/>
      <c r="D13" s="225"/>
      <c r="E13" s="225"/>
      <c r="F13" s="225"/>
      <c r="G13" s="114"/>
      <c r="H13" s="4"/>
      <c r="I13" s="48"/>
    </row>
    <row r="14" spans="1:10" ht="18" customHeight="1" x14ac:dyDescent="0.25">
      <c r="A14" s="115" t="s">
        <v>472</v>
      </c>
      <c r="B14" s="116"/>
      <c r="C14" s="116"/>
      <c r="D14" s="194"/>
      <c r="E14" s="117"/>
      <c r="F14" s="194"/>
      <c r="G14" s="118"/>
      <c r="H14" s="4"/>
      <c r="I14" s="48"/>
      <c r="J14" s="104"/>
    </row>
    <row r="15" spans="1:10" ht="30" customHeight="1" thickBot="1" x14ac:dyDescent="0.3">
      <c r="A15" s="119"/>
      <c r="B15" s="120"/>
      <c r="C15" s="120"/>
      <c r="D15" s="121"/>
      <c r="E15" s="121"/>
      <c r="F15" s="121"/>
      <c r="G15" s="122"/>
      <c r="H15" s="4"/>
      <c r="I15" s="48"/>
    </row>
    <row r="16" spans="1:10" ht="18" customHeight="1" x14ac:dyDescent="0.25">
      <c r="A16" s="115" t="s">
        <v>473</v>
      </c>
      <c r="B16" s="125" t="s">
        <v>31</v>
      </c>
      <c r="C16" s="125"/>
      <c r="D16" s="194"/>
      <c r="E16" s="123" t="str">
        <f>IF(ISBLANK(D16),"",D16-D$14)</f>
        <v/>
      </c>
      <c r="F16" s="194"/>
      <c r="G16" s="124" t="str">
        <f>IF(ISBLANK(F16),"",F16-F$14)</f>
        <v/>
      </c>
      <c r="H16" s="177">
        <v>23</v>
      </c>
      <c r="I16" s="48"/>
    </row>
    <row r="17" spans="1:9" ht="5.0999999999999996" customHeight="1" x14ac:dyDescent="0.25">
      <c r="A17" s="110"/>
      <c r="B17" s="162"/>
      <c r="C17" s="162"/>
      <c r="D17" s="106"/>
      <c r="E17" s="171"/>
      <c r="F17" s="106"/>
      <c r="G17" s="172"/>
      <c r="H17" s="4"/>
      <c r="I17" s="48"/>
    </row>
    <row r="18" spans="1:9" ht="24.95" customHeight="1" x14ac:dyDescent="0.25">
      <c r="A18" s="629" t="str">
        <f>INDEX(List_Variances,$H16,2)</f>
        <v/>
      </c>
      <c r="B18" s="630"/>
      <c r="C18" s="630"/>
      <c r="D18" s="630"/>
      <c r="E18" s="630"/>
      <c r="F18" s="630"/>
      <c r="G18" s="631"/>
      <c r="H18" s="4"/>
      <c r="I18" s="48"/>
    </row>
    <row r="19" spans="1:9" ht="24.95" customHeight="1" thickBot="1" x14ac:dyDescent="0.3">
      <c r="A19" s="632"/>
      <c r="B19" s="633"/>
      <c r="C19" s="633"/>
      <c r="D19" s="633"/>
      <c r="E19" s="633"/>
      <c r="F19" s="633"/>
      <c r="G19" s="634"/>
      <c r="H19" s="4"/>
      <c r="I19" s="48"/>
    </row>
    <row r="20" spans="1:9" ht="18" customHeight="1" x14ac:dyDescent="0.25">
      <c r="A20" s="115" t="s">
        <v>474</v>
      </c>
      <c r="B20" s="125" t="s">
        <v>31</v>
      </c>
      <c r="C20" s="116"/>
      <c r="D20" s="194"/>
      <c r="E20" s="123" t="str">
        <f>IF(ISBLANK(D20),"",D20-D$14)</f>
        <v/>
      </c>
      <c r="F20" s="194"/>
      <c r="G20" s="124" t="str">
        <f>IF(ISBLANK(F20),"",F20-F$14)</f>
        <v/>
      </c>
      <c r="H20" s="177">
        <v>23</v>
      </c>
      <c r="I20" s="48"/>
    </row>
    <row r="21" spans="1:9" ht="24.75" customHeight="1" x14ac:dyDescent="0.25">
      <c r="A21" s="629" t="str">
        <f>INDEX(List_Variances,$H20,2)</f>
        <v/>
      </c>
      <c r="B21" s="630"/>
      <c r="C21" s="630"/>
      <c r="D21" s="630"/>
      <c r="E21" s="630"/>
      <c r="F21" s="630"/>
      <c r="G21" s="631"/>
      <c r="H21" s="4"/>
      <c r="I21" s="48"/>
    </row>
    <row r="22" spans="1:9" ht="24.75" customHeight="1" thickBot="1" x14ac:dyDescent="0.3">
      <c r="A22" s="632"/>
      <c r="B22" s="633"/>
      <c r="C22" s="633"/>
      <c r="D22" s="633"/>
      <c r="E22" s="633"/>
      <c r="F22" s="633"/>
      <c r="G22" s="634"/>
      <c r="H22" s="4"/>
      <c r="I22" s="48"/>
    </row>
    <row r="23" spans="1:9" ht="18" customHeight="1" x14ac:dyDescent="0.25">
      <c r="A23" s="115" t="s">
        <v>475</v>
      </c>
      <c r="B23" s="125" t="s">
        <v>31</v>
      </c>
      <c r="C23" s="116"/>
      <c r="D23" s="194"/>
      <c r="E23" s="123" t="str">
        <f>IF(ISBLANK(D23),"",D23-D$14)</f>
        <v/>
      </c>
      <c r="F23" s="194"/>
      <c r="G23" s="124" t="str">
        <f>IF(ISBLANK(F23),"",F23-F$14)</f>
        <v/>
      </c>
      <c r="H23" s="177">
        <v>23</v>
      </c>
      <c r="I23" s="48"/>
    </row>
    <row r="24" spans="1:9" ht="24.75" customHeight="1" x14ac:dyDescent="0.25">
      <c r="A24" s="629" t="str">
        <f>INDEX(List_Variances,$H23,2)</f>
        <v/>
      </c>
      <c r="B24" s="630"/>
      <c r="C24" s="630"/>
      <c r="D24" s="630"/>
      <c r="E24" s="630"/>
      <c r="F24" s="630"/>
      <c r="G24" s="631"/>
      <c r="H24" s="4"/>
      <c r="I24" s="48"/>
    </row>
    <row r="25" spans="1:9" ht="24.75" customHeight="1" thickBot="1" x14ac:dyDescent="0.3">
      <c r="A25" s="632"/>
      <c r="B25" s="633"/>
      <c r="C25" s="633"/>
      <c r="D25" s="633"/>
      <c r="E25" s="633"/>
      <c r="F25" s="633"/>
      <c r="G25" s="634"/>
      <c r="H25" s="4"/>
      <c r="I25" s="48"/>
    </row>
    <row r="26" spans="1:9" ht="18" customHeight="1" x14ac:dyDescent="0.25">
      <c r="A26" s="115" t="s">
        <v>476</v>
      </c>
      <c r="B26" s="125" t="s">
        <v>31</v>
      </c>
      <c r="C26" s="116"/>
      <c r="D26" s="194"/>
      <c r="E26" s="123" t="str">
        <f>IF(ISBLANK(D26),"",D26-D$14)</f>
        <v/>
      </c>
      <c r="F26" s="194"/>
      <c r="G26" s="124" t="str">
        <f>IF(ISBLANK(F26),"",F26-F$14)</f>
        <v/>
      </c>
      <c r="H26" s="177">
        <v>23</v>
      </c>
      <c r="I26" s="48"/>
    </row>
    <row r="27" spans="1:9" ht="24.75" customHeight="1" x14ac:dyDescent="0.25">
      <c r="A27" s="629" t="str">
        <f>INDEX(List_Variances,$H26,2)</f>
        <v/>
      </c>
      <c r="B27" s="630"/>
      <c r="C27" s="630"/>
      <c r="D27" s="630"/>
      <c r="E27" s="630"/>
      <c r="F27" s="630"/>
      <c r="G27" s="631"/>
      <c r="H27" s="4"/>
      <c r="I27" s="48"/>
    </row>
    <row r="28" spans="1:9" ht="24.75" customHeight="1" thickBot="1" x14ac:dyDescent="0.3">
      <c r="A28" s="632"/>
      <c r="B28" s="633"/>
      <c r="C28" s="633"/>
      <c r="D28" s="633"/>
      <c r="E28" s="633"/>
      <c r="F28" s="633"/>
      <c r="G28" s="634"/>
      <c r="H28" s="4"/>
      <c r="I28" s="48"/>
    </row>
    <row r="29" spans="1:9" ht="18" customHeight="1" x14ac:dyDescent="0.25">
      <c r="A29" s="115" t="s">
        <v>477</v>
      </c>
      <c r="B29" s="125" t="s">
        <v>31</v>
      </c>
      <c r="C29" s="116"/>
      <c r="D29" s="194"/>
      <c r="E29" s="123" t="str">
        <f>IF(ISBLANK(D29),"",D29-D$14)</f>
        <v/>
      </c>
      <c r="F29" s="194"/>
      <c r="G29" s="124" t="str">
        <f>IF(ISBLANK(F29),"",F29-F$14)</f>
        <v/>
      </c>
      <c r="H29" s="177">
        <v>23</v>
      </c>
      <c r="I29" s="48"/>
    </row>
    <row r="30" spans="1:9" ht="24.75" customHeight="1" x14ac:dyDescent="0.25">
      <c r="A30" s="629" t="str">
        <f>INDEX(List_Variances,$H29,2)</f>
        <v/>
      </c>
      <c r="B30" s="630"/>
      <c r="C30" s="630"/>
      <c r="D30" s="630"/>
      <c r="E30" s="630"/>
      <c r="F30" s="630"/>
      <c r="G30" s="631"/>
      <c r="H30" s="4"/>
      <c r="I30" s="48"/>
    </row>
    <row r="31" spans="1:9" ht="24.75" customHeight="1" thickBot="1" x14ac:dyDescent="0.3">
      <c r="A31" s="632"/>
      <c r="B31" s="633"/>
      <c r="C31" s="633"/>
      <c r="D31" s="633"/>
      <c r="E31" s="633"/>
      <c r="F31" s="633"/>
      <c r="G31" s="634"/>
      <c r="H31" s="4"/>
      <c r="I31" s="48"/>
    </row>
    <row r="32" spans="1:9" ht="18" customHeight="1" x14ac:dyDescent="0.25">
      <c r="A32" s="115" t="s">
        <v>478</v>
      </c>
      <c r="B32" s="125" t="s">
        <v>31</v>
      </c>
      <c r="C32" s="116"/>
      <c r="D32" s="194"/>
      <c r="E32" s="123" t="str">
        <f>IF(ISBLANK(D32),"",D32-D$14)</f>
        <v/>
      </c>
      <c r="F32" s="194"/>
      <c r="G32" s="124" t="str">
        <f>IF(ISBLANK(F32),"",F32-F$14)</f>
        <v/>
      </c>
      <c r="H32" s="177">
        <v>23</v>
      </c>
      <c r="I32" s="48"/>
    </row>
    <row r="33" spans="1:9" ht="24.75" customHeight="1" x14ac:dyDescent="0.25">
      <c r="A33" s="629" t="str">
        <f>INDEX(List_Variances,$H32,2)</f>
        <v/>
      </c>
      <c r="B33" s="630"/>
      <c r="C33" s="630"/>
      <c r="D33" s="630"/>
      <c r="E33" s="630"/>
      <c r="F33" s="630"/>
      <c r="G33" s="631"/>
      <c r="I33" s="48"/>
    </row>
    <row r="34" spans="1:9" ht="15.75" thickBot="1" x14ac:dyDescent="0.3">
      <c r="A34" s="632"/>
      <c r="B34" s="633"/>
      <c r="C34" s="633"/>
      <c r="D34" s="633"/>
      <c r="E34" s="633"/>
      <c r="F34" s="633"/>
      <c r="G34" s="634"/>
      <c r="I34" s="48"/>
    </row>
    <row r="35" spans="1:9" ht="18" customHeight="1" x14ac:dyDescent="0.25">
      <c r="A35" s="115" t="s">
        <v>479</v>
      </c>
      <c r="B35" s="125" t="s">
        <v>31</v>
      </c>
      <c r="C35" s="116"/>
      <c r="D35" s="194"/>
      <c r="E35" s="123" t="str">
        <f>IF(ISBLANK(D35),"",D35-D$14)</f>
        <v/>
      </c>
      <c r="F35" s="194"/>
      <c r="G35" s="124" t="str">
        <f>IF(ISBLANK(F35),"",F35-F$14)</f>
        <v/>
      </c>
      <c r="H35" s="177">
        <v>23</v>
      </c>
      <c r="I35" s="48"/>
    </row>
    <row r="36" spans="1:9" ht="24.75" customHeight="1" x14ac:dyDescent="0.25">
      <c r="A36" s="629" t="str">
        <f>INDEX(List_Variances,$H35,2)</f>
        <v/>
      </c>
      <c r="B36" s="630"/>
      <c r="C36" s="630"/>
      <c r="D36" s="630"/>
      <c r="E36" s="630"/>
      <c r="F36" s="630"/>
      <c r="G36" s="631"/>
      <c r="I36" s="48"/>
    </row>
    <row r="37" spans="1:9" ht="15.75" thickBot="1" x14ac:dyDescent="0.3">
      <c r="A37" s="632"/>
      <c r="B37" s="633"/>
      <c r="C37" s="633"/>
      <c r="D37" s="633"/>
      <c r="E37" s="633"/>
      <c r="F37" s="633"/>
      <c r="G37" s="634"/>
      <c r="I37" s="48"/>
    </row>
    <row r="38" spans="1:9" ht="18" customHeight="1" x14ac:dyDescent="0.25">
      <c r="A38" s="115" t="s">
        <v>480</v>
      </c>
      <c r="B38" s="125" t="s">
        <v>31</v>
      </c>
      <c r="C38" s="116"/>
      <c r="D38" s="194"/>
      <c r="E38" s="123" t="str">
        <f>IF(ISBLANK(D38),"",D38-D$14)</f>
        <v/>
      </c>
      <c r="F38" s="194"/>
      <c r="G38" s="124" t="str">
        <f>IF(ISBLANK(F38),"",F38-F$14)</f>
        <v/>
      </c>
      <c r="H38" s="177">
        <v>23</v>
      </c>
      <c r="I38" s="48"/>
    </row>
    <row r="39" spans="1:9" ht="24.75" customHeight="1" x14ac:dyDescent="0.25">
      <c r="A39" s="629" t="str">
        <f>INDEX(List_Variances,$H38,2)</f>
        <v/>
      </c>
      <c r="B39" s="630"/>
      <c r="C39" s="630"/>
      <c r="D39" s="630"/>
      <c r="E39" s="630"/>
      <c r="F39" s="630"/>
      <c r="G39" s="631"/>
      <c r="I39" s="48"/>
    </row>
    <row r="40" spans="1:9" ht="15.75" thickBot="1" x14ac:dyDescent="0.3">
      <c r="A40" s="632"/>
      <c r="B40" s="633"/>
      <c r="C40" s="633"/>
      <c r="D40" s="633"/>
      <c r="E40" s="633"/>
      <c r="F40" s="633"/>
      <c r="G40" s="634"/>
      <c r="I40" s="48"/>
    </row>
    <row r="41" spans="1:9" ht="18" customHeight="1" x14ac:dyDescent="0.25">
      <c r="A41" s="115" t="s">
        <v>481</v>
      </c>
      <c r="B41" s="125" t="s">
        <v>31</v>
      </c>
      <c r="C41" s="116"/>
      <c r="D41" s="194"/>
      <c r="E41" s="123" t="str">
        <f>IF(ISBLANK(D41),"",D41-D$14)</f>
        <v/>
      </c>
      <c r="F41" s="194"/>
      <c r="G41" s="124" t="str">
        <f>IF(ISBLANK(F41),"",F41-F$14)</f>
        <v/>
      </c>
      <c r="H41" s="177">
        <v>23</v>
      </c>
      <c r="I41" s="48"/>
    </row>
    <row r="42" spans="1:9" ht="24.75" customHeight="1" x14ac:dyDescent="0.25">
      <c r="A42" s="629" t="str">
        <f>INDEX(List_Variances,$H41,2)</f>
        <v/>
      </c>
      <c r="B42" s="630"/>
      <c r="C42" s="630"/>
      <c r="D42" s="630"/>
      <c r="E42" s="630"/>
      <c r="F42" s="630"/>
      <c r="G42" s="631"/>
      <c r="I42" s="48"/>
    </row>
    <row r="43" spans="1:9" ht="15.75" thickBot="1" x14ac:dyDescent="0.3">
      <c r="A43" s="632"/>
      <c r="B43" s="633"/>
      <c r="C43" s="633"/>
      <c r="D43" s="633"/>
      <c r="E43" s="633"/>
      <c r="F43" s="633"/>
      <c r="G43" s="634"/>
      <c r="I43" s="48"/>
    </row>
    <row r="44" spans="1:9" ht="18" customHeight="1" x14ac:dyDescent="0.25">
      <c r="A44" s="115" t="s">
        <v>482</v>
      </c>
      <c r="B44" s="125" t="s">
        <v>31</v>
      </c>
      <c r="C44" s="116"/>
      <c r="D44" s="194"/>
      <c r="E44" s="123" t="str">
        <f>IF(ISBLANK(D44),"",D44-D$14)</f>
        <v/>
      </c>
      <c r="F44" s="194"/>
      <c r="G44" s="124" t="str">
        <f>IF(ISBLANK(F44),"",F44-F$14)</f>
        <v/>
      </c>
      <c r="H44" s="177">
        <v>23</v>
      </c>
      <c r="I44" s="48"/>
    </row>
    <row r="45" spans="1:9" ht="24.75" customHeight="1" x14ac:dyDescent="0.25">
      <c r="A45" s="629" t="str">
        <f>INDEX(List_Variances,$H44,2)</f>
        <v/>
      </c>
      <c r="B45" s="630"/>
      <c r="C45" s="630"/>
      <c r="D45" s="630"/>
      <c r="E45" s="630"/>
      <c r="F45" s="630"/>
      <c r="G45" s="631"/>
      <c r="I45" s="48"/>
    </row>
    <row r="46" spans="1:9" ht="15.75" thickBot="1" x14ac:dyDescent="0.3">
      <c r="A46" s="632"/>
      <c r="B46" s="633"/>
      <c r="C46" s="633"/>
      <c r="D46" s="633"/>
      <c r="E46" s="633"/>
      <c r="F46" s="633"/>
      <c r="G46" s="634"/>
      <c r="I46" s="48"/>
    </row>
    <row r="47" spans="1:9" x14ac:dyDescent="0.25">
      <c r="A47" s="115" t="s">
        <v>483</v>
      </c>
      <c r="B47" s="125"/>
      <c r="C47" s="108"/>
      <c r="D47" s="194"/>
      <c r="E47" s="123" t="str">
        <f>IF(ISBLANK(D47),"",D47-D$14)</f>
        <v/>
      </c>
      <c r="F47" s="194"/>
      <c r="G47" s="124" t="str">
        <f>IF(ISBLANK(F47),"",F47-F$14)</f>
        <v/>
      </c>
      <c r="I47" s="48"/>
    </row>
    <row r="48" spans="1:9" ht="15.75" thickBot="1" x14ac:dyDescent="0.3">
      <c r="A48" s="183"/>
      <c r="B48" s="111"/>
      <c r="C48" s="111"/>
      <c r="D48" s="111"/>
      <c r="E48" s="111"/>
      <c r="F48" s="111"/>
      <c r="G48" s="112"/>
      <c r="I48" s="48"/>
    </row>
    <row r="49" spans="9:9" x14ac:dyDescent="0.25">
      <c r="I49" s="48"/>
    </row>
    <row r="50" spans="9:9" x14ac:dyDescent="0.25">
      <c r="I50" s="48"/>
    </row>
    <row r="51" spans="9:9" x14ac:dyDescent="0.25">
      <c r="I51" s="48"/>
    </row>
    <row r="52" spans="9:9" x14ac:dyDescent="0.25">
      <c r="I52" s="48"/>
    </row>
    <row r="53" spans="9:9" x14ac:dyDescent="0.25">
      <c r="I53" s="48"/>
    </row>
    <row r="54" spans="9:9" x14ac:dyDescent="0.25">
      <c r="I54" s="48"/>
    </row>
    <row r="55" spans="9:9" x14ac:dyDescent="0.25">
      <c r="I55" s="48"/>
    </row>
    <row r="56" spans="9:9" x14ac:dyDescent="0.25">
      <c r="I56" s="48"/>
    </row>
    <row r="57" spans="9:9" x14ac:dyDescent="0.25">
      <c r="I57" s="48"/>
    </row>
    <row r="58" spans="9:9" x14ac:dyDescent="0.25">
      <c r="I58" s="48"/>
    </row>
    <row r="59" spans="9:9" x14ac:dyDescent="0.25">
      <c r="I59" s="48"/>
    </row>
    <row r="60" spans="9:9" x14ac:dyDescent="0.25">
      <c r="I60" s="48"/>
    </row>
    <row r="61" spans="9:9" x14ac:dyDescent="0.25">
      <c r="I61" s="48"/>
    </row>
    <row r="62" spans="9:9" x14ac:dyDescent="0.25">
      <c r="I62" s="48"/>
    </row>
    <row r="63" spans="9:9" x14ac:dyDescent="0.25">
      <c r="I63" s="48"/>
    </row>
    <row r="64" spans="9:9" x14ac:dyDescent="0.25">
      <c r="I64" s="48"/>
    </row>
    <row r="65" spans="9:9" x14ac:dyDescent="0.25">
      <c r="I65" s="48"/>
    </row>
    <row r="66" spans="9:9" x14ac:dyDescent="0.25">
      <c r="I66" s="48"/>
    </row>
    <row r="67" spans="9:9" x14ac:dyDescent="0.25">
      <c r="I67" s="48"/>
    </row>
    <row r="68" spans="9:9" x14ac:dyDescent="0.25">
      <c r="I68" s="48"/>
    </row>
    <row r="69" spans="9:9" x14ac:dyDescent="0.25">
      <c r="I69" s="48"/>
    </row>
    <row r="70" spans="9:9" x14ac:dyDescent="0.25">
      <c r="I70" s="48"/>
    </row>
    <row r="71" spans="9:9" x14ac:dyDescent="0.25">
      <c r="I71" s="48"/>
    </row>
    <row r="72" spans="9:9" x14ac:dyDescent="0.25">
      <c r="I72" s="48"/>
    </row>
    <row r="73" spans="9:9" x14ac:dyDescent="0.25">
      <c r="I73" s="48"/>
    </row>
    <row r="74" spans="9:9" x14ac:dyDescent="0.25">
      <c r="I74" s="48"/>
    </row>
    <row r="75" spans="9:9" x14ac:dyDescent="0.25">
      <c r="I75" s="48"/>
    </row>
    <row r="76" spans="9:9" x14ac:dyDescent="0.25">
      <c r="I76" s="48"/>
    </row>
    <row r="77" spans="9:9" x14ac:dyDescent="0.25">
      <c r="I77" s="48"/>
    </row>
    <row r="78" spans="9:9" x14ac:dyDescent="0.25">
      <c r="I78" s="48"/>
    </row>
    <row r="79" spans="9:9" x14ac:dyDescent="0.25">
      <c r="I79" s="48"/>
    </row>
    <row r="80" spans="9:9" x14ac:dyDescent="0.25">
      <c r="I80" s="48"/>
    </row>
    <row r="81" spans="9:9" x14ac:dyDescent="0.25">
      <c r="I81" s="48"/>
    </row>
    <row r="82" spans="9:9" x14ac:dyDescent="0.25">
      <c r="I82" s="48"/>
    </row>
    <row r="83" spans="9:9" x14ac:dyDescent="0.25">
      <c r="I83" s="48"/>
    </row>
    <row r="84" spans="9:9" x14ac:dyDescent="0.25">
      <c r="I84" s="48"/>
    </row>
    <row r="85" spans="9:9" x14ac:dyDescent="0.25">
      <c r="I85" s="48"/>
    </row>
    <row r="86" spans="9:9" x14ac:dyDescent="0.25">
      <c r="I86" s="48"/>
    </row>
    <row r="87" spans="9:9" x14ac:dyDescent="0.25">
      <c r="I87" s="48"/>
    </row>
    <row r="88" spans="9:9" x14ac:dyDescent="0.25">
      <c r="I88" s="48"/>
    </row>
    <row r="89" spans="9:9" x14ac:dyDescent="0.25">
      <c r="I89" s="48"/>
    </row>
    <row r="90" spans="9:9" x14ac:dyDescent="0.25">
      <c r="I90" s="48"/>
    </row>
    <row r="91" spans="9:9" x14ac:dyDescent="0.25">
      <c r="I91" s="48"/>
    </row>
    <row r="92" spans="9:9" x14ac:dyDescent="0.25">
      <c r="I92" s="48"/>
    </row>
    <row r="93" spans="9:9" x14ac:dyDescent="0.25">
      <c r="I93" s="48"/>
    </row>
    <row r="94" spans="9:9" x14ac:dyDescent="0.25">
      <c r="I94" s="48"/>
    </row>
    <row r="95" spans="9:9" x14ac:dyDescent="0.25">
      <c r="I95" s="48"/>
    </row>
    <row r="96" spans="9:9" x14ac:dyDescent="0.25">
      <c r="I96" s="48"/>
    </row>
    <row r="97" spans="9:9" x14ac:dyDescent="0.25">
      <c r="I97" s="48"/>
    </row>
    <row r="98" spans="9:9" x14ac:dyDescent="0.25">
      <c r="I98" s="48"/>
    </row>
    <row r="99" spans="9:9" x14ac:dyDescent="0.25">
      <c r="I99" s="48"/>
    </row>
    <row r="100" spans="9:9" x14ac:dyDescent="0.25">
      <c r="I100" s="48"/>
    </row>
    <row r="101" spans="9:9" x14ac:dyDescent="0.25">
      <c r="I101" s="48"/>
    </row>
    <row r="102" spans="9:9" x14ac:dyDescent="0.25">
      <c r="I102" s="48"/>
    </row>
    <row r="103" spans="9:9" x14ac:dyDescent="0.25">
      <c r="I103" s="48"/>
    </row>
    <row r="104" spans="9:9" x14ac:dyDescent="0.25">
      <c r="I104" s="48"/>
    </row>
    <row r="105" spans="9:9" x14ac:dyDescent="0.25">
      <c r="I105" s="48"/>
    </row>
  </sheetData>
  <sheetProtection algorithmName="SHA-512" hashValue="KiR0e+8hIMSGVXvdUpMwiShiwtDzVgp6gkqmvmGMJpl1ACl+PC+6t19TCwVVCtpFAF836aFrM9s6w7eSgKtuXQ==" saltValue="4lsKiDz4xZXhpL0SHyBJEw=="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1</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7/HLa9PQiChkZy9fH+ID6/Y9AYqPymjVxIohkekSXpC5aXCDcgEgMGXNxdeRJ26riaHDSc/wYqfSKMZeGUhY6Q==" saltValue="S1VjO+iM0LP3L3fBaoxxr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0</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JkBDiuEjkVEOehSPe9jZ9Vm8iz5Bl4xIgjsoDkTkkeDZm8xibiOXgCYxjOt9xsQPN4YuOC6Y1C7werm4ms0jQ==" saltValue="QdjUxDjrI05UKHtqMkr1j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0</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DD+xwdeL5V5YnR+553ur5Mduie+njzgHdNJUyy7YTIUUWCbJ4+gmcKh5XHAe9iUSAIp+OavgwSfGUnfXSKINHg==" saltValue="VrZ6gikg+BpprfMw6g5z0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0</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mK6KGdP6D+4EhILBrcIaZ5mQ5KB+nss6Dox1081409FoOUogC0Q59yE8TcsekGfX/IeQftWrdOmM+K+I0L2l8A==" saltValue="Y4m+cLl3xjiAP7INB6oud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0</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04Wa2B0VvBqWmsOR/7cNiImra4sBIHIElph1Jccn6Irw4my7BxXpY+XCxRqoGxAFGbVt/i/AV+ICIraDhWysag==" saltValue="5n50SwlVUTxpGkibVv9KB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0</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mdJh4UUKjS6PxT27UcHOcGZgNJjvS3WoHMILAvUSBmbkEriG/CYEGBQvqL9SOyzjnksx4gQN1LcBpemBRN4piQ==" saltValue="tQwfxtiHTZhUpV1nRFyyM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0</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fOZR0XbeaIWTTLZRphgMbr5fInwH3F0z31UyRo/SAbBoF6Lhv19bi2Eg1dttZ6SHMLjKJjAgYgCvv/CtVEg3rA==" saltValue="cWmAqLa2pF5JDEeaiySi9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0</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eZmTPAkf3SGcmO0o+BE1e0KbhUQdQxdLWkHPCX+R1I4Cj5wRLzfLoRe1zQMnWQY6ZlCKZx74yLIdvbYoj46MWg==" saltValue="OkXAHIPALJBQr0N6eW5yR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0</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g1OG/CAE2oFBMMVLFTXcJ0ffYzlgq43kp+01OEOFKY3RLTye2yXh5Vak5whaoHqQZmeicKzvhBuezBl97wADBQ==" saltValue="+de6/nqUkTJKI2blL42M6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189</v>
      </c>
      <c r="J1" s="157" t="s">
        <v>190</v>
      </c>
      <c r="P1" s="442" t="str">
        <f>Co_Name</f>
        <v xml:space="preserve">State Farm Mutual Automobile Insurance Company </v>
      </c>
    </row>
    <row r="2" spans="1:16" ht="15.75" customHeight="1" x14ac:dyDescent="0.25">
      <c r="A2" s="10" t="s">
        <v>192</v>
      </c>
      <c r="J2" s="157" t="s">
        <v>193</v>
      </c>
      <c r="P2" s="442" t="str">
        <f>General_Line</f>
        <v>Auto Liability and Physical Damage</v>
      </c>
    </row>
    <row r="4" spans="1:16" ht="23.25" customHeight="1" x14ac:dyDescent="0.35">
      <c r="A4" s="443" t="s">
        <v>484</v>
      </c>
      <c r="B4" s="3"/>
      <c r="C4" s="3"/>
      <c r="D4" s="3"/>
      <c r="E4" s="3"/>
      <c r="F4" s="3"/>
      <c r="G4" s="3"/>
      <c r="H4" s="3"/>
      <c r="I4" s="3"/>
      <c r="J4" s="3"/>
      <c r="K4" s="3"/>
      <c r="L4" s="3"/>
      <c r="M4" s="3"/>
      <c r="N4" s="3"/>
      <c r="O4" s="3"/>
    </row>
    <row r="6" spans="1:16" ht="15.75" customHeight="1" x14ac:dyDescent="0.25">
      <c r="A6" s="1" t="s">
        <v>485</v>
      </c>
      <c r="E6" s="559"/>
      <c r="F6" s="560"/>
      <c r="G6" s="560"/>
      <c r="H6" s="560"/>
      <c r="I6" s="560"/>
      <c r="J6" s="561"/>
    </row>
    <row r="8" spans="1:16" ht="15.75" customHeight="1" x14ac:dyDescent="0.25">
      <c r="A8" s="1" t="s">
        <v>486</v>
      </c>
    </row>
    <row r="9" spans="1:16" ht="15.75" customHeight="1" x14ac:dyDescent="0.25">
      <c r="B9" s="68" t="b">
        <v>0</v>
      </c>
      <c r="C9" t="s">
        <v>487</v>
      </c>
      <c r="G9" s="68" t="b">
        <v>0</v>
      </c>
      <c r="H9" t="s">
        <v>488</v>
      </c>
    </row>
    <row r="11" spans="1:16" ht="15.75" customHeight="1" x14ac:dyDescent="0.25">
      <c r="A11" s="1" t="s">
        <v>489</v>
      </c>
    </row>
    <row r="12" spans="1:16" ht="15.75" customHeight="1" x14ac:dyDescent="0.25">
      <c r="B12" s="68" t="b">
        <v>0</v>
      </c>
      <c r="C12" t="s">
        <v>490</v>
      </c>
      <c r="G12" s="68" t="b">
        <v>0</v>
      </c>
      <c r="H12" t="s">
        <v>491</v>
      </c>
    </row>
    <row r="13" spans="1:16" ht="15.75" customHeight="1" x14ac:dyDescent="0.25">
      <c r="B13" s="68" t="b">
        <v>0</v>
      </c>
      <c r="C13" t="s">
        <v>492</v>
      </c>
      <c r="G13" s="68" t="b">
        <v>0</v>
      </c>
      <c r="H13" t="s">
        <v>493</v>
      </c>
      <c r="I13" s="559"/>
      <c r="J13" s="560"/>
      <c r="K13" s="561"/>
    </row>
    <row r="14" spans="1:16" ht="15.75" customHeight="1" x14ac:dyDescent="0.25">
      <c r="I14" s="49"/>
      <c r="J14" s="49"/>
      <c r="K14" s="49"/>
    </row>
    <row r="15" spans="1:16" ht="15.75" hidden="1" customHeight="1" x14ac:dyDescent="0.25">
      <c r="A15" s="1" t="s">
        <v>494</v>
      </c>
    </row>
    <row r="16" spans="1:16" ht="15.75" hidden="1" customHeight="1" x14ac:dyDescent="0.25">
      <c r="B16" s="68" t="b">
        <v>0</v>
      </c>
      <c r="C16" t="s">
        <v>121</v>
      </c>
      <c r="G16" s="68" t="b">
        <v>0</v>
      </c>
      <c r="H16" t="s">
        <v>93</v>
      </c>
      <c r="L16" s="68" t="b">
        <v>0</v>
      </c>
      <c r="M16" t="s">
        <v>495</v>
      </c>
    </row>
    <row r="17" spans="1:15" ht="15.75" hidden="1" customHeight="1" x14ac:dyDescent="0.25">
      <c r="B17" s="68" t="b">
        <v>0</v>
      </c>
      <c r="C17" t="s">
        <v>496</v>
      </c>
      <c r="G17" s="68" t="b">
        <v>0</v>
      </c>
      <c r="H17" t="s">
        <v>497</v>
      </c>
      <c r="L17" s="68" t="b">
        <v>0</v>
      </c>
      <c r="M17" t="s">
        <v>498</v>
      </c>
      <c r="N17" s="635"/>
      <c r="O17" s="635"/>
    </row>
    <row r="18" spans="1:15" ht="15.75" hidden="1" customHeight="1" x14ac:dyDescent="0.25">
      <c r="B18" s="68" t="b">
        <v>0</v>
      </c>
      <c r="C18" t="s">
        <v>493</v>
      </c>
      <c r="D18" s="559"/>
      <c r="E18" s="561"/>
      <c r="G18" s="68"/>
      <c r="L18" s="68"/>
      <c r="N18" s="558"/>
      <c r="O18" s="558"/>
    </row>
    <row r="19" spans="1:15" ht="15.75" hidden="1" customHeight="1" x14ac:dyDescent="0.25"/>
    <row r="20" spans="1:15" ht="15.75" hidden="1" customHeight="1" x14ac:dyDescent="0.25">
      <c r="A20" s="1" t="s">
        <v>494</v>
      </c>
    </row>
    <row r="21" spans="1:15" ht="15.75" hidden="1" customHeight="1" x14ac:dyDescent="0.25">
      <c r="B21" s="68" t="b">
        <v>0</v>
      </c>
      <c r="C21" t="s">
        <v>93</v>
      </c>
      <c r="G21" s="68" t="b">
        <v>0</v>
      </c>
      <c r="H21" t="s">
        <v>495</v>
      </c>
    </row>
    <row r="22" spans="1:15" ht="15.75" hidden="1" customHeight="1" x14ac:dyDescent="0.25">
      <c r="B22" s="68"/>
      <c r="G22" s="68"/>
    </row>
    <row r="23" spans="1:15" ht="15.75" hidden="1" customHeight="1" x14ac:dyDescent="0.25"/>
    <row r="24" spans="1:15" ht="15.75" hidden="1" customHeight="1" x14ac:dyDescent="0.25">
      <c r="A24" s="1" t="s">
        <v>499</v>
      </c>
    </row>
    <row r="25" spans="1:15" ht="15.75" hidden="1" customHeight="1" x14ac:dyDescent="0.25">
      <c r="B25" s="68" t="b">
        <v>0</v>
      </c>
      <c r="C25" t="s">
        <v>500</v>
      </c>
      <c r="G25" s="68" t="b">
        <v>0</v>
      </c>
      <c r="H25" t="s">
        <v>501</v>
      </c>
      <c r="L25" s="68" t="b">
        <v>0</v>
      </c>
      <c r="M25" t="s">
        <v>493</v>
      </c>
      <c r="N25" s="559"/>
      <c r="O25" s="561"/>
    </row>
    <row r="26" spans="1:15" ht="15.75" hidden="1" customHeight="1" x14ac:dyDescent="0.25">
      <c r="B26" s="68"/>
      <c r="G26" s="68"/>
      <c r="K26" s="49"/>
    </row>
    <row r="27" spans="1:15" ht="15.75" hidden="1" customHeight="1" x14ac:dyDescent="0.25"/>
    <row r="28" spans="1:15" ht="15.75" customHeight="1" x14ac:dyDescent="0.25">
      <c r="A28" s="211" t="s">
        <v>502</v>
      </c>
    </row>
    <row r="29" spans="1:15" ht="15.75" customHeight="1" x14ac:dyDescent="0.25">
      <c r="B29" s="68" t="b">
        <v>0</v>
      </c>
      <c r="C29" t="s">
        <v>503</v>
      </c>
      <c r="G29" s="68" t="b">
        <v>0</v>
      </c>
      <c r="H29" t="s">
        <v>504</v>
      </c>
      <c r="L29" s="68" t="b">
        <v>0</v>
      </c>
      <c r="M29" t="s">
        <v>505</v>
      </c>
      <c r="N29" s="559"/>
      <c r="O29" s="561"/>
    </row>
    <row r="30" spans="1:15" ht="15.75" customHeight="1" x14ac:dyDescent="0.25">
      <c r="B30" s="68"/>
      <c r="G30" s="68"/>
      <c r="L30" s="68"/>
      <c r="N30" s="558"/>
      <c r="O30" s="558"/>
    </row>
    <row r="31" spans="1:15" ht="15.75" customHeight="1" x14ac:dyDescent="0.25">
      <c r="A31" s="1" t="s">
        <v>506</v>
      </c>
      <c r="I31" s="1"/>
    </row>
    <row r="32" spans="1:15" ht="15.75" customHeight="1" x14ac:dyDescent="0.25">
      <c r="B32" s="68" t="b">
        <v>0</v>
      </c>
      <c r="C32" t="s">
        <v>507</v>
      </c>
      <c r="G32" s="68" t="b">
        <v>0</v>
      </c>
      <c r="H32" t="s">
        <v>508</v>
      </c>
      <c r="J32" s="68"/>
      <c r="L32" s="68" t="b">
        <v>0</v>
      </c>
      <c r="M32" t="s">
        <v>509</v>
      </c>
    </row>
    <row r="33" spans="1:16" ht="15.75" customHeight="1" x14ac:dyDescent="0.25">
      <c r="B33" s="68" t="b">
        <v>0</v>
      </c>
      <c r="C33" t="s">
        <v>510</v>
      </c>
      <c r="G33" s="68" t="b">
        <v>0</v>
      </c>
      <c r="H33" t="s">
        <v>511</v>
      </c>
      <c r="J33" s="68"/>
      <c r="L33" s="68" t="b">
        <v>0</v>
      </c>
      <c r="M33" t="s">
        <v>512</v>
      </c>
      <c r="O33" s="68"/>
    </row>
    <row r="34" spans="1:16" ht="15.75" customHeight="1" x14ac:dyDescent="0.25">
      <c r="B34" s="68" t="b">
        <v>0</v>
      </c>
      <c r="C34" t="s">
        <v>513</v>
      </c>
      <c r="G34" s="68" t="b">
        <v>0</v>
      </c>
      <c r="H34" s="68" t="s">
        <v>514</v>
      </c>
      <c r="I34" s="559"/>
      <c r="J34" s="561"/>
    </row>
    <row r="35" spans="1:16" ht="15.75" customHeight="1" x14ac:dyDescent="0.25">
      <c r="B35" s="68"/>
      <c r="C35" s="551"/>
      <c r="E35" s="68"/>
      <c r="J35" s="68"/>
      <c r="K35" s="551"/>
    </row>
    <row r="37" spans="1:16" ht="15.75" customHeight="1" x14ac:dyDescent="0.25">
      <c r="A37" s="1" t="s">
        <v>515</v>
      </c>
    </row>
    <row r="38" spans="1:16" ht="15.75" customHeight="1" x14ac:dyDescent="0.25">
      <c r="B38" s="68" t="b">
        <v>0</v>
      </c>
      <c r="C38" t="s">
        <v>516</v>
      </c>
      <c r="G38" s="68" t="b">
        <v>0</v>
      </c>
      <c r="H38" s="636" t="s">
        <v>517</v>
      </c>
      <c r="I38" s="636"/>
      <c r="J38" s="636"/>
      <c r="L38" s="68" t="b">
        <v>0</v>
      </c>
      <c r="M38" s="48" t="s">
        <v>518</v>
      </c>
      <c r="N38" s="48"/>
      <c r="O38" s="48"/>
      <c r="P38" s="48"/>
    </row>
    <row r="39" spans="1:16" ht="15.75" customHeight="1" x14ac:dyDescent="0.25">
      <c r="B39" s="68" t="b">
        <v>0</v>
      </c>
      <c r="C39" s="636" t="s">
        <v>519</v>
      </c>
      <c r="D39" s="636"/>
      <c r="E39" s="636"/>
      <c r="G39" s="68" t="b">
        <v>0</v>
      </c>
      <c r="L39" s="68"/>
      <c r="M39" s="48"/>
      <c r="N39" s="48"/>
      <c r="O39" s="48"/>
      <c r="P39" s="48"/>
    </row>
    <row r="40" spans="1:16" ht="15.75" hidden="1" customHeight="1" x14ac:dyDescent="0.25">
      <c r="I40" s="49"/>
      <c r="K40" s="442" t="s">
        <v>520</v>
      </c>
      <c r="L40" s="49"/>
      <c r="M40" s="559"/>
      <c r="N40" s="561"/>
    </row>
    <row r="41" spans="1:16" ht="15.75" hidden="1" customHeight="1" x14ac:dyDescent="0.25">
      <c r="I41" s="49"/>
      <c r="K41" s="442" t="s">
        <v>521</v>
      </c>
      <c r="L41" s="49"/>
      <c r="M41" s="559"/>
      <c r="N41" s="561"/>
    </row>
    <row r="42" spans="1:16" ht="15.75" customHeight="1" x14ac:dyDescent="0.25">
      <c r="I42" s="49"/>
      <c r="K42" s="49"/>
      <c r="L42" s="49"/>
      <c r="M42" s="49"/>
    </row>
    <row r="43" spans="1:16" ht="15.75" customHeight="1" x14ac:dyDescent="0.25">
      <c r="A43" s="1" t="s">
        <v>522</v>
      </c>
      <c r="N43" s="49"/>
    </row>
    <row r="44" spans="1:16" ht="15.75" customHeight="1" x14ac:dyDescent="0.25">
      <c r="B44" s="68" t="b">
        <v>0</v>
      </c>
      <c r="C44" t="s">
        <v>523</v>
      </c>
      <c r="G44" s="68" t="b">
        <v>0</v>
      </c>
      <c r="H44" t="s">
        <v>524</v>
      </c>
      <c r="K44" s="442" t="str">
        <f>IF(G44=TRUE,"Name of Outside Firm:","")</f>
        <v/>
      </c>
      <c r="M44" s="559"/>
      <c r="N44" s="560"/>
      <c r="O44" s="561"/>
    </row>
    <row r="45" spans="1:16" ht="15.75" customHeight="1" x14ac:dyDescent="0.25">
      <c r="N45" s="49"/>
    </row>
    <row r="47" spans="1:16" ht="15.75" customHeight="1" x14ac:dyDescent="0.25">
      <c r="A47" s="48"/>
      <c r="B47" s="48"/>
      <c r="C47" s="48"/>
      <c r="D47" s="48"/>
      <c r="E47" s="48"/>
      <c r="H47" s="444" t="s">
        <v>525</v>
      </c>
      <c r="I47" s="445" t="e">
        <f>'4.Proposed Impact'!D6</f>
        <v>#DIV/0!</v>
      </c>
    </row>
    <row r="48" spans="1:16" ht="15.75" customHeight="1" x14ac:dyDescent="0.25">
      <c r="H48" s="444" t="s">
        <v>526</v>
      </c>
      <c r="I48" s="544"/>
    </row>
  </sheetData>
  <sheetProtection algorithmName="SHA-512" hashValue="7bXp3ag61CjFgkDHppEileMefTNwgo4Qa4IzE9ONqIfE2JcFFjyI+GqrnIW9GLRcsBGknT8pI28wouuVqcTUcQ==" saltValue="DHNj1IglLfxgOrzcqRdZY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f49becf8-975c-4136-8c45-9c981de0ddce" ContentTypeId="0x01" PreviousValue="tru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RetentionPolicyTaxHTField0 xmlns="d82dafc8-7759-4c5f-b9d7-587e9d95311d">
      <Terms xmlns="http://schemas.microsoft.com/office/infopath/2007/PartnerControls">
        <TermInfo xmlns="http://schemas.microsoft.com/office/infopath/2007/PartnerControls">
          <TermName xmlns="http://schemas.microsoft.com/office/infopath/2007/PartnerControls">PCAct 025 Yrs - Pricing And Resources (03121)</TermName>
          <TermId xmlns="http://schemas.microsoft.com/office/infopath/2007/PartnerControls">175f3641-067f-4e5a-a726-7cce26b49583</TermId>
        </TermInfo>
      </Terms>
    </RetentionPolicyTaxHTField0>
    <TaxCatchAll xmlns="d82dafc8-7759-4c5f-b9d7-587e9d95311d">
      <Value>3</Value>
    </TaxCatchAll>
    <_dlc_ExpireDate xmlns="http://schemas.microsoft.com/sharepoint/v3">2062-04-14T14:59:06+00:00</_dlc_ExpireDate>
    <_dlc_ExpireDateSaved xmlns="http://schemas.microsoft.com/sharepoint/v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40D8F9DE46E46841B11472495B2F36C0" ma:contentTypeVersion="25" ma:contentTypeDescription="Create a new document." ma:contentTypeScope="" ma:versionID="0f55b70421b91192fb29511dbc3363f1">
  <xsd:schema xmlns:xsd="http://www.w3.org/2001/XMLSchema" xmlns:xs="http://www.w3.org/2001/XMLSchema" xmlns:p="http://schemas.microsoft.com/office/2006/metadata/properties" xmlns:ns1="http://schemas.microsoft.com/sharepoint/v3" xmlns:ns2="d82dafc8-7759-4c5f-b9d7-587e9d95311d" xmlns:ns3="27db541c-14ac-4ce2-a582-f4133412e82c" targetNamespace="http://schemas.microsoft.com/office/2006/metadata/properties" ma:root="true" ma:fieldsID="d3808aae6c9f12a3d53544eaf92911e4" ns1:_="" ns2:_="" ns3:_="">
    <xsd:import namespace="http://schemas.microsoft.com/sharepoint/v3"/>
    <xsd:import namespace="d82dafc8-7759-4c5f-b9d7-587e9d95311d"/>
    <xsd:import namespace="27db541c-14ac-4ce2-a582-f4133412e82c"/>
    <xsd:element name="properties">
      <xsd:complexType>
        <xsd:sequence>
          <xsd:element name="documentManagement">
            <xsd:complexType>
              <xsd:all>
                <xsd:element ref="ns2:RetentionPolicyTaxHTField0" minOccurs="0"/>
                <xsd:element ref="ns2:TaxCatchAll" minOccurs="0"/>
                <xsd:element ref="ns2:TaxCatchAllLabel" minOccurs="0"/>
                <xsd:element ref="ns1:_dlc_ExpireDateSaved" minOccurs="0"/>
                <xsd:element ref="ns1:_dlc_ExpireDate" minOccurs="0"/>
                <xsd:element ref="ns1:_dlc_Exempt"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pireDateSaved" ma:index="12" nillable="true" ma:displayName="Original Expiration Date" ma:hidden="true" ma:internalName="_dlc_ExpireDateSaved" ma:readOnly="true">
      <xsd:simpleType>
        <xsd:restriction base="dms:DateTime"/>
      </xsd:simpleType>
    </xsd:element>
    <xsd:element name="_dlc_ExpireDate" ma:index="13" nillable="true" ma:displayName="Expiration Date" ma:description="" ma:hidden="true" ma:indexed="true" ma:internalName="_dlc_ExpireDate" ma:readOnly="true">
      <xsd:simpleType>
        <xsd:restriction base="dms:DateTime"/>
      </xsd:simpleType>
    </xsd:element>
    <xsd:element name="_dlc_Exempt" ma:index="14"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2dafc8-7759-4c5f-b9d7-587e9d95311d" elementFormDefault="qualified">
    <xsd:import namespace="http://schemas.microsoft.com/office/2006/documentManagement/types"/>
    <xsd:import namespace="http://schemas.microsoft.com/office/infopath/2007/PartnerControls"/>
    <xsd:element name="RetentionPolicyTaxHTField0" ma:index="8" ma:taxonomy="true" ma:internalName="RetentionPolicyTaxHTField0" ma:taxonomyFieldName="RetentionPolicy" ma:displayName="Retention Policy" ma:readOnly="false" ma:default="1;#15 Months - Non-Business Value|3c1b8d8e-5e29-4b13-8c88-3eb754169b7c" ma:fieldId="{a85ce434-e3a0-4261-8c80-459805f4c25d}" ma:sspId="f49becf8-975c-4136-8c45-9c981de0ddce" ma:termSetId="8a8c2fae-82e2-4ac9-a848-67ec723eb7f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815b9073-5c11-4fbf-89f9-5b4ba48f4b5e}" ma:internalName="TaxCatchAll" ma:showField="CatchAllData" ma:web="dcef8651-477f-4ea7-809d-4ed381726cd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815b9073-5c11-4fbf-89f9-5b4ba48f4b5e}" ma:internalName="TaxCatchAllLabel" ma:readOnly="true" ma:showField="CatchAllDataLabel" ma:web="dcef8651-477f-4ea7-809d-4ed381726cd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7db541c-14ac-4ce2-a582-f4133412e82c" elementFormDefault="qualified">
    <xsd:import namespace="http://schemas.microsoft.com/office/2006/documentManagement/types"/>
    <xsd:import namespace="http://schemas.microsoft.com/office/infopath/2007/PartnerControls"/>
    <xsd:element name="SharedWithUsers" ma:index="15"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5F6F509-2037-4515-B995-9BDE825FF501}"/>
</file>

<file path=customXml/itemProps2.xml><?xml version="1.0" encoding="utf-8"?>
<ds:datastoreItem xmlns:ds="http://schemas.openxmlformats.org/officeDocument/2006/customXml" ds:itemID="{EF00F1BB-B877-475F-A1E9-966F4B2565E5}"/>
</file>

<file path=customXml/itemProps3.xml><?xml version="1.0" encoding="utf-8"?>
<ds:datastoreItem xmlns:ds="http://schemas.openxmlformats.org/officeDocument/2006/customXml" ds:itemID="{7E26796A-1665-42C3-83AD-8B8DF9ED1644}"/>
</file>

<file path=customXml/itemProps4.xml><?xml version="1.0" encoding="utf-8"?>
<ds:datastoreItem xmlns:ds="http://schemas.openxmlformats.org/officeDocument/2006/customXml" ds:itemID="{A0D39970-7FBC-457D-9AFA-B5E8ECD4A3F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139</vt:i4>
      </vt:variant>
    </vt:vector>
  </HeadingPairs>
  <TitlesOfParts>
    <vt:vector size="159"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Manager/>
  <Company>California Department of Insurance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WehmuellerL</dc:creator>
  <cp:keywords/>
  <dc:description/>
  <cp:lastModifiedBy>Brandi Vance</cp:lastModifiedBy>
  <cp:revision/>
  <dcterms:created xsi:type="dcterms:W3CDTF">2014-04-24T17:59:28Z</dcterms:created>
  <dcterms:modified xsi:type="dcterms:W3CDTF">2023-04-14T14:58:34Z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2023-02-02T21:06:48Z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2bf09822-297f-4dc0-9bed-a1cc36dad61b</vt:lpwstr>
  </property>
  <property fmtid="{D5CDD505-2E9C-101B-9397-08002B2CF9AE}" pid="8" name="MSIP_Label_261ecbe3-7ba9-4124-b9d7-ffd820687beb_ContentBits">
    <vt:lpwstr>0</vt:lpwstr>
  </property>
  <property fmtid="{D5CDD505-2E9C-101B-9397-08002B2CF9AE}" pid="9" name="RetentionPolicy">
    <vt:lpwstr>3;#PCAct 025 Yrs - Pricing And Resources (03121)|175f3641-067f-4e5a-a726-7cce26b49583</vt:lpwstr>
  </property>
  <property fmtid="{D5CDD505-2E9C-101B-9397-08002B2CF9AE}" pid="10" name="_dlc_policyId">
    <vt:lpwstr>/sites/wss000108/polfrms/Auto Policy Forms/Auto State Projects</vt:lpwstr>
  </property>
  <property fmtid="{D5CDD505-2E9C-101B-9397-08002B2CF9AE}" pid="11" name="ContentTypeId">
    <vt:lpwstr>0x01010040D8F9DE46E46841B11472495B2F36C0</vt:lpwstr>
  </property>
  <property fmtid="{D5CDD505-2E9C-101B-9397-08002B2CF9AE}" pid="12" name="ItemRetentionFormula">
    <vt:lpwstr>&lt;formula id="StateFarm.CustomFormula.Policy" /&gt;</vt:lpwstr>
  </property>
</Properties>
</file>