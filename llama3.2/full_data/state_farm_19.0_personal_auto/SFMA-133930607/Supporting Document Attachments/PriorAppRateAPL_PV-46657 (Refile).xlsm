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9.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0.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12.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drawings/drawing13.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drawings/drawing14.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drawings/drawing15.xml" ContentType="application/vnd.openxmlformats-officedocument.drawing+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drawings/drawing16.xml" ContentType="application/vnd.openxmlformats-officedocument.drawing+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drawings/drawing17.xml" ContentType="application/vnd.openxmlformats-officedocument.drawing+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drawings/drawing18.xml" ContentType="application/vnd.openxmlformats-officedocument.drawing+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drawings/drawing19.xml" ContentType="application/vnd.openxmlformats-officedocument.drawing+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https://collab.sfcollab.org/sites/wss000108/polfrms/Auto Policy Forms/Auto State Projects/California/6125A CA Legacy (2023)/Filing/PV-46657 (REFILE)/Objection 12.29.23/"/>
    </mc:Choice>
  </mc:AlternateContent>
  <xr:revisionPtr revIDLastSave="0" documentId="13_ncr:1_{B2E3585D-54FC-487F-8A0E-82CFB861A90C}" xr6:coauthVersionLast="47" xr6:coauthVersionMax="47" xr10:uidLastSave="{00000000-0000-0000-0000-000000000000}"/>
  <bookViews>
    <workbookView xWindow="5040" yWindow="2790" windowWidth="23505" windowHeight="1269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state="veryHidden" r:id="rId15"/>
    <sheet name="12.2Model Disclosure" sheetId="45" state="veryHidden"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externalReferences>
    <externalReference r:id="rId25"/>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Checklist'!$A$1:$G$65</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<sst xmlns="http://schemas.openxmlformats.org/spreadsheetml/2006/main" count="1670" uniqueCount="545">
  <si>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</si>
  <si>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</si>
  <si>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</si>
  <si>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</si>
  <si>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</si>
  <si>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</si>
  <si>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</si>
  <si>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</si>
  <si>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</si>
  <si>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</si>
  <si>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</si>
  <si>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</si>
  <si>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</si>
  <si>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</si>
  <si>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</si>
  <si>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</si>
  <si>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</si>
  <si>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</si>
  <si>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</si>
  <si>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</si>
  <si>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</si>
  <si>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</si>
  <si>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</si>
  <si>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</si>
  <si>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</si>
  <si>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</si>
  <si>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</si>
  <si>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</si>
  <si>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</si>
  <si>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</si>
  <si>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</si>
  <si>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</si>
  <si>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</si>
  <si>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</si>
  <si>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</si>
  <si>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</si>
  <si>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</si>
  <si>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</si>
  <si>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</si>
  <si>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</si>
  <si>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</si>
  <si>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</si>
  <si>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</si>
  <si>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</si>
  <si>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</si>
  <si>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</si>
  <si>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</si>
  <si>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</si>
  <si>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</si>
  <si>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</si>
  <si>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</si>
  <si>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</si>
  <si>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</si>
  <si>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</si>
  <si>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</si>
  <si>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</si>
  <si>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</si>
  <si>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</si>
  <si>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</si>
  <si>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</si>
  <si>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</si>
  <si>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</si>
  <si>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</si>
  <si>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</si>
  <si>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</si>
  <si>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</si>
  <si>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</si>
  <si>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</si>
  <si>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</si>
  <si>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</si>
  <si>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</si>
  <si>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</si>
  <si>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</si>
  <si>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</si>
  <si>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</si>
  <si>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</si>
  <si>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</si>
  <si>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</si>
  <si>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</si>
  <si>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</si>
  <si>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</si>
  <si>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</si>
  <si>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</si>
  <si>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</si>
  <si>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</si>
  <si>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</si>
  <si>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</si>
  <si>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</si>
  <si>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</si>
  <si>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</si>
  <si>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</si>
  <si>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</si>
  <si>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</si>
  <si>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</si>
  <si>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</si>
  <si>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</si>
  <si>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</si>
  <si>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</si>
  <si>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</si>
  <si>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</si>
  <si>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</si>
  <si>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</si>
  <si>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</si>
  <si>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</si>
  <si>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</si>
  <si>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</si>
  <si>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</si>
  <si>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</si>
  <si>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</si>
  <si>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</si>
  <si>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</si>
  <si>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</si>
  <si>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</si>
  <si>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</si>
  <si>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</si>
  <si>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</si>
  <si>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</si>
  <si>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</si>
  <si>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</si>
  <si>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</si>
  <si>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</si>
  <si>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</si>
  <si>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</si>
  <si>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</si>
  <si>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</si>
  <si>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</si>
  <si>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</si>
  <si>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</si>
  <si>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</si>
  <si>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</si>
  <si>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</si>
  <si>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</si>
  <si>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</si>
  <si>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</si>
  <si>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</si>
  <si>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</si>
  <si>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</si>
  <si>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</si>
  <si>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</si>
  <si>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</si>
  <si>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</si>
  <si>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</si>
  <si>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</si>
  <si>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</si>
  <si>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</si>
  <si>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</si>
  <si>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</si>
  <si>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</si>
  <si>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</si>
  <si>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</si>
  <si>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</si>
  <si>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</si>
  <si>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</si>
  <si>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</si>
  <si>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</si>
  <si>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</si>
  <si>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</si>
  <si>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</si>
  <si>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</si>
  <si>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</si>
  <si>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</si>
  <si>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</si>
  <si>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</si>
  <si>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</si>
  <si>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</si>
  <si>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</si>
  <si>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</si>
  <si>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</si>
  <si>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</si>
  <si>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</si>
  <si>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</si>
  <si>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</si>
  <si>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</si>
  <si>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</si>
  <si>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</si>
  <si>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</si>
  <si>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</si>
  <si>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</si>
  <si>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</si>
  <si>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</si>
  <si>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</si>
  <si>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</si>
  <si>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</si>
  <si>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</si>
  <si>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</si>
  <si>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</si>
  <si>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</si>
  <si>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</si>
  <si>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</si>
  <si>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</si>
  <si>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</si>
  <si>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</si>
  <si>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</si>
  <si>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</si>
  <si>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</si>
  <si>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</si>
  <si>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</si>
  <si>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</si>
  <si>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</si>
  <si>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</si>
  <si>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</si>
  <si>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</si>
  <si>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</si>
  <si>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</si>
  <si>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</si>
  <si>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</si>
  <si>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</si>
  <si>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</si>
  <si>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</si>
  <si>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</si>
  <si>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</si>
  <si>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</si>
  <si>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</si>
  <si>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</si>
  <si>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</si>
  <si>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</si>
  <si>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</si>
  <si>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</si>
  <si>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</si>
  <si>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</si>
  <si>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</si>
  <si>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</si>
  <si>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</si>
  <si>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</si>
  <si>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</si>
  <si>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</si>
  <si>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</si>
  <si>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</si>
  <si>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</si>
  <si>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</si>
  <si>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</si>
  <si>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</si>
  <si>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</si>
  <si>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</si>
  <si>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</si>
  <si>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</si>
  <si>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</si>
  <si>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</si>
  <si>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</si>
  <si>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</si>
  <si>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</si>
  <si>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</si>
  <si>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</si>
  <si>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</si>
  <si>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</si>
  <si>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</si>
  <si>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</si>
  <si>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</si>
  <si>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</si>
  <si>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</si>
  <si>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</si>
  <si>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</si>
  <si>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</si>
  <si>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</si>
  <si>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</si>
  <si>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</si>
  <si>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</si>
  <si>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</si>
  <si>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</si>
  <si>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</si>
  <si>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</si>
  <si>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</si>
  <si>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</si>
  <si>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</si>
  <si>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</si>
  <si>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</si>
  <si>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</si>
  <si>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</si>
  <si>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</si>
  <si>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</si>
  <si>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</si>
  <si>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</si>
  <si>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</si>
  <si>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</si>
  <si>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</si>
  <si>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</si>
  <si>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</si>
  <si>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</si>
  <si>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</si>
  <si>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</si>
  <si>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</si>
  <si>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</si>
  <si>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</si>
  <si>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</si>
  <si>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</si>
  <si>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</si>
  <si>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</si>
  <si>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</si>
  <si>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</si>
  <si>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</si>
  <si>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</si>
  <si>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</si>
  <si>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</si>
  <si>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</si>
  <si>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</si>
  <si>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</si>
  <si>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</si>
  <si>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</si>
  <si>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</si>
  <si>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</si>
  <si>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</si>
  <si>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</si>
  <si>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</si>
  <si>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</si>
  <si>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</si>
  <si>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</si>
  <si>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</si>
  <si>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</si>
  <si>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</si>
  <si>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</si>
  <si>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</si>
  <si>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</si>
  <si>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</si>
  <si>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</si>
  <si>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</si>
  <si>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</si>
  <si>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</si>
  <si>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</si>
  <si>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</si>
  <si>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</si>
  <si>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</si>
  <si>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</si>
  <si>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</si>
  <si>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</si>
  <si>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</si>
  <si>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</si>
  <si>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</si>
  <si>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</si>
  <si>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</si>
  <si>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</si>
  <si>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</si>
  <si>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</si>
  <si>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</si>
  <si>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</si>
  <si>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</si>
  <si>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</si>
  <si>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</si>
  <si>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</si>
  <si>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</si>
  <si>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</si>
  <si>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</si>
  <si>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</si>
  <si>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</si>
  <si>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</si>
  <si>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</si>
  <si>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</si>
  <si>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</si>
  <si>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</si>
  <si>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</si>
  <si>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</si>
  <si>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</si>
  <si>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</si>
  <si>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</si>
  <si>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</si>
  <si>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</si>
  <si>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</si>
  <si>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</si>
  <si>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</si>
  <si>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</si>
  <si>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</si>
  <si>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</si>
  <si>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</si>
  <si>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</si>
  <si>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</si>
  <si>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</si>
  <si>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</si>
  <si>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</si>
  <si>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</si>
  <si>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</si>
  <si>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</si>
  <si>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</si>
  <si>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</si>
  <si>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</si>
  <si>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</si>
  <si>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</si>
  <si>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</si>
  <si>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</si>
  <si>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</si>
  <si>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</si>
  <si>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</si>
  <si>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</si>
  <si>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</si>
  <si>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</si>
  <si>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</si>
  <si>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</si>
  <si>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</si>
  <si>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</si>
  <si>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</si>
  <si>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</si>
  <si>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</si>
  <si>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</si>
  <si>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</si>
  <si>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</si>
  <si>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</si>
  <si>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</si>
  <si>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</si>
  <si>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</si>
  <si>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</si>
  <si>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</si>
  <si>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</si>
  <si>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</si>
  <si>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</si>
  <si>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</si>
  <si>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</si>
  <si>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</si>
  <si>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</si>
  <si>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</si>
  <si>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</si>
  <si>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</si>
  <si>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</si>
  <si>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</si>
  <si>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</si>
  <si>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</si>
  <si>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</si>
  <si>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</si>
  <si>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</si>
  <si>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</si>
  <si>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</si>
  <si>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</si>
  <si>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</si>
  <si>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</si>
  <si>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</si>
  <si>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</si>
  <si>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</si>
  <si>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</si>
  <si>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</si>
  <si>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</si>
  <si>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</si>
  <si>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</si>
  <si>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</si>
  <si>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</si>
  <si>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</si>
  <si>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</si>
  <si>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</si>
  <si>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</si>
  <si>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</si>
  <si>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</si>
  <si>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</si>
  <si>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</si>
  <si>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</si>
  <si>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</si>
  <si>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</si>
  <si>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</si>
  <si>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</si>
  <si>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</si>
  <si>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</si>
  <si>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</si>
  <si>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</si>
  <si>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</si>
  <si>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</si>
  <si>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</si>
  <si>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</si>
  <si>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</si>
  <si>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</si>
  <si>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</si>
  <si>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</si>
  <si>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</si>
  <si>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</si>
  <si>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</si>
  <si>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</si>
  <si>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</si>
  <si>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</si>
  <si>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</si>
  <si>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</si>
  <si>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</si>
  <si>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</si>
  <si>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</si>
  <si>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</si>
  <si>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</si>
  <si>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</si>
  <si>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</si>
  <si>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</si>
  <si>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</si>
  <si>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</si>
  <si>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</si>
  <si>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</si>
  <si>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</si>
  <si>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</si>
  <si>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</si>
  <si>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</si>
  <si>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</si>
  <si>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</si>
  <si>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</si>
  <si>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</si>
  <si>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</si>
  <si>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</si>
  <si>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</si>
  <si>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</si>
  <si>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</si>
  <si>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</si>
  <si>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</si>
  <si>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</si>
  <si>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</si>
  <si>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</si>
  <si>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</si>
  <si>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</si>
  <si>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</si>
  <si>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</si>
  <si>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</si>
  <si>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</si>
  <si>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</si>
  <si>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</si>
  <si>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</si>
  <si>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</si>
  <si>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</si>
  <si>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</si>
  <si>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</si>
  <si>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</si>
  <si>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</si>
  <si>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</si>
  <si>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</si>
  <si>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</si>
  <si>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</si>
  <si>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</si>
  <si>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</si>
  <si>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</si>
  <si>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</si>
  <si>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</si>
  <si>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</si>
  <si>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</si>
  <si>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</si>
  <si>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</si>
  <si>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</si>
  <si>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</si>
  <si>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</si>
  <si>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</si>
  <si>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6125A</t>
  </si>
  <si>
    <t>Amendatory Endorsement</t>
  </si>
  <si>
    <t>There is no rating impact.</t>
  </si>
  <si>
    <t>None.</t>
  </si>
  <si>
    <t xml:space="preserve">This endorsement does not significantly restrict or broaden coverage and has no material impact on the amount of coverage provided. </t>
  </si>
  <si>
    <t>State Farm Mutual Automobile Insurance Company</t>
  </si>
  <si>
    <t>Illinois</t>
  </si>
  <si>
    <t>One State Farm Plaza, Bloomington, IL 61710</t>
  </si>
  <si>
    <t>N/A</t>
  </si>
  <si>
    <t>kevin.nicklas.cbnv@statefarm.com</t>
  </si>
  <si>
    <t>One State Farm Plaza, D-4; Bloomington, IL 61710</t>
  </si>
  <si>
    <t>Allison Jeffers</t>
  </si>
  <si>
    <t>Pends</t>
  </si>
  <si>
    <t>Personal Auto</t>
  </si>
  <si>
    <t xml:space="preserve">PV-46657 (Refile) </t>
  </si>
  <si>
    <t>Kevin Nicklas, Assistant Secretary-Treasurer</t>
  </si>
  <si>
    <t>v0vE0iSu</t>
  </si>
  <si>
    <t>23-890</t>
  </si>
  <si>
    <t xml:space="preserve">The new 6125A Amendatory Endorsement attaches to all California 9805B Car Policies renewing on or after 8/15/24 or new business written as of 8/15/24. It waives the deductible for windshield glass repair under Physical Damage Coverages. Language has been added for reasonable repair costs and labor rates.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</si>
</sst>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checked="Checked"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fmlaLink="No_Fees"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fmlaLink="Change_Fees" lockText="1"/>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fmlaLink="$E$12"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Drop" dropLines="23" dropStyle="combo" dx="16" fmlaLink="$H$23" fmlaRange="References!$H$6:$H$28" sel="23" val="0"/>
</file>

<file path=xl/ctrlProps/ctrlProp96.xml><?xml version="1.0" encoding="utf-8"?>
<formControlPr xmlns="http://schemas.microsoft.com/office/spreadsheetml/2009/9/main" objectType="Drop" dropLines="23" dropStyle="combo" dx="16" fmlaLink="$H$26" fmlaRange="References!$H$6:$H$28" sel="23" val="0"/>
</file>

<file path=xl/ctrlProps/ctrlProp97.xml><?xml version="1.0" encoding="utf-8"?>
<formControlPr xmlns="http://schemas.microsoft.com/office/spreadsheetml/2009/9/main" objectType="Drop" dropLines="23" dropStyle="combo" dx="16" fmlaLink="$H$29" fmlaRange="References!$H$6:$H$28" sel="23" val="0"/>
</file>

<file path=xl/ctrlProps/ctrlProp98.xml><?xml version="1.0" encoding="utf-8"?>
<formControlPr xmlns="http://schemas.microsoft.com/office/spreadsheetml/2009/9/main" objectType="Drop" dropLines="23" dropStyle="combo" dx="16" fmlaLink="$H$16" fmlaRange="References!$H$6:$H$28" sel="23" val="0"/>
</file>

<file path=xl/ctrlProps/ctrlProp99.xml><?xml version="1.0" encoding="utf-8"?>
<formControlPr xmlns="http://schemas.microsoft.com/office/spreadsheetml/2009/9/main" objectType="Drop" dropLines="23" dropStyle="combo" dx="16" fmlaLink="$H$20" fmlaRange="References!$H$6:$H$28" sel="23" val="0"/>
</file>

<file path=xl/ctrlProps/ctrlProp100.xml><?xml version="1.0" encoding="utf-8"?>
<formControlPr xmlns="http://schemas.microsoft.com/office/spreadsheetml/2009/9/main" objectType="Drop" dropLines="23" dropStyle="combo" dx="16" fmlaLink="$H$32" fmlaRange="References!$H$6:$H$28" sel="23" val="0"/>
</file>

<file path=xl/ctrlProps/ctrlProp101.xml><?xml version="1.0" encoding="utf-8"?>
<formControlPr xmlns="http://schemas.microsoft.com/office/spreadsheetml/2009/9/main" objectType="Drop" dropLines="23" dropStyle="combo" dx="16" fmlaLink="$H$35" fmlaRange="References!$H$6:$H$28" sel="23" val="0"/>
</file>

<file path=xl/ctrlProps/ctrlProp102.xml><?xml version="1.0" encoding="utf-8"?>
<formControlPr xmlns="http://schemas.microsoft.com/office/spreadsheetml/2009/9/main" objectType="Drop" dropLines="23" dropStyle="combo" dx="16" fmlaLink="$H$38" fmlaRange="References!$H$6:$H$28" sel="23" val="0"/>
</file>

<file path=xl/ctrlProps/ctrlProp103.xml><?xml version="1.0" encoding="utf-8"?>
<formControlPr xmlns="http://schemas.microsoft.com/office/spreadsheetml/2009/9/main" objectType="Drop" dropLines="23" dropStyle="combo" dx="16" fmlaLink="$H$41" fmlaRange="References!$H$6:$H$28" sel="23" val="0"/>
</file>

<file path=xl/ctrlProps/ctrlProp104.xml><?xml version="1.0" encoding="utf-8"?>
<formControlPr xmlns="http://schemas.microsoft.com/office/spreadsheetml/2009/9/main" objectType="Drop" dropLines="23" dropStyle="combo" dx="16" fmlaLink="$H$44" fmlaRange="References!$H$6:$H$28" sel="23" val="0"/>
</file>

<file path=xl/ctrlProps/ctrlProp105.xml><?xml version="1.0" encoding="utf-8"?>
<formControlPr xmlns="http://schemas.microsoft.com/office/spreadsheetml/2009/9/main" objectType="CheckBox" fmlaLink="B9" lockText="1" noThreeD="1"/>
</file>

<file path=xl/ctrlProps/ctrlProp106.xml><?xml version="1.0" encoding="utf-8"?>
<formControlPr xmlns="http://schemas.microsoft.com/office/spreadsheetml/2009/9/main" objectType="CheckBox" fmlaLink="G9" lockText="1" noThreeD="1"/>
</file>

<file path=xl/ctrlProps/ctrlProp107.xml><?xml version="1.0" encoding="utf-8"?>
<formControlPr xmlns="http://schemas.microsoft.com/office/spreadsheetml/2009/9/main" objectType="CheckBox" fmlaLink="G12" lockText="1" noThreeD="1"/>
</file>

<file path=xl/ctrlProps/ctrlProp108.xml><?xml version="1.0" encoding="utf-8"?>
<formControlPr xmlns="http://schemas.microsoft.com/office/spreadsheetml/2009/9/main" objectType="CheckBox" fmlaLink="G13" lockText="1" noThreeD="1"/>
</file>

<file path=xl/ctrlProps/ctrlProp109.xml><?xml version="1.0" encoding="utf-8"?>
<formControlPr xmlns="http://schemas.microsoft.com/office/spreadsheetml/2009/9/main" objectType="CheckBox" fmlaLink="G16" lockText="1" noThreeD="1"/>
</file>

<file path=xl/ctrlProps/ctrlProp110.xml><?xml version="1.0" encoding="utf-8"?>
<formControlPr xmlns="http://schemas.microsoft.com/office/spreadsheetml/2009/9/main" objectType="CheckBox" fmlaLink="G17" lockText="1" noThreeD="1"/>
</file>

<file path=xl/ctrlProps/ctrlProp111.xml><?xml version="1.0" encoding="utf-8"?>
<formControlPr xmlns="http://schemas.microsoft.com/office/spreadsheetml/2009/9/main" objectType="CheckBox" fmlaLink="L16" lockText="1" noThreeD="1"/>
</file>

<file path=xl/ctrlProps/ctrlProp112.xml><?xml version="1.0" encoding="utf-8"?>
<formControlPr xmlns="http://schemas.microsoft.com/office/spreadsheetml/2009/9/main" objectType="CheckBox" fmlaLink="L17" lockText="1" noThreeD="1"/>
</file>

<file path=xl/ctrlProps/ctrlProp113.xml><?xml version="1.0" encoding="utf-8"?>
<formControlPr xmlns="http://schemas.microsoft.com/office/spreadsheetml/2009/9/main" objectType="CheckBox" fmlaLink="B16" lockText="1" noThreeD="1"/>
</file>

<file path=xl/ctrlProps/ctrlProp114.xml><?xml version="1.0" encoding="utf-8"?>
<formControlPr xmlns="http://schemas.microsoft.com/office/spreadsheetml/2009/9/main" objectType="CheckBox" fmlaLink="B17" lockText="1" noThreeD="1"/>
</file>

<file path=xl/ctrlProps/ctrlProp115.xml><?xml version="1.0" encoding="utf-8"?>
<formControlPr xmlns="http://schemas.microsoft.com/office/spreadsheetml/2009/9/main" objectType="CheckBox" fmlaLink="B12" lockText="1" noThreeD="1"/>
</file>

<file path=xl/ctrlProps/ctrlProp116.xml><?xml version="1.0" encoding="utf-8"?>
<formControlPr xmlns="http://schemas.microsoft.com/office/spreadsheetml/2009/9/main" objectType="CheckBox" fmlaLink="B13" lockText="1" noThreeD="1"/>
</file>

<file path=xl/ctrlProps/ctrlProp117.xml><?xml version="1.0" encoding="utf-8"?>
<formControlPr xmlns="http://schemas.microsoft.com/office/spreadsheetml/2009/9/main" objectType="CheckBox" fmlaLink="B21" lockText="1" noThreeD="1"/>
</file>

<file path=xl/ctrlProps/ctrlProp118.xml><?xml version="1.0" encoding="utf-8"?>
<formControlPr xmlns="http://schemas.microsoft.com/office/spreadsheetml/2009/9/main" objectType="CheckBox" fmlaLink="B25" lockText="1" noThreeD="1"/>
</file>

<file path=xl/ctrlProps/ctrlProp119.xml><?xml version="1.0" encoding="utf-8"?>
<formControlPr xmlns="http://schemas.microsoft.com/office/spreadsheetml/2009/9/main" objectType="CheckBox" fmlaLink="G25" lockText="1" noThreeD="1"/>
</file>

<file path=xl/ctrlProps/ctrlProp120.xml><?xml version="1.0" encoding="utf-8"?>
<formControlPr xmlns="http://schemas.microsoft.com/office/spreadsheetml/2009/9/main" objectType="CheckBox" fmlaLink="L25" lockText="1" noThreeD="1"/>
</file>

<file path=xl/ctrlProps/ctrlProp121.xml><?xml version="1.0" encoding="utf-8"?>
<formControlPr xmlns="http://schemas.microsoft.com/office/spreadsheetml/2009/9/main" objectType="CheckBox" fmlaLink="G21" lockText="1" noThreeD="1"/>
</file>

<file path=xl/ctrlProps/ctrlProp122.xml><?xml version="1.0" encoding="utf-8"?>
<formControlPr xmlns="http://schemas.microsoft.com/office/spreadsheetml/2009/9/main" objectType="CheckBox" fmlaLink="B29" lockText="1" noThreeD="1"/>
</file>

<file path=xl/ctrlProps/ctrlProp123.xml><?xml version="1.0" encoding="utf-8"?>
<formControlPr xmlns="http://schemas.microsoft.com/office/spreadsheetml/2009/9/main" objectType="CheckBox" fmlaLink="G29" lockText="1" noThreeD="1"/>
</file>

<file path=xl/ctrlProps/ctrlProp124.xml><?xml version="1.0" encoding="utf-8"?>
<formControlPr xmlns="http://schemas.microsoft.com/office/spreadsheetml/2009/9/main" objectType="CheckBox" fmlaLink="L29" lockText="1" noThreeD="1"/>
</file>

<file path=xl/ctrlProps/ctrlProp125.xml><?xml version="1.0" encoding="utf-8"?>
<formControlPr xmlns="http://schemas.microsoft.com/office/spreadsheetml/2009/9/main" objectType="CheckBox" fmlaLink="B38" lockText="1" noThreeD="1"/>
</file>

<file path=xl/ctrlProps/ctrlProp126.xml><?xml version="1.0" encoding="utf-8"?>
<formControlPr xmlns="http://schemas.microsoft.com/office/spreadsheetml/2009/9/main" objectType="CheckBox" fmlaLink="G38" lockText="1" noThreeD="1"/>
</file>

<file path=xl/ctrlProps/ctrlProp127.xml><?xml version="1.0" encoding="utf-8"?>
<formControlPr xmlns="http://schemas.microsoft.com/office/spreadsheetml/2009/9/main" objectType="CheckBox" fmlaLink="L38" lockText="1" noThreeD="1"/>
</file>

<file path=xl/ctrlProps/ctrlProp128.xml><?xml version="1.0" encoding="utf-8"?>
<formControlPr xmlns="http://schemas.microsoft.com/office/spreadsheetml/2009/9/main" objectType="CheckBox" fmlaLink="B44" lockText="1" noThreeD="1"/>
</file>

<file path=xl/ctrlProps/ctrlProp129.xml><?xml version="1.0" encoding="utf-8"?>
<formControlPr xmlns="http://schemas.microsoft.com/office/spreadsheetml/2009/9/main" objectType="CheckBox" fmlaLink="G44" lockText="1" noThreeD="1"/>
</file>

<file path=xl/ctrlProps/ctrlProp130.xml><?xml version="1.0" encoding="utf-8"?>
<formControlPr xmlns="http://schemas.microsoft.com/office/spreadsheetml/2009/9/main" objectType="CheckBox" fmlaLink="B39" lockText="1" noThreeD="1"/>
</file>

<file path=xl/ctrlProps/ctrlProp131.xml><?xml version="1.0" encoding="utf-8"?>
<formControlPr xmlns="http://schemas.microsoft.com/office/spreadsheetml/2009/9/main" objectType="CheckBox" fmlaLink="B18" lockText="1" noThreeD="1"/>
</file>

<file path=xl/ctrlProps/ctrlProp132.xml><?xml version="1.0" encoding="utf-8"?>
<formControlPr xmlns="http://schemas.microsoft.com/office/spreadsheetml/2009/9/main" objectType="CheckBox" fmlaLink="B32" lockText="1" noThreeD="1"/>
</file>

<file path=xl/ctrlProps/ctrlProp133.xml><?xml version="1.0" encoding="utf-8"?>
<formControlPr xmlns="http://schemas.microsoft.com/office/spreadsheetml/2009/9/main" objectType="CheckBox" fmlaLink="B33" lockText="1" noThreeD="1"/>
</file>

<file path=xl/ctrlProps/ctrlProp134.xml><?xml version="1.0" encoding="utf-8"?>
<formControlPr xmlns="http://schemas.microsoft.com/office/spreadsheetml/2009/9/main" objectType="CheckBox" fmlaLink="B34" lockText="1" noThreeD="1"/>
</file>

<file path=xl/ctrlProps/ctrlProp135.xml><?xml version="1.0" encoding="utf-8"?>
<formControlPr xmlns="http://schemas.microsoft.com/office/spreadsheetml/2009/9/main" objectType="CheckBox" fmlaLink="G32" lockText="1" noThreeD="1"/>
</file>

<file path=xl/ctrlProps/ctrlProp136.xml><?xml version="1.0" encoding="utf-8"?>
<formControlPr xmlns="http://schemas.microsoft.com/office/spreadsheetml/2009/9/main" objectType="CheckBox" fmlaLink="G33" lockText="1" noThreeD="1"/>
</file>

<file path=xl/ctrlProps/ctrlProp137.xml><?xml version="1.0" encoding="utf-8"?>
<formControlPr xmlns="http://schemas.microsoft.com/office/spreadsheetml/2009/9/main" objectType="CheckBox" fmlaLink="G34" lockText="1" noThreeD="1"/>
</file>

<file path=xl/ctrlProps/ctrlProp138.xml><?xml version="1.0" encoding="utf-8"?>
<formControlPr xmlns="http://schemas.microsoft.com/office/spreadsheetml/2009/9/main" objectType="CheckBox" fmlaLink="L32" lockText="1" noThreeD="1"/>
</file>

<file path=xl/ctrlProps/ctrlProp139.xml><?xml version="1.0" encoding="utf-8"?>
<formControlPr xmlns="http://schemas.microsoft.com/office/spreadsheetml/2009/9/main" objectType="CheckBox" fmlaLink="L33" lockText="1" noThreeD="1"/>
</file>

<file path=xl/ctrlProps/ctrlProp140.xml><?xml version="1.0" encoding="utf-8"?>
<formControlPr xmlns="http://schemas.microsoft.com/office/spreadsheetml/2009/9/main" objectType="CheckBox"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G29" lockText="1" noThreeD="1"/>
</file>

<file path=xl/ctrlProps/ctrlProp159.xml><?xml version="1.0" encoding="utf-8"?>
<formControlPr xmlns="http://schemas.microsoft.com/office/spreadsheetml/2009/9/main" objectType="CheckBox" fmlaLink="L29" lockText="1" noThreeD="1"/>
</file>

<file path=xl/ctrlProps/ctrlProp160.xml><?xml version="1.0" encoding="utf-8"?>
<formControlPr xmlns="http://schemas.microsoft.com/office/spreadsheetml/2009/9/main" objectType="CheckBox" fmlaLink="B38" lockText="1" noThreeD="1"/>
</file>

<file path=xl/ctrlProps/ctrlProp161.xml><?xml version="1.0" encoding="utf-8"?>
<formControlPr xmlns="http://schemas.microsoft.com/office/spreadsheetml/2009/9/main" objectType="CheckBox" fmlaLink="G38" lockText="1" noThreeD="1"/>
</file>

<file path=xl/ctrlProps/ctrlProp162.xml><?xml version="1.0" encoding="utf-8"?>
<formControlPr xmlns="http://schemas.microsoft.com/office/spreadsheetml/2009/9/main" objectType="CheckBox" fmlaLink="L38" lockText="1" noThreeD="1"/>
</file>

<file path=xl/ctrlProps/ctrlProp163.xml><?xml version="1.0" encoding="utf-8"?>
<formControlPr xmlns="http://schemas.microsoft.com/office/spreadsheetml/2009/9/main" objectType="CheckBox" fmlaLink="B44" lockText="1" noThreeD="1"/>
</file>

<file path=xl/ctrlProps/ctrlProp164.xml><?xml version="1.0" encoding="utf-8"?>
<formControlPr xmlns="http://schemas.microsoft.com/office/spreadsheetml/2009/9/main" objectType="CheckBox" fmlaLink="G44" lockText="1" noThreeD="1"/>
</file>

<file path=xl/ctrlProps/ctrlProp165.xml><?xml version="1.0" encoding="utf-8"?>
<formControlPr xmlns="http://schemas.microsoft.com/office/spreadsheetml/2009/9/main" objectType="CheckBox" fmlaLink="B39" lockText="1" noThreeD="1"/>
</file>

<file path=xl/ctrlProps/ctrlProp166.xml><?xml version="1.0" encoding="utf-8"?>
<formControlPr xmlns="http://schemas.microsoft.com/office/spreadsheetml/2009/9/main" objectType="CheckBox" fmlaLink="B18" lockText="1" noThreeD="1"/>
</file>

<file path=xl/ctrlProps/ctrlProp167.xml><?xml version="1.0" encoding="utf-8"?>
<formControlPr xmlns="http://schemas.microsoft.com/office/spreadsheetml/2009/9/main" objectType="CheckBox" fmlaLink="B32" lockText="1" noThreeD="1"/>
</file>

<file path=xl/ctrlProps/ctrlProp168.xml><?xml version="1.0" encoding="utf-8"?>
<formControlPr xmlns="http://schemas.microsoft.com/office/spreadsheetml/2009/9/main" objectType="CheckBox" fmlaLink="B33" lockText="1" noThreeD="1"/>
</file>

<file path=xl/ctrlProps/ctrlProp169.xml><?xml version="1.0" encoding="utf-8"?>
<formControlPr xmlns="http://schemas.microsoft.com/office/spreadsheetml/2009/9/main" objectType="CheckBox" fmlaLink="B34" lockText="1" noThreeD="1"/>
</file>

<file path=xl/ctrlProps/ctrlProp170.xml><?xml version="1.0" encoding="utf-8"?>
<formControlPr xmlns="http://schemas.microsoft.com/office/spreadsheetml/2009/9/main" objectType="CheckBox" fmlaLink="G32" lockText="1" noThreeD="1"/>
</file>

<file path=xl/ctrlProps/ctrlProp171.xml><?xml version="1.0" encoding="utf-8"?>
<formControlPr xmlns="http://schemas.microsoft.com/office/spreadsheetml/2009/9/main" objectType="CheckBox" fmlaLink="G33" lockText="1" noThreeD="1"/>
</file>

<file path=xl/ctrlProps/ctrlProp172.xml><?xml version="1.0" encoding="utf-8"?>
<formControlPr xmlns="http://schemas.microsoft.com/office/spreadsheetml/2009/9/main" objectType="CheckBox" fmlaLink="G34" lockText="1" noThreeD="1"/>
</file>

<file path=xl/ctrlProps/ctrlProp173.xml><?xml version="1.0" encoding="utf-8"?>
<formControlPr xmlns="http://schemas.microsoft.com/office/spreadsheetml/2009/9/main" objectType="CheckBox" fmlaLink="L32" lockText="1" noThreeD="1"/>
</file>

<file path=xl/ctrlProps/ctrlProp174.xml><?xml version="1.0" encoding="utf-8"?>
<formControlPr xmlns="http://schemas.microsoft.com/office/spreadsheetml/2009/9/main" objectType="CheckBox" fmlaLink="L33" lockText="1" noThreeD="1"/>
</file>

<file path=xl/ctrlProps/ctrlProp175.xml><?xml version="1.0" encoding="utf-8"?>
<formControlPr xmlns="http://schemas.microsoft.com/office/spreadsheetml/2009/9/main" objectType="CheckBox" fmlaLink="B9" lockText="1" noThreeD="1"/>
</file>

<file path=xl/ctrlProps/ctrlProp176.xml><?xml version="1.0" encoding="utf-8"?>
<formControlPr xmlns="http://schemas.microsoft.com/office/spreadsheetml/2009/9/main" objectType="CheckBox" fmlaLink="G9" lockText="1" noThreeD="1"/>
</file>

<file path=xl/ctrlProps/ctrlProp177.xml><?xml version="1.0" encoding="utf-8"?>
<formControlPr xmlns="http://schemas.microsoft.com/office/spreadsheetml/2009/9/main" objectType="CheckBox" fmlaLink="G12" lockText="1" noThreeD="1"/>
</file>

<file path=xl/ctrlProps/ctrlProp178.xml><?xml version="1.0" encoding="utf-8"?>
<formControlPr xmlns="http://schemas.microsoft.com/office/spreadsheetml/2009/9/main" objectType="CheckBox" fmlaLink="G13" lockText="1" noThreeD="1"/>
</file>

<file path=xl/ctrlProps/ctrlProp179.xml><?xml version="1.0" encoding="utf-8"?>
<formControlPr xmlns="http://schemas.microsoft.com/office/spreadsheetml/2009/9/main" objectType="CheckBox" fmlaLink="G16" lockText="1" noThreeD="1"/>
</file>

<file path=xl/ctrlProps/ctrlProp180.xml><?xml version="1.0" encoding="utf-8"?>
<formControlPr xmlns="http://schemas.microsoft.com/office/spreadsheetml/2009/9/main" objectType="CheckBox" fmlaLink="G17" lockText="1" noThreeD="1"/>
</file>

<file path=xl/ctrlProps/ctrlProp181.xml><?xml version="1.0" encoding="utf-8"?>
<formControlPr xmlns="http://schemas.microsoft.com/office/spreadsheetml/2009/9/main" objectType="CheckBox" fmlaLink="L16" lockText="1" noThreeD="1"/>
</file>

<file path=xl/ctrlProps/ctrlProp182.xml><?xml version="1.0" encoding="utf-8"?>
<formControlPr xmlns="http://schemas.microsoft.com/office/spreadsheetml/2009/9/main" objectType="CheckBox" fmlaLink="L17" lockText="1" noThreeD="1"/>
</file>

<file path=xl/ctrlProps/ctrlProp183.xml><?xml version="1.0" encoding="utf-8"?>
<formControlPr xmlns="http://schemas.microsoft.com/office/spreadsheetml/2009/9/main" objectType="CheckBox" fmlaLink="B16" lockText="1" noThreeD="1"/>
</file>

<file path=xl/ctrlProps/ctrlProp184.xml><?xml version="1.0" encoding="utf-8"?>
<formControlPr xmlns="http://schemas.microsoft.com/office/spreadsheetml/2009/9/main" objectType="CheckBox" fmlaLink="B17" lockText="1" noThreeD="1"/>
</file>

<file path=xl/ctrlProps/ctrlProp185.xml><?xml version="1.0" encoding="utf-8"?>
<formControlPr xmlns="http://schemas.microsoft.com/office/spreadsheetml/2009/9/main" objectType="CheckBox" fmlaLink="B12" lockText="1" noThreeD="1"/>
</file>

<file path=xl/ctrlProps/ctrlProp186.xml><?xml version="1.0" encoding="utf-8"?>
<formControlPr xmlns="http://schemas.microsoft.com/office/spreadsheetml/2009/9/main" objectType="CheckBox" fmlaLink="B13" lockText="1" noThreeD="1"/>
</file>

<file path=xl/ctrlProps/ctrlProp187.xml><?xml version="1.0" encoding="utf-8"?>
<formControlPr xmlns="http://schemas.microsoft.com/office/spreadsheetml/2009/9/main" objectType="CheckBox" fmlaLink="B21" lockText="1" noThreeD="1"/>
</file>

<file path=xl/ctrlProps/ctrlProp188.xml><?xml version="1.0" encoding="utf-8"?>
<formControlPr xmlns="http://schemas.microsoft.com/office/spreadsheetml/2009/9/main" objectType="CheckBox" fmlaLink="B25" lockText="1" noThreeD="1"/>
</file>

<file path=xl/ctrlProps/ctrlProp189.xml><?xml version="1.0" encoding="utf-8"?>
<formControlPr xmlns="http://schemas.microsoft.com/office/spreadsheetml/2009/9/main" objectType="CheckBox" fmlaLink="G25" lockText="1" noThreeD="1"/>
</file>

<file path=xl/ctrlProps/ctrlProp190.xml><?xml version="1.0" encoding="utf-8"?>
<formControlPr xmlns="http://schemas.microsoft.com/office/spreadsheetml/2009/9/main" objectType="CheckBox" fmlaLink="L25" lockText="1" noThreeD="1"/>
</file>

<file path=xl/ctrlProps/ctrlProp191.xml><?xml version="1.0" encoding="utf-8"?>
<formControlPr xmlns="http://schemas.microsoft.com/office/spreadsheetml/2009/9/main" objectType="CheckBox" fmlaLink="G21" lockText="1" noThreeD="1"/>
</file>

<file path=xl/ctrlProps/ctrlProp192.xml><?xml version="1.0" encoding="utf-8"?>
<formControlPr xmlns="http://schemas.microsoft.com/office/spreadsheetml/2009/9/main" objectType="CheckBox" fmlaLink="B29" lockText="1" noThreeD="1"/>
</file>

<file path=xl/ctrlProps/ctrlProp193.xml><?xml version="1.0" encoding="utf-8"?>
<formControlPr xmlns="http://schemas.microsoft.com/office/spreadsheetml/2009/9/main" objectType="CheckBox" fmlaLink="G29" lockText="1" noThreeD="1"/>
</file>

<file path=xl/ctrlProps/ctrlProp194.xml><?xml version="1.0" encoding="utf-8"?>
<formControlPr xmlns="http://schemas.microsoft.com/office/spreadsheetml/2009/9/main" objectType="CheckBox" fmlaLink="L29" lockText="1" noThreeD="1"/>
</file>

<file path=xl/ctrlProps/ctrlProp195.xml><?xml version="1.0" encoding="utf-8"?>
<formControlPr xmlns="http://schemas.microsoft.com/office/spreadsheetml/2009/9/main" objectType="CheckBox" fmlaLink="B38" lockText="1" noThreeD="1"/>
</file>

<file path=xl/ctrlProps/ctrlProp196.xml><?xml version="1.0" encoding="utf-8"?>
<formControlPr xmlns="http://schemas.microsoft.com/office/spreadsheetml/2009/9/main" objectType="CheckBox" fmlaLink="G38" lockText="1" noThreeD="1"/>
</file>

<file path=xl/ctrlProps/ctrlProp197.xml><?xml version="1.0" encoding="utf-8"?>
<formControlPr xmlns="http://schemas.microsoft.com/office/spreadsheetml/2009/9/main" objectType="CheckBox" fmlaLink="L38" lockText="1" noThreeD="1"/>
</file>

<file path=xl/ctrlProps/ctrlProp198.xml><?xml version="1.0" encoding="utf-8"?>
<formControlPr xmlns="http://schemas.microsoft.com/office/spreadsheetml/2009/9/main" objectType="CheckBox" fmlaLink="B44" lockText="1" noThreeD="1"/>
</file>

<file path=xl/ctrlProps/ctrlProp199.xml><?xml version="1.0" encoding="utf-8"?>
<formControlPr xmlns="http://schemas.microsoft.com/office/spreadsheetml/2009/9/main" objectType="CheckBox" fmlaLink="G44" lockText="1" noThreeD="1"/>
</file>

<file path=xl/ctrlProps/ctrlProp200.xml><?xml version="1.0" encoding="utf-8"?>
<formControlPr xmlns="http://schemas.microsoft.com/office/spreadsheetml/2009/9/main" objectType="CheckBox" fmlaLink="B39" lockText="1" noThreeD="1"/>
</file>

<file path=xl/ctrlProps/ctrlProp201.xml><?xml version="1.0" encoding="utf-8"?>
<formControlPr xmlns="http://schemas.microsoft.com/office/spreadsheetml/2009/9/main" objectType="CheckBox" fmlaLink="B18" lockText="1" noThreeD="1"/>
</file>

<file path=xl/ctrlProps/ctrlProp202.xml><?xml version="1.0" encoding="utf-8"?>
<formControlPr xmlns="http://schemas.microsoft.com/office/spreadsheetml/2009/9/main" objectType="CheckBox" fmlaLink="B32" lockText="1" noThreeD="1"/>
</file>

<file path=xl/ctrlProps/ctrlProp203.xml><?xml version="1.0" encoding="utf-8"?>
<formControlPr xmlns="http://schemas.microsoft.com/office/spreadsheetml/2009/9/main" objectType="CheckBox" fmlaLink="B33" lockText="1" noThreeD="1"/>
</file>

<file path=xl/ctrlProps/ctrlProp204.xml><?xml version="1.0" encoding="utf-8"?>
<formControlPr xmlns="http://schemas.microsoft.com/office/spreadsheetml/2009/9/main" objectType="CheckBox" fmlaLink="B34" lockText="1" noThreeD="1"/>
</file>

<file path=xl/ctrlProps/ctrlProp205.xml><?xml version="1.0" encoding="utf-8"?>
<formControlPr xmlns="http://schemas.microsoft.com/office/spreadsheetml/2009/9/main" objectType="CheckBox" fmlaLink="G32" lockText="1" noThreeD="1"/>
</file>

<file path=xl/ctrlProps/ctrlProp206.xml><?xml version="1.0" encoding="utf-8"?>
<formControlPr xmlns="http://schemas.microsoft.com/office/spreadsheetml/2009/9/main" objectType="CheckBox" fmlaLink="G33" lockText="1" noThreeD="1"/>
</file>

<file path=xl/ctrlProps/ctrlProp207.xml><?xml version="1.0" encoding="utf-8"?>
<formControlPr xmlns="http://schemas.microsoft.com/office/spreadsheetml/2009/9/main" objectType="CheckBox" fmlaLink="G34" lockText="1" noThreeD="1"/>
</file>

<file path=xl/ctrlProps/ctrlProp208.xml><?xml version="1.0" encoding="utf-8"?>
<formControlPr xmlns="http://schemas.microsoft.com/office/spreadsheetml/2009/9/main" objectType="CheckBox" fmlaLink="L32" lockText="1" noThreeD="1"/>
</file>

<file path=xl/ctrlProps/ctrlProp209.xml><?xml version="1.0" encoding="utf-8"?>
<formControlPr xmlns="http://schemas.microsoft.com/office/spreadsheetml/2009/9/main" objectType="CheckBox" fmlaLink="L33" lockText="1" noThreeD="1"/>
</file>

<file path=xl/ctrlProps/ctrlProp210.xml><?xml version="1.0" encoding="utf-8"?>
<formControlPr xmlns="http://schemas.microsoft.com/office/spreadsheetml/2009/9/main" objectType="CheckBox" fmlaLink="B9" lockText="1" noThreeD="1"/>
</file>

<file path=xl/ctrlProps/ctrlProp211.xml><?xml version="1.0" encoding="utf-8"?>
<formControlPr xmlns="http://schemas.microsoft.com/office/spreadsheetml/2009/9/main" objectType="CheckBox" fmlaLink="G9" lockText="1" noThreeD="1"/>
</file>

<file path=xl/ctrlProps/ctrlProp212.xml><?xml version="1.0" encoding="utf-8"?>
<formControlPr xmlns="http://schemas.microsoft.com/office/spreadsheetml/2009/9/main" objectType="CheckBox" fmlaLink="G12" lockText="1" noThreeD="1"/>
</file>

<file path=xl/ctrlProps/ctrlProp213.xml><?xml version="1.0" encoding="utf-8"?>
<formControlPr xmlns="http://schemas.microsoft.com/office/spreadsheetml/2009/9/main" objectType="CheckBox" fmlaLink="G13" lockText="1" noThreeD="1"/>
</file>

<file path=xl/ctrlProps/ctrlProp214.xml><?xml version="1.0" encoding="utf-8"?>
<formControlPr xmlns="http://schemas.microsoft.com/office/spreadsheetml/2009/9/main" objectType="CheckBox" fmlaLink="G16" lockText="1" noThreeD="1"/>
</file>

<file path=xl/ctrlProps/ctrlProp215.xml><?xml version="1.0" encoding="utf-8"?>
<formControlPr xmlns="http://schemas.microsoft.com/office/spreadsheetml/2009/9/main" objectType="CheckBox" fmlaLink="G17" lockText="1" noThreeD="1"/>
</file>

<file path=xl/ctrlProps/ctrlProp216.xml><?xml version="1.0" encoding="utf-8"?>
<formControlPr xmlns="http://schemas.microsoft.com/office/spreadsheetml/2009/9/main" objectType="CheckBox" fmlaLink="L16" lockText="1" noThreeD="1"/>
</file>

<file path=xl/ctrlProps/ctrlProp217.xml><?xml version="1.0" encoding="utf-8"?>
<formControlPr xmlns="http://schemas.microsoft.com/office/spreadsheetml/2009/9/main" objectType="CheckBox" fmlaLink="L17" lockText="1" noThreeD="1"/>
</file>

<file path=xl/ctrlProps/ctrlProp218.xml><?xml version="1.0" encoding="utf-8"?>
<formControlPr xmlns="http://schemas.microsoft.com/office/spreadsheetml/2009/9/main" objectType="CheckBox" fmlaLink="B16" lockText="1" noThreeD="1"/>
</file>

<file path=xl/ctrlProps/ctrlProp219.xml><?xml version="1.0" encoding="utf-8"?>
<formControlPr xmlns="http://schemas.microsoft.com/office/spreadsheetml/2009/9/main" objectType="CheckBox" fmlaLink="B17" lockText="1" noThreeD="1"/>
</file>

<file path=xl/ctrlProps/ctrlProp220.xml><?xml version="1.0" encoding="utf-8"?>
<formControlPr xmlns="http://schemas.microsoft.com/office/spreadsheetml/2009/9/main" objectType="CheckBox" fmlaLink="B12" lockText="1" noThreeD="1"/>
</file>

<file path=xl/ctrlProps/ctrlProp221.xml><?xml version="1.0" encoding="utf-8"?>
<formControlPr xmlns="http://schemas.microsoft.com/office/spreadsheetml/2009/9/main" objectType="CheckBox" fmlaLink="B13" lockText="1" noThreeD="1"/>
</file>

<file path=xl/ctrlProps/ctrlProp222.xml><?xml version="1.0" encoding="utf-8"?>
<formControlPr xmlns="http://schemas.microsoft.com/office/spreadsheetml/2009/9/main" objectType="CheckBox" fmlaLink="B21" lockText="1" noThreeD="1"/>
</file>

<file path=xl/ctrlProps/ctrlProp223.xml><?xml version="1.0" encoding="utf-8"?>
<formControlPr xmlns="http://schemas.microsoft.com/office/spreadsheetml/2009/9/main" objectType="CheckBox" fmlaLink="B25" lockText="1" noThreeD="1"/>
</file>

<file path=xl/ctrlProps/ctrlProp224.xml><?xml version="1.0" encoding="utf-8"?>
<formControlPr xmlns="http://schemas.microsoft.com/office/spreadsheetml/2009/9/main" objectType="CheckBox" fmlaLink="G25" lockText="1" noThreeD="1"/>
</file>

<file path=xl/ctrlProps/ctrlProp225.xml><?xml version="1.0" encoding="utf-8"?>
<formControlPr xmlns="http://schemas.microsoft.com/office/spreadsheetml/2009/9/main" objectType="CheckBox" fmlaLink="L25" lockText="1" noThreeD="1"/>
</file>

<file path=xl/ctrlProps/ctrlProp226.xml><?xml version="1.0" encoding="utf-8"?>
<formControlPr xmlns="http://schemas.microsoft.com/office/spreadsheetml/2009/9/main" objectType="CheckBox" fmlaLink="G21" lockText="1" noThreeD="1"/>
</file>

<file path=xl/ctrlProps/ctrlProp227.xml><?xml version="1.0" encoding="utf-8"?>
<formControlPr xmlns="http://schemas.microsoft.com/office/spreadsheetml/2009/9/main" objectType="CheckBox" fmlaLink="B29" lockText="1" noThreeD="1"/>
</file>

<file path=xl/ctrlProps/ctrlProp228.xml><?xml version="1.0" encoding="utf-8"?>
<formControlPr xmlns="http://schemas.microsoft.com/office/spreadsheetml/2009/9/main" objectType="CheckBox" fmlaLink="G29" lockText="1" noThreeD="1"/>
</file>

<file path=xl/ctrlProps/ctrlProp229.xml><?xml version="1.0" encoding="utf-8"?>
<formControlPr xmlns="http://schemas.microsoft.com/office/spreadsheetml/2009/9/main" objectType="CheckBox" fmlaLink="L29" lockText="1" noThreeD="1"/>
</file>

<file path=xl/ctrlProps/ctrlProp230.xml><?xml version="1.0" encoding="utf-8"?>
<formControlPr xmlns="http://schemas.microsoft.com/office/spreadsheetml/2009/9/main" objectType="CheckBox" fmlaLink="B38" lockText="1" noThreeD="1"/>
</file>

<file path=xl/ctrlProps/ctrlProp231.xml><?xml version="1.0" encoding="utf-8"?>
<formControlPr xmlns="http://schemas.microsoft.com/office/spreadsheetml/2009/9/main" objectType="CheckBox" fmlaLink="G38" lockText="1" noThreeD="1"/>
</file>

<file path=xl/ctrlProps/ctrlProp232.xml><?xml version="1.0" encoding="utf-8"?>
<formControlPr xmlns="http://schemas.microsoft.com/office/spreadsheetml/2009/9/main" objectType="CheckBox" fmlaLink="L38" lockText="1" noThreeD="1"/>
</file>

<file path=xl/ctrlProps/ctrlProp233.xml><?xml version="1.0" encoding="utf-8"?>
<formControlPr xmlns="http://schemas.microsoft.com/office/spreadsheetml/2009/9/main" objectType="CheckBox" fmlaLink="B44" lockText="1" noThreeD="1"/>
</file>

<file path=xl/ctrlProps/ctrlProp234.xml><?xml version="1.0" encoding="utf-8"?>
<formControlPr xmlns="http://schemas.microsoft.com/office/spreadsheetml/2009/9/main" objectType="CheckBox" fmlaLink="G44" lockText="1" noThreeD="1"/>
</file>

<file path=xl/ctrlProps/ctrlProp235.xml><?xml version="1.0" encoding="utf-8"?>
<formControlPr xmlns="http://schemas.microsoft.com/office/spreadsheetml/2009/9/main" objectType="CheckBox" fmlaLink="B39" lockText="1" noThreeD="1"/>
</file>

<file path=xl/ctrlProps/ctrlProp236.xml><?xml version="1.0" encoding="utf-8"?>
<formControlPr xmlns="http://schemas.microsoft.com/office/spreadsheetml/2009/9/main" objectType="CheckBox" fmlaLink="B18" lockText="1" noThreeD="1"/>
</file>

<file path=xl/ctrlProps/ctrlProp237.xml><?xml version="1.0" encoding="utf-8"?>
<formControlPr xmlns="http://schemas.microsoft.com/office/spreadsheetml/2009/9/main" objectType="CheckBox" fmlaLink="B32" lockText="1" noThreeD="1"/>
</file>

<file path=xl/ctrlProps/ctrlProp238.xml><?xml version="1.0" encoding="utf-8"?>
<formControlPr xmlns="http://schemas.microsoft.com/office/spreadsheetml/2009/9/main" objectType="CheckBox" fmlaLink="B33" lockText="1" noThreeD="1"/>
</file>

<file path=xl/ctrlProps/ctrlProp239.xml><?xml version="1.0" encoding="utf-8"?>
<formControlPr xmlns="http://schemas.microsoft.com/office/spreadsheetml/2009/9/main" objectType="CheckBox" fmlaLink="B34" lockText="1" noThreeD="1"/>
</file>

<file path=xl/ctrlProps/ctrlProp240.xml><?xml version="1.0" encoding="utf-8"?>
<formControlPr xmlns="http://schemas.microsoft.com/office/spreadsheetml/2009/9/main" objectType="CheckBox" fmlaLink="G32" lockText="1" noThreeD="1"/>
</file>

<file path=xl/ctrlProps/ctrlProp241.xml><?xml version="1.0" encoding="utf-8"?>
<formControlPr xmlns="http://schemas.microsoft.com/office/spreadsheetml/2009/9/main" objectType="CheckBox" fmlaLink="G33" lockText="1" noThreeD="1"/>
</file>

<file path=xl/ctrlProps/ctrlProp242.xml><?xml version="1.0" encoding="utf-8"?>
<formControlPr xmlns="http://schemas.microsoft.com/office/spreadsheetml/2009/9/main" objectType="CheckBox" fmlaLink="G34" lockText="1" noThreeD="1"/>
</file>

<file path=xl/ctrlProps/ctrlProp243.xml><?xml version="1.0" encoding="utf-8"?>
<formControlPr xmlns="http://schemas.microsoft.com/office/spreadsheetml/2009/9/main" objectType="CheckBox" fmlaLink="L32" lockText="1" noThreeD="1"/>
</file>

<file path=xl/ctrlProps/ctrlProp244.xml><?xml version="1.0" encoding="utf-8"?>
<formControlPr xmlns="http://schemas.microsoft.com/office/spreadsheetml/2009/9/main" objectType="CheckBox" fmlaLink="L33" lockText="1" noThreeD="1"/>
</file>

<file path=xl/ctrlProps/ctrlProp245.xml><?xml version="1.0" encoding="utf-8"?>
<formControlPr xmlns="http://schemas.microsoft.com/office/spreadsheetml/2009/9/main" objectType="CheckBox" fmlaLink="B9" lockText="1" noThreeD="1"/>
</file>

<file path=xl/ctrlProps/ctrlProp246.xml><?xml version="1.0" encoding="utf-8"?>
<formControlPr xmlns="http://schemas.microsoft.com/office/spreadsheetml/2009/9/main" objectType="CheckBox" fmlaLink="G9" lockText="1" noThreeD="1"/>
</file>

<file path=xl/ctrlProps/ctrlProp247.xml><?xml version="1.0" encoding="utf-8"?>
<formControlPr xmlns="http://schemas.microsoft.com/office/spreadsheetml/2009/9/main" objectType="CheckBox" fmlaLink="G12" lockText="1" noThreeD="1"/>
</file>

<file path=xl/ctrlProps/ctrlProp248.xml><?xml version="1.0" encoding="utf-8"?>
<formControlPr xmlns="http://schemas.microsoft.com/office/spreadsheetml/2009/9/main" objectType="CheckBox" fmlaLink="G13" lockText="1" noThreeD="1"/>
</file>

<file path=xl/ctrlProps/ctrlProp249.xml><?xml version="1.0" encoding="utf-8"?>
<formControlPr xmlns="http://schemas.microsoft.com/office/spreadsheetml/2009/9/main" objectType="CheckBox" fmlaLink="G16" lockText="1" noThreeD="1"/>
</file>

<file path=xl/ctrlProps/ctrlProp250.xml><?xml version="1.0" encoding="utf-8"?>
<formControlPr xmlns="http://schemas.microsoft.com/office/spreadsheetml/2009/9/main" objectType="CheckBox" fmlaLink="G17" lockText="1" noThreeD="1"/>
</file>

<file path=xl/ctrlProps/ctrlProp251.xml><?xml version="1.0" encoding="utf-8"?>
<formControlPr xmlns="http://schemas.microsoft.com/office/spreadsheetml/2009/9/main" objectType="CheckBox" fmlaLink="L16" lockText="1" noThreeD="1"/>
</file>

<file path=xl/ctrlProps/ctrlProp252.xml><?xml version="1.0" encoding="utf-8"?>
<formControlPr xmlns="http://schemas.microsoft.com/office/spreadsheetml/2009/9/main" objectType="CheckBox" fmlaLink="L17" lockText="1" noThreeD="1"/>
</file>

<file path=xl/ctrlProps/ctrlProp253.xml><?xml version="1.0" encoding="utf-8"?>
<formControlPr xmlns="http://schemas.microsoft.com/office/spreadsheetml/2009/9/main" objectType="CheckBox" fmlaLink="B16" lockText="1" noThreeD="1"/>
</file>

<file path=xl/ctrlProps/ctrlProp254.xml><?xml version="1.0" encoding="utf-8"?>
<formControlPr xmlns="http://schemas.microsoft.com/office/spreadsheetml/2009/9/main" objectType="CheckBox" fmlaLink="B17" lockText="1" noThreeD="1"/>
</file>

<file path=xl/ctrlProps/ctrlProp255.xml><?xml version="1.0" encoding="utf-8"?>
<formControlPr xmlns="http://schemas.microsoft.com/office/spreadsheetml/2009/9/main" objectType="CheckBox" fmlaLink="B12" lockText="1" noThreeD="1"/>
</file>

<file path=xl/ctrlProps/ctrlProp256.xml><?xml version="1.0" encoding="utf-8"?>
<formControlPr xmlns="http://schemas.microsoft.com/office/spreadsheetml/2009/9/main" objectType="CheckBox" fmlaLink="B13" lockText="1" noThreeD="1"/>
</file>

<file path=xl/ctrlProps/ctrlProp257.xml><?xml version="1.0" encoding="utf-8"?>
<formControlPr xmlns="http://schemas.microsoft.com/office/spreadsheetml/2009/9/main" objectType="CheckBox" fmlaLink="B21" lockText="1" noThreeD="1"/>
</file>

<file path=xl/ctrlProps/ctrlProp258.xml><?xml version="1.0" encoding="utf-8"?>
<formControlPr xmlns="http://schemas.microsoft.com/office/spreadsheetml/2009/9/main" objectType="CheckBox" fmlaLink="B25" lockText="1" noThreeD="1"/>
</file>

<file path=xl/ctrlProps/ctrlProp259.xml><?xml version="1.0" encoding="utf-8"?>
<formControlPr xmlns="http://schemas.microsoft.com/office/spreadsheetml/2009/9/main" objectType="CheckBox" fmlaLink="G25" lockText="1" noThreeD="1"/>
</file>

<file path=xl/ctrlProps/ctrlProp260.xml><?xml version="1.0" encoding="utf-8"?>
<formControlPr xmlns="http://schemas.microsoft.com/office/spreadsheetml/2009/9/main" objectType="CheckBox" fmlaLink="L25" lockText="1" noThreeD="1"/>
</file>

<file path=xl/ctrlProps/ctrlProp261.xml><?xml version="1.0" encoding="utf-8"?>
<formControlPr xmlns="http://schemas.microsoft.com/office/spreadsheetml/2009/9/main" objectType="CheckBox" fmlaLink="G21" lockText="1" noThreeD="1"/>
</file>

<file path=xl/ctrlProps/ctrlProp262.xml><?xml version="1.0" encoding="utf-8"?>
<formControlPr xmlns="http://schemas.microsoft.com/office/spreadsheetml/2009/9/main" objectType="CheckBox" fmlaLink="B29" lockText="1" noThreeD="1"/>
</file>

<file path=xl/ctrlProps/ctrlProp263.xml><?xml version="1.0" encoding="utf-8"?>
<formControlPr xmlns="http://schemas.microsoft.com/office/spreadsheetml/2009/9/main" objectType="CheckBox" fmlaLink="G29" lockText="1" noThreeD="1"/>
</file>

<file path=xl/ctrlProps/ctrlProp264.xml><?xml version="1.0" encoding="utf-8"?>
<formControlPr xmlns="http://schemas.microsoft.com/office/spreadsheetml/2009/9/main" objectType="CheckBox" fmlaLink="L29" lockText="1" noThreeD="1"/>
</file>

<file path=xl/ctrlProps/ctrlProp265.xml><?xml version="1.0" encoding="utf-8"?>
<formControlPr xmlns="http://schemas.microsoft.com/office/spreadsheetml/2009/9/main" objectType="CheckBox" fmlaLink="B38" lockText="1" noThreeD="1"/>
</file>

<file path=xl/ctrlProps/ctrlProp266.xml><?xml version="1.0" encoding="utf-8"?>
<formControlPr xmlns="http://schemas.microsoft.com/office/spreadsheetml/2009/9/main" objectType="CheckBox" fmlaLink="G38" lockText="1" noThreeD="1"/>
</file>

<file path=xl/ctrlProps/ctrlProp267.xml><?xml version="1.0" encoding="utf-8"?>
<formControlPr xmlns="http://schemas.microsoft.com/office/spreadsheetml/2009/9/main" objectType="CheckBox" fmlaLink="L38" lockText="1" noThreeD="1"/>
</file>

<file path=xl/ctrlProps/ctrlProp268.xml><?xml version="1.0" encoding="utf-8"?>
<formControlPr xmlns="http://schemas.microsoft.com/office/spreadsheetml/2009/9/main" objectType="CheckBox" fmlaLink="B44" lockText="1" noThreeD="1"/>
</file>

<file path=xl/ctrlProps/ctrlProp269.xml><?xml version="1.0" encoding="utf-8"?>
<formControlPr xmlns="http://schemas.microsoft.com/office/spreadsheetml/2009/9/main" objectType="CheckBox" fmlaLink="G44" lockText="1" noThreeD="1"/>
</file>

<file path=xl/ctrlProps/ctrlProp270.xml><?xml version="1.0" encoding="utf-8"?>
<formControlPr xmlns="http://schemas.microsoft.com/office/spreadsheetml/2009/9/main" objectType="CheckBox" fmlaLink="B39" lockText="1" noThreeD="1"/>
</file>

<file path=xl/ctrlProps/ctrlProp271.xml><?xml version="1.0" encoding="utf-8"?>
<formControlPr xmlns="http://schemas.microsoft.com/office/spreadsheetml/2009/9/main" objectType="CheckBox" fmlaLink="B18" lockText="1" noThreeD="1"/>
</file>

<file path=xl/ctrlProps/ctrlProp272.xml><?xml version="1.0" encoding="utf-8"?>
<formControlPr xmlns="http://schemas.microsoft.com/office/spreadsheetml/2009/9/main" objectType="CheckBox" fmlaLink="B32" lockText="1" noThreeD="1"/>
</file>

<file path=xl/ctrlProps/ctrlProp273.xml><?xml version="1.0" encoding="utf-8"?>
<formControlPr xmlns="http://schemas.microsoft.com/office/spreadsheetml/2009/9/main" objectType="CheckBox" fmlaLink="B33" lockText="1" noThreeD="1"/>
</file>

<file path=xl/ctrlProps/ctrlProp274.xml><?xml version="1.0" encoding="utf-8"?>
<formControlPr xmlns="http://schemas.microsoft.com/office/spreadsheetml/2009/9/main" objectType="CheckBox" fmlaLink="B34" lockText="1" noThreeD="1"/>
</file>

<file path=xl/ctrlProps/ctrlProp275.xml><?xml version="1.0" encoding="utf-8"?>
<formControlPr xmlns="http://schemas.microsoft.com/office/spreadsheetml/2009/9/main" objectType="CheckBox" fmlaLink="G32" lockText="1" noThreeD="1"/>
</file>

<file path=xl/ctrlProps/ctrlProp276.xml><?xml version="1.0" encoding="utf-8"?>
<formControlPr xmlns="http://schemas.microsoft.com/office/spreadsheetml/2009/9/main" objectType="CheckBox" fmlaLink="G33" lockText="1" noThreeD="1"/>
</file>

<file path=xl/ctrlProps/ctrlProp277.xml><?xml version="1.0" encoding="utf-8"?>
<formControlPr xmlns="http://schemas.microsoft.com/office/spreadsheetml/2009/9/main" objectType="CheckBox" fmlaLink="G34" lockText="1" noThreeD="1"/>
</file>

<file path=xl/ctrlProps/ctrlProp278.xml><?xml version="1.0" encoding="utf-8"?>
<formControlPr xmlns="http://schemas.microsoft.com/office/spreadsheetml/2009/9/main" objectType="CheckBox" fmlaLink="L32" lockText="1" noThreeD="1"/>
</file>

<file path=xl/ctrlProps/ctrlProp279.xml><?xml version="1.0" encoding="utf-8"?>
<formControlPr xmlns="http://schemas.microsoft.com/office/spreadsheetml/2009/9/main" objectType="CheckBox" fmlaLink="L33" lockText="1" noThreeD="1"/>
</file>

<file path=xl/ctrlProps/ctrlProp280.xml><?xml version="1.0" encoding="utf-8"?>
<formControlPr xmlns="http://schemas.microsoft.com/office/spreadsheetml/2009/9/main" objectType="CheckBox" fmlaLink="B9" lockText="1" noThreeD="1"/>
</file>

<file path=xl/ctrlProps/ctrlProp281.xml><?xml version="1.0" encoding="utf-8"?>
<formControlPr xmlns="http://schemas.microsoft.com/office/spreadsheetml/2009/9/main" objectType="CheckBox" fmlaLink="G9" lockText="1" noThreeD="1"/>
</file>

<file path=xl/ctrlProps/ctrlProp282.xml><?xml version="1.0" encoding="utf-8"?>
<formControlPr xmlns="http://schemas.microsoft.com/office/spreadsheetml/2009/9/main" objectType="CheckBox" fmlaLink="G12" lockText="1" noThreeD="1"/>
</file>

<file path=xl/ctrlProps/ctrlProp283.xml><?xml version="1.0" encoding="utf-8"?>
<formControlPr xmlns="http://schemas.microsoft.com/office/spreadsheetml/2009/9/main" objectType="CheckBox" fmlaLink="G13" lockText="1" noThreeD="1"/>
</file>

<file path=xl/ctrlProps/ctrlProp284.xml><?xml version="1.0" encoding="utf-8"?>
<formControlPr xmlns="http://schemas.microsoft.com/office/spreadsheetml/2009/9/main" objectType="CheckBox" fmlaLink="G16" lockText="1" noThreeD="1"/>
</file>

<file path=xl/ctrlProps/ctrlProp285.xml><?xml version="1.0" encoding="utf-8"?>
<formControlPr xmlns="http://schemas.microsoft.com/office/spreadsheetml/2009/9/main" objectType="CheckBox" fmlaLink="G17" lockText="1" noThreeD="1"/>
</file>

<file path=xl/ctrlProps/ctrlProp286.xml><?xml version="1.0" encoding="utf-8"?>
<formControlPr xmlns="http://schemas.microsoft.com/office/spreadsheetml/2009/9/main" objectType="CheckBox" fmlaLink="L16" lockText="1" noThreeD="1"/>
</file>

<file path=xl/ctrlProps/ctrlProp287.xml><?xml version="1.0" encoding="utf-8"?>
<formControlPr xmlns="http://schemas.microsoft.com/office/spreadsheetml/2009/9/main" objectType="CheckBox" fmlaLink="L17" lockText="1" noThreeD="1"/>
</file>

<file path=xl/ctrlProps/ctrlProp288.xml><?xml version="1.0" encoding="utf-8"?>
<formControlPr xmlns="http://schemas.microsoft.com/office/spreadsheetml/2009/9/main" objectType="CheckBox" fmlaLink="B16" lockText="1" noThreeD="1"/>
</file>

<file path=xl/ctrlProps/ctrlProp289.xml><?xml version="1.0" encoding="utf-8"?>
<formControlPr xmlns="http://schemas.microsoft.com/office/spreadsheetml/2009/9/main" objectType="CheckBox" fmlaLink="B17" lockText="1" noThreeD="1"/>
</file>

<file path=xl/ctrlProps/ctrlProp290.xml><?xml version="1.0" encoding="utf-8"?>
<formControlPr xmlns="http://schemas.microsoft.com/office/spreadsheetml/2009/9/main" objectType="CheckBox" fmlaLink="B12" lockText="1" noThreeD="1"/>
</file>

<file path=xl/ctrlProps/ctrlProp291.xml><?xml version="1.0" encoding="utf-8"?>
<formControlPr xmlns="http://schemas.microsoft.com/office/spreadsheetml/2009/9/main" objectType="CheckBox" fmlaLink="B13" lockText="1" noThreeD="1"/>
</file>

<file path=xl/ctrlProps/ctrlProp292.xml><?xml version="1.0" encoding="utf-8"?>
<formControlPr xmlns="http://schemas.microsoft.com/office/spreadsheetml/2009/9/main" objectType="CheckBox" fmlaLink="B21" lockText="1" noThreeD="1"/>
</file>

<file path=xl/ctrlProps/ctrlProp293.xml><?xml version="1.0" encoding="utf-8"?>
<formControlPr xmlns="http://schemas.microsoft.com/office/spreadsheetml/2009/9/main" objectType="CheckBox" fmlaLink="B25" lockText="1" noThreeD="1"/>
</file>

<file path=xl/ctrlProps/ctrlProp294.xml><?xml version="1.0" encoding="utf-8"?>
<formControlPr xmlns="http://schemas.microsoft.com/office/spreadsheetml/2009/9/main" objectType="CheckBox" fmlaLink="G25" lockText="1" noThreeD="1"/>
</file>

<file path=xl/ctrlProps/ctrlProp295.xml><?xml version="1.0" encoding="utf-8"?>
<formControlPr xmlns="http://schemas.microsoft.com/office/spreadsheetml/2009/9/main" objectType="CheckBox" fmlaLink="L25" lockText="1" noThreeD="1"/>
</file>

<file path=xl/ctrlProps/ctrlProp296.xml><?xml version="1.0" encoding="utf-8"?>
<formControlPr xmlns="http://schemas.microsoft.com/office/spreadsheetml/2009/9/main" objectType="CheckBox" fmlaLink="G21" lockText="1" noThreeD="1"/>
</file>

<file path=xl/ctrlProps/ctrlProp297.xml><?xml version="1.0" encoding="utf-8"?>
<formControlPr xmlns="http://schemas.microsoft.com/office/spreadsheetml/2009/9/main" objectType="CheckBox" fmlaLink="B29" lockText="1" noThreeD="1"/>
</file>

<file path=xl/ctrlProps/ctrlProp298.xml><?xml version="1.0" encoding="utf-8"?>
<formControlPr xmlns="http://schemas.microsoft.com/office/spreadsheetml/2009/9/main" objectType="CheckBox" fmlaLink="G29" lockText="1" noThreeD="1"/>
</file>

<file path=xl/ctrlProps/ctrlProp299.xml><?xml version="1.0" encoding="utf-8"?>
<formControlPr xmlns="http://schemas.microsoft.com/office/spreadsheetml/2009/9/main" objectType="CheckBox" fmlaLink="L29" lockText="1" noThreeD="1"/>
</file>

<file path=xl/ctrlProps/ctrlProp300.xml><?xml version="1.0" encoding="utf-8"?>
<formControlPr xmlns="http://schemas.microsoft.com/office/spreadsheetml/2009/9/main" objectType="CheckBox" fmlaLink="B38" lockText="1" noThreeD="1"/>
</file>

<file path=xl/ctrlProps/ctrlProp301.xml><?xml version="1.0" encoding="utf-8"?>
<formControlPr xmlns="http://schemas.microsoft.com/office/spreadsheetml/2009/9/main" objectType="CheckBox" fmlaLink="G38" lockText="1" noThreeD="1"/>
</file>

<file path=xl/ctrlProps/ctrlProp302.xml><?xml version="1.0" encoding="utf-8"?>
<formControlPr xmlns="http://schemas.microsoft.com/office/spreadsheetml/2009/9/main" objectType="CheckBox" fmlaLink="L38" lockText="1" noThreeD="1"/>
</file>

<file path=xl/ctrlProps/ctrlProp303.xml><?xml version="1.0" encoding="utf-8"?>
<formControlPr xmlns="http://schemas.microsoft.com/office/spreadsheetml/2009/9/main" objectType="CheckBox" fmlaLink="B44" lockText="1" noThreeD="1"/>
</file>

<file path=xl/ctrlProps/ctrlProp304.xml><?xml version="1.0" encoding="utf-8"?>
<formControlPr xmlns="http://schemas.microsoft.com/office/spreadsheetml/2009/9/main" objectType="CheckBox" fmlaLink="G44" lockText="1" noThreeD="1"/>
</file>

<file path=xl/ctrlProps/ctrlProp305.xml><?xml version="1.0" encoding="utf-8"?>
<formControlPr xmlns="http://schemas.microsoft.com/office/spreadsheetml/2009/9/main" objectType="CheckBox" fmlaLink="B39" lockText="1" noThreeD="1"/>
</file>

<file path=xl/ctrlProps/ctrlProp306.xml><?xml version="1.0" encoding="utf-8"?>
<formControlPr xmlns="http://schemas.microsoft.com/office/spreadsheetml/2009/9/main" objectType="CheckBox" fmlaLink="B18" lockText="1" noThreeD="1"/>
</file>

<file path=xl/ctrlProps/ctrlProp307.xml><?xml version="1.0" encoding="utf-8"?>
<formControlPr xmlns="http://schemas.microsoft.com/office/spreadsheetml/2009/9/main" objectType="CheckBox" fmlaLink="B32" lockText="1" noThreeD="1"/>
</file>

<file path=xl/ctrlProps/ctrlProp308.xml><?xml version="1.0" encoding="utf-8"?>
<formControlPr xmlns="http://schemas.microsoft.com/office/spreadsheetml/2009/9/main" objectType="CheckBox" fmlaLink="B33" lockText="1" noThreeD="1"/>
</file>

<file path=xl/ctrlProps/ctrlProp309.xml><?xml version="1.0" encoding="utf-8"?>
<formControlPr xmlns="http://schemas.microsoft.com/office/spreadsheetml/2009/9/main" objectType="CheckBox" fmlaLink="B34" lockText="1" noThreeD="1"/>
</file>

<file path=xl/ctrlProps/ctrlProp310.xml><?xml version="1.0" encoding="utf-8"?>
<formControlPr xmlns="http://schemas.microsoft.com/office/spreadsheetml/2009/9/main" objectType="CheckBox" fmlaLink="G32" lockText="1" noThreeD="1"/>
</file>

<file path=xl/ctrlProps/ctrlProp311.xml><?xml version="1.0" encoding="utf-8"?>
<formControlPr xmlns="http://schemas.microsoft.com/office/spreadsheetml/2009/9/main" objectType="CheckBox" fmlaLink="G33" lockText="1" noThreeD="1"/>
</file>

<file path=xl/ctrlProps/ctrlProp312.xml><?xml version="1.0" encoding="utf-8"?>
<formControlPr xmlns="http://schemas.microsoft.com/office/spreadsheetml/2009/9/main" objectType="CheckBox" fmlaLink="G34" lockText="1" noThreeD="1"/>
</file>

<file path=xl/ctrlProps/ctrlProp313.xml><?xml version="1.0" encoding="utf-8"?>
<formControlPr xmlns="http://schemas.microsoft.com/office/spreadsheetml/2009/9/main" objectType="CheckBox" fmlaLink="L32" lockText="1" noThreeD="1"/>
</file>

<file path=xl/ctrlProps/ctrlProp314.xml><?xml version="1.0" encoding="utf-8"?>
<formControlPr xmlns="http://schemas.microsoft.com/office/spreadsheetml/2009/9/main" objectType="CheckBox" fmlaLink="L33" lockText="1" noThreeD="1"/>
</file>

<file path=xl/ctrlProps/ctrlProp315.xml><?xml version="1.0" encoding="utf-8"?>
<formControlPr xmlns="http://schemas.microsoft.com/office/spreadsheetml/2009/9/main" objectType="CheckBox" fmlaLink="B9" lockText="1" noThreeD="1"/>
</file>

<file path=xl/ctrlProps/ctrlProp316.xml><?xml version="1.0" encoding="utf-8"?>
<formControlPr xmlns="http://schemas.microsoft.com/office/spreadsheetml/2009/9/main" objectType="CheckBox" fmlaLink="G9" lockText="1" noThreeD="1"/>
</file>

<file path=xl/ctrlProps/ctrlProp317.xml><?xml version="1.0" encoding="utf-8"?>
<formControlPr xmlns="http://schemas.microsoft.com/office/spreadsheetml/2009/9/main" objectType="CheckBox" fmlaLink="G12" lockText="1" noThreeD="1"/>
</file>

<file path=xl/ctrlProps/ctrlProp318.xml><?xml version="1.0" encoding="utf-8"?>
<formControlPr xmlns="http://schemas.microsoft.com/office/spreadsheetml/2009/9/main" objectType="CheckBox" fmlaLink="G13" lockText="1" noThreeD="1"/>
</file>

<file path=xl/ctrlProps/ctrlProp319.xml><?xml version="1.0" encoding="utf-8"?>
<formControlPr xmlns="http://schemas.microsoft.com/office/spreadsheetml/2009/9/main" objectType="CheckBox" fmlaLink="G16" lockText="1" noThreeD="1"/>
</file>

<file path=xl/ctrlProps/ctrlProp320.xml><?xml version="1.0" encoding="utf-8"?>
<formControlPr xmlns="http://schemas.microsoft.com/office/spreadsheetml/2009/9/main" objectType="CheckBox" fmlaLink="G17" lockText="1" noThreeD="1"/>
</file>

<file path=xl/ctrlProps/ctrlProp321.xml><?xml version="1.0" encoding="utf-8"?>
<formControlPr xmlns="http://schemas.microsoft.com/office/spreadsheetml/2009/9/main" objectType="CheckBox" fmlaLink="L16" lockText="1" noThreeD="1"/>
</file>

<file path=xl/ctrlProps/ctrlProp322.xml><?xml version="1.0" encoding="utf-8"?>
<formControlPr xmlns="http://schemas.microsoft.com/office/spreadsheetml/2009/9/main" objectType="CheckBox" fmlaLink="L17" lockText="1" noThreeD="1"/>
</file>

<file path=xl/ctrlProps/ctrlProp323.xml><?xml version="1.0" encoding="utf-8"?>
<formControlPr xmlns="http://schemas.microsoft.com/office/spreadsheetml/2009/9/main" objectType="CheckBox" fmlaLink="B16" lockText="1" noThreeD="1"/>
</file>

<file path=xl/ctrlProps/ctrlProp324.xml><?xml version="1.0" encoding="utf-8"?>
<formControlPr xmlns="http://schemas.microsoft.com/office/spreadsheetml/2009/9/main" objectType="CheckBox" fmlaLink="B17" lockText="1" noThreeD="1"/>
</file>

<file path=xl/ctrlProps/ctrlProp325.xml><?xml version="1.0" encoding="utf-8"?>
<formControlPr xmlns="http://schemas.microsoft.com/office/spreadsheetml/2009/9/main" objectType="CheckBox" fmlaLink="B12" lockText="1" noThreeD="1"/>
</file>

<file path=xl/ctrlProps/ctrlProp326.xml><?xml version="1.0" encoding="utf-8"?>
<formControlPr xmlns="http://schemas.microsoft.com/office/spreadsheetml/2009/9/main" objectType="CheckBox" fmlaLink="B13" lockText="1" noThreeD="1"/>
</file>

<file path=xl/ctrlProps/ctrlProp327.xml><?xml version="1.0" encoding="utf-8"?>
<formControlPr xmlns="http://schemas.microsoft.com/office/spreadsheetml/2009/9/main" objectType="CheckBox" fmlaLink="B21" lockText="1" noThreeD="1"/>
</file>

<file path=xl/ctrlProps/ctrlProp328.xml><?xml version="1.0" encoding="utf-8"?>
<formControlPr xmlns="http://schemas.microsoft.com/office/spreadsheetml/2009/9/main" objectType="CheckBox" fmlaLink="B25" lockText="1" noThreeD="1"/>
</file>

<file path=xl/ctrlProps/ctrlProp329.xml><?xml version="1.0" encoding="utf-8"?>
<formControlPr xmlns="http://schemas.microsoft.com/office/spreadsheetml/2009/9/main" objectType="CheckBox" fmlaLink="G25" lockText="1" noThreeD="1"/>
</file>

<file path=xl/ctrlProps/ctrlProp330.xml><?xml version="1.0" encoding="utf-8"?>
<formControlPr xmlns="http://schemas.microsoft.com/office/spreadsheetml/2009/9/main" objectType="CheckBox" fmlaLink="L25" lockText="1" noThreeD="1"/>
</file>

<file path=xl/ctrlProps/ctrlProp331.xml><?xml version="1.0" encoding="utf-8"?>
<formControlPr xmlns="http://schemas.microsoft.com/office/spreadsheetml/2009/9/main" objectType="CheckBox" fmlaLink="G21" lockText="1" noThreeD="1"/>
</file>

<file path=xl/ctrlProps/ctrlProp332.xml><?xml version="1.0" encoding="utf-8"?>
<formControlPr xmlns="http://schemas.microsoft.com/office/spreadsheetml/2009/9/main" objectType="CheckBox" fmlaLink="B29" lockText="1" noThreeD="1"/>
</file>

<file path=xl/ctrlProps/ctrlProp333.xml><?xml version="1.0" encoding="utf-8"?>
<formControlPr xmlns="http://schemas.microsoft.com/office/spreadsheetml/2009/9/main" objectType="CheckBox" fmlaLink="G29" lockText="1" noThreeD="1"/>
</file>

<file path=xl/ctrlProps/ctrlProp334.xml><?xml version="1.0" encoding="utf-8"?>
<formControlPr xmlns="http://schemas.microsoft.com/office/spreadsheetml/2009/9/main" objectType="CheckBox" fmlaLink="L29" lockText="1" noThreeD="1"/>
</file>

<file path=xl/ctrlProps/ctrlProp335.xml><?xml version="1.0" encoding="utf-8"?>
<formControlPr xmlns="http://schemas.microsoft.com/office/spreadsheetml/2009/9/main" objectType="CheckBox" fmlaLink="B38" lockText="1" noThreeD="1"/>
</file>

<file path=xl/ctrlProps/ctrlProp336.xml><?xml version="1.0" encoding="utf-8"?>
<formControlPr xmlns="http://schemas.microsoft.com/office/spreadsheetml/2009/9/main" objectType="CheckBox" fmlaLink="G38" lockText="1" noThreeD="1"/>
</file>

<file path=xl/ctrlProps/ctrlProp337.xml><?xml version="1.0" encoding="utf-8"?>
<formControlPr xmlns="http://schemas.microsoft.com/office/spreadsheetml/2009/9/main" objectType="CheckBox" fmlaLink="L38" lockText="1" noThreeD="1"/>
</file>

<file path=xl/ctrlProps/ctrlProp338.xml><?xml version="1.0" encoding="utf-8"?>
<formControlPr xmlns="http://schemas.microsoft.com/office/spreadsheetml/2009/9/main" objectType="CheckBox" fmlaLink="B44" lockText="1" noThreeD="1"/>
</file>

<file path=xl/ctrlProps/ctrlProp339.xml><?xml version="1.0" encoding="utf-8"?>
<formControlPr xmlns="http://schemas.microsoft.com/office/spreadsheetml/2009/9/main" objectType="CheckBox" fmlaLink="G44" lockText="1" noThreeD="1"/>
</file>

<file path=xl/ctrlProps/ctrlProp340.xml><?xml version="1.0" encoding="utf-8"?>
<formControlPr xmlns="http://schemas.microsoft.com/office/spreadsheetml/2009/9/main" objectType="CheckBox" fmlaLink="B39" lockText="1" noThreeD="1"/>
</file>

<file path=xl/ctrlProps/ctrlProp341.xml><?xml version="1.0" encoding="utf-8"?>
<formControlPr xmlns="http://schemas.microsoft.com/office/spreadsheetml/2009/9/main" objectType="CheckBox" fmlaLink="B18" lockText="1" noThreeD="1"/>
</file>

<file path=xl/ctrlProps/ctrlProp342.xml><?xml version="1.0" encoding="utf-8"?>
<formControlPr xmlns="http://schemas.microsoft.com/office/spreadsheetml/2009/9/main" objectType="CheckBox" fmlaLink="B32" lockText="1" noThreeD="1"/>
</file>

<file path=xl/ctrlProps/ctrlProp343.xml><?xml version="1.0" encoding="utf-8"?>
<formControlPr xmlns="http://schemas.microsoft.com/office/spreadsheetml/2009/9/main" objectType="CheckBox" fmlaLink="B33" lockText="1" noThreeD="1"/>
</file>

<file path=xl/ctrlProps/ctrlProp344.xml><?xml version="1.0" encoding="utf-8"?>
<formControlPr xmlns="http://schemas.microsoft.com/office/spreadsheetml/2009/9/main" objectType="CheckBox" fmlaLink="B34" lockText="1" noThreeD="1"/>
</file>

<file path=xl/ctrlProps/ctrlProp345.xml><?xml version="1.0" encoding="utf-8"?>
<formControlPr xmlns="http://schemas.microsoft.com/office/spreadsheetml/2009/9/main" objectType="CheckBox" fmlaLink="G32" lockText="1" noThreeD="1"/>
</file>

<file path=xl/ctrlProps/ctrlProp346.xml><?xml version="1.0" encoding="utf-8"?>
<formControlPr xmlns="http://schemas.microsoft.com/office/spreadsheetml/2009/9/main" objectType="CheckBox" fmlaLink="G33" lockText="1" noThreeD="1"/>
</file>

<file path=xl/ctrlProps/ctrlProp347.xml><?xml version="1.0" encoding="utf-8"?>
<formControlPr xmlns="http://schemas.microsoft.com/office/spreadsheetml/2009/9/main" objectType="CheckBox" fmlaLink="G34" lockText="1" noThreeD="1"/>
</file>

<file path=xl/ctrlProps/ctrlProp348.xml><?xml version="1.0" encoding="utf-8"?>
<formControlPr xmlns="http://schemas.microsoft.com/office/spreadsheetml/2009/9/main" objectType="CheckBox" fmlaLink="L32" lockText="1" noThreeD="1"/>
</file>

<file path=xl/ctrlProps/ctrlProp349.xml><?xml version="1.0" encoding="utf-8"?>
<formControlPr xmlns="http://schemas.microsoft.com/office/spreadsheetml/2009/9/main" objectType="CheckBox" fmlaLink="L33" lockText="1" noThreeD="1"/>
</file>

<file path=xl/ctrlProps/ctrlProp350.xml><?xml version="1.0" encoding="utf-8"?>
<formControlPr xmlns="http://schemas.microsoft.com/office/spreadsheetml/2009/9/main" objectType="CheckBox" fmlaLink="B9" lockText="1" noThreeD="1"/>
</file>

<file path=xl/ctrlProps/ctrlProp351.xml><?xml version="1.0" encoding="utf-8"?>
<formControlPr xmlns="http://schemas.microsoft.com/office/spreadsheetml/2009/9/main" objectType="CheckBox" fmlaLink="G9" lockText="1" noThreeD="1"/>
</file>

<file path=xl/ctrlProps/ctrlProp352.xml><?xml version="1.0" encoding="utf-8"?>
<formControlPr xmlns="http://schemas.microsoft.com/office/spreadsheetml/2009/9/main" objectType="CheckBox" fmlaLink="G12" lockText="1" noThreeD="1"/>
</file>

<file path=xl/ctrlProps/ctrlProp353.xml><?xml version="1.0" encoding="utf-8"?>
<formControlPr xmlns="http://schemas.microsoft.com/office/spreadsheetml/2009/9/main" objectType="CheckBox" fmlaLink="G13" lockText="1" noThreeD="1"/>
</file>

<file path=xl/ctrlProps/ctrlProp354.xml><?xml version="1.0" encoding="utf-8"?>
<formControlPr xmlns="http://schemas.microsoft.com/office/spreadsheetml/2009/9/main" objectType="CheckBox" fmlaLink="G16" lockText="1" noThreeD="1"/>
</file>

<file path=xl/ctrlProps/ctrlProp355.xml><?xml version="1.0" encoding="utf-8"?>
<formControlPr xmlns="http://schemas.microsoft.com/office/spreadsheetml/2009/9/main" objectType="CheckBox" fmlaLink="G17" lockText="1" noThreeD="1"/>
</file>

<file path=xl/ctrlProps/ctrlProp356.xml><?xml version="1.0" encoding="utf-8"?>
<formControlPr xmlns="http://schemas.microsoft.com/office/spreadsheetml/2009/9/main" objectType="CheckBox" fmlaLink="L16" lockText="1" noThreeD="1"/>
</file>

<file path=xl/ctrlProps/ctrlProp357.xml><?xml version="1.0" encoding="utf-8"?>
<formControlPr xmlns="http://schemas.microsoft.com/office/spreadsheetml/2009/9/main" objectType="CheckBox" fmlaLink="L17" lockText="1" noThreeD="1"/>
</file>

<file path=xl/ctrlProps/ctrlProp358.xml><?xml version="1.0" encoding="utf-8"?>
<formControlPr xmlns="http://schemas.microsoft.com/office/spreadsheetml/2009/9/main" objectType="CheckBox" fmlaLink="B16" lockText="1" noThreeD="1"/>
</file>

<file path=xl/ctrlProps/ctrlProp359.xml><?xml version="1.0" encoding="utf-8"?>
<formControlPr xmlns="http://schemas.microsoft.com/office/spreadsheetml/2009/9/main" objectType="CheckBox" fmlaLink="B17" lockText="1" noThreeD="1"/>
</file>

<file path=xl/ctrlProps/ctrlProp360.xml><?xml version="1.0" encoding="utf-8"?>
<formControlPr xmlns="http://schemas.microsoft.com/office/spreadsheetml/2009/9/main" objectType="CheckBox" fmlaLink="B12" lockText="1" noThreeD="1"/>
</file>

<file path=xl/ctrlProps/ctrlProp361.xml><?xml version="1.0" encoding="utf-8"?>
<formControlPr xmlns="http://schemas.microsoft.com/office/spreadsheetml/2009/9/main" objectType="CheckBox" fmlaLink="B13" lockText="1" noThreeD="1"/>
</file>

<file path=xl/ctrlProps/ctrlProp362.xml><?xml version="1.0" encoding="utf-8"?>
<formControlPr xmlns="http://schemas.microsoft.com/office/spreadsheetml/2009/9/main" objectType="CheckBox" fmlaLink="B21" lockText="1" noThreeD="1"/>
</file>

<file path=xl/ctrlProps/ctrlProp363.xml><?xml version="1.0" encoding="utf-8"?>
<formControlPr xmlns="http://schemas.microsoft.com/office/spreadsheetml/2009/9/main" objectType="CheckBox" fmlaLink="B25" lockText="1" noThreeD="1"/>
</file>

<file path=xl/ctrlProps/ctrlProp364.xml><?xml version="1.0" encoding="utf-8"?>
<formControlPr xmlns="http://schemas.microsoft.com/office/spreadsheetml/2009/9/main" objectType="CheckBox" fmlaLink="G25" lockText="1" noThreeD="1"/>
</file>

<file path=xl/ctrlProps/ctrlProp365.xml><?xml version="1.0" encoding="utf-8"?>
<formControlPr xmlns="http://schemas.microsoft.com/office/spreadsheetml/2009/9/main" objectType="CheckBox" fmlaLink="L25" lockText="1" noThreeD="1"/>
</file>

<file path=xl/ctrlProps/ctrlProp366.xml><?xml version="1.0" encoding="utf-8"?>
<formControlPr xmlns="http://schemas.microsoft.com/office/spreadsheetml/2009/9/main" objectType="CheckBox" fmlaLink="G21" lockText="1" noThreeD="1"/>
</file>

<file path=xl/ctrlProps/ctrlProp367.xml><?xml version="1.0" encoding="utf-8"?>
<formControlPr xmlns="http://schemas.microsoft.com/office/spreadsheetml/2009/9/main" objectType="CheckBox" fmlaLink="B29" lockText="1" noThreeD="1"/>
</file>

<file path=xl/ctrlProps/ctrlProp368.xml><?xml version="1.0" encoding="utf-8"?>
<formControlPr xmlns="http://schemas.microsoft.com/office/spreadsheetml/2009/9/main" objectType="CheckBox" fmlaLink="G29" lockText="1" noThreeD="1"/>
</file>

<file path=xl/ctrlProps/ctrlProp369.xml><?xml version="1.0" encoding="utf-8"?>
<formControlPr xmlns="http://schemas.microsoft.com/office/spreadsheetml/2009/9/main" objectType="CheckBox" fmlaLink="L29" lockText="1" noThreeD="1"/>
</file>

<file path=xl/ctrlProps/ctrlProp370.xml><?xml version="1.0" encoding="utf-8"?>
<formControlPr xmlns="http://schemas.microsoft.com/office/spreadsheetml/2009/9/main" objectType="CheckBox" fmlaLink="B38" lockText="1" noThreeD="1"/>
</file>

<file path=xl/ctrlProps/ctrlProp371.xml><?xml version="1.0" encoding="utf-8"?>
<formControlPr xmlns="http://schemas.microsoft.com/office/spreadsheetml/2009/9/main" objectType="CheckBox" fmlaLink="G38" lockText="1" noThreeD="1"/>
</file>

<file path=xl/ctrlProps/ctrlProp372.xml><?xml version="1.0" encoding="utf-8"?>
<formControlPr xmlns="http://schemas.microsoft.com/office/spreadsheetml/2009/9/main" objectType="CheckBox" fmlaLink="L38" lockText="1" noThreeD="1"/>
</file>

<file path=xl/ctrlProps/ctrlProp373.xml><?xml version="1.0" encoding="utf-8"?>
<formControlPr xmlns="http://schemas.microsoft.com/office/spreadsheetml/2009/9/main" objectType="CheckBox" fmlaLink="B44" lockText="1" noThreeD="1"/>
</file>

<file path=xl/ctrlProps/ctrlProp374.xml><?xml version="1.0" encoding="utf-8"?>
<formControlPr xmlns="http://schemas.microsoft.com/office/spreadsheetml/2009/9/main" objectType="CheckBox" fmlaLink="G44" lockText="1" noThreeD="1"/>
</file>

<file path=xl/ctrlProps/ctrlProp375.xml><?xml version="1.0" encoding="utf-8"?>
<formControlPr xmlns="http://schemas.microsoft.com/office/spreadsheetml/2009/9/main" objectType="CheckBox" fmlaLink="B39" lockText="1" noThreeD="1"/>
</file>

<file path=xl/ctrlProps/ctrlProp376.xml><?xml version="1.0" encoding="utf-8"?>
<formControlPr xmlns="http://schemas.microsoft.com/office/spreadsheetml/2009/9/main" objectType="CheckBox" fmlaLink="B18" lockText="1" noThreeD="1"/>
</file>

<file path=xl/ctrlProps/ctrlProp377.xml><?xml version="1.0" encoding="utf-8"?>
<formControlPr xmlns="http://schemas.microsoft.com/office/spreadsheetml/2009/9/main" objectType="CheckBox" fmlaLink="B32" lockText="1" noThreeD="1"/>
</file>

<file path=xl/ctrlProps/ctrlProp378.xml><?xml version="1.0" encoding="utf-8"?>
<formControlPr xmlns="http://schemas.microsoft.com/office/spreadsheetml/2009/9/main" objectType="CheckBox" fmlaLink="B33" lockText="1" noThreeD="1"/>
</file>

<file path=xl/ctrlProps/ctrlProp379.xml><?xml version="1.0" encoding="utf-8"?>
<formControlPr xmlns="http://schemas.microsoft.com/office/spreadsheetml/2009/9/main" objectType="CheckBox" fmlaLink="B34" lockText="1" noThreeD="1"/>
</file>

<file path=xl/ctrlProps/ctrlProp380.xml><?xml version="1.0" encoding="utf-8"?>
<formControlPr xmlns="http://schemas.microsoft.com/office/spreadsheetml/2009/9/main" objectType="CheckBox" fmlaLink="G32" lockText="1" noThreeD="1"/>
</file>

<file path=xl/ctrlProps/ctrlProp381.xml><?xml version="1.0" encoding="utf-8"?>
<formControlPr xmlns="http://schemas.microsoft.com/office/spreadsheetml/2009/9/main" objectType="CheckBox" fmlaLink="G33" lockText="1" noThreeD="1"/>
</file>

<file path=xl/ctrlProps/ctrlProp382.xml><?xml version="1.0" encoding="utf-8"?>
<formControlPr xmlns="http://schemas.microsoft.com/office/spreadsheetml/2009/9/main" objectType="CheckBox" fmlaLink="G34" lockText="1" noThreeD="1"/>
</file>

<file path=xl/ctrlProps/ctrlProp383.xml><?xml version="1.0" encoding="utf-8"?>
<formControlPr xmlns="http://schemas.microsoft.com/office/spreadsheetml/2009/9/main" objectType="CheckBox" fmlaLink="L32" lockText="1" noThreeD="1"/>
</file>

<file path=xl/ctrlProps/ctrlProp384.xml><?xml version="1.0" encoding="utf-8"?>
<formControlPr xmlns="http://schemas.microsoft.com/office/spreadsheetml/2009/9/main" objectType="CheckBox" fmlaLink="L33" lockText="1" noThreeD="1"/>
</file>

<file path=xl/ctrlProps/ctrlProp385.xml><?xml version="1.0" encoding="utf-8"?>
<formControlPr xmlns="http://schemas.microsoft.com/office/spreadsheetml/2009/9/main" objectType="CheckBox" fmlaLink="B9" lockText="1" noThreeD="1"/>
</file>

<file path=xl/ctrlProps/ctrlProp386.xml><?xml version="1.0" encoding="utf-8"?>
<formControlPr xmlns="http://schemas.microsoft.com/office/spreadsheetml/2009/9/main" objectType="CheckBox" fmlaLink="G9" lockText="1" noThreeD="1"/>
</file>

<file path=xl/ctrlProps/ctrlProp387.xml><?xml version="1.0" encoding="utf-8"?>
<formControlPr xmlns="http://schemas.microsoft.com/office/spreadsheetml/2009/9/main" objectType="CheckBox" fmlaLink="G12" lockText="1" noThreeD="1"/>
</file>

<file path=xl/ctrlProps/ctrlProp388.xml><?xml version="1.0" encoding="utf-8"?>
<formControlPr xmlns="http://schemas.microsoft.com/office/spreadsheetml/2009/9/main" objectType="CheckBox" fmlaLink="G13" lockText="1" noThreeD="1"/>
</file>

<file path=xl/ctrlProps/ctrlProp389.xml><?xml version="1.0" encoding="utf-8"?>
<formControlPr xmlns="http://schemas.microsoft.com/office/spreadsheetml/2009/9/main" objectType="CheckBox" fmlaLink="G16" lockText="1" noThreeD="1"/>
</file>

<file path=xl/ctrlProps/ctrlProp390.xml><?xml version="1.0" encoding="utf-8"?>
<formControlPr xmlns="http://schemas.microsoft.com/office/spreadsheetml/2009/9/main" objectType="CheckBox" fmlaLink="G17" lockText="1" noThreeD="1"/>
</file>

<file path=xl/ctrlProps/ctrlProp391.xml><?xml version="1.0" encoding="utf-8"?>
<formControlPr xmlns="http://schemas.microsoft.com/office/spreadsheetml/2009/9/main" objectType="CheckBox" fmlaLink="L16" lockText="1" noThreeD="1"/>
</file>

<file path=xl/ctrlProps/ctrlProp392.xml><?xml version="1.0" encoding="utf-8"?>
<formControlPr xmlns="http://schemas.microsoft.com/office/spreadsheetml/2009/9/main" objectType="CheckBox" fmlaLink="L17" lockText="1" noThreeD="1"/>
</file>

<file path=xl/ctrlProps/ctrlProp393.xml><?xml version="1.0" encoding="utf-8"?>
<formControlPr xmlns="http://schemas.microsoft.com/office/spreadsheetml/2009/9/main" objectType="CheckBox" fmlaLink="B16" lockText="1" noThreeD="1"/>
</file>

<file path=xl/ctrlProps/ctrlProp394.xml><?xml version="1.0" encoding="utf-8"?>
<formControlPr xmlns="http://schemas.microsoft.com/office/spreadsheetml/2009/9/main" objectType="CheckBox" fmlaLink="B17" lockText="1" noThreeD="1"/>
</file>

<file path=xl/ctrlProps/ctrlProp395.xml><?xml version="1.0" encoding="utf-8"?>
<formControlPr xmlns="http://schemas.microsoft.com/office/spreadsheetml/2009/9/main" objectType="CheckBox" fmlaLink="B12" lockText="1" noThreeD="1"/>
</file>

<file path=xl/ctrlProps/ctrlProp396.xml><?xml version="1.0" encoding="utf-8"?>
<formControlPr xmlns="http://schemas.microsoft.com/office/spreadsheetml/2009/9/main" objectType="CheckBox" fmlaLink="B13" lockText="1" noThreeD="1"/>
</file>

<file path=xl/ctrlProps/ctrlProp397.xml><?xml version="1.0" encoding="utf-8"?>
<formControlPr xmlns="http://schemas.microsoft.com/office/spreadsheetml/2009/9/main" objectType="CheckBox" fmlaLink="B21" lockText="1" noThreeD="1"/>
</file>

<file path=xl/ctrlProps/ctrlProp398.xml><?xml version="1.0" encoding="utf-8"?>
<formControlPr xmlns="http://schemas.microsoft.com/office/spreadsheetml/2009/9/main" objectType="CheckBox" fmlaLink="B25" lockText="1" noThreeD="1"/>
</file>

<file path=xl/ctrlProps/ctrlProp399.xml><?xml version="1.0" encoding="utf-8"?>
<formControlPr xmlns="http://schemas.microsoft.com/office/spreadsheetml/2009/9/main" objectType="CheckBox" fmlaLink="G25" lockText="1" noThreeD="1"/>
</file>

<file path=xl/ctrlProps/ctrlProp400.xml><?xml version="1.0" encoding="utf-8"?>
<formControlPr xmlns="http://schemas.microsoft.com/office/spreadsheetml/2009/9/main" objectType="CheckBox" fmlaLink="L25" lockText="1" noThreeD="1"/>
</file>

<file path=xl/ctrlProps/ctrlProp401.xml><?xml version="1.0" encoding="utf-8"?>
<formControlPr xmlns="http://schemas.microsoft.com/office/spreadsheetml/2009/9/main" objectType="CheckBox" fmlaLink="G21" lockText="1" noThreeD="1"/>
</file>

<file path=xl/ctrlProps/ctrlProp402.xml><?xml version="1.0" encoding="utf-8"?>
<formControlPr xmlns="http://schemas.microsoft.com/office/spreadsheetml/2009/9/main" objectType="CheckBox" fmlaLink="B29" lockText="1" noThreeD="1"/>
</file>

<file path=xl/ctrlProps/ctrlProp403.xml><?xml version="1.0" encoding="utf-8"?>
<formControlPr xmlns="http://schemas.microsoft.com/office/spreadsheetml/2009/9/main" objectType="CheckBox" fmlaLink="G29" lockText="1" noThreeD="1"/>
</file>

<file path=xl/ctrlProps/ctrlProp404.xml><?xml version="1.0" encoding="utf-8"?>
<formControlPr xmlns="http://schemas.microsoft.com/office/spreadsheetml/2009/9/main" objectType="CheckBox" fmlaLink="L29" lockText="1" noThreeD="1"/>
</file>

<file path=xl/ctrlProps/ctrlProp405.xml><?xml version="1.0" encoding="utf-8"?>
<formControlPr xmlns="http://schemas.microsoft.com/office/spreadsheetml/2009/9/main" objectType="CheckBox" fmlaLink="B38" lockText="1" noThreeD="1"/>
</file>

<file path=xl/ctrlProps/ctrlProp406.xml><?xml version="1.0" encoding="utf-8"?>
<formControlPr xmlns="http://schemas.microsoft.com/office/spreadsheetml/2009/9/main" objectType="CheckBox" fmlaLink="G38" lockText="1" noThreeD="1"/>
</file>

<file path=xl/ctrlProps/ctrlProp407.xml><?xml version="1.0" encoding="utf-8"?>
<formControlPr xmlns="http://schemas.microsoft.com/office/spreadsheetml/2009/9/main" objectType="CheckBox" fmlaLink="L38" lockText="1" noThreeD="1"/>
</file>

<file path=xl/ctrlProps/ctrlProp408.xml><?xml version="1.0" encoding="utf-8"?>
<formControlPr xmlns="http://schemas.microsoft.com/office/spreadsheetml/2009/9/main" objectType="CheckBox" fmlaLink="B44" lockText="1" noThreeD="1"/>
</file>

<file path=xl/ctrlProps/ctrlProp409.xml><?xml version="1.0" encoding="utf-8"?>
<formControlPr xmlns="http://schemas.microsoft.com/office/spreadsheetml/2009/9/main" objectType="CheckBox" fmlaLink="G44" lockText="1" noThreeD="1"/>
</file>

<file path=xl/ctrlProps/ctrlProp410.xml><?xml version="1.0" encoding="utf-8"?>
<formControlPr xmlns="http://schemas.microsoft.com/office/spreadsheetml/2009/9/main" objectType="CheckBox" fmlaLink="B39" lockText="1" noThreeD="1"/>
</file>

<file path=xl/ctrlProps/ctrlProp411.xml><?xml version="1.0" encoding="utf-8"?>
<formControlPr xmlns="http://schemas.microsoft.com/office/spreadsheetml/2009/9/main" objectType="CheckBox" fmlaLink="B18" lockText="1" noThreeD="1"/>
</file>

<file path=xl/ctrlProps/ctrlProp412.xml><?xml version="1.0" encoding="utf-8"?>
<formControlPr xmlns="http://schemas.microsoft.com/office/spreadsheetml/2009/9/main" objectType="CheckBox" fmlaLink="B32" lockText="1" noThreeD="1"/>
</file>

<file path=xl/ctrlProps/ctrlProp413.xml><?xml version="1.0" encoding="utf-8"?>
<formControlPr xmlns="http://schemas.microsoft.com/office/spreadsheetml/2009/9/main" objectType="CheckBox" fmlaLink="B33" lockText="1" noThreeD="1"/>
</file>

<file path=xl/ctrlProps/ctrlProp414.xml><?xml version="1.0" encoding="utf-8"?>
<formControlPr xmlns="http://schemas.microsoft.com/office/spreadsheetml/2009/9/main" objectType="CheckBox" fmlaLink="B34" lockText="1" noThreeD="1"/>
</file>

<file path=xl/ctrlProps/ctrlProp415.xml><?xml version="1.0" encoding="utf-8"?>
<formControlPr xmlns="http://schemas.microsoft.com/office/spreadsheetml/2009/9/main" objectType="CheckBox" fmlaLink="G32" lockText="1" noThreeD="1"/>
</file>

<file path=xl/ctrlProps/ctrlProp416.xml><?xml version="1.0" encoding="utf-8"?>
<formControlPr xmlns="http://schemas.microsoft.com/office/spreadsheetml/2009/9/main" objectType="CheckBox" fmlaLink="G33" lockText="1" noThreeD="1"/>
</file>

<file path=xl/ctrlProps/ctrlProp417.xml><?xml version="1.0" encoding="utf-8"?>
<formControlPr xmlns="http://schemas.microsoft.com/office/spreadsheetml/2009/9/main" objectType="CheckBox" fmlaLink="G34" lockText="1" noThreeD="1"/>
</file>

<file path=xl/ctrlProps/ctrlProp418.xml><?xml version="1.0" encoding="utf-8"?>
<formControlPr xmlns="http://schemas.microsoft.com/office/spreadsheetml/2009/9/main" objectType="CheckBox" fmlaLink="L32" lockText="1" noThreeD="1"/>
</file>

<file path=xl/ctrlProps/ctrlProp419.xml><?xml version="1.0" encoding="utf-8"?>
<formControlPr xmlns="http://schemas.microsoft.com/office/spreadsheetml/2009/9/main" objectType="CheckBox" fmlaLink="L33" lockText="1" noThreeD="1"/>
</file>

<file path=xl/ctrlProps/ctrlProp420.xml><?xml version="1.0" encoding="utf-8"?>
<formControlPr xmlns="http://schemas.microsoft.com/office/spreadsheetml/2009/9/main" objectType="CheckBox" fmlaLink="B9" lockText="1" noThreeD="1"/>
</file>

<file path=xl/ctrlProps/ctrlProp421.xml><?xml version="1.0" encoding="utf-8"?>
<formControlPr xmlns="http://schemas.microsoft.com/office/spreadsheetml/2009/9/main" objectType="CheckBox" fmlaLink="G9" lockText="1" noThreeD="1"/>
</file>

<file path=xl/ctrlProps/ctrlProp422.xml><?xml version="1.0" encoding="utf-8"?>
<formControlPr xmlns="http://schemas.microsoft.com/office/spreadsheetml/2009/9/main" objectType="CheckBox" fmlaLink="G12" lockText="1" noThreeD="1"/>
</file>

<file path=xl/ctrlProps/ctrlProp423.xml><?xml version="1.0" encoding="utf-8"?>
<formControlPr xmlns="http://schemas.microsoft.com/office/spreadsheetml/2009/9/main" objectType="CheckBox" fmlaLink="G13" lockText="1" noThreeD="1"/>
</file>

<file path=xl/ctrlProps/ctrlProp424.xml><?xml version="1.0" encoding="utf-8"?>
<formControlPr xmlns="http://schemas.microsoft.com/office/spreadsheetml/2009/9/main" objectType="CheckBox" fmlaLink="G16" lockText="1" noThreeD="1"/>
</file>

<file path=xl/ctrlProps/ctrlProp425.xml><?xml version="1.0" encoding="utf-8"?>
<formControlPr xmlns="http://schemas.microsoft.com/office/spreadsheetml/2009/9/main" objectType="CheckBox" fmlaLink="G17" lockText="1" noThreeD="1"/>
</file>

<file path=xl/ctrlProps/ctrlProp426.xml><?xml version="1.0" encoding="utf-8"?>
<formControlPr xmlns="http://schemas.microsoft.com/office/spreadsheetml/2009/9/main" objectType="CheckBox" fmlaLink="L16" lockText="1" noThreeD="1"/>
</file>

<file path=xl/ctrlProps/ctrlProp427.xml><?xml version="1.0" encoding="utf-8"?>
<formControlPr xmlns="http://schemas.microsoft.com/office/spreadsheetml/2009/9/main" objectType="CheckBox" fmlaLink="L17" lockText="1" noThreeD="1"/>
</file>

<file path=xl/ctrlProps/ctrlProp428.xml><?xml version="1.0" encoding="utf-8"?>
<formControlPr xmlns="http://schemas.microsoft.com/office/spreadsheetml/2009/9/main" objectType="CheckBox" fmlaLink="B16" lockText="1" noThreeD="1"/>
</file>

<file path=xl/ctrlProps/ctrlProp429.xml><?xml version="1.0" encoding="utf-8"?>
<formControlPr xmlns="http://schemas.microsoft.com/office/spreadsheetml/2009/9/main" objectType="CheckBox" fmlaLink="B17" lockText="1" noThreeD="1"/>
</file>

<file path=xl/ctrlProps/ctrlProp430.xml><?xml version="1.0" encoding="utf-8"?>
<formControlPr xmlns="http://schemas.microsoft.com/office/spreadsheetml/2009/9/main" objectType="CheckBox" fmlaLink="B12" lockText="1" noThreeD="1"/>
</file>

<file path=xl/ctrlProps/ctrlProp431.xml><?xml version="1.0" encoding="utf-8"?>
<formControlPr xmlns="http://schemas.microsoft.com/office/spreadsheetml/2009/9/main" objectType="CheckBox" fmlaLink="B13" lockText="1" noThreeD="1"/>
</file>

<file path=xl/ctrlProps/ctrlProp432.xml><?xml version="1.0" encoding="utf-8"?>
<formControlPr xmlns="http://schemas.microsoft.com/office/spreadsheetml/2009/9/main" objectType="CheckBox" fmlaLink="B21" lockText="1" noThreeD="1"/>
</file>

<file path=xl/ctrlProps/ctrlProp433.xml><?xml version="1.0" encoding="utf-8"?>
<formControlPr xmlns="http://schemas.microsoft.com/office/spreadsheetml/2009/9/main" objectType="CheckBox" fmlaLink="B25" lockText="1" noThreeD="1"/>
</file>

<file path=xl/ctrlProps/ctrlProp434.xml><?xml version="1.0" encoding="utf-8"?>
<formControlPr xmlns="http://schemas.microsoft.com/office/spreadsheetml/2009/9/main" objectType="CheckBox" fmlaLink="G25" lockText="1" noThreeD="1"/>
</file>

<file path=xl/ctrlProps/ctrlProp435.xml><?xml version="1.0" encoding="utf-8"?>
<formControlPr xmlns="http://schemas.microsoft.com/office/spreadsheetml/2009/9/main" objectType="CheckBox" fmlaLink="L25" lockText="1" noThreeD="1"/>
</file>

<file path=xl/ctrlProps/ctrlProp436.xml><?xml version="1.0" encoding="utf-8"?>
<formControlPr xmlns="http://schemas.microsoft.com/office/spreadsheetml/2009/9/main" objectType="CheckBox" fmlaLink="G21" lockText="1" noThreeD="1"/>
</file>

<file path=xl/ctrlProps/ctrlProp437.xml><?xml version="1.0" encoding="utf-8"?>
<formControlPr xmlns="http://schemas.microsoft.com/office/spreadsheetml/2009/9/main" objectType="CheckBox" fmlaLink="B29" lockText="1" noThreeD="1"/>
</file>

<file path=xl/ctrlProps/ctrlProp438.xml><?xml version="1.0" encoding="utf-8"?>
<formControlPr xmlns="http://schemas.microsoft.com/office/spreadsheetml/2009/9/main" objectType="CheckBox" fmlaLink="G29" lockText="1" noThreeD="1"/>
</file>

<file path=xl/ctrlProps/ctrlProp439.xml><?xml version="1.0" encoding="utf-8"?>
<formControlPr xmlns="http://schemas.microsoft.com/office/spreadsheetml/2009/9/main" objectType="CheckBox" fmlaLink="L29" lockText="1" noThreeD="1"/>
</file>

<file path=xl/ctrlProps/ctrlProp440.xml><?xml version="1.0" encoding="utf-8"?>
<formControlPr xmlns="http://schemas.microsoft.com/office/spreadsheetml/2009/9/main" objectType="CheckBox" fmlaLink="B38" lockText="1" noThreeD="1"/>
</file>

<file path=xl/ctrlProps/ctrlProp441.xml><?xml version="1.0" encoding="utf-8"?>
<formControlPr xmlns="http://schemas.microsoft.com/office/spreadsheetml/2009/9/main" objectType="CheckBox" fmlaLink="G38" lockText="1" noThreeD="1"/>
</file>

<file path=xl/ctrlProps/ctrlProp442.xml><?xml version="1.0" encoding="utf-8"?>
<formControlPr xmlns="http://schemas.microsoft.com/office/spreadsheetml/2009/9/main" objectType="CheckBox" fmlaLink="L38" lockText="1" noThreeD="1"/>
</file>

<file path=xl/ctrlProps/ctrlProp443.xml><?xml version="1.0" encoding="utf-8"?>
<formControlPr xmlns="http://schemas.microsoft.com/office/spreadsheetml/2009/9/main" objectType="CheckBox" fmlaLink="B44" lockText="1" noThreeD="1"/>
</file>

<file path=xl/ctrlProps/ctrlProp444.xml><?xml version="1.0" encoding="utf-8"?>
<formControlPr xmlns="http://schemas.microsoft.com/office/spreadsheetml/2009/9/main" objectType="CheckBox" fmlaLink="G44" lockText="1" noThreeD="1"/>
</file>

<file path=xl/ctrlProps/ctrlProp445.xml><?xml version="1.0" encoding="utf-8"?>
<formControlPr xmlns="http://schemas.microsoft.com/office/spreadsheetml/2009/9/main" objectType="CheckBox" fmlaLink="B39" lockText="1" noThreeD="1"/>
</file>

<file path=xl/ctrlProps/ctrlProp446.xml><?xml version="1.0" encoding="utf-8"?>
<formControlPr xmlns="http://schemas.microsoft.com/office/spreadsheetml/2009/9/main" objectType="CheckBox" fmlaLink="B18" lockText="1" noThreeD="1"/>
</file>

<file path=xl/ctrlProps/ctrlProp447.xml><?xml version="1.0" encoding="utf-8"?>
<formControlPr xmlns="http://schemas.microsoft.com/office/spreadsheetml/2009/9/main" objectType="CheckBox" fmlaLink="B32" lockText="1" noThreeD="1"/>
</file>

<file path=xl/ctrlProps/ctrlProp448.xml><?xml version="1.0" encoding="utf-8"?>
<formControlPr xmlns="http://schemas.microsoft.com/office/spreadsheetml/2009/9/main" objectType="CheckBox" fmlaLink="B33" lockText="1" noThreeD="1"/>
</file>

<file path=xl/ctrlProps/ctrlProp449.xml><?xml version="1.0" encoding="utf-8"?>
<formControlPr xmlns="http://schemas.microsoft.com/office/spreadsheetml/2009/9/main" objectType="CheckBox" fmlaLink="B34" lockText="1" noThreeD="1"/>
</file>

<file path=xl/ctrlProps/ctrlProp450.xml><?xml version="1.0" encoding="utf-8"?>
<formControlPr xmlns="http://schemas.microsoft.com/office/spreadsheetml/2009/9/main" objectType="CheckBox" fmlaLink="G32" lockText="1" noThreeD="1"/>
</file>

<file path=xl/ctrlProps/ctrlProp451.xml><?xml version="1.0" encoding="utf-8"?>
<formControlPr xmlns="http://schemas.microsoft.com/office/spreadsheetml/2009/9/main" objectType="CheckBox" fmlaLink="G33" lockText="1" noThreeD="1"/>
</file>

<file path=xl/ctrlProps/ctrlProp452.xml><?xml version="1.0" encoding="utf-8"?>
<formControlPr xmlns="http://schemas.microsoft.com/office/spreadsheetml/2009/9/main" objectType="CheckBox" fmlaLink="G34" lockText="1" noThreeD="1"/>
</file>

<file path=xl/ctrlProps/ctrlProp453.xml><?xml version="1.0" encoding="utf-8"?>
<formControlPr xmlns="http://schemas.microsoft.com/office/spreadsheetml/2009/9/main" objectType="CheckBox" fmlaLink="L32" lockText="1" noThreeD="1"/>
</file>

<file path=xl/ctrlProps/ctrlProp45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123825</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123825</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9525</xdr:rowOff>
        </xdr:from>
        <xdr:to>
          <xdr:col>0</xdr:col>
          <xdr:colOff>295275</xdr:colOff>
          <xdr:row>27</xdr:row>
          <xdr:rowOff>123825</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xdr:col>
          <xdr:colOff>295275</xdr:colOff>
          <xdr:row>27</xdr:row>
          <xdr:rowOff>123825</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9525</xdr:rowOff>
        </xdr:from>
        <xdr:to>
          <xdr:col>0</xdr:col>
          <xdr:colOff>295275</xdr:colOff>
          <xdr:row>33</xdr:row>
          <xdr:rowOff>123825</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9525</xdr:rowOff>
        </xdr:from>
        <xdr:to>
          <xdr:col>1</xdr:col>
          <xdr:colOff>295275</xdr:colOff>
          <xdr:row>33</xdr:row>
          <xdr:rowOff>123825</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295275</xdr:colOff>
          <xdr:row>34</xdr:row>
          <xdr:rowOff>123825</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9525</xdr:rowOff>
        </xdr:from>
        <xdr:to>
          <xdr:col>0</xdr:col>
          <xdr:colOff>295275</xdr:colOff>
          <xdr:row>53</xdr:row>
          <xdr:rowOff>133350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19050</xdr:rowOff>
        </xdr:from>
        <xdr:to>
          <xdr:col>0</xdr:col>
          <xdr:colOff>295275</xdr:colOff>
          <xdr:row>56</xdr:row>
          <xdr:rowOff>133350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19050</xdr:rowOff>
        </xdr:from>
        <xdr:to>
          <xdr:col>1</xdr:col>
          <xdr:colOff>295275</xdr:colOff>
          <xdr:row>56</xdr:row>
          <xdr:rowOff>133350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19050</xdr:rowOff>
        </xdr:from>
        <xdr:to>
          <xdr:col>0</xdr:col>
          <xdr:colOff>295275</xdr:colOff>
          <xdr:row>59</xdr:row>
          <xdr:rowOff>133350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19050</xdr:rowOff>
        </xdr:from>
        <xdr:to>
          <xdr:col>0</xdr:col>
          <xdr:colOff>295275</xdr:colOff>
          <xdr:row>63</xdr:row>
          <xdr:rowOff>104775</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49.xml"/><Relationship Id="rId18" Type="http://schemas.openxmlformats.org/officeDocument/2006/relationships/ctrlProp" Target="../ctrlProps/ctrlProp54.xml"/><Relationship Id="rId26" Type="http://schemas.openxmlformats.org/officeDocument/2006/relationships/ctrlProp" Target="../ctrlProps/ctrlProp62.xml"/><Relationship Id="rId39" Type="http://schemas.openxmlformats.org/officeDocument/2006/relationships/ctrlProp" Target="../ctrlProps/ctrlProp75.xml"/><Relationship Id="rId21" Type="http://schemas.openxmlformats.org/officeDocument/2006/relationships/ctrlProp" Target="../ctrlProps/ctrlProp57.xml"/><Relationship Id="rId34" Type="http://schemas.openxmlformats.org/officeDocument/2006/relationships/ctrlProp" Target="../ctrlProps/ctrlProp70.xml"/><Relationship Id="rId42" Type="http://schemas.openxmlformats.org/officeDocument/2006/relationships/ctrlProp" Target="../ctrlProps/ctrlProp78.xml"/><Relationship Id="rId47" Type="http://schemas.openxmlformats.org/officeDocument/2006/relationships/ctrlProp" Target="../ctrlProps/ctrlProp83.xml"/><Relationship Id="rId7" Type="http://schemas.openxmlformats.org/officeDocument/2006/relationships/ctrlProp" Target="../ctrlProps/ctrlProp43.xml"/><Relationship Id="rId2" Type="http://schemas.openxmlformats.org/officeDocument/2006/relationships/drawing" Target="../drawings/drawing6.xml"/><Relationship Id="rId16" Type="http://schemas.openxmlformats.org/officeDocument/2006/relationships/ctrlProp" Target="../ctrlProps/ctrlProp52.xml"/><Relationship Id="rId29" Type="http://schemas.openxmlformats.org/officeDocument/2006/relationships/ctrlProp" Target="../ctrlProps/ctrlProp65.xml"/><Relationship Id="rId1" Type="http://schemas.openxmlformats.org/officeDocument/2006/relationships/printerSettings" Target="../printerSettings/printerSettings11.bin"/><Relationship Id="rId6" Type="http://schemas.openxmlformats.org/officeDocument/2006/relationships/ctrlProp" Target="../ctrlProps/ctrlProp42.xml"/><Relationship Id="rId11" Type="http://schemas.openxmlformats.org/officeDocument/2006/relationships/ctrlProp" Target="../ctrlProps/ctrlProp47.xml"/><Relationship Id="rId24" Type="http://schemas.openxmlformats.org/officeDocument/2006/relationships/ctrlProp" Target="../ctrlProps/ctrlProp60.xml"/><Relationship Id="rId32" Type="http://schemas.openxmlformats.org/officeDocument/2006/relationships/ctrlProp" Target="../ctrlProps/ctrlProp68.xml"/><Relationship Id="rId37" Type="http://schemas.openxmlformats.org/officeDocument/2006/relationships/ctrlProp" Target="../ctrlProps/ctrlProp73.xml"/><Relationship Id="rId40" Type="http://schemas.openxmlformats.org/officeDocument/2006/relationships/ctrlProp" Target="../ctrlProps/ctrlProp76.xml"/><Relationship Id="rId45" Type="http://schemas.openxmlformats.org/officeDocument/2006/relationships/ctrlProp" Target="../ctrlProps/ctrlProp81.xml"/><Relationship Id="rId5" Type="http://schemas.openxmlformats.org/officeDocument/2006/relationships/ctrlProp" Target="../ctrlProps/ctrlProp41.xml"/><Relationship Id="rId15" Type="http://schemas.openxmlformats.org/officeDocument/2006/relationships/ctrlProp" Target="../ctrlProps/ctrlProp51.xml"/><Relationship Id="rId23" Type="http://schemas.openxmlformats.org/officeDocument/2006/relationships/ctrlProp" Target="../ctrlProps/ctrlProp59.xml"/><Relationship Id="rId28" Type="http://schemas.openxmlformats.org/officeDocument/2006/relationships/ctrlProp" Target="../ctrlProps/ctrlProp64.xml"/><Relationship Id="rId36" Type="http://schemas.openxmlformats.org/officeDocument/2006/relationships/ctrlProp" Target="../ctrlProps/ctrlProp72.xml"/><Relationship Id="rId10" Type="http://schemas.openxmlformats.org/officeDocument/2006/relationships/ctrlProp" Target="../ctrlProps/ctrlProp46.xml"/><Relationship Id="rId19" Type="http://schemas.openxmlformats.org/officeDocument/2006/relationships/ctrlProp" Target="../ctrlProps/ctrlProp55.xml"/><Relationship Id="rId31" Type="http://schemas.openxmlformats.org/officeDocument/2006/relationships/ctrlProp" Target="../ctrlProps/ctrlProp67.xml"/><Relationship Id="rId44" Type="http://schemas.openxmlformats.org/officeDocument/2006/relationships/ctrlProp" Target="../ctrlProps/ctrlProp80.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 Id="rId22" Type="http://schemas.openxmlformats.org/officeDocument/2006/relationships/ctrlProp" Target="../ctrlProps/ctrlProp58.xml"/><Relationship Id="rId27" Type="http://schemas.openxmlformats.org/officeDocument/2006/relationships/ctrlProp" Target="../ctrlProps/ctrlProp63.xml"/><Relationship Id="rId30" Type="http://schemas.openxmlformats.org/officeDocument/2006/relationships/ctrlProp" Target="../ctrlProps/ctrlProp66.xml"/><Relationship Id="rId35" Type="http://schemas.openxmlformats.org/officeDocument/2006/relationships/ctrlProp" Target="../ctrlProps/ctrlProp71.xml"/><Relationship Id="rId43" Type="http://schemas.openxmlformats.org/officeDocument/2006/relationships/ctrlProp" Target="../ctrlProps/ctrlProp79.xml"/><Relationship Id="rId8" Type="http://schemas.openxmlformats.org/officeDocument/2006/relationships/ctrlProp" Target="../ctrlProps/ctrlProp44.xml"/><Relationship Id="rId3" Type="http://schemas.openxmlformats.org/officeDocument/2006/relationships/vmlDrawing" Target="../drawings/vmlDrawing6.vml"/><Relationship Id="rId12" Type="http://schemas.openxmlformats.org/officeDocument/2006/relationships/ctrlProp" Target="../ctrlProps/ctrlProp48.xml"/><Relationship Id="rId17" Type="http://schemas.openxmlformats.org/officeDocument/2006/relationships/ctrlProp" Target="../ctrlProps/ctrlProp53.xml"/><Relationship Id="rId25" Type="http://schemas.openxmlformats.org/officeDocument/2006/relationships/ctrlProp" Target="../ctrlProps/ctrlProp61.xml"/><Relationship Id="rId33" Type="http://schemas.openxmlformats.org/officeDocument/2006/relationships/ctrlProp" Target="../ctrlProps/ctrlProp69.xml"/><Relationship Id="rId38" Type="http://schemas.openxmlformats.org/officeDocument/2006/relationships/ctrlProp" Target="../ctrlProps/ctrlProp74.xml"/><Relationship Id="rId46" Type="http://schemas.openxmlformats.org/officeDocument/2006/relationships/ctrlProp" Target="../ctrlProps/ctrlProp82.xml"/><Relationship Id="rId20" Type="http://schemas.openxmlformats.org/officeDocument/2006/relationships/ctrlProp" Target="../ctrlProps/ctrlProp56.xml"/><Relationship Id="rId41" Type="http://schemas.openxmlformats.org/officeDocument/2006/relationships/ctrlProp" Target="../ctrlProps/ctrlProp7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7.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8.vml"/><Relationship Id="rId7" Type="http://schemas.openxmlformats.org/officeDocument/2006/relationships/ctrlProp" Target="../ctrlProps/ctrlProp91.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0.xml"/><Relationship Id="rId5" Type="http://schemas.openxmlformats.org/officeDocument/2006/relationships/ctrlProp" Target="../ctrlProps/ctrlProp8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9.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21" Type="http://schemas.openxmlformats.org/officeDocument/2006/relationships/ctrlProp" Target="../ctrlProps/ctrlProp122.xml"/><Relationship Id="rId34" Type="http://schemas.openxmlformats.org/officeDocument/2006/relationships/ctrlProp" Target="../ctrlProps/ctrlProp135.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2" Type="http://schemas.openxmlformats.org/officeDocument/2006/relationships/drawing" Target="../drawings/drawing10.xml"/><Relationship Id="rId16" Type="http://schemas.openxmlformats.org/officeDocument/2006/relationships/ctrlProp" Target="../ctrlProps/ctrlProp117.xml"/><Relationship Id="rId20" Type="http://schemas.openxmlformats.org/officeDocument/2006/relationships/ctrlProp" Target="../ctrlProps/ctrlProp121.xml"/><Relationship Id="rId29" Type="http://schemas.openxmlformats.org/officeDocument/2006/relationships/ctrlProp" Target="../ctrlProps/ctrlProp130.xml"/><Relationship Id="rId1" Type="http://schemas.openxmlformats.org/officeDocument/2006/relationships/printerSettings" Target="../printerSettings/printerSettings15.bin"/><Relationship Id="rId6" Type="http://schemas.openxmlformats.org/officeDocument/2006/relationships/ctrlProp" Target="../ctrlProps/ctrlProp107.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5" Type="http://schemas.openxmlformats.org/officeDocument/2006/relationships/ctrlProp" Target="../ctrlProps/ctrlProp106.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8" Type="http://schemas.openxmlformats.org/officeDocument/2006/relationships/ctrlProp" Target="../ctrlProps/ctrlProp109.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8" Type="http://schemas.openxmlformats.org/officeDocument/2006/relationships/ctrlProp" Target="../ctrlProps/ctrlProp144.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4.xml"/><Relationship Id="rId18" Type="http://schemas.openxmlformats.org/officeDocument/2006/relationships/ctrlProp" Target="../ctrlProps/ctrlProp189.xml"/><Relationship Id="rId26" Type="http://schemas.openxmlformats.org/officeDocument/2006/relationships/ctrlProp" Target="../ctrlProps/ctrlProp197.xml"/><Relationship Id="rId21" Type="http://schemas.openxmlformats.org/officeDocument/2006/relationships/ctrlProp" Target="../ctrlProps/ctrlProp192.xml"/><Relationship Id="rId34" Type="http://schemas.openxmlformats.org/officeDocument/2006/relationships/ctrlProp" Target="../ctrlProps/ctrlProp205.xml"/><Relationship Id="rId7" Type="http://schemas.openxmlformats.org/officeDocument/2006/relationships/ctrlProp" Target="../ctrlProps/ctrlProp178.xml"/><Relationship Id="rId12" Type="http://schemas.openxmlformats.org/officeDocument/2006/relationships/ctrlProp" Target="../ctrlProps/ctrlProp183.xml"/><Relationship Id="rId17" Type="http://schemas.openxmlformats.org/officeDocument/2006/relationships/ctrlProp" Target="../ctrlProps/ctrlProp188.xml"/><Relationship Id="rId25" Type="http://schemas.openxmlformats.org/officeDocument/2006/relationships/ctrlProp" Target="../ctrlProps/ctrlProp196.xml"/><Relationship Id="rId33" Type="http://schemas.openxmlformats.org/officeDocument/2006/relationships/ctrlProp" Target="../ctrlProps/ctrlProp204.xml"/><Relationship Id="rId38" Type="http://schemas.openxmlformats.org/officeDocument/2006/relationships/ctrlProp" Target="../ctrlProps/ctrlProp209.xml"/><Relationship Id="rId2" Type="http://schemas.openxmlformats.org/officeDocument/2006/relationships/drawing" Target="../drawings/drawing12.xml"/><Relationship Id="rId16" Type="http://schemas.openxmlformats.org/officeDocument/2006/relationships/ctrlProp" Target="../ctrlProps/ctrlProp187.xml"/><Relationship Id="rId20" Type="http://schemas.openxmlformats.org/officeDocument/2006/relationships/ctrlProp" Target="../ctrlProps/ctrlProp191.xml"/><Relationship Id="rId29" Type="http://schemas.openxmlformats.org/officeDocument/2006/relationships/ctrlProp" Target="../ctrlProps/ctrlProp200.xml"/><Relationship Id="rId1" Type="http://schemas.openxmlformats.org/officeDocument/2006/relationships/printerSettings" Target="../printerSettings/printerSettings17.bin"/><Relationship Id="rId6" Type="http://schemas.openxmlformats.org/officeDocument/2006/relationships/ctrlProp" Target="../ctrlProps/ctrlProp177.xml"/><Relationship Id="rId11" Type="http://schemas.openxmlformats.org/officeDocument/2006/relationships/ctrlProp" Target="../ctrlProps/ctrlProp182.xml"/><Relationship Id="rId24" Type="http://schemas.openxmlformats.org/officeDocument/2006/relationships/ctrlProp" Target="../ctrlProps/ctrlProp195.xml"/><Relationship Id="rId32" Type="http://schemas.openxmlformats.org/officeDocument/2006/relationships/ctrlProp" Target="../ctrlProps/ctrlProp203.xml"/><Relationship Id="rId37" Type="http://schemas.openxmlformats.org/officeDocument/2006/relationships/ctrlProp" Target="../ctrlProps/ctrlProp208.xml"/><Relationship Id="rId5" Type="http://schemas.openxmlformats.org/officeDocument/2006/relationships/ctrlProp" Target="../ctrlProps/ctrlProp176.xml"/><Relationship Id="rId15" Type="http://schemas.openxmlformats.org/officeDocument/2006/relationships/ctrlProp" Target="../ctrlProps/ctrlProp186.xml"/><Relationship Id="rId23" Type="http://schemas.openxmlformats.org/officeDocument/2006/relationships/ctrlProp" Target="../ctrlProps/ctrlProp194.xml"/><Relationship Id="rId28" Type="http://schemas.openxmlformats.org/officeDocument/2006/relationships/ctrlProp" Target="../ctrlProps/ctrlProp199.xml"/><Relationship Id="rId36" Type="http://schemas.openxmlformats.org/officeDocument/2006/relationships/ctrlProp" Target="../ctrlProps/ctrlProp207.xml"/><Relationship Id="rId10" Type="http://schemas.openxmlformats.org/officeDocument/2006/relationships/ctrlProp" Target="../ctrlProps/ctrlProp181.xml"/><Relationship Id="rId19" Type="http://schemas.openxmlformats.org/officeDocument/2006/relationships/ctrlProp" Target="../ctrlProps/ctrlProp190.xml"/><Relationship Id="rId31" Type="http://schemas.openxmlformats.org/officeDocument/2006/relationships/ctrlProp" Target="../ctrlProps/ctrlProp202.xml"/><Relationship Id="rId4" Type="http://schemas.openxmlformats.org/officeDocument/2006/relationships/ctrlProp" Target="../ctrlProps/ctrlProp175.xml"/><Relationship Id="rId9" Type="http://schemas.openxmlformats.org/officeDocument/2006/relationships/ctrlProp" Target="../ctrlProps/ctrlProp180.xml"/><Relationship Id="rId14" Type="http://schemas.openxmlformats.org/officeDocument/2006/relationships/ctrlProp" Target="../ctrlProps/ctrlProp185.xml"/><Relationship Id="rId22" Type="http://schemas.openxmlformats.org/officeDocument/2006/relationships/ctrlProp" Target="../ctrlProps/ctrlProp193.xml"/><Relationship Id="rId27" Type="http://schemas.openxmlformats.org/officeDocument/2006/relationships/ctrlProp" Target="../ctrlProps/ctrlProp198.xml"/><Relationship Id="rId30" Type="http://schemas.openxmlformats.org/officeDocument/2006/relationships/ctrlProp" Target="../ctrlProps/ctrlProp201.xml"/><Relationship Id="rId35" Type="http://schemas.openxmlformats.org/officeDocument/2006/relationships/ctrlProp" Target="../ctrlProps/ctrlProp206.xml"/><Relationship Id="rId8" Type="http://schemas.openxmlformats.org/officeDocument/2006/relationships/ctrlProp" Target="../ctrlProps/ctrlProp179.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19.xml"/><Relationship Id="rId18" Type="http://schemas.openxmlformats.org/officeDocument/2006/relationships/ctrlProp" Target="../ctrlProps/ctrlProp224.xml"/><Relationship Id="rId26" Type="http://schemas.openxmlformats.org/officeDocument/2006/relationships/ctrlProp" Target="../ctrlProps/ctrlProp232.xml"/><Relationship Id="rId21" Type="http://schemas.openxmlformats.org/officeDocument/2006/relationships/ctrlProp" Target="../ctrlProps/ctrlProp227.xml"/><Relationship Id="rId34" Type="http://schemas.openxmlformats.org/officeDocument/2006/relationships/ctrlProp" Target="../ctrlProps/ctrlProp240.xml"/><Relationship Id="rId7" Type="http://schemas.openxmlformats.org/officeDocument/2006/relationships/ctrlProp" Target="../ctrlProps/ctrlProp213.xml"/><Relationship Id="rId12" Type="http://schemas.openxmlformats.org/officeDocument/2006/relationships/ctrlProp" Target="../ctrlProps/ctrlProp218.xml"/><Relationship Id="rId17" Type="http://schemas.openxmlformats.org/officeDocument/2006/relationships/ctrlProp" Target="../ctrlProps/ctrlProp223.xml"/><Relationship Id="rId25" Type="http://schemas.openxmlformats.org/officeDocument/2006/relationships/ctrlProp" Target="../ctrlProps/ctrlProp231.xml"/><Relationship Id="rId33" Type="http://schemas.openxmlformats.org/officeDocument/2006/relationships/ctrlProp" Target="../ctrlProps/ctrlProp239.xml"/><Relationship Id="rId38" Type="http://schemas.openxmlformats.org/officeDocument/2006/relationships/ctrlProp" Target="../ctrlProps/ctrlProp244.xml"/><Relationship Id="rId2" Type="http://schemas.openxmlformats.org/officeDocument/2006/relationships/drawing" Target="../drawings/drawing13.xml"/><Relationship Id="rId16" Type="http://schemas.openxmlformats.org/officeDocument/2006/relationships/ctrlProp" Target="../ctrlProps/ctrlProp222.xml"/><Relationship Id="rId20" Type="http://schemas.openxmlformats.org/officeDocument/2006/relationships/ctrlProp" Target="../ctrlProps/ctrlProp226.xml"/><Relationship Id="rId29" Type="http://schemas.openxmlformats.org/officeDocument/2006/relationships/ctrlProp" Target="../ctrlProps/ctrlProp235.xml"/><Relationship Id="rId1" Type="http://schemas.openxmlformats.org/officeDocument/2006/relationships/printerSettings" Target="../printerSettings/printerSettings18.bin"/><Relationship Id="rId6" Type="http://schemas.openxmlformats.org/officeDocument/2006/relationships/ctrlProp" Target="../ctrlProps/ctrlProp212.xml"/><Relationship Id="rId11" Type="http://schemas.openxmlformats.org/officeDocument/2006/relationships/ctrlProp" Target="../ctrlProps/ctrlProp217.xml"/><Relationship Id="rId24" Type="http://schemas.openxmlformats.org/officeDocument/2006/relationships/ctrlProp" Target="../ctrlProps/ctrlProp230.xml"/><Relationship Id="rId32" Type="http://schemas.openxmlformats.org/officeDocument/2006/relationships/ctrlProp" Target="../ctrlProps/ctrlProp238.xml"/><Relationship Id="rId37" Type="http://schemas.openxmlformats.org/officeDocument/2006/relationships/ctrlProp" Target="../ctrlProps/ctrlProp243.xml"/><Relationship Id="rId5" Type="http://schemas.openxmlformats.org/officeDocument/2006/relationships/ctrlProp" Target="../ctrlProps/ctrlProp211.xml"/><Relationship Id="rId15" Type="http://schemas.openxmlformats.org/officeDocument/2006/relationships/ctrlProp" Target="../ctrlProps/ctrlProp221.xml"/><Relationship Id="rId23" Type="http://schemas.openxmlformats.org/officeDocument/2006/relationships/ctrlProp" Target="../ctrlProps/ctrlProp229.xml"/><Relationship Id="rId28" Type="http://schemas.openxmlformats.org/officeDocument/2006/relationships/ctrlProp" Target="../ctrlProps/ctrlProp234.xml"/><Relationship Id="rId36" Type="http://schemas.openxmlformats.org/officeDocument/2006/relationships/ctrlProp" Target="../ctrlProps/ctrlProp242.xml"/><Relationship Id="rId10" Type="http://schemas.openxmlformats.org/officeDocument/2006/relationships/ctrlProp" Target="../ctrlProps/ctrlProp216.xml"/><Relationship Id="rId19" Type="http://schemas.openxmlformats.org/officeDocument/2006/relationships/ctrlProp" Target="../ctrlProps/ctrlProp225.xml"/><Relationship Id="rId31" Type="http://schemas.openxmlformats.org/officeDocument/2006/relationships/ctrlProp" Target="../ctrlProps/ctrlProp237.xml"/><Relationship Id="rId4" Type="http://schemas.openxmlformats.org/officeDocument/2006/relationships/ctrlProp" Target="../ctrlProps/ctrlProp210.xml"/><Relationship Id="rId9" Type="http://schemas.openxmlformats.org/officeDocument/2006/relationships/ctrlProp" Target="../ctrlProps/ctrlProp215.xml"/><Relationship Id="rId14" Type="http://schemas.openxmlformats.org/officeDocument/2006/relationships/ctrlProp" Target="../ctrlProps/ctrlProp220.xml"/><Relationship Id="rId22" Type="http://schemas.openxmlformats.org/officeDocument/2006/relationships/ctrlProp" Target="../ctrlProps/ctrlProp228.xml"/><Relationship Id="rId27" Type="http://schemas.openxmlformats.org/officeDocument/2006/relationships/ctrlProp" Target="../ctrlProps/ctrlProp233.xml"/><Relationship Id="rId30" Type="http://schemas.openxmlformats.org/officeDocument/2006/relationships/ctrlProp" Target="../ctrlProps/ctrlProp236.xml"/><Relationship Id="rId35" Type="http://schemas.openxmlformats.org/officeDocument/2006/relationships/ctrlProp" Target="../ctrlProps/ctrlProp241.xml"/><Relationship Id="rId8" Type="http://schemas.openxmlformats.org/officeDocument/2006/relationships/ctrlProp" Target="../ctrlProps/ctrlProp214.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4.xml"/><Relationship Id="rId18" Type="http://schemas.openxmlformats.org/officeDocument/2006/relationships/ctrlProp" Target="../ctrlProps/ctrlProp259.xml"/><Relationship Id="rId26" Type="http://schemas.openxmlformats.org/officeDocument/2006/relationships/ctrlProp" Target="../ctrlProps/ctrlProp267.xml"/><Relationship Id="rId21" Type="http://schemas.openxmlformats.org/officeDocument/2006/relationships/ctrlProp" Target="../ctrlProps/ctrlProp262.xml"/><Relationship Id="rId34" Type="http://schemas.openxmlformats.org/officeDocument/2006/relationships/ctrlProp" Target="../ctrlProps/ctrlProp275.xml"/><Relationship Id="rId7" Type="http://schemas.openxmlformats.org/officeDocument/2006/relationships/ctrlProp" Target="../ctrlProps/ctrlProp248.xml"/><Relationship Id="rId12" Type="http://schemas.openxmlformats.org/officeDocument/2006/relationships/ctrlProp" Target="../ctrlProps/ctrlProp253.xml"/><Relationship Id="rId17" Type="http://schemas.openxmlformats.org/officeDocument/2006/relationships/ctrlProp" Target="../ctrlProps/ctrlProp258.xml"/><Relationship Id="rId25" Type="http://schemas.openxmlformats.org/officeDocument/2006/relationships/ctrlProp" Target="../ctrlProps/ctrlProp266.xml"/><Relationship Id="rId33" Type="http://schemas.openxmlformats.org/officeDocument/2006/relationships/ctrlProp" Target="../ctrlProps/ctrlProp274.xml"/><Relationship Id="rId38" Type="http://schemas.openxmlformats.org/officeDocument/2006/relationships/ctrlProp" Target="../ctrlProps/ctrlProp279.xml"/><Relationship Id="rId2" Type="http://schemas.openxmlformats.org/officeDocument/2006/relationships/drawing" Target="../drawings/drawing14.xml"/><Relationship Id="rId16" Type="http://schemas.openxmlformats.org/officeDocument/2006/relationships/ctrlProp" Target="../ctrlProps/ctrlProp257.xml"/><Relationship Id="rId20" Type="http://schemas.openxmlformats.org/officeDocument/2006/relationships/ctrlProp" Target="../ctrlProps/ctrlProp261.xml"/><Relationship Id="rId29" Type="http://schemas.openxmlformats.org/officeDocument/2006/relationships/ctrlProp" Target="../ctrlProps/ctrlProp270.xml"/><Relationship Id="rId1" Type="http://schemas.openxmlformats.org/officeDocument/2006/relationships/printerSettings" Target="../printerSettings/printerSettings19.bin"/><Relationship Id="rId6" Type="http://schemas.openxmlformats.org/officeDocument/2006/relationships/ctrlProp" Target="../ctrlProps/ctrlProp247.xml"/><Relationship Id="rId11" Type="http://schemas.openxmlformats.org/officeDocument/2006/relationships/ctrlProp" Target="../ctrlProps/ctrlProp252.xml"/><Relationship Id="rId24" Type="http://schemas.openxmlformats.org/officeDocument/2006/relationships/ctrlProp" Target="../ctrlProps/ctrlProp265.xml"/><Relationship Id="rId32" Type="http://schemas.openxmlformats.org/officeDocument/2006/relationships/ctrlProp" Target="../ctrlProps/ctrlProp273.xml"/><Relationship Id="rId37" Type="http://schemas.openxmlformats.org/officeDocument/2006/relationships/ctrlProp" Target="../ctrlProps/ctrlProp278.xml"/><Relationship Id="rId5" Type="http://schemas.openxmlformats.org/officeDocument/2006/relationships/ctrlProp" Target="../ctrlProps/ctrlProp246.xml"/><Relationship Id="rId15" Type="http://schemas.openxmlformats.org/officeDocument/2006/relationships/ctrlProp" Target="../ctrlProps/ctrlProp256.xml"/><Relationship Id="rId23" Type="http://schemas.openxmlformats.org/officeDocument/2006/relationships/ctrlProp" Target="../ctrlProps/ctrlProp264.xml"/><Relationship Id="rId28" Type="http://schemas.openxmlformats.org/officeDocument/2006/relationships/ctrlProp" Target="../ctrlProps/ctrlProp269.xml"/><Relationship Id="rId36" Type="http://schemas.openxmlformats.org/officeDocument/2006/relationships/ctrlProp" Target="../ctrlProps/ctrlProp277.xml"/><Relationship Id="rId10" Type="http://schemas.openxmlformats.org/officeDocument/2006/relationships/ctrlProp" Target="../ctrlProps/ctrlProp251.xml"/><Relationship Id="rId19" Type="http://schemas.openxmlformats.org/officeDocument/2006/relationships/ctrlProp" Target="../ctrlProps/ctrlProp260.xml"/><Relationship Id="rId31" Type="http://schemas.openxmlformats.org/officeDocument/2006/relationships/ctrlProp" Target="../ctrlProps/ctrlProp272.xml"/><Relationship Id="rId4" Type="http://schemas.openxmlformats.org/officeDocument/2006/relationships/ctrlProp" Target="../ctrlProps/ctrlProp245.xml"/><Relationship Id="rId9" Type="http://schemas.openxmlformats.org/officeDocument/2006/relationships/ctrlProp" Target="../ctrlProps/ctrlProp250.xml"/><Relationship Id="rId14" Type="http://schemas.openxmlformats.org/officeDocument/2006/relationships/ctrlProp" Target="../ctrlProps/ctrlProp255.xml"/><Relationship Id="rId22" Type="http://schemas.openxmlformats.org/officeDocument/2006/relationships/ctrlProp" Target="../ctrlProps/ctrlProp263.xml"/><Relationship Id="rId27" Type="http://schemas.openxmlformats.org/officeDocument/2006/relationships/ctrlProp" Target="../ctrlProps/ctrlProp268.xml"/><Relationship Id="rId30" Type="http://schemas.openxmlformats.org/officeDocument/2006/relationships/ctrlProp" Target="../ctrlProps/ctrlProp271.xml"/><Relationship Id="rId35" Type="http://schemas.openxmlformats.org/officeDocument/2006/relationships/ctrlProp" Target="../ctrlProps/ctrlProp276.xml"/><Relationship Id="rId8" Type="http://schemas.openxmlformats.org/officeDocument/2006/relationships/ctrlProp" Target="../ctrlProps/ctrlProp249.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89.xml"/><Relationship Id="rId18" Type="http://schemas.openxmlformats.org/officeDocument/2006/relationships/ctrlProp" Target="../ctrlProps/ctrlProp294.xml"/><Relationship Id="rId26" Type="http://schemas.openxmlformats.org/officeDocument/2006/relationships/ctrlProp" Target="../ctrlProps/ctrlProp302.xml"/><Relationship Id="rId21" Type="http://schemas.openxmlformats.org/officeDocument/2006/relationships/ctrlProp" Target="../ctrlProps/ctrlProp297.xml"/><Relationship Id="rId34" Type="http://schemas.openxmlformats.org/officeDocument/2006/relationships/ctrlProp" Target="../ctrlProps/ctrlProp310.xml"/><Relationship Id="rId7" Type="http://schemas.openxmlformats.org/officeDocument/2006/relationships/ctrlProp" Target="../ctrlProps/ctrlProp283.xml"/><Relationship Id="rId12" Type="http://schemas.openxmlformats.org/officeDocument/2006/relationships/ctrlProp" Target="../ctrlProps/ctrlProp288.xml"/><Relationship Id="rId17" Type="http://schemas.openxmlformats.org/officeDocument/2006/relationships/ctrlProp" Target="../ctrlProps/ctrlProp293.xml"/><Relationship Id="rId25" Type="http://schemas.openxmlformats.org/officeDocument/2006/relationships/ctrlProp" Target="../ctrlProps/ctrlProp301.xml"/><Relationship Id="rId33" Type="http://schemas.openxmlformats.org/officeDocument/2006/relationships/ctrlProp" Target="../ctrlProps/ctrlProp309.xml"/><Relationship Id="rId38" Type="http://schemas.openxmlformats.org/officeDocument/2006/relationships/ctrlProp" Target="../ctrlProps/ctrlProp314.xml"/><Relationship Id="rId2" Type="http://schemas.openxmlformats.org/officeDocument/2006/relationships/drawing" Target="../drawings/drawing15.xml"/><Relationship Id="rId16" Type="http://schemas.openxmlformats.org/officeDocument/2006/relationships/ctrlProp" Target="../ctrlProps/ctrlProp292.xml"/><Relationship Id="rId20" Type="http://schemas.openxmlformats.org/officeDocument/2006/relationships/ctrlProp" Target="../ctrlProps/ctrlProp296.xml"/><Relationship Id="rId29" Type="http://schemas.openxmlformats.org/officeDocument/2006/relationships/ctrlProp" Target="../ctrlProps/ctrlProp305.xml"/><Relationship Id="rId1" Type="http://schemas.openxmlformats.org/officeDocument/2006/relationships/printerSettings" Target="../printerSettings/printerSettings20.bin"/><Relationship Id="rId6" Type="http://schemas.openxmlformats.org/officeDocument/2006/relationships/ctrlProp" Target="../ctrlProps/ctrlProp282.xml"/><Relationship Id="rId11" Type="http://schemas.openxmlformats.org/officeDocument/2006/relationships/ctrlProp" Target="../ctrlProps/ctrlProp287.xml"/><Relationship Id="rId24" Type="http://schemas.openxmlformats.org/officeDocument/2006/relationships/ctrlProp" Target="../ctrlProps/ctrlProp300.xml"/><Relationship Id="rId32" Type="http://schemas.openxmlformats.org/officeDocument/2006/relationships/ctrlProp" Target="../ctrlProps/ctrlProp308.xml"/><Relationship Id="rId37" Type="http://schemas.openxmlformats.org/officeDocument/2006/relationships/ctrlProp" Target="../ctrlProps/ctrlProp313.xml"/><Relationship Id="rId5" Type="http://schemas.openxmlformats.org/officeDocument/2006/relationships/ctrlProp" Target="../ctrlProps/ctrlProp281.xml"/><Relationship Id="rId15" Type="http://schemas.openxmlformats.org/officeDocument/2006/relationships/ctrlProp" Target="../ctrlProps/ctrlProp291.xml"/><Relationship Id="rId23" Type="http://schemas.openxmlformats.org/officeDocument/2006/relationships/ctrlProp" Target="../ctrlProps/ctrlProp299.xml"/><Relationship Id="rId28" Type="http://schemas.openxmlformats.org/officeDocument/2006/relationships/ctrlProp" Target="../ctrlProps/ctrlProp304.xml"/><Relationship Id="rId36" Type="http://schemas.openxmlformats.org/officeDocument/2006/relationships/ctrlProp" Target="../ctrlProps/ctrlProp312.xml"/><Relationship Id="rId10" Type="http://schemas.openxmlformats.org/officeDocument/2006/relationships/ctrlProp" Target="../ctrlProps/ctrlProp286.xml"/><Relationship Id="rId19" Type="http://schemas.openxmlformats.org/officeDocument/2006/relationships/ctrlProp" Target="../ctrlProps/ctrlProp295.xml"/><Relationship Id="rId31" Type="http://schemas.openxmlformats.org/officeDocument/2006/relationships/ctrlProp" Target="../ctrlProps/ctrlProp307.xml"/><Relationship Id="rId4" Type="http://schemas.openxmlformats.org/officeDocument/2006/relationships/ctrlProp" Target="../ctrlProps/ctrlProp280.xml"/><Relationship Id="rId9" Type="http://schemas.openxmlformats.org/officeDocument/2006/relationships/ctrlProp" Target="../ctrlProps/ctrlProp285.xml"/><Relationship Id="rId14" Type="http://schemas.openxmlformats.org/officeDocument/2006/relationships/ctrlProp" Target="../ctrlProps/ctrlProp290.xml"/><Relationship Id="rId22" Type="http://schemas.openxmlformats.org/officeDocument/2006/relationships/ctrlProp" Target="../ctrlProps/ctrlProp298.xml"/><Relationship Id="rId27" Type="http://schemas.openxmlformats.org/officeDocument/2006/relationships/ctrlProp" Target="../ctrlProps/ctrlProp303.xml"/><Relationship Id="rId30" Type="http://schemas.openxmlformats.org/officeDocument/2006/relationships/ctrlProp" Target="../ctrlProps/ctrlProp306.xml"/><Relationship Id="rId35" Type="http://schemas.openxmlformats.org/officeDocument/2006/relationships/ctrlProp" Target="../ctrlProps/ctrlProp311.xml"/><Relationship Id="rId8" Type="http://schemas.openxmlformats.org/officeDocument/2006/relationships/ctrlProp" Target="../ctrlProps/ctrlProp284.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4.xml"/><Relationship Id="rId18" Type="http://schemas.openxmlformats.org/officeDocument/2006/relationships/ctrlProp" Target="../ctrlProps/ctrlProp329.xml"/><Relationship Id="rId26" Type="http://schemas.openxmlformats.org/officeDocument/2006/relationships/ctrlProp" Target="../ctrlProps/ctrlProp337.xml"/><Relationship Id="rId21" Type="http://schemas.openxmlformats.org/officeDocument/2006/relationships/ctrlProp" Target="../ctrlProps/ctrlProp332.xml"/><Relationship Id="rId34" Type="http://schemas.openxmlformats.org/officeDocument/2006/relationships/ctrlProp" Target="../ctrlProps/ctrlProp345.xml"/><Relationship Id="rId7" Type="http://schemas.openxmlformats.org/officeDocument/2006/relationships/ctrlProp" Target="../ctrlProps/ctrlProp318.xml"/><Relationship Id="rId12" Type="http://schemas.openxmlformats.org/officeDocument/2006/relationships/ctrlProp" Target="../ctrlProps/ctrlProp323.xml"/><Relationship Id="rId17" Type="http://schemas.openxmlformats.org/officeDocument/2006/relationships/ctrlProp" Target="../ctrlProps/ctrlProp328.xml"/><Relationship Id="rId25" Type="http://schemas.openxmlformats.org/officeDocument/2006/relationships/ctrlProp" Target="../ctrlProps/ctrlProp336.xml"/><Relationship Id="rId33" Type="http://schemas.openxmlformats.org/officeDocument/2006/relationships/ctrlProp" Target="../ctrlProps/ctrlProp344.xml"/><Relationship Id="rId38" Type="http://schemas.openxmlformats.org/officeDocument/2006/relationships/ctrlProp" Target="../ctrlProps/ctrlProp349.xml"/><Relationship Id="rId2" Type="http://schemas.openxmlformats.org/officeDocument/2006/relationships/drawing" Target="../drawings/drawing16.xml"/><Relationship Id="rId16" Type="http://schemas.openxmlformats.org/officeDocument/2006/relationships/ctrlProp" Target="../ctrlProps/ctrlProp327.xml"/><Relationship Id="rId20" Type="http://schemas.openxmlformats.org/officeDocument/2006/relationships/ctrlProp" Target="../ctrlProps/ctrlProp331.xml"/><Relationship Id="rId29" Type="http://schemas.openxmlformats.org/officeDocument/2006/relationships/ctrlProp" Target="../ctrlProps/ctrlProp340.xml"/><Relationship Id="rId1" Type="http://schemas.openxmlformats.org/officeDocument/2006/relationships/printerSettings" Target="../printerSettings/printerSettings21.bin"/><Relationship Id="rId6" Type="http://schemas.openxmlformats.org/officeDocument/2006/relationships/ctrlProp" Target="../ctrlProps/ctrlProp317.xml"/><Relationship Id="rId11" Type="http://schemas.openxmlformats.org/officeDocument/2006/relationships/ctrlProp" Target="../ctrlProps/ctrlProp322.xml"/><Relationship Id="rId24" Type="http://schemas.openxmlformats.org/officeDocument/2006/relationships/ctrlProp" Target="../ctrlProps/ctrlProp335.xml"/><Relationship Id="rId32" Type="http://schemas.openxmlformats.org/officeDocument/2006/relationships/ctrlProp" Target="../ctrlProps/ctrlProp343.xml"/><Relationship Id="rId37" Type="http://schemas.openxmlformats.org/officeDocument/2006/relationships/ctrlProp" Target="../ctrlProps/ctrlProp348.xml"/><Relationship Id="rId5" Type="http://schemas.openxmlformats.org/officeDocument/2006/relationships/ctrlProp" Target="../ctrlProps/ctrlProp316.xml"/><Relationship Id="rId15" Type="http://schemas.openxmlformats.org/officeDocument/2006/relationships/ctrlProp" Target="../ctrlProps/ctrlProp326.xml"/><Relationship Id="rId23" Type="http://schemas.openxmlformats.org/officeDocument/2006/relationships/ctrlProp" Target="../ctrlProps/ctrlProp334.xml"/><Relationship Id="rId28" Type="http://schemas.openxmlformats.org/officeDocument/2006/relationships/ctrlProp" Target="../ctrlProps/ctrlProp339.xml"/><Relationship Id="rId36" Type="http://schemas.openxmlformats.org/officeDocument/2006/relationships/ctrlProp" Target="../ctrlProps/ctrlProp347.xml"/><Relationship Id="rId10" Type="http://schemas.openxmlformats.org/officeDocument/2006/relationships/ctrlProp" Target="../ctrlProps/ctrlProp321.xml"/><Relationship Id="rId19" Type="http://schemas.openxmlformats.org/officeDocument/2006/relationships/ctrlProp" Target="../ctrlProps/ctrlProp330.xml"/><Relationship Id="rId31" Type="http://schemas.openxmlformats.org/officeDocument/2006/relationships/ctrlProp" Target="../ctrlProps/ctrlProp342.xml"/><Relationship Id="rId4" Type="http://schemas.openxmlformats.org/officeDocument/2006/relationships/ctrlProp" Target="../ctrlProps/ctrlProp315.xml"/><Relationship Id="rId9" Type="http://schemas.openxmlformats.org/officeDocument/2006/relationships/ctrlProp" Target="../ctrlProps/ctrlProp320.xml"/><Relationship Id="rId14" Type="http://schemas.openxmlformats.org/officeDocument/2006/relationships/ctrlProp" Target="../ctrlProps/ctrlProp325.xml"/><Relationship Id="rId22" Type="http://schemas.openxmlformats.org/officeDocument/2006/relationships/ctrlProp" Target="../ctrlProps/ctrlProp333.xml"/><Relationship Id="rId27" Type="http://schemas.openxmlformats.org/officeDocument/2006/relationships/ctrlProp" Target="../ctrlProps/ctrlProp338.xml"/><Relationship Id="rId30" Type="http://schemas.openxmlformats.org/officeDocument/2006/relationships/ctrlProp" Target="../ctrlProps/ctrlProp341.xml"/><Relationship Id="rId35" Type="http://schemas.openxmlformats.org/officeDocument/2006/relationships/ctrlProp" Target="../ctrlProps/ctrlProp346.xml"/><Relationship Id="rId8" Type="http://schemas.openxmlformats.org/officeDocument/2006/relationships/ctrlProp" Target="../ctrlProps/ctrlProp319.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59.xml"/><Relationship Id="rId18" Type="http://schemas.openxmlformats.org/officeDocument/2006/relationships/ctrlProp" Target="../ctrlProps/ctrlProp364.xml"/><Relationship Id="rId26" Type="http://schemas.openxmlformats.org/officeDocument/2006/relationships/ctrlProp" Target="../ctrlProps/ctrlProp372.xml"/><Relationship Id="rId21" Type="http://schemas.openxmlformats.org/officeDocument/2006/relationships/ctrlProp" Target="../ctrlProps/ctrlProp367.xml"/><Relationship Id="rId34" Type="http://schemas.openxmlformats.org/officeDocument/2006/relationships/ctrlProp" Target="../ctrlProps/ctrlProp380.xml"/><Relationship Id="rId7" Type="http://schemas.openxmlformats.org/officeDocument/2006/relationships/ctrlProp" Target="../ctrlProps/ctrlProp353.xml"/><Relationship Id="rId12" Type="http://schemas.openxmlformats.org/officeDocument/2006/relationships/ctrlProp" Target="../ctrlProps/ctrlProp358.xml"/><Relationship Id="rId17" Type="http://schemas.openxmlformats.org/officeDocument/2006/relationships/ctrlProp" Target="../ctrlProps/ctrlProp363.xml"/><Relationship Id="rId25" Type="http://schemas.openxmlformats.org/officeDocument/2006/relationships/ctrlProp" Target="../ctrlProps/ctrlProp371.xml"/><Relationship Id="rId33" Type="http://schemas.openxmlformats.org/officeDocument/2006/relationships/ctrlProp" Target="../ctrlProps/ctrlProp379.xml"/><Relationship Id="rId38" Type="http://schemas.openxmlformats.org/officeDocument/2006/relationships/ctrlProp" Target="../ctrlProps/ctrlProp384.xml"/><Relationship Id="rId2" Type="http://schemas.openxmlformats.org/officeDocument/2006/relationships/drawing" Target="../drawings/drawing17.xml"/><Relationship Id="rId16" Type="http://schemas.openxmlformats.org/officeDocument/2006/relationships/ctrlProp" Target="../ctrlProps/ctrlProp362.xml"/><Relationship Id="rId20" Type="http://schemas.openxmlformats.org/officeDocument/2006/relationships/ctrlProp" Target="../ctrlProps/ctrlProp366.xml"/><Relationship Id="rId29" Type="http://schemas.openxmlformats.org/officeDocument/2006/relationships/ctrlProp" Target="../ctrlProps/ctrlProp375.xml"/><Relationship Id="rId1" Type="http://schemas.openxmlformats.org/officeDocument/2006/relationships/printerSettings" Target="../printerSettings/printerSettings22.bin"/><Relationship Id="rId6" Type="http://schemas.openxmlformats.org/officeDocument/2006/relationships/ctrlProp" Target="../ctrlProps/ctrlProp352.xml"/><Relationship Id="rId11" Type="http://schemas.openxmlformats.org/officeDocument/2006/relationships/ctrlProp" Target="../ctrlProps/ctrlProp357.xml"/><Relationship Id="rId24" Type="http://schemas.openxmlformats.org/officeDocument/2006/relationships/ctrlProp" Target="../ctrlProps/ctrlProp370.xml"/><Relationship Id="rId32" Type="http://schemas.openxmlformats.org/officeDocument/2006/relationships/ctrlProp" Target="../ctrlProps/ctrlProp378.xml"/><Relationship Id="rId37" Type="http://schemas.openxmlformats.org/officeDocument/2006/relationships/ctrlProp" Target="../ctrlProps/ctrlProp383.xml"/><Relationship Id="rId5" Type="http://schemas.openxmlformats.org/officeDocument/2006/relationships/ctrlProp" Target="../ctrlProps/ctrlProp351.xml"/><Relationship Id="rId15" Type="http://schemas.openxmlformats.org/officeDocument/2006/relationships/ctrlProp" Target="../ctrlProps/ctrlProp361.xml"/><Relationship Id="rId23" Type="http://schemas.openxmlformats.org/officeDocument/2006/relationships/ctrlProp" Target="../ctrlProps/ctrlProp369.xml"/><Relationship Id="rId28" Type="http://schemas.openxmlformats.org/officeDocument/2006/relationships/ctrlProp" Target="../ctrlProps/ctrlProp374.xml"/><Relationship Id="rId36" Type="http://schemas.openxmlformats.org/officeDocument/2006/relationships/ctrlProp" Target="../ctrlProps/ctrlProp382.xml"/><Relationship Id="rId10" Type="http://schemas.openxmlformats.org/officeDocument/2006/relationships/ctrlProp" Target="../ctrlProps/ctrlProp356.xml"/><Relationship Id="rId19" Type="http://schemas.openxmlformats.org/officeDocument/2006/relationships/ctrlProp" Target="../ctrlProps/ctrlProp365.xml"/><Relationship Id="rId31" Type="http://schemas.openxmlformats.org/officeDocument/2006/relationships/ctrlProp" Target="../ctrlProps/ctrlProp377.xml"/><Relationship Id="rId4" Type="http://schemas.openxmlformats.org/officeDocument/2006/relationships/ctrlProp" Target="../ctrlProps/ctrlProp350.xml"/><Relationship Id="rId9" Type="http://schemas.openxmlformats.org/officeDocument/2006/relationships/ctrlProp" Target="../ctrlProps/ctrlProp355.xml"/><Relationship Id="rId14" Type="http://schemas.openxmlformats.org/officeDocument/2006/relationships/ctrlProp" Target="../ctrlProps/ctrlProp360.xml"/><Relationship Id="rId22" Type="http://schemas.openxmlformats.org/officeDocument/2006/relationships/ctrlProp" Target="../ctrlProps/ctrlProp368.xml"/><Relationship Id="rId27" Type="http://schemas.openxmlformats.org/officeDocument/2006/relationships/ctrlProp" Target="../ctrlProps/ctrlProp373.xml"/><Relationship Id="rId30" Type="http://schemas.openxmlformats.org/officeDocument/2006/relationships/ctrlProp" Target="../ctrlProps/ctrlProp376.xml"/><Relationship Id="rId35" Type="http://schemas.openxmlformats.org/officeDocument/2006/relationships/ctrlProp" Target="../ctrlProps/ctrlProp381.xml"/><Relationship Id="rId8" Type="http://schemas.openxmlformats.org/officeDocument/2006/relationships/ctrlProp" Target="../ctrlProps/ctrlProp354.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4.xml"/><Relationship Id="rId18" Type="http://schemas.openxmlformats.org/officeDocument/2006/relationships/ctrlProp" Target="../ctrlProps/ctrlProp399.xml"/><Relationship Id="rId26" Type="http://schemas.openxmlformats.org/officeDocument/2006/relationships/ctrlProp" Target="../ctrlProps/ctrlProp407.xml"/><Relationship Id="rId21" Type="http://schemas.openxmlformats.org/officeDocument/2006/relationships/ctrlProp" Target="../ctrlProps/ctrlProp402.xml"/><Relationship Id="rId34" Type="http://schemas.openxmlformats.org/officeDocument/2006/relationships/ctrlProp" Target="../ctrlProps/ctrlProp415.xml"/><Relationship Id="rId7" Type="http://schemas.openxmlformats.org/officeDocument/2006/relationships/ctrlProp" Target="../ctrlProps/ctrlProp388.xml"/><Relationship Id="rId12" Type="http://schemas.openxmlformats.org/officeDocument/2006/relationships/ctrlProp" Target="../ctrlProps/ctrlProp393.xml"/><Relationship Id="rId17" Type="http://schemas.openxmlformats.org/officeDocument/2006/relationships/ctrlProp" Target="../ctrlProps/ctrlProp398.xml"/><Relationship Id="rId25" Type="http://schemas.openxmlformats.org/officeDocument/2006/relationships/ctrlProp" Target="../ctrlProps/ctrlProp406.xml"/><Relationship Id="rId33" Type="http://schemas.openxmlformats.org/officeDocument/2006/relationships/ctrlProp" Target="../ctrlProps/ctrlProp414.xml"/><Relationship Id="rId38" Type="http://schemas.openxmlformats.org/officeDocument/2006/relationships/ctrlProp" Target="../ctrlProps/ctrlProp419.xml"/><Relationship Id="rId2" Type="http://schemas.openxmlformats.org/officeDocument/2006/relationships/drawing" Target="../drawings/drawing18.xml"/><Relationship Id="rId16" Type="http://schemas.openxmlformats.org/officeDocument/2006/relationships/ctrlProp" Target="../ctrlProps/ctrlProp397.xml"/><Relationship Id="rId20" Type="http://schemas.openxmlformats.org/officeDocument/2006/relationships/ctrlProp" Target="../ctrlProps/ctrlProp401.xml"/><Relationship Id="rId29" Type="http://schemas.openxmlformats.org/officeDocument/2006/relationships/ctrlProp" Target="../ctrlProps/ctrlProp410.xml"/><Relationship Id="rId1" Type="http://schemas.openxmlformats.org/officeDocument/2006/relationships/printerSettings" Target="../printerSettings/printerSettings23.bin"/><Relationship Id="rId6" Type="http://schemas.openxmlformats.org/officeDocument/2006/relationships/ctrlProp" Target="../ctrlProps/ctrlProp387.xml"/><Relationship Id="rId11" Type="http://schemas.openxmlformats.org/officeDocument/2006/relationships/ctrlProp" Target="../ctrlProps/ctrlProp392.xml"/><Relationship Id="rId24" Type="http://schemas.openxmlformats.org/officeDocument/2006/relationships/ctrlProp" Target="../ctrlProps/ctrlProp405.xml"/><Relationship Id="rId32" Type="http://schemas.openxmlformats.org/officeDocument/2006/relationships/ctrlProp" Target="../ctrlProps/ctrlProp413.xml"/><Relationship Id="rId37" Type="http://schemas.openxmlformats.org/officeDocument/2006/relationships/ctrlProp" Target="../ctrlProps/ctrlProp418.xml"/><Relationship Id="rId5" Type="http://schemas.openxmlformats.org/officeDocument/2006/relationships/ctrlProp" Target="../ctrlProps/ctrlProp386.xml"/><Relationship Id="rId15" Type="http://schemas.openxmlformats.org/officeDocument/2006/relationships/ctrlProp" Target="../ctrlProps/ctrlProp396.xml"/><Relationship Id="rId23" Type="http://schemas.openxmlformats.org/officeDocument/2006/relationships/ctrlProp" Target="../ctrlProps/ctrlProp404.xml"/><Relationship Id="rId28" Type="http://schemas.openxmlformats.org/officeDocument/2006/relationships/ctrlProp" Target="../ctrlProps/ctrlProp409.xml"/><Relationship Id="rId36" Type="http://schemas.openxmlformats.org/officeDocument/2006/relationships/ctrlProp" Target="../ctrlProps/ctrlProp417.xml"/><Relationship Id="rId10" Type="http://schemas.openxmlformats.org/officeDocument/2006/relationships/ctrlProp" Target="../ctrlProps/ctrlProp391.xml"/><Relationship Id="rId19" Type="http://schemas.openxmlformats.org/officeDocument/2006/relationships/ctrlProp" Target="../ctrlProps/ctrlProp400.xml"/><Relationship Id="rId31" Type="http://schemas.openxmlformats.org/officeDocument/2006/relationships/ctrlProp" Target="../ctrlProps/ctrlProp412.xml"/><Relationship Id="rId4" Type="http://schemas.openxmlformats.org/officeDocument/2006/relationships/ctrlProp" Target="../ctrlProps/ctrlProp385.xml"/><Relationship Id="rId9" Type="http://schemas.openxmlformats.org/officeDocument/2006/relationships/ctrlProp" Target="../ctrlProps/ctrlProp390.xml"/><Relationship Id="rId14" Type="http://schemas.openxmlformats.org/officeDocument/2006/relationships/ctrlProp" Target="../ctrlProps/ctrlProp395.xml"/><Relationship Id="rId22" Type="http://schemas.openxmlformats.org/officeDocument/2006/relationships/ctrlProp" Target="../ctrlProps/ctrlProp403.xml"/><Relationship Id="rId27" Type="http://schemas.openxmlformats.org/officeDocument/2006/relationships/ctrlProp" Target="../ctrlProps/ctrlProp408.xml"/><Relationship Id="rId30" Type="http://schemas.openxmlformats.org/officeDocument/2006/relationships/ctrlProp" Target="../ctrlProps/ctrlProp411.xml"/><Relationship Id="rId35" Type="http://schemas.openxmlformats.org/officeDocument/2006/relationships/ctrlProp" Target="../ctrlProps/ctrlProp416.xml"/><Relationship Id="rId8" Type="http://schemas.openxmlformats.org/officeDocument/2006/relationships/ctrlProp" Target="../ctrlProps/ctrlProp389.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29.xml"/><Relationship Id="rId18" Type="http://schemas.openxmlformats.org/officeDocument/2006/relationships/ctrlProp" Target="../ctrlProps/ctrlProp434.xml"/><Relationship Id="rId26" Type="http://schemas.openxmlformats.org/officeDocument/2006/relationships/ctrlProp" Target="../ctrlProps/ctrlProp442.xml"/><Relationship Id="rId21" Type="http://schemas.openxmlformats.org/officeDocument/2006/relationships/ctrlProp" Target="../ctrlProps/ctrlProp437.xml"/><Relationship Id="rId34" Type="http://schemas.openxmlformats.org/officeDocument/2006/relationships/ctrlProp" Target="../ctrlProps/ctrlProp450.xml"/><Relationship Id="rId7" Type="http://schemas.openxmlformats.org/officeDocument/2006/relationships/ctrlProp" Target="../ctrlProps/ctrlProp423.xml"/><Relationship Id="rId12" Type="http://schemas.openxmlformats.org/officeDocument/2006/relationships/ctrlProp" Target="../ctrlProps/ctrlProp428.xml"/><Relationship Id="rId17" Type="http://schemas.openxmlformats.org/officeDocument/2006/relationships/ctrlProp" Target="../ctrlProps/ctrlProp433.xml"/><Relationship Id="rId25" Type="http://schemas.openxmlformats.org/officeDocument/2006/relationships/ctrlProp" Target="../ctrlProps/ctrlProp441.xml"/><Relationship Id="rId33" Type="http://schemas.openxmlformats.org/officeDocument/2006/relationships/ctrlProp" Target="../ctrlProps/ctrlProp449.xml"/><Relationship Id="rId38" Type="http://schemas.openxmlformats.org/officeDocument/2006/relationships/ctrlProp" Target="../ctrlProps/ctrlProp454.xml"/><Relationship Id="rId2" Type="http://schemas.openxmlformats.org/officeDocument/2006/relationships/drawing" Target="../drawings/drawing19.xml"/><Relationship Id="rId16" Type="http://schemas.openxmlformats.org/officeDocument/2006/relationships/ctrlProp" Target="../ctrlProps/ctrlProp432.xml"/><Relationship Id="rId20" Type="http://schemas.openxmlformats.org/officeDocument/2006/relationships/ctrlProp" Target="../ctrlProps/ctrlProp436.xml"/><Relationship Id="rId29" Type="http://schemas.openxmlformats.org/officeDocument/2006/relationships/ctrlProp" Target="../ctrlProps/ctrlProp445.xml"/><Relationship Id="rId1" Type="http://schemas.openxmlformats.org/officeDocument/2006/relationships/printerSettings" Target="../printerSettings/printerSettings24.bin"/><Relationship Id="rId6" Type="http://schemas.openxmlformats.org/officeDocument/2006/relationships/ctrlProp" Target="../ctrlProps/ctrlProp422.xml"/><Relationship Id="rId11" Type="http://schemas.openxmlformats.org/officeDocument/2006/relationships/ctrlProp" Target="../ctrlProps/ctrlProp427.xml"/><Relationship Id="rId24" Type="http://schemas.openxmlformats.org/officeDocument/2006/relationships/ctrlProp" Target="../ctrlProps/ctrlProp440.xml"/><Relationship Id="rId32" Type="http://schemas.openxmlformats.org/officeDocument/2006/relationships/ctrlProp" Target="../ctrlProps/ctrlProp448.xml"/><Relationship Id="rId37" Type="http://schemas.openxmlformats.org/officeDocument/2006/relationships/ctrlProp" Target="../ctrlProps/ctrlProp453.xml"/><Relationship Id="rId5" Type="http://schemas.openxmlformats.org/officeDocument/2006/relationships/ctrlProp" Target="../ctrlProps/ctrlProp421.xml"/><Relationship Id="rId15" Type="http://schemas.openxmlformats.org/officeDocument/2006/relationships/ctrlProp" Target="../ctrlProps/ctrlProp431.xml"/><Relationship Id="rId23" Type="http://schemas.openxmlformats.org/officeDocument/2006/relationships/ctrlProp" Target="../ctrlProps/ctrlProp439.xml"/><Relationship Id="rId28" Type="http://schemas.openxmlformats.org/officeDocument/2006/relationships/ctrlProp" Target="../ctrlProps/ctrlProp444.xml"/><Relationship Id="rId36" Type="http://schemas.openxmlformats.org/officeDocument/2006/relationships/ctrlProp" Target="../ctrlProps/ctrlProp452.xml"/><Relationship Id="rId10" Type="http://schemas.openxmlformats.org/officeDocument/2006/relationships/ctrlProp" Target="../ctrlProps/ctrlProp426.xml"/><Relationship Id="rId19" Type="http://schemas.openxmlformats.org/officeDocument/2006/relationships/ctrlProp" Target="../ctrlProps/ctrlProp435.xml"/><Relationship Id="rId31" Type="http://schemas.openxmlformats.org/officeDocument/2006/relationships/ctrlProp" Target="../ctrlProps/ctrlProp447.xml"/><Relationship Id="rId4" Type="http://schemas.openxmlformats.org/officeDocument/2006/relationships/ctrlProp" Target="../ctrlProps/ctrlProp420.xml"/><Relationship Id="rId9" Type="http://schemas.openxmlformats.org/officeDocument/2006/relationships/ctrlProp" Target="../ctrlProps/ctrlProp425.xml"/><Relationship Id="rId14" Type="http://schemas.openxmlformats.org/officeDocument/2006/relationships/ctrlProp" Target="../ctrlProps/ctrlProp430.xml"/><Relationship Id="rId22" Type="http://schemas.openxmlformats.org/officeDocument/2006/relationships/ctrlProp" Target="../ctrlProps/ctrlProp438.xml"/><Relationship Id="rId27" Type="http://schemas.openxmlformats.org/officeDocument/2006/relationships/ctrlProp" Target="../ctrlProps/ctrlProp443.xml"/><Relationship Id="rId30" Type="http://schemas.openxmlformats.org/officeDocument/2006/relationships/ctrlProp" Target="../ctrlProps/ctrlProp446.xml"/><Relationship Id="rId35" Type="http://schemas.openxmlformats.org/officeDocument/2006/relationships/ctrlProp" Target="../ctrlProps/ctrlProp451.xml"/><Relationship Id="rId8" Type="http://schemas.openxmlformats.org/officeDocument/2006/relationships/ctrlProp" Target="../ctrlProps/ctrlProp424.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542</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Mutual Automobile Insurance Company</v>
      </c>
    </row>
    <row r="22" spans="1:6" x14ac:dyDescent="0.25">
      <c r="A22" s="56" t="s">
        <v>61</v>
      </c>
      <c r="B22" s="154" t="str">
        <f>INDEX(List_GeneralLine,References!$F$5,1)</f>
        <v>Auto Liability and Physical Damage</v>
      </c>
    </row>
    <row r="23" spans="1:6" x14ac:dyDescent="0.25">
      <c r="A23" s="56" t="s">
        <v>113</v>
      </c>
      <c r="B23" s="154" t="str">
        <f>IF(ISBLANK('1.General'!$H$14),"",'1.General'!$H$14)</f>
        <v/>
      </c>
    </row>
    <row r="24" spans="1:6" x14ac:dyDescent="0.25">
      <c r="A24" s="56" t="s">
        <v>222</v>
      </c>
      <c r="B24" s="154" t="str">
        <f>IF(ISBLANK('1.General'!$B$7),"",'1.General'!$B$7)</f>
        <v>Allison Jeffers</v>
      </c>
    </row>
    <row r="25" spans="1:6" x14ac:dyDescent="0.25">
      <c r="A25" s="56" t="s">
        <v>223</v>
      </c>
      <c r="B25" s="155">
        <f>IF(ISBLANK('1.General'!$E$7),"",'1.General'!$E$7)</f>
        <v>45280</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0</v>
      </c>
    </row>
    <row r="30" spans="1:6" x14ac:dyDescent="0.25">
      <c r="A30" s="56" t="s">
        <v>368</v>
      </c>
      <c r="B30" s="315" t="b">
        <f>IF('3.Filing Type and Checklist'!E11="Y",TRUE,FALSE)</f>
        <v>1</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v>
      </c>
    </row>
    <row r="5" spans="1:27" ht="45" customHeight="1" x14ac:dyDescent="0.25">
      <c r="A5" s="175" t="s">
        <v>255</v>
      </c>
      <c r="B5" s="176"/>
      <c r="C5" s="9"/>
      <c r="D5" s="177">
        <v>2</v>
      </c>
      <c r="E5" s="139"/>
      <c r="F5" s="178">
        <v>5</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1</v>
      </c>
      <c r="Q5" s="362">
        <f>IF('3.Filing Type and Checklist'!$E$9="Y",1,0)</f>
        <v>0</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A21,A23,A24,A25,A26,A27,A29,A30,A31,A32,A33,A37,A38,A39,A40,A41,A42,A43,A44,A45,A46,A47,A48,A49,A50,A51,A52,A53,A55,A56,A58,A59,A61,A63,A66,A67</v>
      </c>
      <c r="Y5" s="395">
        <f>Y4-1</f>
        <v>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1</v>
      </c>
      <c r="W16" s="374" t="str">
        <f t="shared" si="0"/>
        <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0</v>
      </c>
      <c r="W17" s="374" t="str">
        <f t="shared" si="0"/>
        <v>A29,</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0</v>
      </c>
      <c r="W19" s="374" t="str">
        <f t="shared" si="0"/>
        <v>A31,</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0</v>
      </c>
      <c r="W20" s="374" t="str">
        <f t="shared" si="0"/>
        <v>A32,</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0</v>
      </c>
      <c r="W41" s="374" t="str">
        <f t="shared" si="0"/>
        <v>A53,</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Underwriting Guidelines</v>
      </c>
      <c r="M48" s="370">
        <v>60</v>
      </c>
      <c r="N48" s="371" t="s">
        <v>422</v>
      </c>
      <c r="O48" s="371">
        <v>1</v>
      </c>
      <c r="P48" s="371"/>
      <c r="Q48" s="371">
        <v>1</v>
      </c>
      <c r="R48" s="371">
        <v>1</v>
      </c>
      <c r="S48" s="371">
        <v>1</v>
      </c>
      <c r="T48" s="372">
        <v>1</v>
      </c>
      <c r="U48" s="373"/>
      <c r="V48" s="339">
        <f t="shared" si="4"/>
        <v>0</v>
      </c>
      <c r="W48" s="374" t="str">
        <f t="shared" si="0"/>
        <v>A60,</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0</v>
      </c>
      <c r="W49" s="374" t="str">
        <f t="shared" ref="W49" si="5">IF(V49=0,"A"&amp;$M49&amp;",","")</f>
        <v>A61,</v>
      </c>
    </row>
    <row r="50" spans="9:23" ht="30" customHeight="1" x14ac:dyDescent="0.25">
      <c r="I50" s="13"/>
      <c r="L50" s="179" t="s">
        <v>301</v>
      </c>
      <c r="M50" s="370">
        <v>62</v>
      </c>
      <c r="N50" s="371" t="s">
        <v>422</v>
      </c>
      <c r="O50" s="371"/>
      <c r="P50" s="371">
        <v>1</v>
      </c>
      <c r="Q50" s="371"/>
      <c r="R50" s="371">
        <v>1</v>
      </c>
      <c r="S50" s="371"/>
      <c r="T50" s="372">
        <v>1</v>
      </c>
      <c r="U50" s="373"/>
      <c r="V50" s="339">
        <f t="shared" si="4"/>
        <v>1</v>
      </c>
      <c r="W50" s="374" t="str">
        <f t="shared" si="0"/>
        <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1</v>
      </c>
      <c r="W52" s="374" t="str">
        <f t="shared" si="0"/>
        <v/>
      </c>
    </row>
    <row r="53" spans="9:23" ht="30" customHeight="1" x14ac:dyDescent="0.25">
      <c r="I53" s="13"/>
      <c r="L53" s="335" t="s">
        <v>489</v>
      </c>
      <c r="M53" s="370">
        <v>65</v>
      </c>
      <c r="N53" s="371" t="s">
        <v>422</v>
      </c>
      <c r="O53" s="371"/>
      <c r="P53" s="371">
        <v>1</v>
      </c>
      <c r="Q53" s="371"/>
      <c r="R53" s="371">
        <v>1</v>
      </c>
      <c r="S53" s="371"/>
      <c r="T53" s="372"/>
      <c r="U53" s="373"/>
      <c r="V53" s="339">
        <f t="shared" si="4"/>
        <v>1</v>
      </c>
      <c r="W53" s="374" t="str">
        <f t="shared" si="0"/>
        <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ZnoWUWS6VuTOfOKtRcFfiCZDP4PfyJVqzYQBK3gmpWWi7HNg0Ww4WdG3nm8QC3yRd5E24EyahwbvsnpbODgcTg==" saltValue="zG9cHJ7QoKyNtOVItNN78Q=="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election activeCell="B4" sqref="B4"/>
    </sheetView>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CTgTdN8ul/6icJzUpwD3ZjPuuixEU3bUjk7qxZAUrNE5QC6gWYq9vwRL+0rbaiW/EtppThbXQ/krHxlrvzJB6A==" saltValue="43eyjzV+qTTIQa++gbvRN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C37" sqref="C37:D3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Mutual Automobile Insurance Company</v>
      </c>
      <c r="L1" s="303" t="s">
        <v>302</v>
      </c>
    </row>
    <row r="2" spans="1:18" x14ac:dyDescent="0.25">
      <c r="A2" s="1" t="s">
        <v>67</v>
      </c>
      <c r="D2" s="1" t="s">
        <v>69</v>
      </c>
      <c r="I2" s="28" t="str">
        <f>General_Line</f>
        <v>Auto Liability and Physical Damage</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537</v>
      </c>
      <c r="C7" s="7"/>
      <c r="D7" s="7" t="s">
        <v>1</v>
      </c>
      <c r="E7" s="323">
        <v>45280</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540</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13"/>
      <c r="I14" s="514"/>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3"/>
      <c r="I16" s="514"/>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5"/>
      <c r="I18" s="51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15"/>
      <c r="I20" s="51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20"/>
      <c r="D22" s="521"/>
      <c r="E22" s="7"/>
      <c r="F22" s="7"/>
      <c r="G22" s="36" t="s">
        <v>19</v>
      </c>
      <c r="H22" s="517"/>
      <c r="I22" s="518"/>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13"/>
      <c r="I26" s="514"/>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WARNING! Indicate whether CIC §1861.16(c) applies in cell D39.</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2"/>
      <c r="C32" s="503"/>
      <c r="D32" s="503"/>
      <c r="E32" s="504"/>
      <c r="F32" s="7"/>
      <c r="G32" s="36" t="s">
        <v>20</v>
      </c>
      <c r="H32" s="513"/>
      <c r="I32" s="514"/>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2" t="s">
        <v>539</v>
      </c>
      <c r="C34" s="503"/>
      <c r="D34" s="503"/>
      <c r="E34" s="504"/>
      <c r="F34" s="7"/>
      <c r="G34" s="36" t="s">
        <v>32</v>
      </c>
      <c r="H34" s="39"/>
      <c r="I34" s="39"/>
      <c r="J34" s="215"/>
      <c r="K34" s="220"/>
      <c r="L34" s="300"/>
      <c r="M34" s="317" t="b">
        <f>IF(FilingType_Rate=TRUE,TRUE,FALSE)</f>
        <v>0</v>
      </c>
      <c r="N34" s="316" t="b">
        <f>IF(FilingType_Rule=TRUE,TRUE,FALSE)</f>
        <v>0</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1</v>
      </c>
      <c r="N36" s="316" t="b">
        <f>IF(K14=1,TRUE,FALSE)</f>
        <v>0</v>
      </c>
    </row>
    <row r="37" spans="1:14" ht="18" customHeight="1" x14ac:dyDescent="0.25">
      <c r="A37" s="18" t="s">
        <v>9</v>
      </c>
      <c r="B37" s="7"/>
      <c r="C37" s="520" t="s">
        <v>543</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Does CIC §1861.16(c) apply (Super Group)?</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0"/>
      <c r="I40" s="510"/>
      <c r="J40" s="214"/>
      <c r="K40" s="222"/>
      <c r="L40" s="308"/>
      <c r="M40" s="7"/>
    </row>
    <row r="41" spans="1:14" ht="15.75" customHeight="1" x14ac:dyDescent="0.25">
      <c r="A41" s="7" t="s">
        <v>464</v>
      </c>
      <c r="B41" s="7"/>
      <c r="C41" s="7"/>
      <c r="D41" s="7"/>
      <c r="E41" s="7"/>
      <c r="F41" s="7"/>
      <c r="G41" s="36" t="s">
        <v>22</v>
      </c>
      <c r="H41" s="519"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19"/>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2" t="s">
        <v>531</v>
      </c>
      <c r="C45" s="503"/>
      <c r="D45" s="503"/>
      <c r="E45" s="504"/>
      <c r="F45" s="7"/>
      <c r="G45" s="7"/>
      <c r="H45" s="7"/>
      <c r="I45" s="7"/>
      <c r="J45" s="7"/>
      <c r="K45" s="7"/>
      <c r="L45" s="307"/>
      <c r="M45" s="7"/>
    </row>
    <row r="46" spans="1:14" ht="18" customHeight="1" x14ac:dyDescent="0.25">
      <c r="A46" s="7" t="s">
        <v>23</v>
      </c>
      <c r="B46" s="502"/>
      <c r="C46" s="503"/>
      <c r="D46" s="503"/>
      <c r="E46" s="504"/>
      <c r="F46" s="7"/>
      <c r="L46" s="307"/>
      <c r="M46" s="7"/>
    </row>
    <row r="47" spans="1:14" ht="4.5" customHeight="1" x14ac:dyDescent="0.25">
      <c r="A47" s="7"/>
      <c r="F47" s="7"/>
      <c r="L47" s="493"/>
      <c r="M47" s="7"/>
    </row>
    <row r="48" spans="1:14" ht="18" customHeight="1" x14ac:dyDescent="0.25">
      <c r="A48" s="7" t="s">
        <v>24</v>
      </c>
      <c r="B48" s="309">
        <v>25178</v>
      </c>
      <c r="C48" s="496"/>
      <c r="D48" s="496"/>
      <c r="E48" s="496"/>
      <c r="F48" s="7"/>
      <c r="L48" s="307"/>
      <c r="M48" s="7"/>
    </row>
    <row r="49" spans="1:13" ht="18.75" customHeight="1" x14ac:dyDescent="0.25">
      <c r="A49" s="7" t="s">
        <v>25</v>
      </c>
      <c r="B49" s="309"/>
      <c r="C49" s="7"/>
      <c r="D49" s="7"/>
      <c r="E49" s="7"/>
      <c r="F49" s="7"/>
      <c r="L49" s="307"/>
      <c r="M49" s="7"/>
    </row>
    <row r="50" spans="1:13" ht="4.5" customHeight="1" x14ac:dyDescent="0.25">
      <c r="F50" s="7"/>
      <c r="L50" s="307"/>
      <c r="M50" s="7"/>
    </row>
    <row r="51" spans="1:13" ht="18" customHeight="1" x14ac:dyDescent="0.25">
      <c r="A51" s="7" t="s">
        <v>26</v>
      </c>
      <c r="B51" s="7"/>
      <c r="C51" s="505" t="s">
        <v>532</v>
      </c>
      <c r="D51" s="506"/>
      <c r="E51" s="507"/>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02" t="s">
        <v>533</v>
      </c>
      <c r="C53" s="503"/>
      <c r="D53" s="503"/>
      <c r="E53" s="503"/>
      <c r="F53" s="503"/>
      <c r="G53" s="503"/>
      <c r="H53" s="503"/>
      <c r="I53" s="503"/>
      <c r="J53" s="504"/>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02" t="s">
        <v>541</v>
      </c>
      <c r="C55" s="503"/>
      <c r="D55" s="503"/>
      <c r="E55" s="503"/>
      <c r="F55" s="503"/>
      <c r="G55" s="503"/>
      <c r="H55" s="503"/>
      <c r="I55" s="503"/>
      <c r="J55" s="504"/>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02" t="s">
        <v>534</v>
      </c>
      <c r="C57" s="503"/>
      <c r="D57" s="503"/>
      <c r="E57" s="504"/>
      <c r="F57" s="7" t="s">
        <v>55</v>
      </c>
      <c r="G57" s="502" t="s">
        <v>534</v>
      </c>
      <c r="H57" s="503"/>
      <c r="I57" s="503"/>
      <c r="J57" s="504"/>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02" t="s">
        <v>535</v>
      </c>
      <c r="C59" s="503"/>
      <c r="D59" s="503"/>
      <c r="E59" s="503"/>
      <c r="F59" s="503"/>
      <c r="G59" s="503"/>
      <c r="H59" s="503"/>
      <c r="I59" s="503"/>
      <c r="J59" s="504"/>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02" t="s">
        <v>536</v>
      </c>
      <c r="C61" s="503"/>
      <c r="D61" s="503"/>
      <c r="E61" s="503"/>
      <c r="F61" s="503"/>
      <c r="G61" s="503"/>
      <c r="H61" s="503"/>
      <c r="I61" s="503"/>
      <c r="J61" s="504"/>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9"/>
      <c r="B69" s="509"/>
      <c r="C69" s="7"/>
      <c r="D69" s="512"/>
      <c r="E69" s="512"/>
      <c r="F69" s="512"/>
      <c r="H69" s="508"/>
      <c r="I69" s="508"/>
      <c r="J69" s="508"/>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fBtGEttbfTi+uz+zRrIxHQ/kWrnfVsqaoZMmp+RMULaNb5opLcOyVsIbKaeQgQnBw95YWvNzb+zWWxOlGUBX6A==" saltValue="8fxYiMT+v/x7CHsorlzPkw=="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1&amp;L6/5/2023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Mutual Automobile Insurance Company</v>
      </c>
    </row>
    <row r="2" spans="1:9" x14ac:dyDescent="0.25">
      <c r="A2" s="1" t="s">
        <v>67</v>
      </c>
      <c r="C2" s="29" t="s">
        <v>69</v>
      </c>
      <c r="E2" s="1"/>
      <c r="F2" s="28" t="str">
        <f>General_Line</f>
        <v>Auto Liability and Physical Damage</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Mutual Automobile Insurance Company</v>
      </c>
      <c r="C13" s="30"/>
      <c r="E13" s="44" t="s">
        <v>16</v>
      </c>
      <c r="F13" s="234"/>
    </row>
    <row r="14" spans="1:9" ht="18" customHeight="1" x14ac:dyDescent="0.25">
      <c r="E14" s="44"/>
      <c r="F14" s="44" t="s">
        <v>63</v>
      </c>
    </row>
    <row r="15" spans="1:9" ht="18" customHeight="1" x14ac:dyDescent="0.25">
      <c r="A15" t="s">
        <v>24</v>
      </c>
      <c r="B15" s="319">
        <f>IF(ISBLANK('1.General'!B48),"",'1.General'!B48)</f>
        <v>25178</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1ODyJAKXcHMrGHYCUBS8QnHTEUGUqFTljJF+B2CQQHfe2QiE+U4PavnfJW6MkDWK0gqNLPh1Ji7tlWquFutFSg==" saltValue="deg8EjPqvTR8h0AS3l8zeQ=="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C64" sqref="C64"/>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Mutual Automobile Insurance Company</v>
      </c>
      <c r="H1" s="303" t="s">
        <v>424</v>
      </c>
    </row>
    <row r="2" spans="1:8" x14ac:dyDescent="0.25">
      <c r="A2" s="1" t="s">
        <v>67</v>
      </c>
      <c r="B2" s="1"/>
      <c r="D2" s="29" t="s">
        <v>69</v>
      </c>
      <c r="E2" s="29"/>
      <c r="G2" s="28" t="str">
        <f>General_Line</f>
        <v>Auto Liability and Physical Damage</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6</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5</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x14ac:dyDescent="0.25">
      <c r="A20" s="40"/>
      <c r="B20" s="40"/>
      <c r="C20" s="13" t="s">
        <v>377</v>
      </c>
      <c r="D20" s="13"/>
      <c r="E20" s="13"/>
    </row>
    <row r="21" spans="1:7" hidden="1" x14ac:dyDescent="0.25">
      <c r="A21" s="40"/>
      <c r="B21" s="40"/>
      <c r="C21" s="13" t="s">
        <v>288</v>
      </c>
      <c r="D21" s="13"/>
      <c r="E21" s="13"/>
    </row>
    <row r="22" spans="1:7" x14ac:dyDescent="0.25">
      <c r="A22" s="40"/>
      <c r="B22" s="40"/>
      <c r="C22" s="13" t="s">
        <v>394</v>
      </c>
      <c r="D22" s="13"/>
      <c r="E22" s="13"/>
    </row>
    <row r="23" spans="1:7" hidden="1" x14ac:dyDescent="0.25">
      <c r="A23" s="40"/>
      <c r="B23" s="40"/>
      <c r="C23" s="13" t="s">
        <v>289</v>
      </c>
      <c r="D23" s="13"/>
      <c r="E23" s="13"/>
    </row>
    <row r="24" spans="1:7" hidden="1" x14ac:dyDescent="0.25">
      <c r="A24" s="40"/>
      <c r="B24" s="40"/>
      <c r="C24" s="13" t="s">
        <v>297</v>
      </c>
      <c r="D24" s="13"/>
      <c r="E24" s="13"/>
    </row>
    <row r="25" spans="1:7" hidden="1" x14ac:dyDescent="0.25">
      <c r="A25" s="40"/>
      <c r="B25" s="40"/>
      <c r="C25" s="13" t="s">
        <v>357</v>
      </c>
      <c r="D25" s="13"/>
      <c r="E25" s="13"/>
    </row>
    <row r="26" spans="1:7" hidden="1" x14ac:dyDescent="0.25">
      <c r="A26" s="40"/>
      <c r="B26" s="40"/>
      <c r="C26" s="13" t="s">
        <v>298</v>
      </c>
      <c r="D26" s="13"/>
      <c r="E26" s="13"/>
    </row>
    <row r="27" spans="1:7" hidden="1" x14ac:dyDescent="0.25">
      <c r="A27" s="40"/>
      <c r="B27" s="40"/>
      <c r="C27" s="13" t="s">
        <v>299</v>
      </c>
      <c r="D27" s="13"/>
      <c r="E27" s="13"/>
    </row>
    <row r="28" spans="1:7" x14ac:dyDescent="0.25">
      <c r="A28" s="40"/>
      <c r="B28" s="40"/>
      <c r="C28" s="13" t="s">
        <v>300</v>
      </c>
      <c r="D28" s="13"/>
      <c r="E28" s="13"/>
    </row>
    <row r="29" spans="1:7" hidden="1" x14ac:dyDescent="0.25">
      <c r="A29" s="40"/>
      <c r="B29" s="40"/>
      <c r="C29" s="13" t="s">
        <v>405</v>
      </c>
      <c r="D29" s="13"/>
      <c r="E29" s="13"/>
    </row>
    <row r="30" spans="1:7" hidden="1" x14ac:dyDescent="0.25">
      <c r="A30" s="40"/>
      <c r="B30" s="40"/>
      <c r="C30" s="13" t="s">
        <v>76</v>
      </c>
      <c r="D30" s="13"/>
      <c r="E30" s="13"/>
    </row>
    <row r="31" spans="1:7" hidden="1" x14ac:dyDescent="0.25">
      <c r="A31" s="40"/>
      <c r="B31" s="40"/>
      <c r="C31" s="13" t="s">
        <v>456</v>
      </c>
      <c r="D31" s="13"/>
      <c r="E31" s="13"/>
    </row>
    <row r="32" spans="1:7" hidden="1" x14ac:dyDescent="0.25">
      <c r="A32" s="40"/>
      <c r="B32" s="40"/>
      <c r="C32" s="139" t="s">
        <v>493</v>
      </c>
      <c r="D32" s="13"/>
      <c r="E32" s="13"/>
    </row>
    <row r="33" spans="1:7" hidden="1" x14ac:dyDescent="0.25">
      <c r="A33" s="40"/>
      <c r="B33" s="40"/>
      <c r="C33" s="139" t="s">
        <v>494</v>
      </c>
      <c r="D33" s="13"/>
      <c r="E33" s="13"/>
    </row>
    <row r="34" spans="1:7" x14ac:dyDescent="0.25">
      <c r="A34" s="40"/>
      <c r="B34" s="40"/>
      <c r="C34" s="139" t="s">
        <v>457</v>
      </c>
      <c r="D34" s="13"/>
      <c r="E34" s="13"/>
    </row>
    <row r="35" spans="1:7" x14ac:dyDescent="0.25">
      <c r="A35" s="40"/>
      <c r="B35" s="40"/>
      <c r="C35" s="139" t="s">
        <v>291</v>
      </c>
      <c r="D35" s="139"/>
      <c r="E35" s="139"/>
      <c r="F35" s="139"/>
      <c r="G35" s="139"/>
    </row>
    <row r="36" spans="1:7" x14ac:dyDescent="0.25">
      <c r="A36" s="40"/>
      <c r="B36" s="40"/>
      <c r="C36" s="13" t="s">
        <v>283</v>
      </c>
      <c r="D36" s="13"/>
      <c r="E36" s="13"/>
    </row>
    <row r="37" spans="1:7" hidden="1" x14ac:dyDescent="0.25">
      <c r="A37" s="40"/>
      <c r="B37" s="40"/>
      <c r="C37" s="13" t="s">
        <v>284</v>
      </c>
      <c r="D37" s="13"/>
      <c r="E37" s="13"/>
    </row>
    <row r="38" spans="1:7" hidden="1" x14ac:dyDescent="0.25">
      <c r="A38" s="40"/>
      <c r="B38" s="40"/>
      <c r="C38" s="13" t="s">
        <v>285</v>
      </c>
      <c r="D38" s="13"/>
      <c r="E38" s="13"/>
    </row>
    <row r="39" spans="1:7" hidden="1" x14ac:dyDescent="0.25">
      <c r="A39" s="40"/>
      <c r="B39" s="40"/>
      <c r="C39" s="13" t="s">
        <v>286</v>
      </c>
      <c r="D39" s="13"/>
      <c r="E39" s="13"/>
    </row>
    <row r="40" spans="1:7" hidden="1" x14ac:dyDescent="0.25">
      <c r="A40" s="40"/>
      <c r="B40" s="40"/>
      <c r="C40" s="13" t="s">
        <v>385</v>
      </c>
      <c r="D40" s="13"/>
      <c r="E40" s="13"/>
    </row>
    <row r="41" spans="1:7" hidden="1" x14ac:dyDescent="0.25">
      <c r="A41" s="40"/>
      <c r="B41" s="40"/>
      <c r="C41" s="13" t="s">
        <v>287</v>
      </c>
      <c r="D41" s="13"/>
      <c r="E41" s="13"/>
    </row>
    <row r="42" spans="1:7" hidden="1" x14ac:dyDescent="0.25">
      <c r="A42" s="40"/>
      <c r="B42" s="40"/>
      <c r="C42" s="13" t="s">
        <v>386</v>
      </c>
      <c r="D42" s="13"/>
      <c r="E42" s="13"/>
    </row>
    <row r="43" spans="1:7" hidden="1" x14ac:dyDescent="0.25">
      <c r="A43" s="40"/>
      <c r="B43" s="40"/>
      <c r="C43" s="13" t="s">
        <v>387</v>
      </c>
      <c r="D43" s="13"/>
      <c r="E43" s="13"/>
    </row>
    <row r="44" spans="1:7" hidden="1" x14ac:dyDescent="0.25">
      <c r="A44" s="40"/>
      <c r="B44" s="40"/>
      <c r="C44" s="13" t="s">
        <v>293</v>
      </c>
      <c r="D44" s="13"/>
      <c r="E44" s="13"/>
    </row>
    <row r="45" spans="1:7" hidden="1" x14ac:dyDescent="0.25">
      <c r="A45" s="40"/>
      <c r="B45" s="40"/>
      <c r="C45" s="13" t="s">
        <v>294</v>
      </c>
      <c r="D45" s="13"/>
      <c r="E45" s="13"/>
    </row>
    <row r="46" spans="1:7" hidden="1" x14ac:dyDescent="0.25">
      <c r="A46" s="40"/>
      <c r="B46" s="40"/>
      <c r="C46" s="13" t="s">
        <v>295</v>
      </c>
      <c r="D46" s="13"/>
      <c r="E46" s="13"/>
    </row>
    <row r="47" spans="1:7" ht="17.25" hidden="1" x14ac:dyDescent="0.25">
      <c r="A47" s="40"/>
      <c r="B47" s="40"/>
      <c r="C47" s="13" t="s">
        <v>402</v>
      </c>
      <c r="D47" s="13"/>
      <c r="E47" s="13"/>
    </row>
    <row r="48" spans="1:7" hidden="1" x14ac:dyDescent="0.25">
      <c r="A48" s="40"/>
      <c r="B48" s="40"/>
      <c r="C48" s="13" t="s">
        <v>328</v>
      </c>
      <c r="D48" s="13"/>
      <c r="E48" s="13"/>
    </row>
    <row r="49" spans="1:7" hidden="1" x14ac:dyDescent="0.25">
      <c r="A49" s="40"/>
      <c r="B49" s="40"/>
      <c r="C49" s="13" t="s">
        <v>320</v>
      </c>
      <c r="D49" s="13"/>
      <c r="E49" s="13"/>
    </row>
    <row r="50" spans="1:7" hidden="1" x14ac:dyDescent="0.25">
      <c r="A50" s="40"/>
      <c r="B50" s="40"/>
      <c r="C50" s="13" t="s">
        <v>321</v>
      </c>
      <c r="D50" s="13"/>
      <c r="E50" s="13"/>
    </row>
    <row r="51" spans="1:7" hidden="1" x14ac:dyDescent="0.25">
      <c r="A51" s="40"/>
      <c r="B51" s="40"/>
      <c r="C51" s="13" t="s">
        <v>322</v>
      </c>
      <c r="D51" s="13"/>
      <c r="E51" s="13"/>
    </row>
    <row r="52" spans="1:7" hidden="1" x14ac:dyDescent="0.25">
      <c r="A52" s="40"/>
      <c r="B52" s="40"/>
      <c r="C52" s="13" t="s">
        <v>323</v>
      </c>
      <c r="D52" s="13"/>
      <c r="E52" s="13"/>
    </row>
    <row r="53" spans="1:7" hidden="1" x14ac:dyDescent="0.25">
      <c r="A53" s="40"/>
      <c r="B53" s="40"/>
      <c r="C53" s="13" t="s">
        <v>404</v>
      </c>
      <c r="D53" s="13"/>
      <c r="E53" s="13"/>
    </row>
    <row r="54" spans="1:7" x14ac:dyDescent="0.25">
      <c r="A54" s="40"/>
      <c r="B54" s="40"/>
      <c r="C54" s="13" t="s">
        <v>324</v>
      </c>
      <c r="D54" s="13"/>
      <c r="E54" s="13"/>
    </row>
    <row r="55" spans="1:7" hidden="1" x14ac:dyDescent="0.25">
      <c r="A55" s="40"/>
      <c r="B55" s="40"/>
      <c r="C55" s="13" t="s">
        <v>333</v>
      </c>
      <c r="D55" s="13"/>
      <c r="E55" s="13"/>
    </row>
    <row r="56" spans="1:7" hidden="1" x14ac:dyDescent="0.25">
      <c r="A56" s="40"/>
      <c r="B56" s="40"/>
      <c r="C56" s="13" t="s">
        <v>332</v>
      </c>
      <c r="D56" s="13"/>
      <c r="E56" s="13"/>
    </row>
    <row r="57" spans="1:7" x14ac:dyDescent="0.25">
      <c r="A57" s="40"/>
      <c r="B57" s="40"/>
      <c r="C57" s="139" t="s">
        <v>77</v>
      </c>
      <c r="D57" s="139"/>
      <c r="E57" s="139"/>
    </row>
    <row r="58" spans="1:7" hidden="1" x14ac:dyDescent="0.25">
      <c r="A58" s="40"/>
      <c r="B58" s="40"/>
      <c r="C58" s="139" t="s">
        <v>388</v>
      </c>
      <c r="D58" s="139"/>
      <c r="E58" s="139"/>
    </row>
    <row r="59" spans="1:7" hidden="1" x14ac:dyDescent="0.25">
      <c r="A59" s="40"/>
      <c r="B59" s="40"/>
      <c r="C59" s="139" t="s">
        <v>389</v>
      </c>
      <c r="D59" s="139"/>
      <c r="E59" s="139"/>
    </row>
    <row r="60" spans="1:7" x14ac:dyDescent="0.25">
      <c r="A60" s="40"/>
      <c r="B60" s="40"/>
      <c r="C60" s="139" t="str">
        <f>IF('3.Filing Type and Checklist'!E9="Y","Complete Current, Marked-up and Proposed Underwriting Guidelines","Complete Underwriting Guidelines")</f>
        <v>Complete Underwriting Guidelines</v>
      </c>
      <c r="D60" s="139"/>
      <c r="E60" s="139"/>
    </row>
    <row r="61" spans="1:7" hidden="1" x14ac:dyDescent="0.25">
      <c r="A61" s="40"/>
      <c r="B61" s="40"/>
      <c r="C61" s="139" t="str">
        <f>IF('3.Filing Type and Checklist'!E9="Y","Complete Current, Marked-up and Proposed Printed Rate and Rule Manual Pages","Complete Printed Rate and Rule Manual Pages")</f>
        <v>Complete Printed Rate and Rule Manual Pages</v>
      </c>
      <c r="D61" s="139"/>
      <c r="E61" s="139"/>
    </row>
    <row r="62" spans="1:7" ht="17.25" x14ac:dyDescent="0.25">
      <c r="A62" s="40"/>
      <c r="B62" s="40"/>
      <c r="C62" s="139" t="s">
        <v>301</v>
      </c>
      <c r="D62" s="139"/>
      <c r="E62" s="139"/>
    </row>
    <row r="63" spans="1:7" ht="17.25" hidden="1" x14ac:dyDescent="0.25">
      <c r="A63" s="40"/>
      <c r="B63" s="40"/>
      <c r="C63" s="139" t="s">
        <v>329</v>
      </c>
      <c r="D63" s="139"/>
      <c r="E63" s="139"/>
    </row>
    <row r="64" spans="1:7" ht="17.25" x14ac:dyDescent="0.25">
      <c r="A64" s="329" t="s">
        <v>391</v>
      </c>
      <c r="B64" s="40"/>
      <c r="D64" s="327"/>
      <c r="E64" s="327"/>
      <c r="F64" s="328"/>
      <c r="G64" s="328"/>
    </row>
    <row r="65" spans="1:7" ht="17.25"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mU9/LmbY2IS1hjq8RQHu5hWUltTI2hY7WOj/YTcITtZMASKq4zDrYXbwqX8VpRWHrpCgGVgkkrhtgzwLnVcnow==" saltValue="ULB7wWiXvOOZ49gpwau7R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3&amp;L6/5/2023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123825</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123825</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9525</xdr:rowOff>
                  </from>
                  <to>
                    <xdr:col>0</xdr:col>
                    <xdr:colOff>295275</xdr:colOff>
                    <xdr:row>27</xdr:row>
                    <xdr:rowOff>123825</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9525</xdr:rowOff>
                  </from>
                  <to>
                    <xdr:col>1</xdr:col>
                    <xdr:colOff>295275</xdr:colOff>
                    <xdr:row>27</xdr:row>
                    <xdr:rowOff>123825</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27</xdr:row>
                    <xdr:rowOff>9525</xdr:rowOff>
                  </from>
                  <to>
                    <xdr:col>0</xdr:col>
                    <xdr:colOff>295275</xdr:colOff>
                    <xdr:row>33</xdr:row>
                    <xdr:rowOff>123825</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27</xdr:row>
                    <xdr:rowOff>9525</xdr:rowOff>
                  </from>
                  <to>
                    <xdr:col>1</xdr:col>
                    <xdr:colOff>295275</xdr:colOff>
                    <xdr:row>33</xdr:row>
                    <xdr:rowOff>123825</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33</xdr:row>
                    <xdr:rowOff>9525</xdr:rowOff>
                  </from>
                  <to>
                    <xdr:col>0</xdr:col>
                    <xdr:colOff>295275</xdr:colOff>
                    <xdr:row>34</xdr:row>
                    <xdr:rowOff>123825</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0</xdr:col>
                    <xdr:colOff>0</xdr:colOff>
                    <xdr:row>35</xdr:row>
                    <xdr:rowOff>9525</xdr:rowOff>
                  </from>
                  <to>
                    <xdr:col>0</xdr:col>
                    <xdr:colOff>295275</xdr:colOff>
                    <xdr:row>53</xdr:row>
                    <xdr:rowOff>133350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53</xdr:row>
                    <xdr:rowOff>19050</xdr:rowOff>
                  </from>
                  <to>
                    <xdr:col>0</xdr:col>
                    <xdr:colOff>295275</xdr:colOff>
                    <xdr:row>56</xdr:row>
                    <xdr:rowOff>133350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1</xdr:col>
                    <xdr:colOff>0</xdr:colOff>
                    <xdr:row>53</xdr:row>
                    <xdr:rowOff>19050</xdr:rowOff>
                  </from>
                  <to>
                    <xdr:col>1</xdr:col>
                    <xdr:colOff>295275</xdr:colOff>
                    <xdr:row>56</xdr:row>
                    <xdr:rowOff>133350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56</xdr:row>
                    <xdr:rowOff>19050</xdr:rowOff>
                  </from>
                  <to>
                    <xdr:col>0</xdr:col>
                    <xdr:colOff>295275</xdr:colOff>
                    <xdr:row>59</xdr:row>
                    <xdr:rowOff>133350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61</xdr:row>
                    <xdr:rowOff>19050</xdr:rowOff>
                  </from>
                  <to>
                    <xdr:col>0</xdr:col>
                    <xdr:colOff>295275</xdr:colOff>
                    <xdr:row>63</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topLeftCell="A19"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Mutual Automobile Insurance Company</v>
      </c>
    </row>
    <row r="2" spans="1:7" x14ac:dyDescent="0.25">
      <c r="A2" s="1" t="s">
        <v>67</v>
      </c>
      <c r="D2" s="29" t="s">
        <v>69</v>
      </c>
      <c r="F2" s="28" t="str">
        <f>General_Line</f>
        <v>Auto Liability and Physical Damage</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iWTAhdaEm/wTClJvwRjMD1CqfjZJneewBjjM9a8J8YsHlWpD1PcBaSa4FbM5kYwFNkYgMjsLlDTTGUu+PYn2zA==" saltValue="1BVISV4O2PjKc0gJoOt3jQ=="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4&amp;L6/5/2023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Mutual Automobile Insurance Company</v>
      </c>
    </row>
    <row r="2" spans="1:10" x14ac:dyDescent="0.25">
      <c r="A2" s="1" t="s">
        <v>67</v>
      </c>
      <c r="C2" s="29" t="s">
        <v>69</v>
      </c>
      <c r="F2" s="28" t="str">
        <f>General_Line</f>
        <v>Auto Liability and Physical Damage</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AVONIUj3kppnUOVKcqx93EBgZIfJfvrU7KsD4efoq6Tlfmy9GdORgWbjyszvirZ4N5LpLDLOzYOQmgmPP94i7Q==" saltValue="yMTovbx+iBHaKmBsCjkeRQ=="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5&amp;L6/5/2023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15"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Mutual Automobile Insurance Company</v>
      </c>
    </row>
    <row r="2" spans="1:10" x14ac:dyDescent="0.25">
      <c r="A2" s="1" t="s">
        <v>67</v>
      </c>
      <c r="G2" s="29" t="s">
        <v>69</v>
      </c>
      <c r="J2" s="28" t="str">
        <f>General_Line</f>
        <v>Auto Liability and Physical Damage</v>
      </c>
    </row>
    <row r="3" spans="1:10" x14ac:dyDescent="0.25">
      <c r="B3" s="204"/>
    </row>
    <row r="4" spans="1:10" ht="24" thickBot="1" x14ac:dyDescent="0.4">
      <c r="B4" s="271" t="str">
        <f>CONCATENATE("ANNUAL STATEMENT LINE - ", J2,)</f>
        <v>ANNUAL STATEMENT LINE - Auto Liability and Physical Damage</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FQD0ZqCGopeu6mzI3yKNYmcH4y3E81ADEIPNh1kFZdD7IV433ifF0hNn+FdoarxDP8b9R0/tJ0sp9qh6OAV7Pw==" saltValue="zZRuCd+z1u+aCErJnvOzKA=="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6&amp;L6/5/2023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topLeftCell="A11"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Mutual Automobile Insurance Company</v>
      </c>
    </row>
    <row r="2" spans="1:5" x14ac:dyDescent="0.25">
      <c r="A2" s="1" t="s">
        <v>67</v>
      </c>
      <c r="C2" s="29" t="s">
        <v>69</v>
      </c>
      <c r="E2" s="28" t="str">
        <f>General_Line</f>
        <v>Auto Liability and Physical Damage</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aNPOvEBhsk7n5AvXt87Vr32X3TyZRxWUuo9ehOSOmTs0ytvAEYjIV6nFEz5EoNPam/jE91mwScrsLhdDp8/xQ==" saltValue="bp5AC/QbXep9Xol94Xe2Z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7&amp;L6/5/2023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topLeftCell="A12"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Mutual Automobile Insurance Company</v>
      </c>
      <c r="G1" s="303" t="s">
        <v>279</v>
      </c>
    </row>
    <row r="2" spans="1:7" x14ac:dyDescent="0.25">
      <c r="A2" s="1" t="s">
        <v>67</v>
      </c>
      <c r="C2" s="29" t="s">
        <v>69</v>
      </c>
      <c r="F2" s="28" t="str">
        <f>General_Line</f>
        <v>Auto Liability and Physical Damage</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umESmSEmugwCfiOcTZgA8xfEy6YL+k7H6m2qrxJfEZ1IV51OAizGK3ibuVWDqSZHP2jW/UaZPiwKgqGO3ACtpQ==" saltValue="lr5n89MbODs2myKLpwaTHQ=="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activeCell="D34" sqref="D34"/>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Mutual Automobile Insurance Company</v>
      </c>
    </row>
    <row r="2" spans="1:12" x14ac:dyDescent="0.25">
      <c r="A2" s="1" t="s">
        <v>67</v>
      </c>
      <c r="B2" s="1"/>
      <c r="G2"/>
      <c r="J2" s="29" t="s">
        <v>69</v>
      </c>
      <c r="L2" t="str">
        <f>General_Line</f>
        <v>Auto Liability and Physical Damage</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61" t="s">
        <v>462</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25">
      <c r="A22" s="404"/>
      <c r="B22" s="561" t="s">
        <v>460</v>
      </c>
      <c r="C22" s="562"/>
      <c r="D22" s="530"/>
      <c r="E22" s="530"/>
      <c r="F22" s="530"/>
      <c r="G22" s="530"/>
      <c r="H22" s="530"/>
      <c r="I22" s="530"/>
      <c r="J22" s="530"/>
      <c r="K22" s="530"/>
      <c r="L22" s="531"/>
      <c r="N22" s="55"/>
      <c r="O22" s="55"/>
    </row>
    <row r="23" spans="1:15" ht="45.95" hidden="1" customHeight="1" x14ac:dyDescent="0.25">
      <c r="A23" s="397"/>
      <c r="B23" s="561" t="s">
        <v>461</v>
      </c>
      <c r="C23" s="562"/>
      <c r="D23" s="530"/>
      <c r="E23" s="530"/>
      <c r="F23" s="530"/>
      <c r="G23" s="530"/>
      <c r="H23" s="530"/>
      <c r="I23" s="530"/>
      <c r="J23" s="530"/>
      <c r="K23" s="530"/>
      <c r="L23" s="531"/>
      <c r="N23" s="55"/>
      <c r="O23" s="55"/>
    </row>
    <row r="24" spans="1:15" ht="45.95" hidden="1" customHeight="1" x14ac:dyDescent="0.25">
      <c r="A24" s="397"/>
      <c r="B24" s="561" t="s">
        <v>488</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63"/>
      <c r="C25" s="563"/>
      <c r="D25" s="564"/>
      <c r="E25" s="564"/>
      <c r="F25" s="564"/>
      <c r="G25" s="564"/>
      <c r="H25" s="564"/>
      <c r="I25" s="564"/>
      <c r="J25" s="564"/>
      <c r="K25" s="564"/>
      <c r="L25" s="564"/>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65" t="s">
        <v>462</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25">
      <c r="A29" s="405"/>
      <c r="B29" s="567" t="s">
        <v>460</v>
      </c>
      <c r="C29" s="568"/>
      <c r="D29" s="558"/>
      <c r="E29" s="559"/>
      <c r="F29" s="559"/>
      <c r="G29" s="559"/>
      <c r="H29" s="559"/>
      <c r="I29" s="559"/>
      <c r="J29" s="559"/>
      <c r="K29" s="559"/>
      <c r="L29" s="560"/>
      <c r="N29" s="55"/>
      <c r="O29" s="55"/>
    </row>
    <row r="30" spans="1:15" ht="45.95" hidden="1" customHeight="1" x14ac:dyDescent="0.25">
      <c r="A30" s="398"/>
      <c r="B30" s="567" t="s">
        <v>461</v>
      </c>
      <c r="C30" s="568"/>
      <c r="D30" s="558"/>
      <c r="E30" s="559"/>
      <c r="F30" s="559"/>
      <c r="G30" s="559"/>
      <c r="H30" s="559"/>
      <c r="I30" s="559"/>
      <c r="J30" s="559"/>
      <c r="K30" s="559"/>
      <c r="L30" s="560"/>
      <c r="N30" s="55"/>
      <c r="O30" s="55"/>
    </row>
    <row r="31" spans="1:15" ht="45.95" hidden="1" customHeight="1" x14ac:dyDescent="0.25">
      <c r="A31" s="398"/>
      <c r="B31" s="567" t="s">
        <v>488</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70"/>
      <c r="C32" s="570"/>
      <c r="D32" s="553"/>
      <c r="E32" s="553"/>
      <c r="F32" s="553"/>
      <c r="G32" s="553"/>
      <c r="H32" s="553"/>
      <c r="I32" s="553"/>
      <c r="J32" s="553"/>
      <c r="K32" s="553"/>
      <c r="L32" s="553"/>
      <c r="N32" s="55"/>
      <c r="O32" s="55"/>
    </row>
    <row r="33" spans="1:15" x14ac:dyDescent="0.25">
      <c r="A33" s="463">
        <f>A19-1</f>
        <v>-1</v>
      </c>
      <c r="B33" s="476" t="s">
        <v>196</v>
      </c>
      <c r="C33" s="443" t="s">
        <v>526</v>
      </c>
      <c r="D33" s="439" t="s">
        <v>527</v>
      </c>
      <c r="E33" s="440">
        <v>2</v>
      </c>
      <c r="F33" s="440">
        <v>3</v>
      </c>
      <c r="G33" s="441" t="s">
        <v>538</v>
      </c>
      <c r="H33" s="440">
        <v>1</v>
      </c>
      <c r="I33" s="440" t="s">
        <v>6</v>
      </c>
      <c r="J33" s="440" t="s">
        <v>5</v>
      </c>
      <c r="K33" s="440" t="s">
        <v>6</v>
      </c>
      <c r="L33" s="442">
        <v>0</v>
      </c>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←Warning! There is no corresponding rate impact associated with the restriction or broadening of coverage. Provide an explanation in the comment box below.</v>
      </c>
      <c r="N33" s="55"/>
      <c r="O33" s="55"/>
    </row>
    <row r="34" spans="1:15" ht="18" customHeight="1" x14ac:dyDescent="0.25">
      <c r="A34" s="397"/>
      <c r="B34" s="477" t="s">
        <v>265</v>
      </c>
      <c r="C34" s="449" t="s">
        <v>51</v>
      </c>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28" t="s">
        <v>462</v>
      </c>
      <c r="C35" s="529"/>
      <c r="D35" s="530" t="s">
        <v>544</v>
      </c>
      <c r="E35" s="530"/>
      <c r="F35" s="530"/>
      <c r="G35" s="530"/>
      <c r="H35" s="530"/>
      <c r="I35" s="530"/>
      <c r="J35" s="530"/>
      <c r="K35" s="530"/>
      <c r="L35" s="531"/>
      <c r="M35" s="501" t="str">
        <f>IF(LEN(TRIM(CLEAN(D35)))=0,"←ERROR! Detailed explanation was not provided.","")</f>
        <v/>
      </c>
      <c r="N35" s="55"/>
      <c r="O35" s="55"/>
    </row>
    <row r="36" spans="1:15" ht="105" customHeight="1" x14ac:dyDescent="0.25">
      <c r="A36" s="404"/>
      <c r="B36" s="528" t="s">
        <v>460</v>
      </c>
      <c r="C36" s="529"/>
      <c r="D36" s="530" t="s">
        <v>528</v>
      </c>
      <c r="E36" s="530"/>
      <c r="F36" s="530"/>
      <c r="G36" s="530"/>
      <c r="H36" s="530"/>
      <c r="I36" s="530"/>
      <c r="J36" s="530"/>
      <c r="K36" s="530"/>
      <c r="L36" s="531"/>
      <c r="N36" s="55"/>
      <c r="O36" s="55"/>
    </row>
    <row r="37" spans="1:15" ht="45.95" customHeight="1" x14ac:dyDescent="0.25">
      <c r="A37" s="397"/>
      <c r="B37" s="528" t="s">
        <v>461</v>
      </c>
      <c r="C37" s="529"/>
      <c r="D37" s="530" t="s">
        <v>530</v>
      </c>
      <c r="E37" s="530"/>
      <c r="F37" s="530"/>
      <c r="G37" s="530"/>
      <c r="H37" s="530"/>
      <c r="I37" s="530"/>
      <c r="J37" s="530"/>
      <c r="K37" s="530"/>
      <c r="L37" s="531"/>
      <c r="N37" s="55"/>
      <c r="O37" s="55"/>
    </row>
    <row r="38" spans="1:15" ht="45.95" customHeight="1" x14ac:dyDescent="0.25">
      <c r="A38" s="397"/>
      <c r="B38" s="528" t="s">
        <v>488</v>
      </c>
      <c r="C38" s="529"/>
      <c r="D38" s="530" t="s">
        <v>529</v>
      </c>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69"/>
      <c r="C39" s="569"/>
      <c r="D39" s="564"/>
      <c r="E39" s="564"/>
      <c r="F39" s="564"/>
      <c r="G39" s="564"/>
      <c r="H39" s="564"/>
      <c r="I39" s="564"/>
      <c r="J39" s="564"/>
      <c r="K39" s="564"/>
      <c r="L39" s="564"/>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35" t="s">
        <v>462</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25">
      <c r="A43" s="405"/>
      <c r="B43" s="535" t="s">
        <v>460</v>
      </c>
      <c r="C43" s="536"/>
      <c r="D43" s="532"/>
      <c r="E43" s="532"/>
      <c r="F43" s="532"/>
      <c r="G43" s="532"/>
      <c r="H43" s="532"/>
      <c r="I43" s="532"/>
      <c r="J43" s="532"/>
      <c r="K43" s="532"/>
      <c r="L43" s="533"/>
      <c r="N43" s="55"/>
      <c r="O43" s="55"/>
    </row>
    <row r="44" spans="1:15" ht="45.95" customHeight="1" x14ac:dyDescent="0.25">
      <c r="A44" s="398"/>
      <c r="B44" s="535" t="s">
        <v>461</v>
      </c>
      <c r="C44" s="536"/>
      <c r="D44" s="532"/>
      <c r="E44" s="532"/>
      <c r="F44" s="532"/>
      <c r="G44" s="532"/>
      <c r="H44" s="532"/>
      <c r="I44" s="532"/>
      <c r="J44" s="532"/>
      <c r="K44" s="532"/>
      <c r="L44" s="533"/>
      <c r="N44" s="55"/>
      <c r="O44" s="55"/>
    </row>
    <row r="45" spans="1:15" ht="60.95" customHeight="1" x14ac:dyDescent="0.25">
      <c r="A45" s="398"/>
      <c r="B45" s="535" t="s">
        <v>488</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28" t="s">
        <v>462</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25">
      <c r="A50" s="404"/>
      <c r="B50" s="528" t="s">
        <v>460</v>
      </c>
      <c r="C50" s="529"/>
      <c r="D50" s="530"/>
      <c r="E50" s="530"/>
      <c r="F50" s="530"/>
      <c r="G50" s="530"/>
      <c r="H50" s="530"/>
      <c r="I50" s="530"/>
      <c r="J50" s="530"/>
      <c r="K50" s="530"/>
      <c r="L50" s="531"/>
      <c r="N50" s="55"/>
      <c r="O50" s="55"/>
    </row>
    <row r="51" spans="1:15" ht="45.95" customHeight="1" x14ac:dyDescent="0.25">
      <c r="A51" s="397"/>
      <c r="B51" s="528" t="s">
        <v>461</v>
      </c>
      <c r="C51" s="529"/>
      <c r="D51" s="530"/>
      <c r="E51" s="530"/>
      <c r="F51" s="530"/>
      <c r="G51" s="530"/>
      <c r="H51" s="530"/>
      <c r="I51" s="530"/>
      <c r="J51" s="530"/>
      <c r="K51" s="530"/>
      <c r="L51" s="531"/>
      <c r="N51" s="55"/>
      <c r="O51" s="55"/>
    </row>
    <row r="52" spans="1:15" ht="60.95" customHeight="1" x14ac:dyDescent="0.25">
      <c r="A52" s="397"/>
      <c r="B52" s="528" t="s">
        <v>488</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49"/>
      <c r="C53" s="550"/>
      <c r="D53" s="548"/>
      <c r="E53" s="548"/>
      <c r="F53" s="548"/>
      <c r="G53" s="548"/>
      <c r="H53" s="548"/>
      <c r="I53" s="548"/>
      <c r="J53" s="548"/>
      <c r="K53" s="548"/>
      <c r="L53" s="548"/>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51" t="s">
        <v>462</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25">
      <c r="A57" s="405"/>
      <c r="B57" s="551" t="s">
        <v>460</v>
      </c>
      <c r="C57" s="552"/>
      <c r="D57" s="532"/>
      <c r="E57" s="532"/>
      <c r="F57" s="532"/>
      <c r="G57" s="532"/>
      <c r="H57" s="532"/>
      <c r="I57" s="532"/>
      <c r="J57" s="532"/>
      <c r="K57" s="532"/>
      <c r="L57" s="533"/>
      <c r="N57" s="55"/>
      <c r="O57" s="55"/>
    </row>
    <row r="58" spans="1:15" ht="45.95" customHeight="1" x14ac:dyDescent="0.25">
      <c r="A58" s="398"/>
      <c r="B58" s="551" t="s">
        <v>461</v>
      </c>
      <c r="C58" s="552"/>
      <c r="D58" s="532"/>
      <c r="E58" s="532"/>
      <c r="F58" s="532"/>
      <c r="G58" s="532"/>
      <c r="H58" s="532"/>
      <c r="I58" s="532"/>
      <c r="J58" s="532"/>
      <c r="K58" s="532"/>
      <c r="L58" s="533"/>
      <c r="N58" s="55"/>
      <c r="O58" s="55"/>
    </row>
    <row r="59" spans="1:15" ht="60.95" customHeight="1" x14ac:dyDescent="0.25">
      <c r="A59" s="398"/>
      <c r="B59" s="551" t="s">
        <v>488</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54"/>
      <c r="C60" s="555"/>
      <c r="D60" s="553"/>
      <c r="E60" s="553"/>
      <c r="F60" s="553"/>
      <c r="G60" s="553"/>
      <c r="H60" s="553"/>
      <c r="I60" s="553"/>
      <c r="J60" s="553"/>
      <c r="K60" s="553"/>
      <c r="L60" s="553"/>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39"/>
      <c r="C68" s="540"/>
      <c r="D68" s="540"/>
      <c r="E68" s="540"/>
      <c r="F68" s="540"/>
      <c r="G68" s="540"/>
      <c r="H68" s="540"/>
      <c r="I68" s="540"/>
      <c r="J68" s="540"/>
      <c r="K68" s="540"/>
      <c r="L68" s="541"/>
    </row>
    <row r="69" spans="2:12" x14ac:dyDescent="0.25">
      <c r="B69" s="542"/>
      <c r="C69" s="543"/>
      <c r="D69" s="543"/>
      <c r="E69" s="543"/>
      <c r="F69" s="543"/>
      <c r="G69" s="543"/>
      <c r="H69" s="543"/>
      <c r="I69" s="543"/>
      <c r="J69" s="543"/>
      <c r="K69" s="543"/>
      <c r="L69" s="544"/>
    </row>
    <row r="70" spans="2:12" x14ac:dyDescent="0.25">
      <c r="B70" s="542"/>
      <c r="C70" s="543"/>
      <c r="D70" s="543"/>
      <c r="E70" s="543"/>
      <c r="F70" s="543"/>
      <c r="G70" s="543"/>
      <c r="H70" s="543"/>
      <c r="I70" s="543"/>
      <c r="J70" s="543"/>
      <c r="K70" s="543"/>
      <c r="L70" s="544"/>
    </row>
    <row r="71" spans="2:12" x14ac:dyDescent="0.25">
      <c r="B71" s="542"/>
      <c r="C71" s="543"/>
      <c r="D71" s="543"/>
      <c r="E71" s="543"/>
      <c r="F71" s="543"/>
      <c r="G71" s="543"/>
      <c r="H71" s="543"/>
      <c r="I71" s="543"/>
      <c r="J71" s="543"/>
      <c r="K71" s="543"/>
      <c r="L71" s="544"/>
    </row>
    <row r="72" spans="2:12" x14ac:dyDescent="0.25">
      <c r="B72" s="542"/>
      <c r="C72" s="543"/>
      <c r="D72" s="543"/>
      <c r="E72" s="543"/>
      <c r="F72" s="543"/>
      <c r="G72" s="543"/>
      <c r="H72" s="543"/>
      <c r="I72" s="543"/>
      <c r="J72" s="543"/>
      <c r="K72" s="543"/>
      <c r="L72" s="544"/>
    </row>
    <row r="73" spans="2:12" x14ac:dyDescent="0.25">
      <c r="B73" s="542"/>
      <c r="C73" s="543"/>
      <c r="D73" s="543"/>
      <c r="E73" s="543"/>
      <c r="F73" s="543"/>
      <c r="G73" s="543"/>
      <c r="H73" s="543"/>
      <c r="I73" s="543"/>
      <c r="J73" s="543"/>
      <c r="K73" s="543"/>
      <c r="L73" s="544"/>
    </row>
    <row r="74" spans="2:12" x14ac:dyDescent="0.25">
      <c r="B74" s="542"/>
      <c r="C74" s="543"/>
      <c r="D74" s="543"/>
      <c r="E74" s="543"/>
      <c r="F74" s="543"/>
      <c r="G74" s="543"/>
      <c r="H74" s="543"/>
      <c r="I74" s="543"/>
      <c r="J74" s="543"/>
      <c r="K74" s="543"/>
      <c r="L74" s="544"/>
    </row>
    <row r="75" spans="2:12" x14ac:dyDescent="0.25">
      <c r="B75" s="542"/>
      <c r="C75" s="543"/>
      <c r="D75" s="543"/>
      <c r="E75" s="543"/>
      <c r="F75" s="543"/>
      <c r="G75" s="543"/>
      <c r="H75" s="543"/>
      <c r="I75" s="543"/>
      <c r="J75" s="543"/>
      <c r="K75" s="543"/>
      <c r="L75" s="544"/>
    </row>
    <row r="76" spans="2:12" ht="15.75" thickBot="1" x14ac:dyDescent="0.3">
      <c r="B76" s="545"/>
      <c r="C76" s="546"/>
      <c r="D76" s="546"/>
      <c r="E76" s="546"/>
      <c r="F76" s="546"/>
      <c r="G76" s="546"/>
      <c r="H76" s="546"/>
      <c r="I76" s="546"/>
      <c r="J76" s="546"/>
      <c r="K76" s="546"/>
      <c r="L76" s="547"/>
    </row>
  </sheetData>
  <sheetProtection algorithmName="SHA-512" hashValue="HSmIMVxfAx4eGM+vC8veOJ7TFe8iKj/MycFNjH8nZP2yoXWEYfqHgpmqdrZjdYNVoeuCfwMf82ljUYb0fFP0yA==" saltValue="xOQddERHqrmqi2ChDKIRrA=="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2" fitToHeight="0" orientation="landscape" useFirstPageNumber="1" r:id="rId1"/>
  <headerFooter>
    <oddFooter>&amp;CPrior Approval Rate Application&amp;RPage 9.&amp;P&amp;L6/5/2023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election activeCell="D1" sqref="D1"/>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Mutual Automobile Insurance Company</v>
      </c>
      <c r="H1" s="140"/>
      <c r="I1" s="139"/>
    </row>
    <row r="2" spans="1:14" x14ac:dyDescent="0.25">
      <c r="A2" s="9" t="s">
        <v>67</v>
      </c>
      <c r="B2" s="9"/>
      <c r="C2" s="139" t="s">
        <v>69</v>
      </c>
      <c r="D2" s="140" t="str">
        <f>General_Line</f>
        <v>Auto Liability and Physical Damage</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AhWZpTahEo3tmQdns72l8tC+Q7Mpc/rUqlpACS/ENmHvs8bGM5d3KXqZjqoeKt7iMC3jn+pSfEQCkkuSnJZEfg==" saltValue="JNFBfXe3OinQRTPvhiwzmw==" spinCount="100000" sheet="1" objects="1" scenarios="1" formatColumns="0" formatRows="0" sort="0"/>
  <pageMargins left="0.7" right="0.7" top="0.75" bottom="0.75" header="0.3" footer="0.3"/>
  <pageSetup scale="84" orientation="portrait" r:id="rId1"/>
  <headerFooter>
    <oddFooter>&amp;CPrior Approval Rate Application&amp;RPage 10&amp;L6/5/2023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Mutual Automobile Insurance Company</v>
      </c>
    </row>
    <row r="2" spans="1:10" x14ac:dyDescent="0.25">
      <c r="A2" s="1" t="s">
        <v>67</v>
      </c>
      <c r="E2" s="29" t="s">
        <v>69</v>
      </c>
      <c r="G2" s="28" t="str">
        <f>General_Line</f>
        <v>Auto Liability and Physical Damage</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7fSCtH+/FtDlSVZrDiHE6LEv9EnmiH9UFk3tc1cWYUJ3PqW7UHQXe2S/e0VYrjjR/5lUizdRQhKQv3r45IfuKg==" saltValue="Baf5P4mbd/Ln3hyhnS2EsA=="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fkEv2Ynr+Sf1UikM3yE/mGJlL3vUvdDuEZkafXZQMT5axTos8cRIZ0fJYNPkelfE/hk8bD56O59ScSg7TLHnpQ==" saltValue="WaYIx9LXpxSuKZHYaqV8U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ysQM1VUpvnpNZY1u2RVjjBhxP1QShpLAjAmb6f7VowX2uWH+E2ivAKvs015q6oj4Vf9yxTngnwqOMv5UpqHMHw==" saltValue="Tg3KAaT98L80y9xYr2AzC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wxf3owih8c9TYE7uE9oFfF0RAYQxAVLJaTpaXvBA9masjumXWikCUlmNkDtfaBecjgsWBUMPZRi4s3cJBiM8DA==" saltValue="61d5oyGhWsxqB3EmrkGUS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gUCYU0w2t+lPX7AXSdXE+deb8A3JOZ44AqXDVMRcinck0ltCyCCiqTPeQavhog6z7aJ2xqtIkIA5xovN8q4nCA==" saltValue="3NRC52HGa86s1n1OVyXmh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e5NGkmi3zrB1H2ZYazenuhlmWXJ9dDc+Dsx+UMYifvg99cSABAbnIppZWWfnb2GqS4JSTiuxPl9kB6Va7CFCKw==" saltValue="OsvrnJl1xtXwZGNsUkL5R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TeXSHzZR7aFcuur554rQbfBwNl1JQGXNRIveklQ3PS/tYIQtGgn8LO+vl0eNwM2W3s7G1Lx6VLvcUCOvyHdVRA==" saltValue="Oqy+afJ9Mv+hyJLLzgw9N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4AsX+aH4NNikP8PWSibFOcdVjGGxnwMMT/6h9QW4HjxKPJEv/eMXv1ysmi/IZfPakN2WFEmp6giSFQeBXcEX3Q==" saltValue="svkTa9AFv+3W+NuGzdYa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kdu/l4BE/7OuEeLu23695GEvJxn32I/piDzNIms1Gog9+VhKIYo2AjUmKJoO131fpWBG9kzWxiFTIfKt8FVMxQ==" saltValue="Z6A/at631GOnyg/Hnc0Fx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Or0iiwVZ0KEaU6lDZmcYlbam2S8PsJe0PhmxVwZAC1u273d1oGX08JwG0kmf78x3b0gNmD1k3kEnXO6J1AVjcQ==" saltValue="R6QdKKjUhXpG0TFnL+GM7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c r="F6" s="503"/>
      <c r="G6" s="503"/>
      <c r="H6" s="503"/>
      <c r="I6" s="503"/>
      <c r="J6" s="504"/>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02"/>
      <c r="N40" s="504"/>
    </row>
    <row r="41" spans="1:15" ht="15.75" hidden="1" customHeight="1" x14ac:dyDescent="0.25">
      <c r="K41" s="8" t="s">
        <v>428</v>
      </c>
      <c r="M41" s="502"/>
      <c r="N41" s="504"/>
    </row>
    <row r="43" spans="1:15" ht="15.75" customHeight="1" x14ac:dyDescent="0.25">
      <c r="A43" s="1" t="s">
        <v>427</v>
      </c>
    </row>
    <row r="44" spans="1:15" ht="15.75" customHeight="1" x14ac:dyDescent="0.25">
      <c r="B44" s="55" t="b">
        <v>0</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IzgTJyW74LNZgrjP5TATy8DmfdFgla++W6W2C6DQHPm7vqFgS38ZdceHjoghxvPdDUBOTufPcuWvcsbXDaZTow==" saltValue="TOXTWk9bcmjiNZLDXs1O5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tentionPolicyTaxHTField0 xmlns="d82dafc8-7759-4c5f-b9d7-587e9d95311d">
      <Terms xmlns="http://schemas.microsoft.com/office/infopath/2007/PartnerControls">
        <TermInfo xmlns="http://schemas.microsoft.com/office/infopath/2007/PartnerControls">
          <TermName xmlns="http://schemas.microsoft.com/office/infopath/2007/PartnerControls">PCAct 025 Yrs - Pricing And Resources (03121)</TermName>
          <TermId xmlns="http://schemas.microsoft.com/office/infopath/2007/PartnerControls">175f3641-067f-4e5a-a726-7cce26b49583</TermId>
        </TermInfo>
      </Terms>
    </RetentionPolicyTaxHTField0>
    <TaxCatchAll xmlns="d82dafc8-7759-4c5f-b9d7-587e9d95311d">
      <Value>3</Value>
    </TaxCatchAll>
    <_dlc_ExpireDateSaved xmlns="http://schemas.microsoft.com/sharepoint/v3" xsi:nil="true"/>
    <_dlc_ExpireDate xmlns="http://schemas.microsoft.com/sharepoint/v3">2064-01-02T16:25:07+00:00</_dlc_ExpireDat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0D8F9DE46E46841B11472495B2F36C0" ma:contentTypeVersion="26" ma:contentTypeDescription="Create a new document." ma:contentTypeScope="" ma:versionID="83a9f39182b277d6dfcc8f4a4040af48">
  <xsd:schema xmlns:xsd="http://www.w3.org/2001/XMLSchema" xmlns:xs="http://www.w3.org/2001/XMLSchema" xmlns:p="http://schemas.microsoft.com/office/2006/metadata/properties" xmlns:ns1="http://schemas.microsoft.com/sharepoint/v3" xmlns:ns2="d82dafc8-7759-4c5f-b9d7-587e9d95311d" xmlns:ns3="27db541c-14ac-4ce2-a582-f4133412e82c" xmlns:ns4="dcef8651-477f-4ea7-809d-4ed381726cd6" targetNamespace="http://schemas.microsoft.com/office/2006/metadata/properties" ma:root="true" ma:fieldsID="e99bd7564631a16eb8b8b6cb691cb97f" ns1:_="" ns2:_="" ns3:_="" ns4:_="">
    <xsd:import namespace="http://schemas.microsoft.com/sharepoint/v3"/>
    <xsd:import namespace="d82dafc8-7759-4c5f-b9d7-587e9d95311d"/>
    <xsd:import namespace="27db541c-14ac-4ce2-a582-f4133412e82c"/>
    <xsd:import namespace="dcef8651-477f-4ea7-809d-4ed381726cd6"/>
    <xsd:element name="properties">
      <xsd:complexType>
        <xsd:sequence>
          <xsd:element name="documentManagement">
            <xsd:complexType>
              <xsd:all>
                <xsd:element ref="ns2:RetentionPolicyTaxHTField0" minOccurs="0"/>
                <xsd:element ref="ns2:TaxCatchAll" minOccurs="0"/>
                <xsd:element ref="ns2:TaxCatchAllLabel" minOccurs="0"/>
                <xsd:element ref="ns1:_dlc_ExpireDateSaved" minOccurs="0"/>
                <xsd:element ref="ns1:_dlc_ExpireDate" minOccurs="0"/>
                <xsd:element ref="ns1:_dlc_Exempt" minOccurs="0"/>
                <xsd:element ref="ns3:SharedWithUsers" minOccurs="0"/>
                <xsd:element ref="ns4: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pireDateSaved" ma:index="12" nillable="true" ma:displayName="Original Expiration Date" ma:hidden="true" ma:internalName="_dlc_ExpireDateSaved" ma:readOnly="true">
      <xsd:simpleType>
        <xsd:restriction base="dms:DateTime"/>
      </xsd:simpleType>
    </xsd:element>
    <xsd:element name="_dlc_ExpireDate" ma:index="13" nillable="true" ma:displayName="Expiration Date" ma:description="" ma:hidden="true" ma:indexed="true" ma:internalName="_dlc_ExpireDate" ma:readOnly="true">
      <xsd:simpleType>
        <xsd:restriction base="dms:DateTime"/>
      </xsd:simpleType>
    </xsd:element>
    <xsd:element name="_dlc_Exempt" ma:index="14"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2dafc8-7759-4c5f-b9d7-587e9d95311d" elementFormDefault="qualified">
    <xsd:import namespace="http://schemas.microsoft.com/office/2006/documentManagement/types"/>
    <xsd:import namespace="http://schemas.microsoft.com/office/infopath/2007/PartnerControls"/>
    <xsd:element name="RetentionPolicyTaxHTField0" ma:index="8" ma:taxonomy="true" ma:internalName="RetentionPolicyTaxHTField0" ma:taxonomyFieldName="RetentionPolicy" ma:displayName="Retention Policy" ma:readOnly="false" ma:default="1;#15 Months - Non-Business Value|3c1b8d8e-5e29-4b13-8c88-3eb754169b7c" ma:fieldId="{a85ce434-e3a0-4261-8c80-459805f4c25d}" ma:sspId="f49becf8-975c-4136-8c45-9c981de0ddce" ma:termSetId="8a8c2fae-82e2-4ac9-a848-67ec723eb7f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815b9073-5c11-4fbf-89f9-5b4ba48f4b5e}" ma:internalName="TaxCatchAll" ma:showField="CatchAllData" ma:web="dcef8651-477f-4ea7-809d-4ed381726cd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815b9073-5c11-4fbf-89f9-5b4ba48f4b5e}" ma:internalName="TaxCatchAllLabel" ma:readOnly="true" ma:showField="CatchAllDataLabel" ma:web="dcef8651-477f-4ea7-809d-4ed381726cd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db541c-14ac-4ce2-a582-f4133412e82c" elementFormDefault="qualified">
    <xsd:import namespace="http://schemas.microsoft.com/office/2006/documentManagement/types"/>
    <xsd:import namespace="http://schemas.microsoft.com/office/infopath/2007/PartnerControls"/>
    <xsd:element name="SharedWithUsers" ma:index="15"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f8651-477f-4ea7-809d-4ed381726cd6" elementFormDefault="qualified">
    <xsd:import namespace="http://schemas.microsoft.com/office/2006/documentManagement/types"/>
    <xsd:import namespace="http://schemas.microsoft.com/office/infopath/2007/PartnerControls"/>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f49becf8-975c-4136-8c45-9c981de0ddce" ContentTypeId="0x01" PreviousValue="true"/>
</file>

<file path=customXml/itemProps1.xml><?xml version="1.0" encoding="utf-8"?>
<ds:datastoreItem xmlns:ds="http://schemas.openxmlformats.org/officeDocument/2006/customXml" ds:itemID="{15F74320-4E80-4B3C-99B1-883B67D38F46}">
  <ds:schemaRefs>
    <ds:schemaRef ds:uri="http://schemas.microsoft.com/sharepoint/v3/contenttype/forms"/>
  </ds:schemaRefs>
</ds:datastoreItem>
</file>

<file path=customXml/itemProps2.xml><?xml version="1.0" encoding="utf-8"?>
<ds:datastoreItem xmlns:ds="http://schemas.openxmlformats.org/officeDocument/2006/customXml" ds:itemID="{A28E61C3-C0D4-4F23-87BB-6855C7233398}">
  <ds:schemaRefs>
    <ds:schemaRef ds:uri="http://www.w3.org/XML/1998/namespace"/>
    <ds:schemaRef ds:uri="http://purl.org/dc/elements/1.1/"/>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dcef8651-477f-4ea7-809d-4ed381726cd6"/>
    <ds:schemaRef ds:uri="http://schemas.microsoft.com/sharepoint/v3"/>
    <ds:schemaRef ds:uri="27db541c-14ac-4ce2-a582-f4133412e82c"/>
    <ds:schemaRef ds:uri="d82dafc8-7759-4c5f-b9d7-587e9d95311d"/>
    <ds:schemaRef ds:uri="http://schemas.microsoft.com/office/2006/metadata/properties"/>
  </ds:schemaRefs>
</ds:datastoreItem>
</file>

<file path=customXml/itemProps3.xml><?xml version="1.0" encoding="utf-8"?>
<ds:datastoreItem xmlns:ds="http://schemas.openxmlformats.org/officeDocument/2006/customXml" ds:itemID="{0E8A6AC0-71B2-46CC-A9E9-A8F8C84BF4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2dafc8-7759-4c5f-b9d7-587e9d95311d"/>
    <ds:schemaRef ds:uri="27db541c-14ac-4ce2-a582-f4133412e82c"/>
    <ds:schemaRef ds:uri="dcef8651-477f-4ea7-809d-4ed381726c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6CDED4-6D99-4545-ADB8-C69E7282B037}">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139</vt:i4>
      </vt:variant>
    </vt:vector>
  </HeadingPairs>
  <TitlesOfParts>
    <vt:vector size="149"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Diane McClary</cp:lastModifiedBy>
  <cp:lastPrinted>2023-05-26T17:38:05Z</cp:lastPrinted>
  <dcterms:created xsi:type="dcterms:W3CDTF">2014-04-24T17:59:28Z</dcterms:created>
  <dcterms:modified xsi:type="dcterms:W3CDTF">2024-01-02T16:25:03Z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tentionPolicy">
    <vt:lpwstr>3;#PCAct 025 Yrs - Pricing And Resources (03121)|175f3641-067f-4e5a-a726-7cce26b49583</vt:lpwstr>
  </property>
  <property fmtid="{D5CDD505-2E9C-101B-9397-08002B2CF9AE}" pid="3" name="_dlc_policyId">
    <vt:lpwstr>/sites/wss000108/polfrms/Auto Policy Forms/Auto State Projects</vt:lpwstr>
  </property>
  <property fmtid="{D5CDD505-2E9C-101B-9397-08002B2CF9AE}" pid="4" name="ContentTypeId">
    <vt:lpwstr>0x01010040D8F9DE46E46841B11472495B2F36C0</vt:lpwstr>
  </property>
  <property fmtid="{D5CDD505-2E9C-101B-9397-08002B2CF9AE}" pid="5" name="ItemRetentionFormula">
    <vt:lpwstr>&lt;formula id="StateFarm.CustomFormula.Policy" /&gt;</vt:lpwstr>
  </property>
  <property fmtid="{D5CDD505-2E9C-101B-9397-08002B2CF9AE}" pid="6" name="MSIP_Label_9fec7713-ff10-4e30-a417-5bbcd9826c75_Enabled">
    <vt:lpwstr>true</vt:lpwstr>
  </property>
  <property fmtid="{D5CDD505-2E9C-101B-9397-08002B2CF9AE}" pid="7" name="MSIP_Label_9fec7713-ff10-4e30-a417-5bbcd9826c75_SetDate">
    <vt:lpwstr>2023-12-19T14:43:47Z</vt:lpwstr>
  </property>
  <property fmtid="{D5CDD505-2E9C-101B-9397-08002B2CF9AE}" pid="8" name="MSIP_Label_9fec7713-ff10-4e30-a417-5bbcd9826c75_Method">
    <vt:lpwstr>Standard</vt:lpwstr>
  </property>
  <property fmtid="{D5CDD505-2E9C-101B-9397-08002B2CF9AE}" pid="9" name="MSIP_Label_9fec7713-ff10-4e30-a417-5bbcd9826c75_Name">
    <vt:lpwstr>Enteprise-InternalUseOnly-Child-514205181618919515141225</vt:lpwstr>
  </property>
  <property fmtid="{D5CDD505-2E9C-101B-9397-08002B2CF9AE}" pid="10" name="MSIP_Label_9fec7713-ff10-4e30-a417-5bbcd9826c75_SiteId">
    <vt:lpwstr>fa23982e-6646-4a33-a5c4-1a848d02fcc4</vt:lpwstr>
  </property>
  <property fmtid="{D5CDD505-2E9C-101B-9397-08002B2CF9AE}" pid="11" name="MSIP_Label_9fec7713-ff10-4e30-a417-5bbcd9826c75_ActionId">
    <vt:lpwstr>9b475fc6-674b-4a4e-93c4-ac5144131596</vt:lpwstr>
  </property>
  <property fmtid="{D5CDD505-2E9C-101B-9397-08002B2CF9AE}" pid="12" name="MSIP_Label_9fec7713-ff10-4e30-a417-5bbcd9826c75_ContentBits">
    <vt:lpwstr>0</vt:lpwstr>
  </property>
</Properties>
</file>