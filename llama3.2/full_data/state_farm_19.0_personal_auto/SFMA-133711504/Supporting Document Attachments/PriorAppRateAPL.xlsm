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7.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8.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9.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10.xml" ContentType="application/vnd.openxmlformats-officedocument.drawing+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11.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12.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drawings/drawing13.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drawings/drawing14.xml" ContentType="application/vnd.openxmlformats-officedocument.drawing+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drawings/drawing15.xml" ContentType="application/vnd.openxmlformats-officedocument.drawing+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drawings/drawing16.xml" ContentType="application/vnd.openxmlformats-officedocument.drawing+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7.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drawings/drawing18.xml" ContentType="application/vnd.openxmlformats-officedocument.drawing+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19.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opr.statefarm.org\dfs\PCACT\00\WORKGROUP\P-C ACTUARIAL\AUTO\STATE FILES\California\REVISIONS\2023\1-1-2025 FR Limits\Filing\"/>
    </mc:Choice>
  </mc:AlternateContent>
  <xr:revisionPtr revIDLastSave="0" documentId="13_ncr:1_{CE92B7A7-B7C6-457E-B11C-1EF55BC6EF9F}" xr6:coauthVersionLast="47" xr6:coauthVersionMax="47" xr10:uidLastSave="{00000000-0000-0000-0000-000000000000}"/>
  <bookViews>
    <workbookView xWindow="63765" yWindow="1575" windowWidth="21600" windowHeight="10995" tabRatio="848" firstSheet="2" activeTab="5"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state="hidden" r:id="rId7"/>
    <sheet name="5.Reconciliation" sheetId="15" state="hidden" r:id="rId8"/>
    <sheet name="6.Program Detail" sheetId="31" state="hidden" r:id="rId9"/>
    <sheet name="7.Statutory Data" sheetId="16" state="hidden" r:id="rId10"/>
    <sheet name="8.Miscellaneous Fees" sheetId="17" state="hidden" r:id="rId11"/>
    <sheet name="9.Forms" sheetId="21" state="hidden" r:id="rId12"/>
    <sheet name="10.Rules" sheetId="23" r:id="rId13"/>
    <sheet name="11.Variance Request" sheetId="18" state="veryHidden" r:id="rId14"/>
    <sheet name="12.1Model Disclosure" sheetId="42" state="veryHidden" r:id="rId15"/>
    <sheet name="12.2Model Disclosure" sheetId="45" state="veryHidden" r:id="rId16"/>
    <sheet name="12.3Model Disclosure" sheetId="46" state="veryHidden" r:id="rId17"/>
    <sheet name="12.4Model Disclosure" sheetId="47" state="veryHidden"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functionGroups builtInGroupCount="19"/>
  <externalReferences>
    <externalReference r:id="rId25"/>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1" l="1"/>
  <c r="M31" i="21" l="1"/>
  <c r="M24" i="21"/>
  <c r="M59" i="21"/>
  <c r="M52" i="21"/>
  <c r="M45" i="21"/>
  <c r="M38" i="21"/>
  <c r="M21" i="21" l="1"/>
  <c r="M26" i="21" l="1"/>
  <c r="B13" i="4" l="1"/>
  <c r="B21" i="1"/>
  <c r="L28" i="2" l="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1" l="1"/>
  <c r="I47" i="53"/>
  <c r="I47" i="52"/>
  <c r="I47" i="50"/>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<sst xmlns="http://schemas.openxmlformats.org/spreadsheetml/2006/main" count="1660" uniqueCount="539">
  <si>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</si>
  <si>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</si>
  <si>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</si>
  <si>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</si>
  <si>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</si>
  <si>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</si>
  <si>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</si>
  <si>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</si>
  <si>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</si>
  <si>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</si>
  <si>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</si>
  <si>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</si>
  <si>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</si>
  <si>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</si>
  <si>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</si>
  <si>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</si>
  <si>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</si>
  <si>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</si>
  <si>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</si>
  <si>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</si>
  <si>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</si>
  <si>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</si>
  <si>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</si>
  <si>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</si>
  <si>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</si>
  <si>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</si>
  <si>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</si>
  <si>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</si>
  <si>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</si>
  <si>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</si>
  <si>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</si>
  <si>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</si>
  <si>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</si>
  <si>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</si>
  <si>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</si>
  <si>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</si>
  <si>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</si>
  <si>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</si>
  <si>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</si>
  <si>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</si>
  <si>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</si>
  <si>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</si>
  <si>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</si>
  <si>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</si>
  <si>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</si>
  <si>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</si>
  <si>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</si>
  <si>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</si>
  <si>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</si>
  <si>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</si>
  <si>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</si>
  <si>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</si>
  <si>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</si>
  <si>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</si>
  <si>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</si>
  <si>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</si>
  <si>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</si>
  <si>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</si>
  <si>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</si>
  <si>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</si>
  <si>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</si>
  <si>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</si>
  <si>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</si>
  <si>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</si>
  <si>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</si>
  <si>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</si>
  <si>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</si>
  <si>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</si>
  <si>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</si>
  <si>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</si>
  <si>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</si>
  <si>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</si>
  <si>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</si>
  <si>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</si>
  <si>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</si>
  <si>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</si>
  <si>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</si>
  <si>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</si>
  <si>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</si>
  <si>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</si>
  <si>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</si>
  <si>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</si>
  <si>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</si>
  <si>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</si>
  <si>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</si>
  <si>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</si>
  <si>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</si>
  <si>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</si>
  <si>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</si>
  <si>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</si>
  <si>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</si>
  <si>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</si>
  <si>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</si>
  <si>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</si>
  <si>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</si>
  <si>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</si>
  <si>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</si>
  <si>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</si>
  <si>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</si>
  <si>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</si>
  <si>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</si>
  <si>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</si>
  <si>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</si>
  <si>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</si>
  <si>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</si>
  <si>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</si>
  <si>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</si>
  <si>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</si>
  <si>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</si>
  <si>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</si>
  <si>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</si>
  <si>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</si>
  <si>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</si>
  <si>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</si>
  <si>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</si>
  <si>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</si>
  <si>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</si>
  <si>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</si>
  <si>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</si>
  <si>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</si>
  <si>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</si>
  <si>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</si>
  <si>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</si>
  <si>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</si>
  <si>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</si>
  <si>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</si>
  <si>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</si>
  <si>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</si>
  <si>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</si>
  <si>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</si>
  <si>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</si>
  <si>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</si>
  <si>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</si>
  <si>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</si>
  <si>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</si>
  <si>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</si>
  <si>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</si>
  <si>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</si>
  <si>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</si>
  <si>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</si>
  <si>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</si>
  <si>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</si>
  <si>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</si>
  <si>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</si>
  <si>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</si>
  <si>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</si>
  <si>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</si>
  <si>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</si>
  <si>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</si>
  <si>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</si>
  <si>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</si>
  <si>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</si>
  <si>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</si>
  <si>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</si>
  <si>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</si>
  <si>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</si>
  <si>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</si>
  <si>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</si>
  <si>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</si>
  <si>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</si>
  <si>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</si>
  <si>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</si>
  <si>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</si>
  <si>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</si>
  <si>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</si>
  <si>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</si>
  <si>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</si>
  <si>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</si>
  <si>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</si>
  <si>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</si>
  <si>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</si>
  <si>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</si>
  <si>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</si>
  <si>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</si>
  <si>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</si>
  <si>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</si>
  <si>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</si>
  <si>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</si>
  <si>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</si>
  <si>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</si>
  <si>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</si>
  <si>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</si>
  <si>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</si>
  <si>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</si>
  <si>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</si>
  <si>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</si>
  <si>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</si>
  <si>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</si>
  <si>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</si>
  <si>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</si>
  <si>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</si>
  <si>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</si>
  <si>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</si>
  <si>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</si>
  <si>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</si>
  <si>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</si>
  <si>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</si>
  <si>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</si>
  <si>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</si>
  <si>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</si>
  <si>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</si>
  <si>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</si>
  <si>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</si>
  <si>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</si>
  <si>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</si>
  <si>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</si>
  <si>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</si>
  <si>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</si>
  <si>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</si>
  <si>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</si>
  <si>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</si>
  <si>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</si>
  <si>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</si>
  <si>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</si>
  <si>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</si>
  <si>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</si>
  <si>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</si>
  <si>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</si>
  <si>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</si>
  <si>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</si>
  <si>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</si>
  <si>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</si>
  <si>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</si>
  <si>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</si>
  <si>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</si>
  <si>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</si>
  <si>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</si>
  <si>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</si>
  <si>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</si>
  <si>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</si>
  <si>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</si>
  <si>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</si>
  <si>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</si>
  <si>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</si>
  <si>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</si>
  <si>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</si>
  <si>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</si>
  <si>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</si>
  <si>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</si>
  <si>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</si>
  <si>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</si>
  <si>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</si>
  <si>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</si>
  <si>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</si>
  <si>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</si>
  <si>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</si>
  <si>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</si>
  <si>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</si>
  <si>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</si>
  <si>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</si>
  <si>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</si>
  <si>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</si>
  <si>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</si>
  <si>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</si>
  <si>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</si>
  <si>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</si>
  <si>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</si>
  <si>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</si>
  <si>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</si>
  <si>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</si>
  <si>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</si>
  <si>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</si>
  <si>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</si>
  <si>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</si>
  <si>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</si>
  <si>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</si>
  <si>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</si>
  <si>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</si>
  <si>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</si>
  <si>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</si>
  <si>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</si>
  <si>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</si>
  <si>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</si>
  <si>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</si>
  <si>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</si>
  <si>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</si>
  <si>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</si>
  <si>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</si>
  <si>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</si>
  <si>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</si>
  <si>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</si>
  <si>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</si>
  <si>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</si>
  <si>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</si>
  <si>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</si>
  <si>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</si>
  <si>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</si>
  <si>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</si>
  <si>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</si>
  <si>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</si>
  <si>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</si>
  <si>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</si>
  <si>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</si>
  <si>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</si>
  <si>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</si>
  <si>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</si>
  <si>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</si>
  <si>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</si>
  <si>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</si>
  <si>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</si>
  <si>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</si>
  <si>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</si>
  <si>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</si>
  <si>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</si>
  <si>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</si>
  <si>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</si>
  <si>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</si>
  <si>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</si>
  <si>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</si>
  <si>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</si>
  <si>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</si>
  <si>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</si>
  <si>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</si>
  <si>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</si>
  <si>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</si>
  <si>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</si>
  <si>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</si>
  <si>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</si>
  <si>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</si>
  <si>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</si>
  <si>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</si>
  <si>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</si>
  <si>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</si>
  <si>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</si>
  <si>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</si>
  <si>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</si>
  <si>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</si>
  <si>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</si>
  <si>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</si>
  <si>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</si>
  <si>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</si>
  <si>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</si>
  <si>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</si>
  <si>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</si>
  <si>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</si>
  <si>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</si>
  <si>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</si>
  <si>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</si>
  <si>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</si>
  <si>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</si>
  <si>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</si>
  <si>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</si>
  <si>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</si>
  <si>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</si>
  <si>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</si>
  <si>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</si>
  <si>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</si>
  <si>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</si>
  <si>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</si>
  <si>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</si>
  <si>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</si>
  <si>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</si>
  <si>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</si>
  <si>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</si>
  <si>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</si>
  <si>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</si>
  <si>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</si>
  <si>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</si>
  <si>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</si>
  <si>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</si>
  <si>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</si>
  <si>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</si>
  <si>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</si>
  <si>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</si>
  <si>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</si>
  <si>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</si>
  <si>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</si>
  <si>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</si>
  <si>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</si>
  <si>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</si>
  <si>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</si>
  <si>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</si>
  <si>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</si>
  <si>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</si>
  <si>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</si>
  <si>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</si>
  <si>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</si>
  <si>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</si>
  <si>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</si>
  <si>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</si>
  <si>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</si>
  <si>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</si>
  <si>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</si>
  <si>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</si>
  <si>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</si>
  <si>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</si>
  <si>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</si>
  <si>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</si>
  <si>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</si>
  <si>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</si>
  <si>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</si>
  <si>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</si>
  <si>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</si>
  <si>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</si>
  <si>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</si>
  <si>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</si>
  <si>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</si>
  <si>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</si>
  <si>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</si>
  <si>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</si>
  <si>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</si>
  <si>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</si>
  <si>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</si>
  <si>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</si>
  <si>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</si>
  <si>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</si>
  <si>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</si>
  <si>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</si>
  <si>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</si>
  <si>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</si>
  <si>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</si>
  <si>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</si>
  <si>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</si>
  <si>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</si>
  <si>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</si>
  <si>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</si>
  <si>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</si>
  <si>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</si>
  <si>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</si>
  <si>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</si>
  <si>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</si>
  <si>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</si>
  <si>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</si>
  <si>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</si>
  <si>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</si>
  <si>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</si>
  <si>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</si>
  <si>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</si>
  <si>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</si>
  <si>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</si>
  <si>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</si>
  <si>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</si>
  <si>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</si>
  <si>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</si>
  <si>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</si>
  <si>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</si>
  <si>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</si>
  <si>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</si>
  <si>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</si>
  <si>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</si>
  <si>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</si>
  <si>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</si>
  <si>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</si>
  <si>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</si>
  <si>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</si>
  <si>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</si>
  <si>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</si>
  <si>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</si>
  <si>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</si>
  <si>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</si>
  <si>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</si>
  <si>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</si>
  <si>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</si>
  <si>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</si>
  <si>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</si>
  <si>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</si>
  <si>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</si>
  <si>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</si>
  <si>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</si>
  <si>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</si>
  <si>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</si>
  <si>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</si>
  <si>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</si>
  <si>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</si>
  <si>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</si>
  <si>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</si>
  <si>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</si>
  <si>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</si>
  <si>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</si>
  <si>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</si>
  <si>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</si>
  <si>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</si>
  <si>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</si>
  <si>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</si>
  <si>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</si>
  <si>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</si>
  <si>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</si>
  <si>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</si>
  <si>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</si>
  <si>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</si>
  <si>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</si>
  <si>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</si>
  <si>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</si>
  <si>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</si>
  <si>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</si>
  <si>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</si>
  <si>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</si>
  <si>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</si>
  <si>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</si>
  <si>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</si>
  <si>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</si>
  <si>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</si>
  <si>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</si>
  <si>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</si>
  <si>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</si>
  <si>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</si>
  <si>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</si>
  <si>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</si>
  <si>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</si>
  <si>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</si>
  <si>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</si>
  <si>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</si>
  <si>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</si>
  <si>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</si>
  <si>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</si>
  <si>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</si>
  <si>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</si>
  <si>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</si>
  <si>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</si>
  <si>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</si>
  <si>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</si>
  <si>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</si>
  <si>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</si>
  <si>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</si>
  <si>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</si>
  <si>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</si>
  <si>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</si>
  <si>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</si>
  <si>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</si>
  <si>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</si>
  <si>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</si>
  <si>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</si>
  <si>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</si>
  <si>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</si>
  <si>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</si>
  <si>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</si>
  <si>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Laura Campbell</t>
  </si>
  <si>
    <t>PV-46200</t>
  </si>
  <si>
    <t>FR Limits 2023</t>
  </si>
  <si>
    <t>23-890</t>
  </si>
  <si>
    <t>State Farm Mutual Automobile Insurance Company</t>
  </si>
  <si>
    <t>State Farm Insurance Companies</t>
  </si>
  <si>
    <t>Illinois</t>
  </si>
  <si>
    <t>One State Farm Plaza, Bloomington, IL 61710</t>
  </si>
  <si>
    <t>Adam Swope, Actuary and Assistant Vice President</t>
  </si>
  <si>
    <t>(309) 766‐0225</t>
  </si>
  <si>
    <t>adam.swope.hdbi@statefarm.com</t>
  </si>
  <si>
    <t>One State Farm Plaza, D‐4; Bloomington, IL 61710</t>
  </si>
  <si>
    <t>j4mt4jBs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</si>
</sst>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b/>
      <sz val="20"/>
      <color theme="1"/>
      <name val="Calibri"/>
      <family val="2"/>
      <scheme val="minor"/>
    </font>
    <font>
      <vertAlign val="superscript"/>
      <sz val="11"/>
      <color theme="1"/>
      <name val="Calibri"/>
      <family val="2"/>
    </font>
    <font>
      <b/>
      <sz val="11"/>
      <color rgb="FF0000FF"/>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sz val="8"/>
      <color theme="1"/>
      <name val="Calibri"/>
      <family val="2"/>
      <scheme val="minor"/>
    </font>
    <font>
      <sz val="11"/>
      <color rgb="FF000000"/>
      <name val="Calibri"/>
      <family val="2"/>
    </font>
    <font>
      <b/>
      <i/>
      <sz val="11"/>
      <color rgb="FF000000"/>
      <name val="Calibri"/>
      <family val="2"/>
    </font>
    <font>
      <b/>
      <sz val="11"/>
      <color rgb="FF000000"/>
      <name val="Calibri"/>
      <family val="2"/>
    </font>
    <font>
      <b/>
      <sz val="10"/>
      <color rgb="FF000000"/>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6" fillId="0" borderId="0"/>
  </cellStyleXfs>
  <cellXfs count="644">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29" fillId="0" borderId="9" xfId="0" applyFont="1" applyBorder="1" applyAlignment="1">
      <alignment horizontal="left" vertical="center"/>
    </xf>
    <xf numFmtId="0" fontId="29"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2"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3"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6"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5"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5" fillId="0" borderId="0" xfId="0" applyFont="1" applyAlignment="1">
      <alignment vertical="center"/>
    </xf>
    <xf numFmtId="0" fontId="29" fillId="0" borderId="0" xfId="0" applyFont="1" applyAlignment="1">
      <alignment vertical="center" wrapText="1"/>
    </xf>
    <xf numFmtId="0" fontId="29" fillId="0" borderId="0" xfId="0" applyFont="1" applyAlignment="1">
      <alignment horizontal="center" vertical="center" wrapText="1"/>
    </xf>
    <xf numFmtId="0" fontId="29"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39"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0"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2"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3" fillId="0" borderId="0" xfId="0" applyFont="1"/>
    <xf numFmtId="0" fontId="24" fillId="0" borderId="7" xfId="0" applyFont="1" applyBorder="1" applyAlignment="1" applyProtection="1">
      <alignment vertical="center"/>
    </xf>
    <xf numFmtId="0" fontId="44"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4" fillId="0" borderId="20" xfId="0" applyFont="1" applyBorder="1"/>
    <xf numFmtId="0" fontId="44" fillId="0" borderId="20" xfId="0" applyFont="1" applyBorder="1" applyAlignment="1">
      <alignment vertical="center"/>
    </xf>
    <xf numFmtId="0" fontId="44" fillId="0" borderId="7" xfId="0" applyFont="1" applyBorder="1"/>
    <xf numFmtId="0" fontId="44"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47" fillId="0" borderId="0" xfId="0" applyFont="1" applyFill="1" applyBorder="1" applyAlignment="1">
      <alignment horizontal="left" vertical="top"/>
    </xf>
    <xf numFmtId="0" fontId="47" fillId="0" borderId="0" xfId="0" applyFont="1" applyAlignment="1">
      <alignment horizontal="left" vertical="top"/>
    </xf>
    <xf numFmtId="0" fontId="42"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49" fillId="0" borderId="0" xfId="0" applyFont="1" applyBorder="1" applyAlignment="1">
      <alignment horizontal="left" vertical="center"/>
    </xf>
    <xf numFmtId="0" fontId="7" fillId="0" borderId="0" xfId="0" applyFont="1" applyFill="1" applyBorder="1" applyAlignment="1">
      <alignment horizontal="left" vertical="center"/>
    </xf>
    <xf numFmtId="0" fontId="49" fillId="0" borderId="0" xfId="0" applyFont="1" applyBorder="1"/>
    <xf numFmtId="0" fontId="50"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1"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0" fillId="4" borderId="6" xfId="0" applyFont="1" applyFill="1" applyBorder="1" applyAlignment="1">
      <alignment horizontal="left" vertical="center"/>
    </xf>
    <xf numFmtId="0" fontId="10" fillId="0" borderId="0" xfId="0" applyFont="1" applyBorder="1" applyAlignment="1">
      <alignment horizontal="left" vertical="center"/>
    </xf>
    <xf numFmtId="0" fontId="50"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2"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4"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4"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6"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6"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3" fillId="4" borderId="0" xfId="0" applyFont="1" applyFill="1" applyBorder="1" applyAlignment="1">
      <alignment horizontal="center"/>
    </xf>
    <xf numFmtId="0" fontId="43"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0" fontId="57" fillId="0" borderId="0" xfId="0" applyFont="1"/>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0" fontId="13" fillId="0" borderId="0" xfId="0" applyFont="1" applyAlignment="1">
      <alignment horizontal="center" vertical="center"/>
    </xf>
    <xf numFmtId="0" fontId="24" fillId="0" borderId="0" xfId="0" applyFont="1" applyAlignment="1">
      <alignment vertical="center" wrapText="1"/>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5" fillId="2" borderId="38" xfId="0" applyFont="1" applyFill="1" applyBorder="1" applyAlignment="1" applyProtection="1">
      <alignment horizontal="left" vertical="center" wrapText="1"/>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0" fontId="55" fillId="0" borderId="0"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55" fillId="0" borderId="0" xfId="0" applyNumberFormat="1" applyFont="1" applyFill="1" applyBorder="1" applyAlignment="1" applyProtection="1">
      <alignment horizontal="left" vertical="top" wrapText="1"/>
      <protection locked="0"/>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5" fillId="2" borderId="38" xfId="0" applyNumberFormat="1" applyFont="1" applyFill="1" applyBorder="1" applyAlignment="1" applyProtection="1">
      <alignment horizontal="left" vertical="top" wrapText="1"/>
      <protection locked="0"/>
    </xf>
    <xf numFmtId="0" fontId="55"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5" fillId="0" borderId="38" xfId="0" applyNumberFormat="1" applyFont="1" applyFill="1" applyBorder="1" applyAlignment="1" applyProtection="1">
      <alignment horizontal="left" vertical="top" wrapText="1"/>
      <protection locked="0"/>
    </xf>
    <xf numFmtId="0" fontId="55" fillId="0" borderId="87" xfId="0" applyFont="1" applyFill="1" applyBorder="1" applyAlignment="1" applyProtection="1">
      <alignment horizontal="left" vertical="center" wrapText="1"/>
      <protection locked="0"/>
    </xf>
    <xf numFmtId="0" fontId="55"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5" fillId="2" borderId="84" xfId="0" applyFont="1" applyFill="1" applyBorder="1" applyAlignment="1" applyProtection="1">
      <alignment horizontal="left" vertical="center" wrapText="1"/>
      <protection locked="0"/>
    </xf>
    <xf numFmtId="0" fontId="55"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5"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5" fillId="2" borderId="87" xfId="0" applyFont="1" applyFill="1" applyBorder="1" applyAlignment="1" applyProtection="1">
      <alignment horizontal="left" vertical="center" wrapText="1"/>
      <protection locked="0"/>
    </xf>
    <xf numFmtId="0" fontId="55"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22" fmlaLink="$K$14" fmlaRange="List_YNIndicator" sel="2" val="0"/>
</file>

<file path=xl/ctrlProps/ctrlProp6.xml><?xml version="1.0" encoding="utf-8"?>
<formControlPr xmlns="http://schemas.microsoft.com/office/spreadsheetml/2009/9/main" objectType="Drop" dropLines="3" dropStyle="combo" dx="22" fmlaLink="$K$20" fmlaRange="List_YNnaIndicator" sel="3" val="0"/>
</file>

<file path=xl/ctrlProps/ctrlProp7.xml><?xml version="1.0" encoding="utf-8"?>
<formControlPr xmlns="http://schemas.microsoft.com/office/spreadsheetml/2009/9/main" objectType="Drop" dropLines="2" dropStyle="combo" dx="22" fmlaLink="$K$26" fmlaRange="List_YNIndicator" sel="2" val="0"/>
</file>

<file path=xl/ctrlProps/ctrlProp8.xml><?xml version="1.0" encoding="utf-8"?>
<formControlPr xmlns="http://schemas.microsoft.com/office/spreadsheetml/2009/9/main" objectType="Drop" dropLines="2" dropStyle="combo" dx="22"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22" fmlaLink="References!$D$5" fmlaRange="List_LineType" sel="2" val="0"/>
</file>

<file path=xl/ctrlProps/ctrlProp14.xml><?xml version="1.0" encoding="utf-8"?>
<formControlPr xmlns="http://schemas.microsoft.com/office/spreadsheetml/2009/9/main" objectType="Drop" dropLines="25" dropStyle="combo" dx="22"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22" fmlaLink="$M$40" fmlaRange="References!$B$5:$B$7" sel="0" val="0"/>
</file>

<file path=xl/ctrlProps/ctrlProp19.xml><?xml version="1.0" encoding="utf-8"?>
<formControlPr xmlns="http://schemas.microsoft.com/office/spreadsheetml/2009/9/main" objectType="Drop" dropLines="3" dropStyle="combo" dx="22" fmlaLink="$M$40" fmlaRange="References!$B$5:$B$7" sel="0" val="0"/>
</file>

<file path=xl/ctrlProps/ctrlProp20.xml><?xml version="1.0" encoding="utf-8"?>
<formControlPr xmlns="http://schemas.microsoft.com/office/spreadsheetml/2009/9/main" objectType="Drop" dropLines="3" dropStyle="combo" dx="22"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22" fmlaLink="$K$39" fmlaRange="References!$B$5:$B$7" sel="1" val="0"/>
</file>

<file path=xl/ctrlProps/ctrlProp23.xml><?xml version="1.0" encoding="utf-8"?>
<formControlPr xmlns="http://schemas.microsoft.com/office/spreadsheetml/2009/9/main" objectType="Drop" dropLines="11" dropStyle="combo" dx="22" fmlaLink="References!$Y$4" fmlaRange="References!$Y$6:$Y$16" sel="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22"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fmlaLink="No_Fees"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fmlaLink="Change_Fees" lockText="1"/>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checked="Checked" lockText="1"/>
</file>

<file path=xl/ctrlProps/ctrlProp92.xml><?xml version="1.0" encoding="utf-8"?>
<formControlPr xmlns="http://schemas.microsoft.com/office/spreadsheetml/2009/9/main" objectType="CheckBox" fmlaLink="$E$12"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checked="Checked"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Drop" dropLines="23" dropStyle="combo" dx="22" fmlaLink="$H$23" fmlaRange="References!$H$6:$H$28" sel="23" val="0"/>
</file>

<file path=xl/ctrlProps/ctrlProp98.xml><?xml version="1.0" encoding="utf-8"?>
<formControlPr xmlns="http://schemas.microsoft.com/office/spreadsheetml/2009/9/main" objectType="Drop" dropLines="23" dropStyle="combo" dx="22" fmlaLink="$H$26" fmlaRange="References!$H$6:$H$28" sel="23" val="0"/>
</file>

<file path=xl/ctrlProps/ctrlProp99.xml><?xml version="1.0" encoding="utf-8"?>
<formControlPr xmlns="http://schemas.microsoft.com/office/spreadsheetml/2009/9/main" objectType="Drop" dropLines="23" dropStyle="combo" dx="22" fmlaLink="$H$29" fmlaRange="References!$H$6:$H$28" sel="23" val="0"/>
</file>

<file path=xl/ctrlProps/ctrlProp100.xml><?xml version="1.0" encoding="utf-8"?>
<formControlPr xmlns="http://schemas.microsoft.com/office/spreadsheetml/2009/9/main" objectType="Drop" dropLines="23" dropStyle="combo" dx="22" fmlaLink="$H$16" fmlaRange="References!$H$6:$H$28" sel="23" val="0"/>
</file>

<file path=xl/ctrlProps/ctrlProp101.xml><?xml version="1.0" encoding="utf-8"?>
<formControlPr xmlns="http://schemas.microsoft.com/office/spreadsheetml/2009/9/main" objectType="Drop" dropLines="23" dropStyle="combo" dx="22" fmlaLink="$H$20" fmlaRange="References!$H$6:$H$28" sel="23" val="0"/>
</file>

<file path=xl/ctrlProps/ctrlProp102.xml><?xml version="1.0" encoding="utf-8"?>
<formControlPr xmlns="http://schemas.microsoft.com/office/spreadsheetml/2009/9/main" objectType="Drop" dropLines="23" dropStyle="combo" dx="22" fmlaLink="$H$32" fmlaRange="References!$H$6:$H$28" sel="23" val="0"/>
</file>

<file path=xl/ctrlProps/ctrlProp103.xml><?xml version="1.0" encoding="utf-8"?>
<formControlPr xmlns="http://schemas.microsoft.com/office/spreadsheetml/2009/9/main" objectType="Drop" dropLines="23" dropStyle="combo" dx="22" fmlaLink="$H$35" fmlaRange="References!$H$6:$H$28" sel="23" val="0"/>
</file>

<file path=xl/ctrlProps/ctrlProp104.xml><?xml version="1.0" encoding="utf-8"?>
<formControlPr xmlns="http://schemas.microsoft.com/office/spreadsheetml/2009/9/main" objectType="Drop" dropLines="23" dropStyle="combo" dx="22" fmlaLink="$H$38" fmlaRange="References!$H$6:$H$28" sel="23" val="0"/>
</file>

<file path=xl/ctrlProps/ctrlProp105.xml><?xml version="1.0" encoding="utf-8"?>
<formControlPr xmlns="http://schemas.microsoft.com/office/spreadsheetml/2009/9/main" objectType="Drop" dropLines="23" dropStyle="combo" dx="22" fmlaLink="$H$41" fmlaRange="References!$H$6:$H$28" sel="23" val="0"/>
</file>

<file path=xl/ctrlProps/ctrlProp106.xml><?xml version="1.0" encoding="utf-8"?>
<formControlPr xmlns="http://schemas.microsoft.com/office/spreadsheetml/2009/9/main" objectType="Drop" dropLines="23" dropStyle="combo" dx="22" fmlaLink="$H$44" fmlaRange="References!$H$6:$H$28" sel="23" val="0"/>
</file>

<file path=xl/ctrlProps/ctrlProp107.xml><?xml version="1.0" encoding="utf-8"?>
<formControlPr xmlns="http://schemas.microsoft.com/office/spreadsheetml/2009/9/main" objectType="CheckBox" fmlaLink="B9" lockText="1" noThreeD="1"/>
</file>

<file path=xl/ctrlProps/ctrlProp108.xml><?xml version="1.0" encoding="utf-8"?>
<formControlPr xmlns="http://schemas.microsoft.com/office/spreadsheetml/2009/9/main" objectType="CheckBox" fmlaLink="G9" lockText="1" noThreeD="1"/>
</file>

<file path=xl/ctrlProps/ctrlProp109.xml><?xml version="1.0" encoding="utf-8"?>
<formControlPr xmlns="http://schemas.microsoft.com/office/spreadsheetml/2009/9/main" objectType="CheckBox" fmlaLink="G12" lockText="1" noThreeD="1"/>
</file>

<file path=xl/ctrlProps/ctrlProp110.xml><?xml version="1.0" encoding="utf-8"?>
<formControlPr xmlns="http://schemas.microsoft.com/office/spreadsheetml/2009/9/main" objectType="CheckBox" fmlaLink="G13" lockText="1" noThreeD="1"/>
</file>

<file path=xl/ctrlProps/ctrlProp111.xml><?xml version="1.0" encoding="utf-8"?>
<formControlPr xmlns="http://schemas.microsoft.com/office/spreadsheetml/2009/9/main" objectType="CheckBox" fmlaLink="G16" lockText="1" noThreeD="1"/>
</file>

<file path=xl/ctrlProps/ctrlProp112.xml><?xml version="1.0" encoding="utf-8"?>
<formControlPr xmlns="http://schemas.microsoft.com/office/spreadsheetml/2009/9/main" objectType="CheckBox" fmlaLink="G17" lockText="1" noThreeD="1"/>
</file>

<file path=xl/ctrlProps/ctrlProp113.xml><?xml version="1.0" encoding="utf-8"?>
<formControlPr xmlns="http://schemas.microsoft.com/office/spreadsheetml/2009/9/main" objectType="CheckBox" fmlaLink="L16" lockText="1" noThreeD="1"/>
</file>

<file path=xl/ctrlProps/ctrlProp114.xml><?xml version="1.0" encoding="utf-8"?>
<formControlPr xmlns="http://schemas.microsoft.com/office/spreadsheetml/2009/9/main" objectType="CheckBox" fmlaLink="L17" lockText="1" noThreeD="1"/>
</file>

<file path=xl/ctrlProps/ctrlProp115.xml><?xml version="1.0" encoding="utf-8"?>
<formControlPr xmlns="http://schemas.microsoft.com/office/spreadsheetml/2009/9/main" objectType="CheckBox" fmlaLink="B16" lockText="1" noThreeD="1"/>
</file>

<file path=xl/ctrlProps/ctrlProp116.xml><?xml version="1.0" encoding="utf-8"?>
<formControlPr xmlns="http://schemas.microsoft.com/office/spreadsheetml/2009/9/main" objectType="CheckBox" fmlaLink="B17" lockText="1" noThreeD="1"/>
</file>

<file path=xl/ctrlProps/ctrlProp117.xml><?xml version="1.0" encoding="utf-8"?>
<formControlPr xmlns="http://schemas.microsoft.com/office/spreadsheetml/2009/9/main" objectType="CheckBox" fmlaLink="B12" lockText="1" noThreeD="1"/>
</file>

<file path=xl/ctrlProps/ctrlProp118.xml><?xml version="1.0" encoding="utf-8"?>
<formControlPr xmlns="http://schemas.microsoft.com/office/spreadsheetml/2009/9/main" objectType="CheckBox" fmlaLink="B13" lockText="1" noThreeD="1"/>
</file>

<file path=xl/ctrlProps/ctrlProp119.xml><?xml version="1.0" encoding="utf-8"?>
<formControlPr xmlns="http://schemas.microsoft.com/office/spreadsheetml/2009/9/main" objectType="CheckBox" fmlaLink="B21" lockText="1" noThreeD="1"/>
</file>

<file path=xl/ctrlProps/ctrlProp120.xml><?xml version="1.0" encoding="utf-8"?>
<formControlPr xmlns="http://schemas.microsoft.com/office/spreadsheetml/2009/9/main" objectType="CheckBox" fmlaLink="B25" lockText="1" noThreeD="1"/>
</file>

<file path=xl/ctrlProps/ctrlProp121.xml><?xml version="1.0" encoding="utf-8"?>
<formControlPr xmlns="http://schemas.microsoft.com/office/spreadsheetml/2009/9/main" objectType="CheckBox" fmlaLink="G25" lockText="1" noThreeD="1"/>
</file>

<file path=xl/ctrlProps/ctrlProp122.xml><?xml version="1.0" encoding="utf-8"?>
<formControlPr xmlns="http://schemas.microsoft.com/office/spreadsheetml/2009/9/main" objectType="CheckBox" fmlaLink="L25" lockText="1" noThreeD="1"/>
</file>

<file path=xl/ctrlProps/ctrlProp123.xml><?xml version="1.0" encoding="utf-8"?>
<formControlPr xmlns="http://schemas.microsoft.com/office/spreadsheetml/2009/9/main" objectType="CheckBox" fmlaLink="G21" lockText="1" noThreeD="1"/>
</file>

<file path=xl/ctrlProps/ctrlProp124.xml><?xml version="1.0" encoding="utf-8"?>
<formControlPr xmlns="http://schemas.microsoft.com/office/spreadsheetml/2009/9/main" objectType="CheckBox" fmlaLink="B29" lockText="1" noThreeD="1"/>
</file>

<file path=xl/ctrlProps/ctrlProp125.xml><?xml version="1.0" encoding="utf-8"?>
<formControlPr xmlns="http://schemas.microsoft.com/office/spreadsheetml/2009/9/main" objectType="CheckBox" fmlaLink="G29" lockText="1" noThreeD="1"/>
</file>

<file path=xl/ctrlProps/ctrlProp126.xml><?xml version="1.0" encoding="utf-8"?>
<formControlPr xmlns="http://schemas.microsoft.com/office/spreadsheetml/2009/9/main" objectType="CheckBox" fmlaLink="L29" lockText="1" noThreeD="1"/>
</file>

<file path=xl/ctrlProps/ctrlProp127.xml><?xml version="1.0" encoding="utf-8"?>
<formControlPr xmlns="http://schemas.microsoft.com/office/spreadsheetml/2009/9/main" objectType="CheckBox" fmlaLink="B38" lockText="1" noThreeD="1"/>
</file>

<file path=xl/ctrlProps/ctrlProp128.xml><?xml version="1.0" encoding="utf-8"?>
<formControlPr xmlns="http://schemas.microsoft.com/office/spreadsheetml/2009/9/main" objectType="CheckBox" fmlaLink="G38" lockText="1" noThreeD="1"/>
</file>

<file path=xl/ctrlProps/ctrlProp129.xml><?xml version="1.0" encoding="utf-8"?>
<formControlPr xmlns="http://schemas.microsoft.com/office/spreadsheetml/2009/9/main" objectType="CheckBox" fmlaLink="L38" lockText="1" noThreeD="1"/>
</file>

<file path=xl/ctrlProps/ctrlProp130.xml><?xml version="1.0" encoding="utf-8"?>
<formControlPr xmlns="http://schemas.microsoft.com/office/spreadsheetml/2009/9/main" objectType="CheckBox" fmlaLink="B44" lockText="1" noThreeD="1"/>
</file>

<file path=xl/ctrlProps/ctrlProp131.xml><?xml version="1.0" encoding="utf-8"?>
<formControlPr xmlns="http://schemas.microsoft.com/office/spreadsheetml/2009/9/main" objectType="CheckBox" fmlaLink="G44" lockText="1" noThreeD="1"/>
</file>

<file path=xl/ctrlProps/ctrlProp132.xml><?xml version="1.0" encoding="utf-8"?>
<formControlPr xmlns="http://schemas.microsoft.com/office/spreadsheetml/2009/9/main" objectType="CheckBox" fmlaLink="B39" lockText="1" noThreeD="1"/>
</file>

<file path=xl/ctrlProps/ctrlProp133.xml><?xml version="1.0" encoding="utf-8"?>
<formControlPr xmlns="http://schemas.microsoft.com/office/spreadsheetml/2009/9/main" objectType="CheckBox" fmlaLink="B18" lockText="1" noThreeD="1"/>
</file>

<file path=xl/ctrlProps/ctrlProp134.xml><?xml version="1.0" encoding="utf-8"?>
<formControlPr xmlns="http://schemas.microsoft.com/office/spreadsheetml/2009/9/main" objectType="CheckBox" fmlaLink="B32" lockText="1" noThreeD="1"/>
</file>

<file path=xl/ctrlProps/ctrlProp135.xml><?xml version="1.0" encoding="utf-8"?>
<formControlPr xmlns="http://schemas.microsoft.com/office/spreadsheetml/2009/9/main" objectType="CheckBox" fmlaLink="B33" lockText="1" noThreeD="1"/>
</file>

<file path=xl/ctrlProps/ctrlProp136.xml><?xml version="1.0" encoding="utf-8"?>
<formControlPr xmlns="http://schemas.microsoft.com/office/spreadsheetml/2009/9/main" objectType="CheckBox" fmlaLink="B34" lockText="1" noThreeD="1"/>
</file>

<file path=xl/ctrlProps/ctrlProp137.xml><?xml version="1.0" encoding="utf-8"?>
<formControlPr xmlns="http://schemas.microsoft.com/office/spreadsheetml/2009/9/main" objectType="CheckBox" fmlaLink="G32" lockText="1" noThreeD="1"/>
</file>

<file path=xl/ctrlProps/ctrlProp138.xml><?xml version="1.0" encoding="utf-8"?>
<formControlPr xmlns="http://schemas.microsoft.com/office/spreadsheetml/2009/9/main" objectType="CheckBox" fmlaLink="G33" lockText="1" noThreeD="1"/>
</file>

<file path=xl/ctrlProps/ctrlProp139.xml><?xml version="1.0" encoding="utf-8"?>
<formControlPr xmlns="http://schemas.microsoft.com/office/spreadsheetml/2009/9/main" objectType="CheckBox" fmlaLink="G34" lockText="1" noThreeD="1"/>
</file>

<file path=xl/ctrlProps/ctrlProp140.xml><?xml version="1.0" encoding="utf-8"?>
<formControlPr xmlns="http://schemas.microsoft.com/office/spreadsheetml/2009/9/main" objectType="CheckBox" fmlaLink="L32" lockText="1" noThreeD="1"/>
</file>

<file path=xl/ctrlProps/ctrlProp141.xml><?xml version="1.0" encoding="utf-8"?>
<formControlPr xmlns="http://schemas.microsoft.com/office/spreadsheetml/2009/9/main" objectType="CheckBox" fmlaLink="L33" lockText="1" noThreeD="1"/>
</file>

<file path=xl/ctrlProps/ctrlProp142.xml><?xml version="1.0" encoding="utf-8"?>
<formControlPr xmlns="http://schemas.microsoft.com/office/spreadsheetml/2009/9/main" objectType="CheckBox" fmlaLink="B9" lockText="1" noThreeD="1"/>
</file>

<file path=xl/ctrlProps/ctrlProp143.xml><?xml version="1.0" encoding="utf-8"?>
<formControlPr xmlns="http://schemas.microsoft.com/office/spreadsheetml/2009/9/main" objectType="CheckBox" fmlaLink="G9" lockText="1" noThreeD="1"/>
</file>

<file path=xl/ctrlProps/ctrlProp144.xml><?xml version="1.0" encoding="utf-8"?>
<formControlPr xmlns="http://schemas.microsoft.com/office/spreadsheetml/2009/9/main" objectType="CheckBox" fmlaLink="G12" lockText="1" noThreeD="1"/>
</file>

<file path=xl/ctrlProps/ctrlProp145.xml><?xml version="1.0" encoding="utf-8"?>
<formControlPr xmlns="http://schemas.microsoft.com/office/spreadsheetml/2009/9/main" objectType="CheckBox" fmlaLink="G13" lockText="1" noThreeD="1"/>
</file>

<file path=xl/ctrlProps/ctrlProp146.xml><?xml version="1.0" encoding="utf-8"?>
<formControlPr xmlns="http://schemas.microsoft.com/office/spreadsheetml/2009/9/main" objectType="CheckBox" fmlaLink="G16" lockText="1" noThreeD="1"/>
</file>

<file path=xl/ctrlProps/ctrlProp147.xml><?xml version="1.0" encoding="utf-8"?>
<formControlPr xmlns="http://schemas.microsoft.com/office/spreadsheetml/2009/9/main" objectType="CheckBox" fmlaLink="G17" lockText="1" noThreeD="1"/>
</file>

<file path=xl/ctrlProps/ctrlProp148.xml><?xml version="1.0" encoding="utf-8"?>
<formControlPr xmlns="http://schemas.microsoft.com/office/spreadsheetml/2009/9/main" objectType="CheckBox" fmlaLink="L16" lockText="1" noThreeD="1"/>
</file>

<file path=xl/ctrlProps/ctrlProp149.xml><?xml version="1.0" encoding="utf-8"?>
<formControlPr xmlns="http://schemas.microsoft.com/office/spreadsheetml/2009/9/main" objectType="CheckBox" fmlaLink="L17" lockText="1" noThreeD="1"/>
</file>

<file path=xl/ctrlProps/ctrlProp150.xml><?xml version="1.0" encoding="utf-8"?>
<formControlPr xmlns="http://schemas.microsoft.com/office/spreadsheetml/2009/9/main" objectType="CheckBox" fmlaLink="B16" lockText="1" noThreeD="1"/>
</file>

<file path=xl/ctrlProps/ctrlProp151.xml><?xml version="1.0" encoding="utf-8"?>
<formControlPr xmlns="http://schemas.microsoft.com/office/spreadsheetml/2009/9/main" objectType="CheckBox" fmlaLink="B17" lockText="1" noThreeD="1"/>
</file>

<file path=xl/ctrlProps/ctrlProp152.xml><?xml version="1.0" encoding="utf-8"?>
<formControlPr xmlns="http://schemas.microsoft.com/office/spreadsheetml/2009/9/main" objectType="CheckBox" fmlaLink="B12" lockText="1" noThreeD="1"/>
</file>

<file path=xl/ctrlProps/ctrlProp153.xml><?xml version="1.0" encoding="utf-8"?>
<formControlPr xmlns="http://schemas.microsoft.com/office/spreadsheetml/2009/9/main" objectType="CheckBox" fmlaLink="B13" lockText="1" noThreeD="1"/>
</file>

<file path=xl/ctrlProps/ctrlProp154.xml><?xml version="1.0" encoding="utf-8"?>
<formControlPr xmlns="http://schemas.microsoft.com/office/spreadsheetml/2009/9/main" objectType="CheckBox" fmlaLink="B21" lockText="1" noThreeD="1"/>
</file>

<file path=xl/ctrlProps/ctrlProp155.xml><?xml version="1.0" encoding="utf-8"?>
<formControlPr xmlns="http://schemas.microsoft.com/office/spreadsheetml/2009/9/main" objectType="CheckBox" fmlaLink="B25" lockText="1" noThreeD="1"/>
</file>

<file path=xl/ctrlProps/ctrlProp156.xml><?xml version="1.0" encoding="utf-8"?>
<formControlPr xmlns="http://schemas.microsoft.com/office/spreadsheetml/2009/9/main" objectType="CheckBox" fmlaLink="G25" lockText="1" noThreeD="1"/>
</file>

<file path=xl/ctrlProps/ctrlProp157.xml><?xml version="1.0" encoding="utf-8"?>
<formControlPr xmlns="http://schemas.microsoft.com/office/spreadsheetml/2009/9/main" objectType="CheckBox" fmlaLink="L25" lockText="1" noThreeD="1"/>
</file>

<file path=xl/ctrlProps/ctrlProp158.xml><?xml version="1.0" encoding="utf-8"?>
<formControlPr xmlns="http://schemas.microsoft.com/office/spreadsheetml/2009/9/main" objectType="CheckBox" fmlaLink="G21" lockText="1" noThreeD="1"/>
</file>

<file path=xl/ctrlProps/ctrlProp159.xml><?xml version="1.0" encoding="utf-8"?>
<formControlPr xmlns="http://schemas.microsoft.com/office/spreadsheetml/2009/9/main" objectType="CheckBox" fmlaLink="B29" lockText="1" noThreeD="1"/>
</file>

<file path=xl/ctrlProps/ctrlProp160.xml><?xml version="1.0" encoding="utf-8"?>
<formControlPr xmlns="http://schemas.microsoft.com/office/spreadsheetml/2009/9/main" objectType="CheckBox" fmlaLink="G29" lockText="1" noThreeD="1"/>
</file>

<file path=xl/ctrlProps/ctrlProp161.xml><?xml version="1.0" encoding="utf-8"?>
<formControlPr xmlns="http://schemas.microsoft.com/office/spreadsheetml/2009/9/main" objectType="CheckBox" fmlaLink="L29" lockText="1" noThreeD="1"/>
</file>

<file path=xl/ctrlProps/ctrlProp162.xml><?xml version="1.0" encoding="utf-8"?>
<formControlPr xmlns="http://schemas.microsoft.com/office/spreadsheetml/2009/9/main" objectType="CheckBox" fmlaLink="B38" lockText="1" noThreeD="1"/>
</file>

<file path=xl/ctrlProps/ctrlProp163.xml><?xml version="1.0" encoding="utf-8"?>
<formControlPr xmlns="http://schemas.microsoft.com/office/spreadsheetml/2009/9/main" objectType="CheckBox" fmlaLink="G38" lockText="1" noThreeD="1"/>
</file>

<file path=xl/ctrlProps/ctrlProp164.xml><?xml version="1.0" encoding="utf-8"?>
<formControlPr xmlns="http://schemas.microsoft.com/office/spreadsheetml/2009/9/main" objectType="CheckBox" fmlaLink="L38" lockText="1" noThreeD="1"/>
</file>

<file path=xl/ctrlProps/ctrlProp165.xml><?xml version="1.0" encoding="utf-8"?>
<formControlPr xmlns="http://schemas.microsoft.com/office/spreadsheetml/2009/9/main" objectType="CheckBox" fmlaLink="B44" lockText="1" noThreeD="1"/>
</file>

<file path=xl/ctrlProps/ctrlProp166.xml><?xml version="1.0" encoding="utf-8"?>
<formControlPr xmlns="http://schemas.microsoft.com/office/spreadsheetml/2009/9/main" objectType="CheckBox" fmlaLink="G44" lockText="1" noThreeD="1"/>
</file>

<file path=xl/ctrlProps/ctrlProp167.xml><?xml version="1.0" encoding="utf-8"?>
<formControlPr xmlns="http://schemas.microsoft.com/office/spreadsheetml/2009/9/main" objectType="CheckBox" fmlaLink="B39" lockText="1" noThreeD="1"/>
</file>

<file path=xl/ctrlProps/ctrlProp168.xml><?xml version="1.0" encoding="utf-8"?>
<formControlPr xmlns="http://schemas.microsoft.com/office/spreadsheetml/2009/9/main" objectType="CheckBox" fmlaLink="B18" lockText="1" noThreeD="1"/>
</file>

<file path=xl/ctrlProps/ctrlProp169.xml><?xml version="1.0" encoding="utf-8"?>
<formControlPr xmlns="http://schemas.microsoft.com/office/spreadsheetml/2009/9/main" objectType="CheckBox" fmlaLink="B32" lockText="1" noThreeD="1"/>
</file>

<file path=xl/ctrlProps/ctrlProp170.xml><?xml version="1.0" encoding="utf-8"?>
<formControlPr xmlns="http://schemas.microsoft.com/office/spreadsheetml/2009/9/main" objectType="CheckBox" fmlaLink="B33" lockText="1" noThreeD="1"/>
</file>

<file path=xl/ctrlProps/ctrlProp171.xml><?xml version="1.0" encoding="utf-8"?>
<formControlPr xmlns="http://schemas.microsoft.com/office/spreadsheetml/2009/9/main" objectType="CheckBox" fmlaLink="B34" lockText="1" noThreeD="1"/>
</file>

<file path=xl/ctrlProps/ctrlProp172.xml><?xml version="1.0" encoding="utf-8"?>
<formControlPr xmlns="http://schemas.microsoft.com/office/spreadsheetml/2009/9/main" objectType="CheckBox" fmlaLink="G32" lockText="1" noThreeD="1"/>
</file>

<file path=xl/ctrlProps/ctrlProp173.xml><?xml version="1.0" encoding="utf-8"?>
<formControlPr xmlns="http://schemas.microsoft.com/office/spreadsheetml/2009/9/main" objectType="CheckBox" fmlaLink="G33" lockText="1" noThreeD="1"/>
</file>

<file path=xl/ctrlProps/ctrlProp174.xml><?xml version="1.0" encoding="utf-8"?>
<formControlPr xmlns="http://schemas.microsoft.com/office/spreadsheetml/2009/9/main" objectType="CheckBox" fmlaLink="G34" lockText="1" noThreeD="1"/>
</file>

<file path=xl/ctrlProps/ctrlProp175.xml><?xml version="1.0" encoding="utf-8"?>
<formControlPr xmlns="http://schemas.microsoft.com/office/spreadsheetml/2009/9/main" objectType="CheckBox" fmlaLink="L32" lockText="1" noThreeD="1"/>
</file>

<file path=xl/ctrlProps/ctrlProp176.xml><?xml version="1.0" encoding="utf-8"?>
<formControlPr xmlns="http://schemas.microsoft.com/office/spreadsheetml/2009/9/main" objectType="CheckBox" fmlaLink="L33" lockText="1" noThreeD="1"/>
</file>

<file path=xl/ctrlProps/ctrlProp177.xml><?xml version="1.0" encoding="utf-8"?>
<formControlPr xmlns="http://schemas.microsoft.com/office/spreadsheetml/2009/9/main" objectType="CheckBox" fmlaLink="B9" lockText="1" noThreeD="1"/>
</file>

<file path=xl/ctrlProps/ctrlProp178.xml><?xml version="1.0" encoding="utf-8"?>
<formControlPr xmlns="http://schemas.microsoft.com/office/spreadsheetml/2009/9/main" objectType="CheckBox" fmlaLink="G9" lockText="1" noThreeD="1"/>
</file>

<file path=xl/ctrlProps/ctrlProp179.xml><?xml version="1.0" encoding="utf-8"?>
<formControlPr xmlns="http://schemas.microsoft.com/office/spreadsheetml/2009/9/main" objectType="CheckBox" fmlaLink="G12" lockText="1" noThreeD="1"/>
</file>

<file path=xl/ctrlProps/ctrlProp180.xml><?xml version="1.0" encoding="utf-8"?>
<formControlPr xmlns="http://schemas.microsoft.com/office/spreadsheetml/2009/9/main" objectType="CheckBox" fmlaLink="G13" lockText="1" noThreeD="1"/>
</file>

<file path=xl/ctrlProps/ctrlProp181.xml><?xml version="1.0" encoding="utf-8"?>
<formControlPr xmlns="http://schemas.microsoft.com/office/spreadsheetml/2009/9/main" objectType="CheckBox" fmlaLink="G16" lockText="1" noThreeD="1"/>
</file>

<file path=xl/ctrlProps/ctrlProp182.xml><?xml version="1.0" encoding="utf-8"?>
<formControlPr xmlns="http://schemas.microsoft.com/office/spreadsheetml/2009/9/main" objectType="CheckBox" fmlaLink="G17" lockText="1" noThreeD="1"/>
</file>

<file path=xl/ctrlProps/ctrlProp183.xml><?xml version="1.0" encoding="utf-8"?>
<formControlPr xmlns="http://schemas.microsoft.com/office/spreadsheetml/2009/9/main" objectType="CheckBox" fmlaLink="L16" lockText="1" noThreeD="1"/>
</file>

<file path=xl/ctrlProps/ctrlProp184.xml><?xml version="1.0" encoding="utf-8"?>
<formControlPr xmlns="http://schemas.microsoft.com/office/spreadsheetml/2009/9/main" objectType="CheckBox" fmlaLink="L17" lockText="1" noThreeD="1"/>
</file>

<file path=xl/ctrlProps/ctrlProp185.xml><?xml version="1.0" encoding="utf-8"?>
<formControlPr xmlns="http://schemas.microsoft.com/office/spreadsheetml/2009/9/main" objectType="CheckBox" fmlaLink="B16" lockText="1" noThreeD="1"/>
</file>

<file path=xl/ctrlProps/ctrlProp186.xml><?xml version="1.0" encoding="utf-8"?>
<formControlPr xmlns="http://schemas.microsoft.com/office/spreadsheetml/2009/9/main" objectType="CheckBox" fmlaLink="B17" lockText="1" noThreeD="1"/>
</file>

<file path=xl/ctrlProps/ctrlProp187.xml><?xml version="1.0" encoding="utf-8"?>
<formControlPr xmlns="http://schemas.microsoft.com/office/spreadsheetml/2009/9/main" objectType="CheckBox" fmlaLink="B12" lockText="1" noThreeD="1"/>
</file>

<file path=xl/ctrlProps/ctrlProp188.xml><?xml version="1.0" encoding="utf-8"?>
<formControlPr xmlns="http://schemas.microsoft.com/office/spreadsheetml/2009/9/main" objectType="CheckBox" fmlaLink="B13" lockText="1" noThreeD="1"/>
</file>

<file path=xl/ctrlProps/ctrlProp189.xml><?xml version="1.0" encoding="utf-8"?>
<formControlPr xmlns="http://schemas.microsoft.com/office/spreadsheetml/2009/9/main" objectType="CheckBox" fmlaLink="B21" lockText="1" noThreeD="1"/>
</file>

<file path=xl/ctrlProps/ctrlProp190.xml><?xml version="1.0" encoding="utf-8"?>
<formControlPr xmlns="http://schemas.microsoft.com/office/spreadsheetml/2009/9/main" objectType="CheckBox" fmlaLink="B25" lockText="1" noThreeD="1"/>
</file>

<file path=xl/ctrlProps/ctrlProp191.xml><?xml version="1.0" encoding="utf-8"?>
<formControlPr xmlns="http://schemas.microsoft.com/office/spreadsheetml/2009/9/main" objectType="CheckBox" fmlaLink="G25" lockText="1" noThreeD="1"/>
</file>

<file path=xl/ctrlProps/ctrlProp192.xml><?xml version="1.0" encoding="utf-8"?>
<formControlPr xmlns="http://schemas.microsoft.com/office/spreadsheetml/2009/9/main" objectType="CheckBox" fmlaLink="L25" lockText="1" noThreeD="1"/>
</file>

<file path=xl/ctrlProps/ctrlProp193.xml><?xml version="1.0" encoding="utf-8"?>
<formControlPr xmlns="http://schemas.microsoft.com/office/spreadsheetml/2009/9/main" objectType="CheckBox" fmlaLink="G21" lockText="1" noThreeD="1"/>
</file>

<file path=xl/ctrlProps/ctrlProp194.xml><?xml version="1.0" encoding="utf-8"?>
<formControlPr xmlns="http://schemas.microsoft.com/office/spreadsheetml/2009/9/main" objectType="CheckBox" fmlaLink="B29" lockText="1" noThreeD="1"/>
</file>

<file path=xl/ctrlProps/ctrlProp195.xml><?xml version="1.0" encoding="utf-8"?>
<formControlPr xmlns="http://schemas.microsoft.com/office/spreadsheetml/2009/9/main" objectType="CheckBox" fmlaLink="G29" lockText="1" noThreeD="1"/>
</file>

<file path=xl/ctrlProps/ctrlProp196.xml><?xml version="1.0" encoding="utf-8"?>
<formControlPr xmlns="http://schemas.microsoft.com/office/spreadsheetml/2009/9/main" objectType="CheckBox" fmlaLink="L29" lockText="1" noThreeD="1"/>
</file>

<file path=xl/ctrlProps/ctrlProp197.xml><?xml version="1.0" encoding="utf-8"?>
<formControlPr xmlns="http://schemas.microsoft.com/office/spreadsheetml/2009/9/main" objectType="CheckBox" fmlaLink="B38" lockText="1" noThreeD="1"/>
</file>

<file path=xl/ctrlProps/ctrlProp198.xml><?xml version="1.0" encoding="utf-8"?>
<formControlPr xmlns="http://schemas.microsoft.com/office/spreadsheetml/2009/9/main" objectType="CheckBox" fmlaLink="G38" lockText="1" noThreeD="1"/>
</file>

<file path=xl/ctrlProps/ctrlProp199.xml><?xml version="1.0" encoding="utf-8"?>
<formControlPr xmlns="http://schemas.microsoft.com/office/spreadsheetml/2009/9/main" objectType="CheckBox" fmlaLink="L38" lockText="1" noThreeD="1"/>
</file>

<file path=xl/ctrlProps/ctrlProp200.xml><?xml version="1.0" encoding="utf-8"?>
<formControlPr xmlns="http://schemas.microsoft.com/office/spreadsheetml/2009/9/main" objectType="CheckBox" fmlaLink="B44" lockText="1" noThreeD="1"/>
</file>

<file path=xl/ctrlProps/ctrlProp201.xml><?xml version="1.0" encoding="utf-8"?>
<formControlPr xmlns="http://schemas.microsoft.com/office/spreadsheetml/2009/9/main" objectType="CheckBox" fmlaLink="G44" lockText="1" noThreeD="1"/>
</file>

<file path=xl/ctrlProps/ctrlProp202.xml><?xml version="1.0" encoding="utf-8"?>
<formControlPr xmlns="http://schemas.microsoft.com/office/spreadsheetml/2009/9/main" objectType="CheckBox" fmlaLink="B39" lockText="1" noThreeD="1"/>
</file>

<file path=xl/ctrlProps/ctrlProp203.xml><?xml version="1.0" encoding="utf-8"?>
<formControlPr xmlns="http://schemas.microsoft.com/office/spreadsheetml/2009/9/main" objectType="CheckBox" fmlaLink="B18" lockText="1" noThreeD="1"/>
</file>

<file path=xl/ctrlProps/ctrlProp204.xml><?xml version="1.0" encoding="utf-8"?>
<formControlPr xmlns="http://schemas.microsoft.com/office/spreadsheetml/2009/9/main" objectType="CheckBox" fmlaLink="B32" lockText="1" noThreeD="1"/>
</file>

<file path=xl/ctrlProps/ctrlProp205.xml><?xml version="1.0" encoding="utf-8"?>
<formControlPr xmlns="http://schemas.microsoft.com/office/spreadsheetml/2009/9/main" objectType="CheckBox" fmlaLink="B33" lockText="1" noThreeD="1"/>
</file>

<file path=xl/ctrlProps/ctrlProp206.xml><?xml version="1.0" encoding="utf-8"?>
<formControlPr xmlns="http://schemas.microsoft.com/office/spreadsheetml/2009/9/main" objectType="CheckBox" fmlaLink="B34" lockText="1" noThreeD="1"/>
</file>

<file path=xl/ctrlProps/ctrlProp207.xml><?xml version="1.0" encoding="utf-8"?>
<formControlPr xmlns="http://schemas.microsoft.com/office/spreadsheetml/2009/9/main" objectType="CheckBox" fmlaLink="G32" lockText="1" noThreeD="1"/>
</file>

<file path=xl/ctrlProps/ctrlProp208.xml><?xml version="1.0" encoding="utf-8"?>
<formControlPr xmlns="http://schemas.microsoft.com/office/spreadsheetml/2009/9/main" objectType="CheckBox" fmlaLink="G33" lockText="1" noThreeD="1"/>
</file>

<file path=xl/ctrlProps/ctrlProp209.xml><?xml version="1.0" encoding="utf-8"?>
<formControlPr xmlns="http://schemas.microsoft.com/office/spreadsheetml/2009/9/main" objectType="CheckBox" fmlaLink="G34" lockText="1" noThreeD="1"/>
</file>

<file path=xl/ctrlProps/ctrlProp210.xml><?xml version="1.0" encoding="utf-8"?>
<formControlPr xmlns="http://schemas.microsoft.com/office/spreadsheetml/2009/9/main" objectType="CheckBox" fmlaLink="L32" lockText="1" noThreeD="1"/>
</file>

<file path=xl/ctrlProps/ctrlProp211.xml><?xml version="1.0" encoding="utf-8"?>
<formControlPr xmlns="http://schemas.microsoft.com/office/spreadsheetml/2009/9/main" objectType="CheckBox" fmlaLink="L33" lockText="1" noThreeD="1"/>
</file>

<file path=xl/ctrlProps/ctrlProp212.xml><?xml version="1.0" encoding="utf-8"?>
<formControlPr xmlns="http://schemas.microsoft.com/office/spreadsheetml/2009/9/main" objectType="CheckBox" fmlaLink="B9" lockText="1" noThreeD="1"/>
</file>

<file path=xl/ctrlProps/ctrlProp213.xml><?xml version="1.0" encoding="utf-8"?>
<formControlPr xmlns="http://schemas.microsoft.com/office/spreadsheetml/2009/9/main" objectType="CheckBox" fmlaLink="G9" lockText="1" noThreeD="1"/>
</file>

<file path=xl/ctrlProps/ctrlProp214.xml><?xml version="1.0" encoding="utf-8"?>
<formControlPr xmlns="http://schemas.microsoft.com/office/spreadsheetml/2009/9/main" objectType="CheckBox" fmlaLink="G12" lockText="1" noThreeD="1"/>
</file>

<file path=xl/ctrlProps/ctrlProp215.xml><?xml version="1.0" encoding="utf-8"?>
<formControlPr xmlns="http://schemas.microsoft.com/office/spreadsheetml/2009/9/main" objectType="CheckBox" fmlaLink="G13" lockText="1" noThreeD="1"/>
</file>

<file path=xl/ctrlProps/ctrlProp216.xml><?xml version="1.0" encoding="utf-8"?>
<formControlPr xmlns="http://schemas.microsoft.com/office/spreadsheetml/2009/9/main" objectType="CheckBox" fmlaLink="G16" lockText="1" noThreeD="1"/>
</file>

<file path=xl/ctrlProps/ctrlProp217.xml><?xml version="1.0" encoding="utf-8"?>
<formControlPr xmlns="http://schemas.microsoft.com/office/spreadsheetml/2009/9/main" objectType="CheckBox" fmlaLink="G17" lockText="1" noThreeD="1"/>
</file>

<file path=xl/ctrlProps/ctrlProp218.xml><?xml version="1.0" encoding="utf-8"?>
<formControlPr xmlns="http://schemas.microsoft.com/office/spreadsheetml/2009/9/main" objectType="CheckBox" fmlaLink="L16" lockText="1" noThreeD="1"/>
</file>

<file path=xl/ctrlProps/ctrlProp219.xml><?xml version="1.0" encoding="utf-8"?>
<formControlPr xmlns="http://schemas.microsoft.com/office/spreadsheetml/2009/9/main" objectType="CheckBox" fmlaLink="L17" lockText="1" noThreeD="1"/>
</file>

<file path=xl/ctrlProps/ctrlProp220.xml><?xml version="1.0" encoding="utf-8"?>
<formControlPr xmlns="http://schemas.microsoft.com/office/spreadsheetml/2009/9/main" objectType="CheckBox" fmlaLink="B16" lockText="1" noThreeD="1"/>
</file>

<file path=xl/ctrlProps/ctrlProp221.xml><?xml version="1.0" encoding="utf-8"?>
<formControlPr xmlns="http://schemas.microsoft.com/office/spreadsheetml/2009/9/main" objectType="CheckBox" fmlaLink="B17" lockText="1" noThreeD="1"/>
</file>

<file path=xl/ctrlProps/ctrlProp222.xml><?xml version="1.0" encoding="utf-8"?>
<formControlPr xmlns="http://schemas.microsoft.com/office/spreadsheetml/2009/9/main" objectType="CheckBox" fmlaLink="B12" lockText="1" noThreeD="1"/>
</file>

<file path=xl/ctrlProps/ctrlProp223.xml><?xml version="1.0" encoding="utf-8"?>
<formControlPr xmlns="http://schemas.microsoft.com/office/spreadsheetml/2009/9/main" objectType="CheckBox" fmlaLink="B13" lockText="1" noThreeD="1"/>
</file>

<file path=xl/ctrlProps/ctrlProp224.xml><?xml version="1.0" encoding="utf-8"?>
<formControlPr xmlns="http://schemas.microsoft.com/office/spreadsheetml/2009/9/main" objectType="CheckBox" fmlaLink="B21" lockText="1" noThreeD="1"/>
</file>

<file path=xl/ctrlProps/ctrlProp225.xml><?xml version="1.0" encoding="utf-8"?>
<formControlPr xmlns="http://schemas.microsoft.com/office/spreadsheetml/2009/9/main" objectType="CheckBox" fmlaLink="B25" lockText="1" noThreeD="1"/>
</file>

<file path=xl/ctrlProps/ctrlProp226.xml><?xml version="1.0" encoding="utf-8"?>
<formControlPr xmlns="http://schemas.microsoft.com/office/spreadsheetml/2009/9/main" objectType="CheckBox" fmlaLink="G25" lockText="1" noThreeD="1"/>
</file>

<file path=xl/ctrlProps/ctrlProp227.xml><?xml version="1.0" encoding="utf-8"?>
<formControlPr xmlns="http://schemas.microsoft.com/office/spreadsheetml/2009/9/main" objectType="CheckBox" fmlaLink="L25" lockText="1" noThreeD="1"/>
</file>

<file path=xl/ctrlProps/ctrlProp228.xml><?xml version="1.0" encoding="utf-8"?>
<formControlPr xmlns="http://schemas.microsoft.com/office/spreadsheetml/2009/9/main" objectType="CheckBox" fmlaLink="G21" lockText="1" noThreeD="1"/>
</file>

<file path=xl/ctrlProps/ctrlProp229.xml><?xml version="1.0" encoding="utf-8"?>
<formControlPr xmlns="http://schemas.microsoft.com/office/spreadsheetml/2009/9/main" objectType="CheckBox" fmlaLink="B29" lockText="1" noThreeD="1"/>
</file>

<file path=xl/ctrlProps/ctrlProp230.xml><?xml version="1.0" encoding="utf-8"?>
<formControlPr xmlns="http://schemas.microsoft.com/office/spreadsheetml/2009/9/main" objectType="CheckBox" fmlaLink="G29" lockText="1" noThreeD="1"/>
</file>

<file path=xl/ctrlProps/ctrlProp231.xml><?xml version="1.0" encoding="utf-8"?>
<formControlPr xmlns="http://schemas.microsoft.com/office/spreadsheetml/2009/9/main" objectType="CheckBox" fmlaLink="L29" lockText="1" noThreeD="1"/>
</file>

<file path=xl/ctrlProps/ctrlProp232.xml><?xml version="1.0" encoding="utf-8"?>
<formControlPr xmlns="http://schemas.microsoft.com/office/spreadsheetml/2009/9/main" objectType="CheckBox" fmlaLink="B38" lockText="1" noThreeD="1"/>
</file>

<file path=xl/ctrlProps/ctrlProp233.xml><?xml version="1.0" encoding="utf-8"?>
<formControlPr xmlns="http://schemas.microsoft.com/office/spreadsheetml/2009/9/main" objectType="CheckBox" fmlaLink="G38" lockText="1" noThreeD="1"/>
</file>

<file path=xl/ctrlProps/ctrlProp234.xml><?xml version="1.0" encoding="utf-8"?>
<formControlPr xmlns="http://schemas.microsoft.com/office/spreadsheetml/2009/9/main" objectType="CheckBox" fmlaLink="L38" lockText="1" noThreeD="1"/>
</file>

<file path=xl/ctrlProps/ctrlProp235.xml><?xml version="1.0" encoding="utf-8"?>
<formControlPr xmlns="http://schemas.microsoft.com/office/spreadsheetml/2009/9/main" objectType="CheckBox" fmlaLink="B44" lockText="1" noThreeD="1"/>
</file>

<file path=xl/ctrlProps/ctrlProp236.xml><?xml version="1.0" encoding="utf-8"?>
<formControlPr xmlns="http://schemas.microsoft.com/office/spreadsheetml/2009/9/main" objectType="CheckBox" fmlaLink="G44" lockText="1" noThreeD="1"/>
</file>

<file path=xl/ctrlProps/ctrlProp237.xml><?xml version="1.0" encoding="utf-8"?>
<formControlPr xmlns="http://schemas.microsoft.com/office/spreadsheetml/2009/9/main" objectType="CheckBox" fmlaLink="B39" lockText="1" noThreeD="1"/>
</file>

<file path=xl/ctrlProps/ctrlProp238.xml><?xml version="1.0" encoding="utf-8"?>
<formControlPr xmlns="http://schemas.microsoft.com/office/spreadsheetml/2009/9/main" objectType="CheckBox" fmlaLink="B18" lockText="1" noThreeD="1"/>
</file>

<file path=xl/ctrlProps/ctrlProp239.xml><?xml version="1.0" encoding="utf-8"?>
<formControlPr xmlns="http://schemas.microsoft.com/office/spreadsheetml/2009/9/main" objectType="CheckBox" fmlaLink="B32" lockText="1" noThreeD="1"/>
</file>

<file path=xl/ctrlProps/ctrlProp240.xml><?xml version="1.0" encoding="utf-8"?>
<formControlPr xmlns="http://schemas.microsoft.com/office/spreadsheetml/2009/9/main" objectType="CheckBox" fmlaLink="B33" lockText="1" noThreeD="1"/>
</file>

<file path=xl/ctrlProps/ctrlProp241.xml><?xml version="1.0" encoding="utf-8"?>
<formControlPr xmlns="http://schemas.microsoft.com/office/spreadsheetml/2009/9/main" objectType="CheckBox" fmlaLink="B34" lockText="1" noThreeD="1"/>
</file>

<file path=xl/ctrlProps/ctrlProp242.xml><?xml version="1.0" encoding="utf-8"?>
<formControlPr xmlns="http://schemas.microsoft.com/office/spreadsheetml/2009/9/main" objectType="CheckBox" fmlaLink="G32" lockText="1" noThreeD="1"/>
</file>

<file path=xl/ctrlProps/ctrlProp243.xml><?xml version="1.0" encoding="utf-8"?>
<formControlPr xmlns="http://schemas.microsoft.com/office/spreadsheetml/2009/9/main" objectType="CheckBox" fmlaLink="G33" lockText="1" noThreeD="1"/>
</file>

<file path=xl/ctrlProps/ctrlProp244.xml><?xml version="1.0" encoding="utf-8"?>
<formControlPr xmlns="http://schemas.microsoft.com/office/spreadsheetml/2009/9/main" objectType="CheckBox" fmlaLink="G34" lockText="1" noThreeD="1"/>
</file>

<file path=xl/ctrlProps/ctrlProp245.xml><?xml version="1.0" encoding="utf-8"?>
<formControlPr xmlns="http://schemas.microsoft.com/office/spreadsheetml/2009/9/main" objectType="CheckBox" fmlaLink="L32" lockText="1" noThreeD="1"/>
</file>

<file path=xl/ctrlProps/ctrlProp246.xml><?xml version="1.0" encoding="utf-8"?>
<formControlPr xmlns="http://schemas.microsoft.com/office/spreadsheetml/2009/9/main" objectType="CheckBox" fmlaLink="L33" lockText="1" noThreeD="1"/>
</file>

<file path=xl/ctrlProps/ctrlProp247.xml><?xml version="1.0" encoding="utf-8"?>
<formControlPr xmlns="http://schemas.microsoft.com/office/spreadsheetml/2009/9/main" objectType="CheckBox" fmlaLink="B9" lockText="1" noThreeD="1"/>
</file>

<file path=xl/ctrlProps/ctrlProp248.xml><?xml version="1.0" encoding="utf-8"?>
<formControlPr xmlns="http://schemas.microsoft.com/office/spreadsheetml/2009/9/main" objectType="CheckBox" fmlaLink="G9" lockText="1" noThreeD="1"/>
</file>

<file path=xl/ctrlProps/ctrlProp249.xml><?xml version="1.0" encoding="utf-8"?>
<formControlPr xmlns="http://schemas.microsoft.com/office/spreadsheetml/2009/9/main" objectType="CheckBox" fmlaLink="G12" lockText="1" noThreeD="1"/>
</file>

<file path=xl/ctrlProps/ctrlProp250.xml><?xml version="1.0" encoding="utf-8"?>
<formControlPr xmlns="http://schemas.microsoft.com/office/spreadsheetml/2009/9/main" objectType="CheckBox" fmlaLink="G13" lockText="1" noThreeD="1"/>
</file>

<file path=xl/ctrlProps/ctrlProp251.xml><?xml version="1.0" encoding="utf-8"?>
<formControlPr xmlns="http://schemas.microsoft.com/office/spreadsheetml/2009/9/main" objectType="CheckBox" fmlaLink="G16" lockText="1" noThreeD="1"/>
</file>

<file path=xl/ctrlProps/ctrlProp252.xml><?xml version="1.0" encoding="utf-8"?>
<formControlPr xmlns="http://schemas.microsoft.com/office/spreadsheetml/2009/9/main" objectType="CheckBox" fmlaLink="G17" lockText="1" noThreeD="1"/>
</file>

<file path=xl/ctrlProps/ctrlProp253.xml><?xml version="1.0" encoding="utf-8"?>
<formControlPr xmlns="http://schemas.microsoft.com/office/spreadsheetml/2009/9/main" objectType="CheckBox" fmlaLink="L16" lockText="1" noThreeD="1"/>
</file>

<file path=xl/ctrlProps/ctrlProp254.xml><?xml version="1.0" encoding="utf-8"?>
<formControlPr xmlns="http://schemas.microsoft.com/office/spreadsheetml/2009/9/main" objectType="CheckBox" fmlaLink="L17" lockText="1" noThreeD="1"/>
</file>

<file path=xl/ctrlProps/ctrlProp255.xml><?xml version="1.0" encoding="utf-8"?>
<formControlPr xmlns="http://schemas.microsoft.com/office/spreadsheetml/2009/9/main" objectType="CheckBox" fmlaLink="B16" lockText="1" noThreeD="1"/>
</file>

<file path=xl/ctrlProps/ctrlProp256.xml><?xml version="1.0" encoding="utf-8"?>
<formControlPr xmlns="http://schemas.microsoft.com/office/spreadsheetml/2009/9/main" objectType="CheckBox" fmlaLink="B17" lockText="1" noThreeD="1"/>
</file>

<file path=xl/ctrlProps/ctrlProp257.xml><?xml version="1.0" encoding="utf-8"?>
<formControlPr xmlns="http://schemas.microsoft.com/office/spreadsheetml/2009/9/main" objectType="CheckBox" fmlaLink="B12" lockText="1" noThreeD="1"/>
</file>

<file path=xl/ctrlProps/ctrlProp258.xml><?xml version="1.0" encoding="utf-8"?>
<formControlPr xmlns="http://schemas.microsoft.com/office/spreadsheetml/2009/9/main" objectType="CheckBox" fmlaLink="B13" lockText="1" noThreeD="1"/>
</file>

<file path=xl/ctrlProps/ctrlProp259.xml><?xml version="1.0" encoding="utf-8"?>
<formControlPr xmlns="http://schemas.microsoft.com/office/spreadsheetml/2009/9/main" objectType="CheckBox" fmlaLink="B21" lockText="1" noThreeD="1"/>
</file>

<file path=xl/ctrlProps/ctrlProp260.xml><?xml version="1.0" encoding="utf-8"?>
<formControlPr xmlns="http://schemas.microsoft.com/office/spreadsheetml/2009/9/main" objectType="CheckBox" fmlaLink="B25" lockText="1" noThreeD="1"/>
</file>

<file path=xl/ctrlProps/ctrlProp261.xml><?xml version="1.0" encoding="utf-8"?>
<formControlPr xmlns="http://schemas.microsoft.com/office/spreadsheetml/2009/9/main" objectType="CheckBox" fmlaLink="G25" lockText="1" noThreeD="1"/>
</file>

<file path=xl/ctrlProps/ctrlProp262.xml><?xml version="1.0" encoding="utf-8"?>
<formControlPr xmlns="http://schemas.microsoft.com/office/spreadsheetml/2009/9/main" objectType="CheckBox" fmlaLink="L25" lockText="1" noThreeD="1"/>
</file>

<file path=xl/ctrlProps/ctrlProp263.xml><?xml version="1.0" encoding="utf-8"?>
<formControlPr xmlns="http://schemas.microsoft.com/office/spreadsheetml/2009/9/main" objectType="CheckBox" fmlaLink="G21" lockText="1" noThreeD="1"/>
</file>

<file path=xl/ctrlProps/ctrlProp264.xml><?xml version="1.0" encoding="utf-8"?>
<formControlPr xmlns="http://schemas.microsoft.com/office/spreadsheetml/2009/9/main" objectType="CheckBox" fmlaLink="B29" lockText="1" noThreeD="1"/>
</file>

<file path=xl/ctrlProps/ctrlProp265.xml><?xml version="1.0" encoding="utf-8"?>
<formControlPr xmlns="http://schemas.microsoft.com/office/spreadsheetml/2009/9/main" objectType="CheckBox" fmlaLink="G29" lockText="1" noThreeD="1"/>
</file>

<file path=xl/ctrlProps/ctrlProp266.xml><?xml version="1.0" encoding="utf-8"?>
<formControlPr xmlns="http://schemas.microsoft.com/office/spreadsheetml/2009/9/main" objectType="CheckBox" fmlaLink="L29" lockText="1" noThreeD="1"/>
</file>

<file path=xl/ctrlProps/ctrlProp267.xml><?xml version="1.0" encoding="utf-8"?>
<formControlPr xmlns="http://schemas.microsoft.com/office/spreadsheetml/2009/9/main" objectType="CheckBox" fmlaLink="B38" lockText="1" noThreeD="1"/>
</file>

<file path=xl/ctrlProps/ctrlProp268.xml><?xml version="1.0" encoding="utf-8"?>
<formControlPr xmlns="http://schemas.microsoft.com/office/spreadsheetml/2009/9/main" objectType="CheckBox" fmlaLink="G38" lockText="1" noThreeD="1"/>
</file>

<file path=xl/ctrlProps/ctrlProp269.xml><?xml version="1.0" encoding="utf-8"?>
<formControlPr xmlns="http://schemas.microsoft.com/office/spreadsheetml/2009/9/main" objectType="CheckBox" fmlaLink="L38" lockText="1" noThreeD="1"/>
</file>

<file path=xl/ctrlProps/ctrlProp270.xml><?xml version="1.0" encoding="utf-8"?>
<formControlPr xmlns="http://schemas.microsoft.com/office/spreadsheetml/2009/9/main" objectType="CheckBox" fmlaLink="B44" lockText="1" noThreeD="1"/>
</file>

<file path=xl/ctrlProps/ctrlProp271.xml><?xml version="1.0" encoding="utf-8"?>
<formControlPr xmlns="http://schemas.microsoft.com/office/spreadsheetml/2009/9/main" objectType="CheckBox" fmlaLink="G44" lockText="1" noThreeD="1"/>
</file>

<file path=xl/ctrlProps/ctrlProp272.xml><?xml version="1.0" encoding="utf-8"?>
<formControlPr xmlns="http://schemas.microsoft.com/office/spreadsheetml/2009/9/main" objectType="CheckBox" fmlaLink="B39" lockText="1" noThreeD="1"/>
</file>

<file path=xl/ctrlProps/ctrlProp273.xml><?xml version="1.0" encoding="utf-8"?>
<formControlPr xmlns="http://schemas.microsoft.com/office/spreadsheetml/2009/9/main" objectType="CheckBox" fmlaLink="B18" lockText="1" noThreeD="1"/>
</file>

<file path=xl/ctrlProps/ctrlProp274.xml><?xml version="1.0" encoding="utf-8"?>
<formControlPr xmlns="http://schemas.microsoft.com/office/spreadsheetml/2009/9/main" objectType="CheckBox" fmlaLink="B32" lockText="1" noThreeD="1"/>
</file>

<file path=xl/ctrlProps/ctrlProp275.xml><?xml version="1.0" encoding="utf-8"?>
<formControlPr xmlns="http://schemas.microsoft.com/office/spreadsheetml/2009/9/main" objectType="CheckBox" fmlaLink="B33" lockText="1" noThreeD="1"/>
</file>

<file path=xl/ctrlProps/ctrlProp276.xml><?xml version="1.0" encoding="utf-8"?>
<formControlPr xmlns="http://schemas.microsoft.com/office/spreadsheetml/2009/9/main" objectType="CheckBox" fmlaLink="B34" lockText="1" noThreeD="1"/>
</file>

<file path=xl/ctrlProps/ctrlProp277.xml><?xml version="1.0" encoding="utf-8"?>
<formControlPr xmlns="http://schemas.microsoft.com/office/spreadsheetml/2009/9/main" objectType="CheckBox" fmlaLink="G32" lockText="1" noThreeD="1"/>
</file>

<file path=xl/ctrlProps/ctrlProp278.xml><?xml version="1.0" encoding="utf-8"?>
<formControlPr xmlns="http://schemas.microsoft.com/office/spreadsheetml/2009/9/main" objectType="CheckBox" fmlaLink="G33" lockText="1" noThreeD="1"/>
</file>

<file path=xl/ctrlProps/ctrlProp279.xml><?xml version="1.0" encoding="utf-8"?>
<formControlPr xmlns="http://schemas.microsoft.com/office/spreadsheetml/2009/9/main" objectType="CheckBox" fmlaLink="G34" lockText="1" noThreeD="1"/>
</file>

<file path=xl/ctrlProps/ctrlProp280.xml><?xml version="1.0" encoding="utf-8"?>
<formControlPr xmlns="http://schemas.microsoft.com/office/spreadsheetml/2009/9/main" objectType="CheckBox" fmlaLink="L32" lockText="1" noThreeD="1"/>
</file>

<file path=xl/ctrlProps/ctrlProp281.xml><?xml version="1.0" encoding="utf-8"?>
<formControlPr xmlns="http://schemas.microsoft.com/office/spreadsheetml/2009/9/main" objectType="CheckBox" fmlaLink="L33" lockText="1" noThreeD="1"/>
</file>

<file path=xl/ctrlProps/ctrlProp282.xml><?xml version="1.0" encoding="utf-8"?>
<formControlPr xmlns="http://schemas.microsoft.com/office/spreadsheetml/2009/9/main" objectType="CheckBox" fmlaLink="B9" lockText="1" noThreeD="1"/>
</file>

<file path=xl/ctrlProps/ctrlProp283.xml><?xml version="1.0" encoding="utf-8"?>
<formControlPr xmlns="http://schemas.microsoft.com/office/spreadsheetml/2009/9/main" objectType="CheckBox" fmlaLink="G9" lockText="1" noThreeD="1"/>
</file>

<file path=xl/ctrlProps/ctrlProp284.xml><?xml version="1.0" encoding="utf-8"?>
<formControlPr xmlns="http://schemas.microsoft.com/office/spreadsheetml/2009/9/main" objectType="CheckBox" fmlaLink="G12" lockText="1" noThreeD="1"/>
</file>

<file path=xl/ctrlProps/ctrlProp285.xml><?xml version="1.0" encoding="utf-8"?>
<formControlPr xmlns="http://schemas.microsoft.com/office/spreadsheetml/2009/9/main" objectType="CheckBox" fmlaLink="G13" lockText="1" noThreeD="1"/>
</file>

<file path=xl/ctrlProps/ctrlProp286.xml><?xml version="1.0" encoding="utf-8"?>
<formControlPr xmlns="http://schemas.microsoft.com/office/spreadsheetml/2009/9/main" objectType="CheckBox" fmlaLink="G16" lockText="1" noThreeD="1"/>
</file>

<file path=xl/ctrlProps/ctrlProp287.xml><?xml version="1.0" encoding="utf-8"?>
<formControlPr xmlns="http://schemas.microsoft.com/office/spreadsheetml/2009/9/main" objectType="CheckBox" fmlaLink="G17" lockText="1" noThreeD="1"/>
</file>

<file path=xl/ctrlProps/ctrlProp288.xml><?xml version="1.0" encoding="utf-8"?>
<formControlPr xmlns="http://schemas.microsoft.com/office/spreadsheetml/2009/9/main" objectType="CheckBox" fmlaLink="L16" lockText="1" noThreeD="1"/>
</file>

<file path=xl/ctrlProps/ctrlProp289.xml><?xml version="1.0" encoding="utf-8"?>
<formControlPr xmlns="http://schemas.microsoft.com/office/spreadsheetml/2009/9/main" objectType="CheckBox" fmlaLink="L17" lockText="1" noThreeD="1"/>
</file>

<file path=xl/ctrlProps/ctrlProp290.xml><?xml version="1.0" encoding="utf-8"?>
<formControlPr xmlns="http://schemas.microsoft.com/office/spreadsheetml/2009/9/main" objectType="CheckBox" fmlaLink="B16" lockText="1" noThreeD="1"/>
</file>

<file path=xl/ctrlProps/ctrlProp291.xml><?xml version="1.0" encoding="utf-8"?>
<formControlPr xmlns="http://schemas.microsoft.com/office/spreadsheetml/2009/9/main" objectType="CheckBox" fmlaLink="B17" lockText="1" noThreeD="1"/>
</file>

<file path=xl/ctrlProps/ctrlProp292.xml><?xml version="1.0" encoding="utf-8"?>
<formControlPr xmlns="http://schemas.microsoft.com/office/spreadsheetml/2009/9/main" objectType="CheckBox" fmlaLink="B12" lockText="1" noThreeD="1"/>
</file>

<file path=xl/ctrlProps/ctrlProp293.xml><?xml version="1.0" encoding="utf-8"?>
<formControlPr xmlns="http://schemas.microsoft.com/office/spreadsheetml/2009/9/main" objectType="CheckBox" fmlaLink="B13" lockText="1" noThreeD="1"/>
</file>

<file path=xl/ctrlProps/ctrlProp294.xml><?xml version="1.0" encoding="utf-8"?>
<formControlPr xmlns="http://schemas.microsoft.com/office/spreadsheetml/2009/9/main" objectType="CheckBox" fmlaLink="B21" lockText="1" noThreeD="1"/>
</file>

<file path=xl/ctrlProps/ctrlProp295.xml><?xml version="1.0" encoding="utf-8"?>
<formControlPr xmlns="http://schemas.microsoft.com/office/spreadsheetml/2009/9/main" objectType="CheckBox" fmlaLink="B25" lockText="1" noThreeD="1"/>
</file>

<file path=xl/ctrlProps/ctrlProp296.xml><?xml version="1.0" encoding="utf-8"?>
<formControlPr xmlns="http://schemas.microsoft.com/office/spreadsheetml/2009/9/main" objectType="CheckBox" fmlaLink="G25" lockText="1" noThreeD="1"/>
</file>

<file path=xl/ctrlProps/ctrlProp297.xml><?xml version="1.0" encoding="utf-8"?>
<formControlPr xmlns="http://schemas.microsoft.com/office/spreadsheetml/2009/9/main" objectType="CheckBox" fmlaLink="L25" lockText="1" noThreeD="1"/>
</file>

<file path=xl/ctrlProps/ctrlProp298.xml><?xml version="1.0" encoding="utf-8"?>
<formControlPr xmlns="http://schemas.microsoft.com/office/spreadsheetml/2009/9/main" objectType="CheckBox" fmlaLink="G21" lockText="1" noThreeD="1"/>
</file>

<file path=xl/ctrlProps/ctrlProp299.xml><?xml version="1.0" encoding="utf-8"?>
<formControlPr xmlns="http://schemas.microsoft.com/office/spreadsheetml/2009/9/main" objectType="CheckBox" fmlaLink="B29" lockText="1" noThreeD="1"/>
</file>

<file path=xl/ctrlProps/ctrlProp300.xml><?xml version="1.0" encoding="utf-8"?>
<formControlPr xmlns="http://schemas.microsoft.com/office/spreadsheetml/2009/9/main" objectType="CheckBox" fmlaLink="G29" lockText="1" noThreeD="1"/>
</file>

<file path=xl/ctrlProps/ctrlProp301.xml><?xml version="1.0" encoding="utf-8"?>
<formControlPr xmlns="http://schemas.microsoft.com/office/spreadsheetml/2009/9/main" objectType="CheckBox" fmlaLink="L29" lockText="1" noThreeD="1"/>
</file>

<file path=xl/ctrlProps/ctrlProp302.xml><?xml version="1.0" encoding="utf-8"?>
<formControlPr xmlns="http://schemas.microsoft.com/office/spreadsheetml/2009/9/main" objectType="CheckBox" fmlaLink="B38" lockText="1" noThreeD="1"/>
</file>

<file path=xl/ctrlProps/ctrlProp303.xml><?xml version="1.0" encoding="utf-8"?>
<formControlPr xmlns="http://schemas.microsoft.com/office/spreadsheetml/2009/9/main" objectType="CheckBox" fmlaLink="G38" lockText="1" noThreeD="1"/>
</file>

<file path=xl/ctrlProps/ctrlProp304.xml><?xml version="1.0" encoding="utf-8"?>
<formControlPr xmlns="http://schemas.microsoft.com/office/spreadsheetml/2009/9/main" objectType="CheckBox" fmlaLink="L38" lockText="1" noThreeD="1"/>
</file>

<file path=xl/ctrlProps/ctrlProp305.xml><?xml version="1.0" encoding="utf-8"?>
<formControlPr xmlns="http://schemas.microsoft.com/office/spreadsheetml/2009/9/main" objectType="CheckBox" fmlaLink="B44" lockText="1" noThreeD="1"/>
</file>

<file path=xl/ctrlProps/ctrlProp306.xml><?xml version="1.0" encoding="utf-8"?>
<formControlPr xmlns="http://schemas.microsoft.com/office/spreadsheetml/2009/9/main" objectType="CheckBox" fmlaLink="G44" lockText="1" noThreeD="1"/>
</file>

<file path=xl/ctrlProps/ctrlProp307.xml><?xml version="1.0" encoding="utf-8"?>
<formControlPr xmlns="http://schemas.microsoft.com/office/spreadsheetml/2009/9/main" objectType="CheckBox" fmlaLink="B39" lockText="1" noThreeD="1"/>
</file>

<file path=xl/ctrlProps/ctrlProp308.xml><?xml version="1.0" encoding="utf-8"?>
<formControlPr xmlns="http://schemas.microsoft.com/office/spreadsheetml/2009/9/main" objectType="CheckBox" fmlaLink="B18" lockText="1" noThreeD="1"/>
</file>

<file path=xl/ctrlProps/ctrlProp309.xml><?xml version="1.0" encoding="utf-8"?>
<formControlPr xmlns="http://schemas.microsoft.com/office/spreadsheetml/2009/9/main" objectType="CheckBox" fmlaLink="B32" lockText="1" noThreeD="1"/>
</file>

<file path=xl/ctrlProps/ctrlProp310.xml><?xml version="1.0" encoding="utf-8"?>
<formControlPr xmlns="http://schemas.microsoft.com/office/spreadsheetml/2009/9/main" objectType="CheckBox" fmlaLink="B33" lockText="1" noThreeD="1"/>
</file>

<file path=xl/ctrlProps/ctrlProp311.xml><?xml version="1.0" encoding="utf-8"?>
<formControlPr xmlns="http://schemas.microsoft.com/office/spreadsheetml/2009/9/main" objectType="CheckBox" fmlaLink="B34" lockText="1" noThreeD="1"/>
</file>

<file path=xl/ctrlProps/ctrlProp312.xml><?xml version="1.0" encoding="utf-8"?>
<formControlPr xmlns="http://schemas.microsoft.com/office/spreadsheetml/2009/9/main" objectType="CheckBox" fmlaLink="G32" lockText="1" noThreeD="1"/>
</file>

<file path=xl/ctrlProps/ctrlProp313.xml><?xml version="1.0" encoding="utf-8"?>
<formControlPr xmlns="http://schemas.microsoft.com/office/spreadsheetml/2009/9/main" objectType="CheckBox" fmlaLink="G33" lockText="1" noThreeD="1"/>
</file>

<file path=xl/ctrlProps/ctrlProp314.xml><?xml version="1.0" encoding="utf-8"?>
<formControlPr xmlns="http://schemas.microsoft.com/office/spreadsheetml/2009/9/main" objectType="CheckBox" fmlaLink="G34" lockText="1" noThreeD="1"/>
</file>

<file path=xl/ctrlProps/ctrlProp315.xml><?xml version="1.0" encoding="utf-8"?>
<formControlPr xmlns="http://schemas.microsoft.com/office/spreadsheetml/2009/9/main" objectType="CheckBox" fmlaLink="L32" lockText="1" noThreeD="1"/>
</file>

<file path=xl/ctrlProps/ctrlProp316.xml><?xml version="1.0" encoding="utf-8"?>
<formControlPr xmlns="http://schemas.microsoft.com/office/spreadsheetml/2009/9/main" objectType="CheckBox" fmlaLink="L33" lockText="1" noThreeD="1"/>
</file>

<file path=xl/ctrlProps/ctrlProp317.xml><?xml version="1.0" encoding="utf-8"?>
<formControlPr xmlns="http://schemas.microsoft.com/office/spreadsheetml/2009/9/main" objectType="CheckBox" fmlaLink="B9" lockText="1" noThreeD="1"/>
</file>

<file path=xl/ctrlProps/ctrlProp318.xml><?xml version="1.0" encoding="utf-8"?>
<formControlPr xmlns="http://schemas.microsoft.com/office/spreadsheetml/2009/9/main" objectType="CheckBox" fmlaLink="G9" lockText="1" noThreeD="1"/>
</file>

<file path=xl/ctrlProps/ctrlProp319.xml><?xml version="1.0" encoding="utf-8"?>
<formControlPr xmlns="http://schemas.microsoft.com/office/spreadsheetml/2009/9/main" objectType="CheckBox" fmlaLink="G12" lockText="1" noThreeD="1"/>
</file>

<file path=xl/ctrlProps/ctrlProp320.xml><?xml version="1.0" encoding="utf-8"?>
<formControlPr xmlns="http://schemas.microsoft.com/office/spreadsheetml/2009/9/main" objectType="CheckBox" fmlaLink="G13" lockText="1" noThreeD="1"/>
</file>

<file path=xl/ctrlProps/ctrlProp321.xml><?xml version="1.0" encoding="utf-8"?>
<formControlPr xmlns="http://schemas.microsoft.com/office/spreadsheetml/2009/9/main" objectType="CheckBox" fmlaLink="G16" lockText="1" noThreeD="1"/>
</file>

<file path=xl/ctrlProps/ctrlProp322.xml><?xml version="1.0" encoding="utf-8"?>
<formControlPr xmlns="http://schemas.microsoft.com/office/spreadsheetml/2009/9/main" objectType="CheckBox" fmlaLink="G17" lockText="1" noThreeD="1"/>
</file>

<file path=xl/ctrlProps/ctrlProp323.xml><?xml version="1.0" encoding="utf-8"?>
<formControlPr xmlns="http://schemas.microsoft.com/office/spreadsheetml/2009/9/main" objectType="CheckBox" fmlaLink="L16" lockText="1" noThreeD="1"/>
</file>

<file path=xl/ctrlProps/ctrlProp324.xml><?xml version="1.0" encoding="utf-8"?>
<formControlPr xmlns="http://schemas.microsoft.com/office/spreadsheetml/2009/9/main" objectType="CheckBox" fmlaLink="L17" lockText="1" noThreeD="1"/>
</file>

<file path=xl/ctrlProps/ctrlProp325.xml><?xml version="1.0" encoding="utf-8"?>
<formControlPr xmlns="http://schemas.microsoft.com/office/spreadsheetml/2009/9/main" objectType="CheckBox" fmlaLink="B16" lockText="1" noThreeD="1"/>
</file>

<file path=xl/ctrlProps/ctrlProp326.xml><?xml version="1.0" encoding="utf-8"?>
<formControlPr xmlns="http://schemas.microsoft.com/office/spreadsheetml/2009/9/main" objectType="CheckBox" fmlaLink="B17" lockText="1" noThreeD="1"/>
</file>

<file path=xl/ctrlProps/ctrlProp327.xml><?xml version="1.0" encoding="utf-8"?>
<formControlPr xmlns="http://schemas.microsoft.com/office/spreadsheetml/2009/9/main" objectType="CheckBox" fmlaLink="B12" lockText="1" noThreeD="1"/>
</file>

<file path=xl/ctrlProps/ctrlProp328.xml><?xml version="1.0" encoding="utf-8"?>
<formControlPr xmlns="http://schemas.microsoft.com/office/spreadsheetml/2009/9/main" objectType="CheckBox" fmlaLink="B13" lockText="1" noThreeD="1"/>
</file>

<file path=xl/ctrlProps/ctrlProp329.xml><?xml version="1.0" encoding="utf-8"?>
<formControlPr xmlns="http://schemas.microsoft.com/office/spreadsheetml/2009/9/main" objectType="CheckBox" fmlaLink="B21" lockText="1" noThreeD="1"/>
</file>

<file path=xl/ctrlProps/ctrlProp330.xml><?xml version="1.0" encoding="utf-8"?>
<formControlPr xmlns="http://schemas.microsoft.com/office/spreadsheetml/2009/9/main" objectType="CheckBox" fmlaLink="B25" lockText="1" noThreeD="1"/>
</file>

<file path=xl/ctrlProps/ctrlProp331.xml><?xml version="1.0" encoding="utf-8"?>
<formControlPr xmlns="http://schemas.microsoft.com/office/spreadsheetml/2009/9/main" objectType="CheckBox" fmlaLink="G25" lockText="1" noThreeD="1"/>
</file>

<file path=xl/ctrlProps/ctrlProp332.xml><?xml version="1.0" encoding="utf-8"?>
<formControlPr xmlns="http://schemas.microsoft.com/office/spreadsheetml/2009/9/main" objectType="CheckBox" fmlaLink="L25" lockText="1" noThreeD="1"/>
</file>

<file path=xl/ctrlProps/ctrlProp333.xml><?xml version="1.0" encoding="utf-8"?>
<formControlPr xmlns="http://schemas.microsoft.com/office/spreadsheetml/2009/9/main" objectType="CheckBox" fmlaLink="G21" lockText="1" noThreeD="1"/>
</file>

<file path=xl/ctrlProps/ctrlProp334.xml><?xml version="1.0" encoding="utf-8"?>
<formControlPr xmlns="http://schemas.microsoft.com/office/spreadsheetml/2009/9/main" objectType="CheckBox" fmlaLink="B29" lockText="1" noThreeD="1"/>
</file>

<file path=xl/ctrlProps/ctrlProp335.xml><?xml version="1.0" encoding="utf-8"?>
<formControlPr xmlns="http://schemas.microsoft.com/office/spreadsheetml/2009/9/main" objectType="CheckBox" fmlaLink="G29" lockText="1" noThreeD="1"/>
</file>

<file path=xl/ctrlProps/ctrlProp336.xml><?xml version="1.0" encoding="utf-8"?>
<formControlPr xmlns="http://schemas.microsoft.com/office/spreadsheetml/2009/9/main" objectType="CheckBox" fmlaLink="L29" lockText="1" noThreeD="1"/>
</file>

<file path=xl/ctrlProps/ctrlProp337.xml><?xml version="1.0" encoding="utf-8"?>
<formControlPr xmlns="http://schemas.microsoft.com/office/spreadsheetml/2009/9/main" objectType="CheckBox" fmlaLink="B38" lockText="1" noThreeD="1"/>
</file>

<file path=xl/ctrlProps/ctrlProp338.xml><?xml version="1.0" encoding="utf-8"?>
<formControlPr xmlns="http://schemas.microsoft.com/office/spreadsheetml/2009/9/main" objectType="CheckBox" fmlaLink="G38" lockText="1" noThreeD="1"/>
</file>

<file path=xl/ctrlProps/ctrlProp339.xml><?xml version="1.0" encoding="utf-8"?>
<formControlPr xmlns="http://schemas.microsoft.com/office/spreadsheetml/2009/9/main" objectType="CheckBox" fmlaLink="L38" lockText="1" noThreeD="1"/>
</file>

<file path=xl/ctrlProps/ctrlProp340.xml><?xml version="1.0" encoding="utf-8"?>
<formControlPr xmlns="http://schemas.microsoft.com/office/spreadsheetml/2009/9/main" objectType="CheckBox" fmlaLink="B44" lockText="1" noThreeD="1"/>
</file>

<file path=xl/ctrlProps/ctrlProp341.xml><?xml version="1.0" encoding="utf-8"?>
<formControlPr xmlns="http://schemas.microsoft.com/office/spreadsheetml/2009/9/main" objectType="CheckBox" fmlaLink="G44" lockText="1" noThreeD="1"/>
</file>

<file path=xl/ctrlProps/ctrlProp342.xml><?xml version="1.0" encoding="utf-8"?>
<formControlPr xmlns="http://schemas.microsoft.com/office/spreadsheetml/2009/9/main" objectType="CheckBox" fmlaLink="B39" lockText="1" noThreeD="1"/>
</file>

<file path=xl/ctrlProps/ctrlProp343.xml><?xml version="1.0" encoding="utf-8"?>
<formControlPr xmlns="http://schemas.microsoft.com/office/spreadsheetml/2009/9/main" objectType="CheckBox" fmlaLink="B18" lockText="1" noThreeD="1"/>
</file>

<file path=xl/ctrlProps/ctrlProp344.xml><?xml version="1.0" encoding="utf-8"?>
<formControlPr xmlns="http://schemas.microsoft.com/office/spreadsheetml/2009/9/main" objectType="CheckBox" fmlaLink="B32" lockText="1" noThreeD="1"/>
</file>

<file path=xl/ctrlProps/ctrlProp345.xml><?xml version="1.0" encoding="utf-8"?>
<formControlPr xmlns="http://schemas.microsoft.com/office/spreadsheetml/2009/9/main" objectType="CheckBox" fmlaLink="B33" lockText="1" noThreeD="1"/>
</file>

<file path=xl/ctrlProps/ctrlProp346.xml><?xml version="1.0" encoding="utf-8"?>
<formControlPr xmlns="http://schemas.microsoft.com/office/spreadsheetml/2009/9/main" objectType="CheckBox" fmlaLink="B34" lockText="1" noThreeD="1"/>
</file>

<file path=xl/ctrlProps/ctrlProp347.xml><?xml version="1.0" encoding="utf-8"?>
<formControlPr xmlns="http://schemas.microsoft.com/office/spreadsheetml/2009/9/main" objectType="CheckBox" fmlaLink="G32" lockText="1" noThreeD="1"/>
</file>

<file path=xl/ctrlProps/ctrlProp348.xml><?xml version="1.0" encoding="utf-8"?>
<formControlPr xmlns="http://schemas.microsoft.com/office/spreadsheetml/2009/9/main" objectType="CheckBox" fmlaLink="G33" lockText="1" noThreeD="1"/>
</file>

<file path=xl/ctrlProps/ctrlProp349.xml><?xml version="1.0" encoding="utf-8"?>
<formControlPr xmlns="http://schemas.microsoft.com/office/spreadsheetml/2009/9/main" objectType="CheckBox" fmlaLink="G34" lockText="1" noThreeD="1"/>
</file>

<file path=xl/ctrlProps/ctrlProp350.xml><?xml version="1.0" encoding="utf-8"?>
<formControlPr xmlns="http://schemas.microsoft.com/office/spreadsheetml/2009/9/main" objectType="CheckBox" fmlaLink="L32" lockText="1" noThreeD="1"/>
</file>

<file path=xl/ctrlProps/ctrlProp351.xml><?xml version="1.0" encoding="utf-8"?>
<formControlPr xmlns="http://schemas.microsoft.com/office/spreadsheetml/2009/9/main" objectType="CheckBox" fmlaLink="L33" lockText="1" noThreeD="1"/>
</file>

<file path=xl/ctrlProps/ctrlProp352.xml><?xml version="1.0" encoding="utf-8"?>
<formControlPr xmlns="http://schemas.microsoft.com/office/spreadsheetml/2009/9/main" objectType="CheckBox" fmlaLink="B9" lockText="1" noThreeD="1"/>
</file>

<file path=xl/ctrlProps/ctrlProp353.xml><?xml version="1.0" encoding="utf-8"?>
<formControlPr xmlns="http://schemas.microsoft.com/office/spreadsheetml/2009/9/main" objectType="CheckBox" fmlaLink="G9" lockText="1" noThreeD="1"/>
</file>

<file path=xl/ctrlProps/ctrlProp354.xml><?xml version="1.0" encoding="utf-8"?>
<formControlPr xmlns="http://schemas.microsoft.com/office/spreadsheetml/2009/9/main" objectType="CheckBox" fmlaLink="G12" lockText="1" noThreeD="1"/>
</file>

<file path=xl/ctrlProps/ctrlProp355.xml><?xml version="1.0" encoding="utf-8"?>
<formControlPr xmlns="http://schemas.microsoft.com/office/spreadsheetml/2009/9/main" objectType="CheckBox" fmlaLink="G13" lockText="1" noThreeD="1"/>
</file>

<file path=xl/ctrlProps/ctrlProp356.xml><?xml version="1.0" encoding="utf-8"?>
<formControlPr xmlns="http://schemas.microsoft.com/office/spreadsheetml/2009/9/main" objectType="CheckBox" fmlaLink="G16" lockText="1" noThreeD="1"/>
</file>

<file path=xl/ctrlProps/ctrlProp357.xml><?xml version="1.0" encoding="utf-8"?>
<formControlPr xmlns="http://schemas.microsoft.com/office/spreadsheetml/2009/9/main" objectType="CheckBox" fmlaLink="G17" lockText="1" noThreeD="1"/>
</file>

<file path=xl/ctrlProps/ctrlProp358.xml><?xml version="1.0" encoding="utf-8"?>
<formControlPr xmlns="http://schemas.microsoft.com/office/spreadsheetml/2009/9/main" objectType="CheckBox" fmlaLink="L16" lockText="1" noThreeD="1"/>
</file>

<file path=xl/ctrlProps/ctrlProp359.xml><?xml version="1.0" encoding="utf-8"?>
<formControlPr xmlns="http://schemas.microsoft.com/office/spreadsheetml/2009/9/main" objectType="CheckBox" fmlaLink="L17" lockText="1" noThreeD="1"/>
</file>

<file path=xl/ctrlProps/ctrlProp360.xml><?xml version="1.0" encoding="utf-8"?>
<formControlPr xmlns="http://schemas.microsoft.com/office/spreadsheetml/2009/9/main" objectType="CheckBox" fmlaLink="B16" lockText="1" noThreeD="1"/>
</file>

<file path=xl/ctrlProps/ctrlProp361.xml><?xml version="1.0" encoding="utf-8"?>
<formControlPr xmlns="http://schemas.microsoft.com/office/spreadsheetml/2009/9/main" objectType="CheckBox" fmlaLink="B17" lockText="1" noThreeD="1"/>
</file>

<file path=xl/ctrlProps/ctrlProp362.xml><?xml version="1.0" encoding="utf-8"?>
<formControlPr xmlns="http://schemas.microsoft.com/office/spreadsheetml/2009/9/main" objectType="CheckBox" fmlaLink="B12" lockText="1" noThreeD="1"/>
</file>

<file path=xl/ctrlProps/ctrlProp363.xml><?xml version="1.0" encoding="utf-8"?>
<formControlPr xmlns="http://schemas.microsoft.com/office/spreadsheetml/2009/9/main" objectType="CheckBox" fmlaLink="B13" lockText="1" noThreeD="1"/>
</file>

<file path=xl/ctrlProps/ctrlProp364.xml><?xml version="1.0" encoding="utf-8"?>
<formControlPr xmlns="http://schemas.microsoft.com/office/spreadsheetml/2009/9/main" objectType="CheckBox" fmlaLink="B21" lockText="1" noThreeD="1"/>
</file>

<file path=xl/ctrlProps/ctrlProp365.xml><?xml version="1.0" encoding="utf-8"?>
<formControlPr xmlns="http://schemas.microsoft.com/office/spreadsheetml/2009/9/main" objectType="CheckBox" fmlaLink="B25" lockText="1" noThreeD="1"/>
</file>

<file path=xl/ctrlProps/ctrlProp366.xml><?xml version="1.0" encoding="utf-8"?>
<formControlPr xmlns="http://schemas.microsoft.com/office/spreadsheetml/2009/9/main" objectType="CheckBox" fmlaLink="G25" lockText="1" noThreeD="1"/>
</file>

<file path=xl/ctrlProps/ctrlProp367.xml><?xml version="1.0" encoding="utf-8"?>
<formControlPr xmlns="http://schemas.microsoft.com/office/spreadsheetml/2009/9/main" objectType="CheckBox" fmlaLink="L25" lockText="1" noThreeD="1"/>
</file>

<file path=xl/ctrlProps/ctrlProp368.xml><?xml version="1.0" encoding="utf-8"?>
<formControlPr xmlns="http://schemas.microsoft.com/office/spreadsheetml/2009/9/main" objectType="CheckBox" fmlaLink="G21" lockText="1" noThreeD="1"/>
</file>

<file path=xl/ctrlProps/ctrlProp369.xml><?xml version="1.0" encoding="utf-8"?>
<formControlPr xmlns="http://schemas.microsoft.com/office/spreadsheetml/2009/9/main" objectType="CheckBox" fmlaLink="B29" lockText="1" noThreeD="1"/>
</file>

<file path=xl/ctrlProps/ctrlProp370.xml><?xml version="1.0" encoding="utf-8"?>
<formControlPr xmlns="http://schemas.microsoft.com/office/spreadsheetml/2009/9/main" objectType="CheckBox" fmlaLink="G29" lockText="1" noThreeD="1"/>
</file>

<file path=xl/ctrlProps/ctrlProp371.xml><?xml version="1.0" encoding="utf-8"?>
<formControlPr xmlns="http://schemas.microsoft.com/office/spreadsheetml/2009/9/main" objectType="CheckBox" fmlaLink="L29" lockText="1" noThreeD="1"/>
</file>

<file path=xl/ctrlProps/ctrlProp372.xml><?xml version="1.0" encoding="utf-8"?>
<formControlPr xmlns="http://schemas.microsoft.com/office/spreadsheetml/2009/9/main" objectType="CheckBox" fmlaLink="B38" lockText="1" noThreeD="1"/>
</file>

<file path=xl/ctrlProps/ctrlProp373.xml><?xml version="1.0" encoding="utf-8"?>
<formControlPr xmlns="http://schemas.microsoft.com/office/spreadsheetml/2009/9/main" objectType="CheckBox" fmlaLink="G38" lockText="1" noThreeD="1"/>
</file>

<file path=xl/ctrlProps/ctrlProp374.xml><?xml version="1.0" encoding="utf-8"?>
<formControlPr xmlns="http://schemas.microsoft.com/office/spreadsheetml/2009/9/main" objectType="CheckBox" fmlaLink="L38" lockText="1" noThreeD="1"/>
</file>

<file path=xl/ctrlProps/ctrlProp375.xml><?xml version="1.0" encoding="utf-8"?>
<formControlPr xmlns="http://schemas.microsoft.com/office/spreadsheetml/2009/9/main" objectType="CheckBox" fmlaLink="B44" lockText="1" noThreeD="1"/>
</file>

<file path=xl/ctrlProps/ctrlProp376.xml><?xml version="1.0" encoding="utf-8"?>
<formControlPr xmlns="http://schemas.microsoft.com/office/spreadsheetml/2009/9/main" objectType="CheckBox" fmlaLink="G44" lockText="1" noThreeD="1"/>
</file>

<file path=xl/ctrlProps/ctrlProp377.xml><?xml version="1.0" encoding="utf-8"?>
<formControlPr xmlns="http://schemas.microsoft.com/office/spreadsheetml/2009/9/main" objectType="CheckBox" fmlaLink="B39" lockText="1" noThreeD="1"/>
</file>

<file path=xl/ctrlProps/ctrlProp378.xml><?xml version="1.0" encoding="utf-8"?>
<formControlPr xmlns="http://schemas.microsoft.com/office/spreadsheetml/2009/9/main" objectType="CheckBox" fmlaLink="B18" lockText="1" noThreeD="1"/>
</file>

<file path=xl/ctrlProps/ctrlProp379.xml><?xml version="1.0" encoding="utf-8"?>
<formControlPr xmlns="http://schemas.microsoft.com/office/spreadsheetml/2009/9/main" objectType="CheckBox" fmlaLink="B32" lockText="1" noThreeD="1"/>
</file>

<file path=xl/ctrlProps/ctrlProp380.xml><?xml version="1.0" encoding="utf-8"?>
<formControlPr xmlns="http://schemas.microsoft.com/office/spreadsheetml/2009/9/main" objectType="CheckBox" fmlaLink="B33" lockText="1" noThreeD="1"/>
</file>

<file path=xl/ctrlProps/ctrlProp381.xml><?xml version="1.0" encoding="utf-8"?>
<formControlPr xmlns="http://schemas.microsoft.com/office/spreadsheetml/2009/9/main" objectType="CheckBox" fmlaLink="B34" lockText="1" noThreeD="1"/>
</file>

<file path=xl/ctrlProps/ctrlProp382.xml><?xml version="1.0" encoding="utf-8"?>
<formControlPr xmlns="http://schemas.microsoft.com/office/spreadsheetml/2009/9/main" objectType="CheckBox" fmlaLink="G32" lockText="1" noThreeD="1"/>
</file>

<file path=xl/ctrlProps/ctrlProp383.xml><?xml version="1.0" encoding="utf-8"?>
<formControlPr xmlns="http://schemas.microsoft.com/office/spreadsheetml/2009/9/main" objectType="CheckBox" fmlaLink="G33" lockText="1" noThreeD="1"/>
</file>

<file path=xl/ctrlProps/ctrlProp384.xml><?xml version="1.0" encoding="utf-8"?>
<formControlPr xmlns="http://schemas.microsoft.com/office/spreadsheetml/2009/9/main" objectType="CheckBox" fmlaLink="G34" lockText="1" noThreeD="1"/>
</file>

<file path=xl/ctrlProps/ctrlProp385.xml><?xml version="1.0" encoding="utf-8"?>
<formControlPr xmlns="http://schemas.microsoft.com/office/spreadsheetml/2009/9/main" objectType="CheckBox" fmlaLink="L32" lockText="1" noThreeD="1"/>
</file>

<file path=xl/ctrlProps/ctrlProp386.xml><?xml version="1.0" encoding="utf-8"?>
<formControlPr xmlns="http://schemas.microsoft.com/office/spreadsheetml/2009/9/main" objectType="CheckBox" fmlaLink="L33" lockText="1" noThreeD="1"/>
</file>

<file path=xl/ctrlProps/ctrlProp387.xml><?xml version="1.0" encoding="utf-8"?>
<formControlPr xmlns="http://schemas.microsoft.com/office/spreadsheetml/2009/9/main" objectType="CheckBox" fmlaLink="B9" lockText="1" noThreeD="1"/>
</file>

<file path=xl/ctrlProps/ctrlProp388.xml><?xml version="1.0" encoding="utf-8"?>
<formControlPr xmlns="http://schemas.microsoft.com/office/spreadsheetml/2009/9/main" objectType="CheckBox" fmlaLink="G9" lockText="1" noThreeD="1"/>
</file>

<file path=xl/ctrlProps/ctrlProp389.xml><?xml version="1.0" encoding="utf-8"?>
<formControlPr xmlns="http://schemas.microsoft.com/office/spreadsheetml/2009/9/main" objectType="CheckBox" fmlaLink="G12" lockText="1" noThreeD="1"/>
</file>

<file path=xl/ctrlProps/ctrlProp390.xml><?xml version="1.0" encoding="utf-8"?>
<formControlPr xmlns="http://schemas.microsoft.com/office/spreadsheetml/2009/9/main" objectType="CheckBox" fmlaLink="G13" lockText="1" noThreeD="1"/>
</file>

<file path=xl/ctrlProps/ctrlProp391.xml><?xml version="1.0" encoding="utf-8"?>
<formControlPr xmlns="http://schemas.microsoft.com/office/spreadsheetml/2009/9/main" objectType="CheckBox" fmlaLink="G16" lockText="1" noThreeD="1"/>
</file>

<file path=xl/ctrlProps/ctrlProp392.xml><?xml version="1.0" encoding="utf-8"?>
<formControlPr xmlns="http://schemas.microsoft.com/office/spreadsheetml/2009/9/main" objectType="CheckBox" fmlaLink="G17" lockText="1" noThreeD="1"/>
</file>

<file path=xl/ctrlProps/ctrlProp393.xml><?xml version="1.0" encoding="utf-8"?>
<formControlPr xmlns="http://schemas.microsoft.com/office/spreadsheetml/2009/9/main" objectType="CheckBox" fmlaLink="L16" lockText="1" noThreeD="1"/>
</file>

<file path=xl/ctrlProps/ctrlProp394.xml><?xml version="1.0" encoding="utf-8"?>
<formControlPr xmlns="http://schemas.microsoft.com/office/spreadsheetml/2009/9/main" objectType="CheckBox" fmlaLink="L17" lockText="1" noThreeD="1"/>
</file>

<file path=xl/ctrlProps/ctrlProp395.xml><?xml version="1.0" encoding="utf-8"?>
<formControlPr xmlns="http://schemas.microsoft.com/office/spreadsheetml/2009/9/main" objectType="CheckBox" fmlaLink="B16" lockText="1" noThreeD="1"/>
</file>

<file path=xl/ctrlProps/ctrlProp396.xml><?xml version="1.0" encoding="utf-8"?>
<formControlPr xmlns="http://schemas.microsoft.com/office/spreadsheetml/2009/9/main" objectType="CheckBox" fmlaLink="B17" lockText="1" noThreeD="1"/>
</file>

<file path=xl/ctrlProps/ctrlProp397.xml><?xml version="1.0" encoding="utf-8"?>
<formControlPr xmlns="http://schemas.microsoft.com/office/spreadsheetml/2009/9/main" objectType="CheckBox" fmlaLink="B12" lockText="1" noThreeD="1"/>
</file>

<file path=xl/ctrlProps/ctrlProp398.xml><?xml version="1.0" encoding="utf-8"?>
<formControlPr xmlns="http://schemas.microsoft.com/office/spreadsheetml/2009/9/main" objectType="CheckBox" fmlaLink="B13" lockText="1" noThreeD="1"/>
</file>

<file path=xl/ctrlProps/ctrlProp399.xml><?xml version="1.0" encoding="utf-8"?>
<formControlPr xmlns="http://schemas.microsoft.com/office/spreadsheetml/2009/9/main" objectType="CheckBox" fmlaLink="B21" lockText="1" noThreeD="1"/>
</file>

<file path=xl/ctrlProps/ctrlProp400.xml><?xml version="1.0" encoding="utf-8"?>
<formControlPr xmlns="http://schemas.microsoft.com/office/spreadsheetml/2009/9/main" objectType="CheckBox" fmlaLink="B25" lockText="1" noThreeD="1"/>
</file>

<file path=xl/ctrlProps/ctrlProp401.xml><?xml version="1.0" encoding="utf-8"?>
<formControlPr xmlns="http://schemas.microsoft.com/office/spreadsheetml/2009/9/main" objectType="CheckBox" fmlaLink="G25" lockText="1" noThreeD="1"/>
</file>

<file path=xl/ctrlProps/ctrlProp402.xml><?xml version="1.0" encoding="utf-8"?>
<formControlPr xmlns="http://schemas.microsoft.com/office/spreadsheetml/2009/9/main" objectType="CheckBox" fmlaLink="L25" lockText="1" noThreeD="1"/>
</file>

<file path=xl/ctrlProps/ctrlProp403.xml><?xml version="1.0" encoding="utf-8"?>
<formControlPr xmlns="http://schemas.microsoft.com/office/spreadsheetml/2009/9/main" objectType="CheckBox" fmlaLink="G21" lockText="1" noThreeD="1"/>
</file>

<file path=xl/ctrlProps/ctrlProp404.xml><?xml version="1.0" encoding="utf-8"?>
<formControlPr xmlns="http://schemas.microsoft.com/office/spreadsheetml/2009/9/main" objectType="CheckBox" fmlaLink="B29" lockText="1" noThreeD="1"/>
</file>

<file path=xl/ctrlProps/ctrlProp405.xml><?xml version="1.0" encoding="utf-8"?>
<formControlPr xmlns="http://schemas.microsoft.com/office/spreadsheetml/2009/9/main" objectType="CheckBox" fmlaLink="G29" lockText="1" noThreeD="1"/>
</file>

<file path=xl/ctrlProps/ctrlProp406.xml><?xml version="1.0" encoding="utf-8"?>
<formControlPr xmlns="http://schemas.microsoft.com/office/spreadsheetml/2009/9/main" objectType="CheckBox" fmlaLink="L29" lockText="1" noThreeD="1"/>
</file>

<file path=xl/ctrlProps/ctrlProp407.xml><?xml version="1.0" encoding="utf-8"?>
<formControlPr xmlns="http://schemas.microsoft.com/office/spreadsheetml/2009/9/main" objectType="CheckBox" fmlaLink="B38" lockText="1" noThreeD="1"/>
</file>

<file path=xl/ctrlProps/ctrlProp408.xml><?xml version="1.0" encoding="utf-8"?>
<formControlPr xmlns="http://schemas.microsoft.com/office/spreadsheetml/2009/9/main" objectType="CheckBox" fmlaLink="G38" lockText="1" noThreeD="1"/>
</file>

<file path=xl/ctrlProps/ctrlProp409.xml><?xml version="1.0" encoding="utf-8"?>
<formControlPr xmlns="http://schemas.microsoft.com/office/spreadsheetml/2009/9/main" objectType="CheckBox" fmlaLink="L38" lockText="1" noThreeD="1"/>
</file>

<file path=xl/ctrlProps/ctrlProp410.xml><?xml version="1.0" encoding="utf-8"?>
<formControlPr xmlns="http://schemas.microsoft.com/office/spreadsheetml/2009/9/main" objectType="CheckBox" fmlaLink="B44" lockText="1" noThreeD="1"/>
</file>

<file path=xl/ctrlProps/ctrlProp411.xml><?xml version="1.0" encoding="utf-8"?>
<formControlPr xmlns="http://schemas.microsoft.com/office/spreadsheetml/2009/9/main" objectType="CheckBox" fmlaLink="G44" lockText="1" noThreeD="1"/>
</file>

<file path=xl/ctrlProps/ctrlProp412.xml><?xml version="1.0" encoding="utf-8"?>
<formControlPr xmlns="http://schemas.microsoft.com/office/spreadsheetml/2009/9/main" objectType="CheckBox" fmlaLink="B39" lockText="1" noThreeD="1"/>
</file>

<file path=xl/ctrlProps/ctrlProp413.xml><?xml version="1.0" encoding="utf-8"?>
<formControlPr xmlns="http://schemas.microsoft.com/office/spreadsheetml/2009/9/main" objectType="CheckBox" fmlaLink="B18" lockText="1" noThreeD="1"/>
</file>

<file path=xl/ctrlProps/ctrlProp414.xml><?xml version="1.0" encoding="utf-8"?>
<formControlPr xmlns="http://schemas.microsoft.com/office/spreadsheetml/2009/9/main" objectType="CheckBox" fmlaLink="B32" lockText="1" noThreeD="1"/>
</file>

<file path=xl/ctrlProps/ctrlProp415.xml><?xml version="1.0" encoding="utf-8"?>
<formControlPr xmlns="http://schemas.microsoft.com/office/spreadsheetml/2009/9/main" objectType="CheckBox" fmlaLink="B33" lockText="1" noThreeD="1"/>
</file>

<file path=xl/ctrlProps/ctrlProp416.xml><?xml version="1.0" encoding="utf-8"?>
<formControlPr xmlns="http://schemas.microsoft.com/office/spreadsheetml/2009/9/main" objectType="CheckBox" fmlaLink="B34" lockText="1" noThreeD="1"/>
</file>

<file path=xl/ctrlProps/ctrlProp417.xml><?xml version="1.0" encoding="utf-8"?>
<formControlPr xmlns="http://schemas.microsoft.com/office/spreadsheetml/2009/9/main" objectType="CheckBox" fmlaLink="G32" lockText="1" noThreeD="1"/>
</file>

<file path=xl/ctrlProps/ctrlProp418.xml><?xml version="1.0" encoding="utf-8"?>
<formControlPr xmlns="http://schemas.microsoft.com/office/spreadsheetml/2009/9/main" objectType="CheckBox" fmlaLink="G33" lockText="1" noThreeD="1"/>
</file>

<file path=xl/ctrlProps/ctrlProp419.xml><?xml version="1.0" encoding="utf-8"?>
<formControlPr xmlns="http://schemas.microsoft.com/office/spreadsheetml/2009/9/main" objectType="CheckBox" fmlaLink="G34" lockText="1" noThreeD="1"/>
</file>

<file path=xl/ctrlProps/ctrlProp420.xml><?xml version="1.0" encoding="utf-8"?>
<formControlPr xmlns="http://schemas.microsoft.com/office/spreadsheetml/2009/9/main" objectType="CheckBox" fmlaLink="L32" lockText="1" noThreeD="1"/>
</file>

<file path=xl/ctrlProps/ctrlProp421.xml><?xml version="1.0" encoding="utf-8"?>
<formControlPr xmlns="http://schemas.microsoft.com/office/spreadsheetml/2009/9/main" objectType="CheckBox" fmlaLink="L33" lockText="1" noThreeD="1"/>
</file>

<file path=xl/ctrlProps/ctrlProp422.xml><?xml version="1.0" encoding="utf-8"?>
<formControlPr xmlns="http://schemas.microsoft.com/office/spreadsheetml/2009/9/main" objectType="CheckBox" fmlaLink="B9" lockText="1" noThreeD="1"/>
</file>

<file path=xl/ctrlProps/ctrlProp423.xml><?xml version="1.0" encoding="utf-8"?>
<formControlPr xmlns="http://schemas.microsoft.com/office/spreadsheetml/2009/9/main" objectType="CheckBox" fmlaLink="G9" lockText="1" noThreeD="1"/>
</file>

<file path=xl/ctrlProps/ctrlProp424.xml><?xml version="1.0" encoding="utf-8"?>
<formControlPr xmlns="http://schemas.microsoft.com/office/spreadsheetml/2009/9/main" objectType="CheckBox" fmlaLink="G12" lockText="1" noThreeD="1"/>
</file>

<file path=xl/ctrlProps/ctrlProp425.xml><?xml version="1.0" encoding="utf-8"?>
<formControlPr xmlns="http://schemas.microsoft.com/office/spreadsheetml/2009/9/main" objectType="CheckBox" fmlaLink="G13" lockText="1" noThreeD="1"/>
</file>

<file path=xl/ctrlProps/ctrlProp426.xml><?xml version="1.0" encoding="utf-8"?>
<formControlPr xmlns="http://schemas.microsoft.com/office/spreadsheetml/2009/9/main" objectType="CheckBox" fmlaLink="G16" lockText="1" noThreeD="1"/>
</file>

<file path=xl/ctrlProps/ctrlProp427.xml><?xml version="1.0" encoding="utf-8"?>
<formControlPr xmlns="http://schemas.microsoft.com/office/spreadsheetml/2009/9/main" objectType="CheckBox" fmlaLink="G17" lockText="1" noThreeD="1"/>
</file>

<file path=xl/ctrlProps/ctrlProp428.xml><?xml version="1.0" encoding="utf-8"?>
<formControlPr xmlns="http://schemas.microsoft.com/office/spreadsheetml/2009/9/main" objectType="CheckBox" fmlaLink="L16" lockText="1" noThreeD="1"/>
</file>

<file path=xl/ctrlProps/ctrlProp429.xml><?xml version="1.0" encoding="utf-8"?>
<formControlPr xmlns="http://schemas.microsoft.com/office/spreadsheetml/2009/9/main" objectType="CheckBox" fmlaLink="L17" lockText="1" noThreeD="1"/>
</file>

<file path=xl/ctrlProps/ctrlProp430.xml><?xml version="1.0" encoding="utf-8"?>
<formControlPr xmlns="http://schemas.microsoft.com/office/spreadsheetml/2009/9/main" objectType="CheckBox" fmlaLink="B16" lockText="1" noThreeD="1"/>
</file>

<file path=xl/ctrlProps/ctrlProp431.xml><?xml version="1.0" encoding="utf-8"?>
<formControlPr xmlns="http://schemas.microsoft.com/office/spreadsheetml/2009/9/main" objectType="CheckBox" fmlaLink="B17" lockText="1" noThreeD="1"/>
</file>

<file path=xl/ctrlProps/ctrlProp432.xml><?xml version="1.0" encoding="utf-8"?>
<formControlPr xmlns="http://schemas.microsoft.com/office/spreadsheetml/2009/9/main" objectType="CheckBox" fmlaLink="B12" lockText="1" noThreeD="1"/>
</file>

<file path=xl/ctrlProps/ctrlProp433.xml><?xml version="1.0" encoding="utf-8"?>
<formControlPr xmlns="http://schemas.microsoft.com/office/spreadsheetml/2009/9/main" objectType="CheckBox" fmlaLink="B13" lockText="1" noThreeD="1"/>
</file>

<file path=xl/ctrlProps/ctrlProp434.xml><?xml version="1.0" encoding="utf-8"?>
<formControlPr xmlns="http://schemas.microsoft.com/office/spreadsheetml/2009/9/main" objectType="CheckBox" fmlaLink="B21" lockText="1" noThreeD="1"/>
</file>

<file path=xl/ctrlProps/ctrlProp435.xml><?xml version="1.0" encoding="utf-8"?>
<formControlPr xmlns="http://schemas.microsoft.com/office/spreadsheetml/2009/9/main" objectType="CheckBox" fmlaLink="B25" lockText="1" noThreeD="1"/>
</file>

<file path=xl/ctrlProps/ctrlProp436.xml><?xml version="1.0" encoding="utf-8"?>
<formControlPr xmlns="http://schemas.microsoft.com/office/spreadsheetml/2009/9/main" objectType="CheckBox" fmlaLink="G25" lockText="1" noThreeD="1"/>
</file>

<file path=xl/ctrlProps/ctrlProp437.xml><?xml version="1.0" encoding="utf-8"?>
<formControlPr xmlns="http://schemas.microsoft.com/office/spreadsheetml/2009/9/main" objectType="CheckBox" fmlaLink="L25" lockText="1" noThreeD="1"/>
</file>

<file path=xl/ctrlProps/ctrlProp438.xml><?xml version="1.0" encoding="utf-8"?>
<formControlPr xmlns="http://schemas.microsoft.com/office/spreadsheetml/2009/9/main" objectType="CheckBox" fmlaLink="G21" lockText="1" noThreeD="1"/>
</file>

<file path=xl/ctrlProps/ctrlProp439.xml><?xml version="1.0" encoding="utf-8"?>
<formControlPr xmlns="http://schemas.microsoft.com/office/spreadsheetml/2009/9/main" objectType="CheckBox" fmlaLink="B29" lockText="1" noThreeD="1"/>
</file>

<file path=xl/ctrlProps/ctrlProp440.xml><?xml version="1.0" encoding="utf-8"?>
<formControlPr xmlns="http://schemas.microsoft.com/office/spreadsheetml/2009/9/main" objectType="CheckBox" fmlaLink="G29" lockText="1" noThreeD="1"/>
</file>

<file path=xl/ctrlProps/ctrlProp441.xml><?xml version="1.0" encoding="utf-8"?>
<formControlPr xmlns="http://schemas.microsoft.com/office/spreadsheetml/2009/9/main" objectType="CheckBox" fmlaLink="L29" lockText="1" noThreeD="1"/>
</file>

<file path=xl/ctrlProps/ctrlProp442.xml><?xml version="1.0" encoding="utf-8"?>
<formControlPr xmlns="http://schemas.microsoft.com/office/spreadsheetml/2009/9/main" objectType="CheckBox" fmlaLink="B38" lockText="1" noThreeD="1"/>
</file>

<file path=xl/ctrlProps/ctrlProp443.xml><?xml version="1.0" encoding="utf-8"?>
<formControlPr xmlns="http://schemas.microsoft.com/office/spreadsheetml/2009/9/main" objectType="CheckBox" fmlaLink="G38" lockText="1" noThreeD="1"/>
</file>

<file path=xl/ctrlProps/ctrlProp444.xml><?xml version="1.0" encoding="utf-8"?>
<formControlPr xmlns="http://schemas.microsoft.com/office/spreadsheetml/2009/9/main" objectType="CheckBox" fmlaLink="L38" lockText="1" noThreeD="1"/>
</file>

<file path=xl/ctrlProps/ctrlProp445.xml><?xml version="1.0" encoding="utf-8"?>
<formControlPr xmlns="http://schemas.microsoft.com/office/spreadsheetml/2009/9/main" objectType="CheckBox" fmlaLink="B44" lockText="1" noThreeD="1"/>
</file>

<file path=xl/ctrlProps/ctrlProp446.xml><?xml version="1.0" encoding="utf-8"?>
<formControlPr xmlns="http://schemas.microsoft.com/office/spreadsheetml/2009/9/main" objectType="CheckBox" fmlaLink="G44" lockText="1" noThreeD="1"/>
</file>

<file path=xl/ctrlProps/ctrlProp447.xml><?xml version="1.0" encoding="utf-8"?>
<formControlPr xmlns="http://schemas.microsoft.com/office/spreadsheetml/2009/9/main" objectType="CheckBox" fmlaLink="B39" lockText="1" noThreeD="1"/>
</file>

<file path=xl/ctrlProps/ctrlProp448.xml><?xml version="1.0" encoding="utf-8"?>
<formControlPr xmlns="http://schemas.microsoft.com/office/spreadsheetml/2009/9/main" objectType="CheckBox" fmlaLink="B18" lockText="1" noThreeD="1"/>
</file>

<file path=xl/ctrlProps/ctrlProp449.xml><?xml version="1.0" encoding="utf-8"?>
<formControlPr xmlns="http://schemas.microsoft.com/office/spreadsheetml/2009/9/main" objectType="CheckBox" fmlaLink="B32" lockText="1" noThreeD="1"/>
</file>

<file path=xl/ctrlProps/ctrlProp450.xml><?xml version="1.0" encoding="utf-8"?>
<formControlPr xmlns="http://schemas.microsoft.com/office/spreadsheetml/2009/9/main" objectType="CheckBox" fmlaLink="B33" lockText="1" noThreeD="1"/>
</file>

<file path=xl/ctrlProps/ctrlProp451.xml><?xml version="1.0" encoding="utf-8"?>
<formControlPr xmlns="http://schemas.microsoft.com/office/spreadsheetml/2009/9/main" objectType="CheckBox" fmlaLink="B34" lockText="1" noThreeD="1"/>
</file>

<file path=xl/ctrlProps/ctrlProp452.xml><?xml version="1.0" encoding="utf-8"?>
<formControlPr xmlns="http://schemas.microsoft.com/office/spreadsheetml/2009/9/main" objectType="CheckBox" fmlaLink="G32" lockText="1" noThreeD="1"/>
</file>

<file path=xl/ctrlProps/ctrlProp453.xml><?xml version="1.0" encoding="utf-8"?>
<formControlPr xmlns="http://schemas.microsoft.com/office/spreadsheetml/2009/9/main" objectType="CheckBox" fmlaLink="G33" lockText="1" noThreeD="1"/>
</file>

<file path=xl/ctrlProps/ctrlProp454.xml><?xml version="1.0" encoding="utf-8"?>
<formControlPr xmlns="http://schemas.microsoft.com/office/spreadsheetml/2009/9/main" objectType="CheckBox" fmlaLink="G34" lockText="1" noThreeD="1"/>
</file>

<file path=xl/ctrlProps/ctrlProp455.xml><?xml version="1.0" encoding="utf-8"?>
<formControlPr xmlns="http://schemas.microsoft.com/office/spreadsheetml/2009/9/main" objectType="CheckBox" fmlaLink="L32" lockText="1" noThreeD="1"/>
</file>

<file path=xl/ctrlProps/ctrlProp456.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6182" name="Check Box 54" hidden="1">
              <a:extLst>
                <a:ext uri="{63B3BB69-23CF-44E3-9099-C40C66FF867C}">
                  <a14:compatExt spid="_x0000_s176182"/>
                </a:ext>
                <a:ext uri="{FF2B5EF4-FFF2-40B4-BE49-F238E27FC236}">
                  <a16:creationId xmlns:a16="http://schemas.microsoft.com/office/drawing/2014/main" id="{00000000-0008-0000-0500-00003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6183" name="Check Box 55" hidden="1">
              <a:extLst>
                <a:ext uri="{63B3BB69-23CF-44E3-9099-C40C66FF867C}">
                  <a14:compatExt spid="_x0000_s176183"/>
                </a:ext>
                <a:ext uri="{FF2B5EF4-FFF2-40B4-BE49-F238E27FC236}">
                  <a16:creationId xmlns:a16="http://schemas.microsoft.com/office/drawing/2014/main" id="{00000000-0008-0000-0500-000037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6184" name="Check Box 56" hidden="1">
              <a:extLst>
                <a:ext uri="{63B3BB69-23CF-44E3-9099-C40C66FF867C}">
                  <a14:compatExt spid="_x0000_s176184"/>
                </a:ext>
                <a:ext uri="{FF2B5EF4-FFF2-40B4-BE49-F238E27FC236}">
                  <a16:creationId xmlns:a16="http://schemas.microsoft.com/office/drawing/2014/main" id="{00000000-0008-0000-0500-000038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6185" name="Check Box 57" hidden="1">
              <a:extLst>
                <a:ext uri="{63B3BB69-23CF-44E3-9099-C40C66FF867C}">
                  <a14:compatExt spid="_x0000_s176185"/>
                </a:ext>
                <a:ext uri="{FF2B5EF4-FFF2-40B4-BE49-F238E27FC236}">
                  <a16:creationId xmlns:a16="http://schemas.microsoft.com/office/drawing/2014/main" id="{00000000-0008-0000-0500-000039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33</xdr:row>
          <xdr:rowOff>19050</xdr:rowOff>
        </xdr:to>
        <xdr:sp macro="" textlink="">
          <xdr:nvSpPr>
            <xdr:cNvPr id="176186" name="Check Box 58" hidden="1">
              <a:extLst>
                <a:ext uri="{63B3BB69-23CF-44E3-9099-C40C66FF867C}">
                  <a14:compatExt spid="_x0000_s176186"/>
                </a:ext>
                <a:ext uri="{FF2B5EF4-FFF2-40B4-BE49-F238E27FC236}">
                  <a16:creationId xmlns:a16="http://schemas.microsoft.com/office/drawing/2014/main" id="{00000000-0008-0000-0500-00003A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33</xdr:row>
          <xdr:rowOff>19050</xdr:rowOff>
        </xdr:to>
        <xdr:sp macro="" textlink="">
          <xdr:nvSpPr>
            <xdr:cNvPr id="176187" name="Check Box 59" hidden="1">
              <a:extLst>
                <a:ext uri="{63B3BB69-23CF-44E3-9099-C40C66FF867C}">
                  <a14:compatExt spid="_x0000_s176187"/>
                </a:ext>
                <a:ext uri="{FF2B5EF4-FFF2-40B4-BE49-F238E27FC236}">
                  <a16:creationId xmlns:a16="http://schemas.microsoft.com/office/drawing/2014/main" id="{00000000-0008-0000-0500-00003B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6188" name="Check Box 60" hidden="1">
              <a:extLst>
                <a:ext uri="{63B3BB69-23CF-44E3-9099-C40C66FF867C}">
                  <a14:compatExt spid="_x0000_s176188"/>
                </a:ext>
                <a:ext uri="{FF2B5EF4-FFF2-40B4-BE49-F238E27FC236}">
                  <a16:creationId xmlns:a16="http://schemas.microsoft.com/office/drawing/2014/main" id="{00000000-0008-0000-0500-00003C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6189" name="Check Box 61" hidden="1">
              <a:extLst>
                <a:ext uri="{63B3BB69-23CF-44E3-9099-C40C66FF867C}">
                  <a14:compatExt spid="_x0000_s176189"/>
                </a:ext>
                <a:ext uri="{FF2B5EF4-FFF2-40B4-BE49-F238E27FC236}">
                  <a16:creationId xmlns:a16="http://schemas.microsoft.com/office/drawing/2014/main" id="{00000000-0008-0000-0500-00003D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6190" name="Check Box 62" hidden="1">
              <a:extLst>
                <a:ext uri="{63B3BB69-23CF-44E3-9099-C40C66FF867C}">
                  <a14:compatExt spid="_x0000_s176190"/>
                </a:ext>
                <a:ext uri="{FF2B5EF4-FFF2-40B4-BE49-F238E27FC236}">
                  <a16:creationId xmlns:a16="http://schemas.microsoft.com/office/drawing/2014/main" id="{00000000-0008-0000-0500-00003E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6191" name="Check Box 63" hidden="1">
              <a:extLst>
                <a:ext uri="{63B3BB69-23CF-44E3-9099-C40C66FF867C}">
                  <a14:compatExt spid="_x0000_s176191"/>
                </a:ext>
                <a:ext uri="{FF2B5EF4-FFF2-40B4-BE49-F238E27FC236}">
                  <a16:creationId xmlns:a16="http://schemas.microsoft.com/office/drawing/2014/main" id="{00000000-0008-0000-0500-00003F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6192" name="Check Box 64" hidden="1">
              <a:extLst>
                <a:ext uri="{63B3BB69-23CF-44E3-9099-C40C66FF867C}">
                  <a14:compatExt spid="_x0000_s176192"/>
                </a:ext>
                <a:ext uri="{FF2B5EF4-FFF2-40B4-BE49-F238E27FC236}">
                  <a16:creationId xmlns:a16="http://schemas.microsoft.com/office/drawing/2014/main" id="{00000000-0008-0000-0500-000040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6193" name="Check Box 65" hidden="1">
              <a:extLst>
                <a:ext uri="{63B3BB69-23CF-44E3-9099-C40C66FF867C}">
                  <a14:compatExt spid="_x0000_s176193"/>
                </a:ext>
                <a:ext uri="{FF2B5EF4-FFF2-40B4-BE49-F238E27FC236}">
                  <a16:creationId xmlns:a16="http://schemas.microsoft.com/office/drawing/2014/main" id="{00000000-0008-0000-0500-000041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6194" name="Check Box 66" hidden="1">
              <a:extLst>
                <a:ext uri="{63B3BB69-23CF-44E3-9099-C40C66FF867C}">
                  <a14:compatExt spid="_x0000_s176194"/>
                </a:ext>
                <a:ext uri="{FF2B5EF4-FFF2-40B4-BE49-F238E27FC236}">
                  <a16:creationId xmlns:a16="http://schemas.microsoft.com/office/drawing/2014/main" id="{00000000-0008-0000-0500-000042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6195" name="Check Box 67" hidden="1">
              <a:extLst>
                <a:ext uri="{63B3BB69-23CF-44E3-9099-C40C66FF867C}">
                  <a14:compatExt spid="_x0000_s176195"/>
                </a:ext>
                <a:ext uri="{FF2B5EF4-FFF2-40B4-BE49-F238E27FC236}">
                  <a16:creationId xmlns:a16="http://schemas.microsoft.com/office/drawing/2014/main" id="{00000000-0008-0000-0500-000043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cell r="F1017"/>
          <cell r="G1017"/>
          <cell r="H1017"/>
        </row>
        <row r="1018">
          <cell r="A1018"/>
          <cell r="B1018"/>
          <cell r="C1018"/>
          <cell r="D1018"/>
          <cell r="E1018"/>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9" Type="http://schemas.openxmlformats.org/officeDocument/2006/relationships/ctrlProp" Target="../ctrlProps/ctrlProp77.xml"/><Relationship Id="rId21" Type="http://schemas.openxmlformats.org/officeDocument/2006/relationships/ctrlProp" Target="../ctrlProps/ctrlProp59.xml"/><Relationship Id="rId34" Type="http://schemas.openxmlformats.org/officeDocument/2006/relationships/ctrlProp" Target="../ctrlProps/ctrlProp72.xml"/><Relationship Id="rId42" Type="http://schemas.openxmlformats.org/officeDocument/2006/relationships/ctrlProp" Target="../ctrlProps/ctrlProp80.xml"/><Relationship Id="rId47" Type="http://schemas.openxmlformats.org/officeDocument/2006/relationships/ctrlProp" Target="../ctrlProps/ctrlProp85.xml"/><Relationship Id="rId7" Type="http://schemas.openxmlformats.org/officeDocument/2006/relationships/ctrlProp" Target="../ctrlProps/ctrlProp45.xml"/><Relationship Id="rId2" Type="http://schemas.openxmlformats.org/officeDocument/2006/relationships/drawing" Target="../drawings/drawing6.xml"/><Relationship Id="rId16" Type="http://schemas.openxmlformats.org/officeDocument/2006/relationships/ctrlProp" Target="../ctrlProps/ctrlProp54.xml"/><Relationship Id="rId29" Type="http://schemas.openxmlformats.org/officeDocument/2006/relationships/ctrlProp" Target="../ctrlProps/ctrlProp67.xml"/><Relationship Id="rId1" Type="http://schemas.openxmlformats.org/officeDocument/2006/relationships/printerSettings" Target="../printerSettings/printerSettings11.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40" Type="http://schemas.openxmlformats.org/officeDocument/2006/relationships/ctrlProp" Target="../ctrlProps/ctrlProp78.xml"/><Relationship Id="rId45" Type="http://schemas.openxmlformats.org/officeDocument/2006/relationships/ctrlProp" Target="../ctrlProps/ctrlProp83.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4" Type="http://schemas.openxmlformats.org/officeDocument/2006/relationships/ctrlProp" Target="../ctrlProps/ctrlProp82.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43" Type="http://schemas.openxmlformats.org/officeDocument/2006/relationships/ctrlProp" Target="../ctrlProps/ctrlProp81.xml"/><Relationship Id="rId8" Type="http://schemas.openxmlformats.org/officeDocument/2006/relationships/ctrlProp" Target="../ctrlProps/ctrlProp46.xml"/><Relationship Id="rId3" Type="http://schemas.openxmlformats.org/officeDocument/2006/relationships/vmlDrawing" Target="../drawings/vmlDrawing6.v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trlProp" Target="../ctrlProps/ctrlProp76.xml"/><Relationship Id="rId46" Type="http://schemas.openxmlformats.org/officeDocument/2006/relationships/ctrlProp" Target="../ctrlProps/ctrlProp84.xml"/><Relationship Id="rId20" Type="http://schemas.openxmlformats.org/officeDocument/2006/relationships/ctrlProp" Target="../ctrlProps/ctrlProp58.xml"/><Relationship Id="rId41" Type="http://schemas.openxmlformats.org/officeDocument/2006/relationships/ctrlProp" Target="../ctrlProps/ctrlProp7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89.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8.vml"/><Relationship Id="rId7" Type="http://schemas.openxmlformats.org/officeDocument/2006/relationships/ctrlProp" Target="../ctrlProps/ctrlProp93.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2.xml"/><Relationship Id="rId5" Type="http://schemas.openxmlformats.org/officeDocument/2006/relationships/ctrlProp" Target="../ctrlProps/ctrlProp91.xml"/><Relationship Id="rId10" Type="http://schemas.openxmlformats.org/officeDocument/2006/relationships/ctrlProp" Target="../ctrlProps/ctrlProp96.xml"/><Relationship Id="rId4" Type="http://schemas.openxmlformats.org/officeDocument/2006/relationships/ctrlProp" Target="../ctrlProps/ctrlProp90.xml"/><Relationship Id="rId9" Type="http://schemas.openxmlformats.org/officeDocument/2006/relationships/ctrlProp" Target="../ctrlProps/ctrlProp95.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1.xml"/><Relationship Id="rId13" Type="http://schemas.openxmlformats.org/officeDocument/2006/relationships/ctrlProp" Target="../ctrlProps/ctrlProp106.xml"/><Relationship Id="rId3" Type="http://schemas.openxmlformats.org/officeDocument/2006/relationships/vmlDrawing" Target="../drawings/vmlDrawing9.vml"/><Relationship Id="rId7" Type="http://schemas.openxmlformats.org/officeDocument/2006/relationships/ctrlProp" Target="../ctrlProps/ctrlProp100.xml"/><Relationship Id="rId12" Type="http://schemas.openxmlformats.org/officeDocument/2006/relationships/ctrlProp" Target="../ctrlProps/ctrlProp105.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9.xml"/><Relationship Id="rId11" Type="http://schemas.openxmlformats.org/officeDocument/2006/relationships/ctrlProp" Target="../ctrlProps/ctrlProp104.xml"/><Relationship Id="rId5" Type="http://schemas.openxmlformats.org/officeDocument/2006/relationships/ctrlProp" Target="../ctrlProps/ctrlProp98.xml"/><Relationship Id="rId10" Type="http://schemas.openxmlformats.org/officeDocument/2006/relationships/ctrlProp" Target="../ctrlProps/ctrlProp103.xml"/><Relationship Id="rId4" Type="http://schemas.openxmlformats.org/officeDocument/2006/relationships/ctrlProp" Target="../ctrlProps/ctrlProp97.xml"/><Relationship Id="rId9" Type="http://schemas.openxmlformats.org/officeDocument/2006/relationships/ctrlProp" Target="../ctrlProps/ctrlProp102.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6.xml"/><Relationship Id="rId18" Type="http://schemas.openxmlformats.org/officeDocument/2006/relationships/ctrlProp" Target="../ctrlProps/ctrlProp121.xml"/><Relationship Id="rId26" Type="http://schemas.openxmlformats.org/officeDocument/2006/relationships/ctrlProp" Target="../ctrlProps/ctrlProp129.xml"/><Relationship Id="rId21" Type="http://schemas.openxmlformats.org/officeDocument/2006/relationships/ctrlProp" Target="../ctrlProps/ctrlProp124.xml"/><Relationship Id="rId34" Type="http://schemas.openxmlformats.org/officeDocument/2006/relationships/ctrlProp" Target="../ctrlProps/ctrlProp137.xml"/><Relationship Id="rId7" Type="http://schemas.openxmlformats.org/officeDocument/2006/relationships/ctrlProp" Target="../ctrlProps/ctrlProp110.xml"/><Relationship Id="rId12" Type="http://schemas.openxmlformats.org/officeDocument/2006/relationships/ctrlProp" Target="../ctrlProps/ctrlProp115.xml"/><Relationship Id="rId17" Type="http://schemas.openxmlformats.org/officeDocument/2006/relationships/ctrlProp" Target="../ctrlProps/ctrlProp120.xml"/><Relationship Id="rId25" Type="http://schemas.openxmlformats.org/officeDocument/2006/relationships/ctrlProp" Target="../ctrlProps/ctrlProp128.xml"/><Relationship Id="rId33" Type="http://schemas.openxmlformats.org/officeDocument/2006/relationships/ctrlProp" Target="../ctrlProps/ctrlProp136.xml"/><Relationship Id="rId38" Type="http://schemas.openxmlformats.org/officeDocument/2006/relationships/ctrlProp" Target="../ctrlProps/ctrlProp141.xml"/><Relationship Id="rId2" Type="http://schemas.openxmlformats.org/officeDocument/2006/relationships/drawing" Target="../drawings/drawing10.xml"/><Relationship Id="rId16" Type="http://schemas.openxmlformats.org/officeDocument/2006/relationships/ctrlProp" Target="../ctrlProps/ctrlProp119.xml"/><Relationship Id="rId20" Type="http://schemas.openxmlformats.org/officeDocument/2006/relationships/ctrlProp" Target="../ctrlProps/ctrlProp123.xml"/><Relationship Id="rId29" Type="http://schemas.openxmlformats.org/officeDocument/2006/relationships/ctrlProp" Target="../ctrlProps/ctrlProp132.xml"/><Relationship Id="rId1" Type="http://schemas.openxmlformats.org/officeDocument/2006/relationships/printerSettings" Target="../printerSettings/printerSettings15.bin"/><Relationship Id="rId6" Type="http://schemas.openxmlformats.org/officeDocument/2006/relationships/ctrlProp" Target="../ctrlProps/ctrlProp109.xml"/><Relationship Id="rId11" Type="http://schemas.openxmlformats.org/officeDocument/2006/relationships/ctrlProp" Target="../ctrlProps/ctrlProp114.xml"/><Relationship Id="rId24" Type="http://schemas.openxmlformats.org/officeDocument/2006/relationships/ctrlProp" Target="../ctrlProps/ctrlProp127.xml"/><Relationship Id="rId32" Type="http://schemas.openxmlformats.org/officeDocument/2006/relationships/ctrlProp" Target="../ctrlProps/ctrlProp135.xml"/><Relationship Id="rId37" Type="http://schemas.openxmlformats.org/officeDocument/2006/relationships/ctrlProp" Target="../ctrlProps/ctrlProp140.xml"/><Relationship Id="rId5" Type="http://schemas.openxmlformats.org/officeDocument/2006/relationships/ctrlProp" Target="../ctrlProps/ctrlProp108.xml"/><Relationship Id="rId15" Type="http://schemas.openxmlformats.org/officeDocument/2006/relationships/ctrlProp" Target="../ctrlProps/ctrlProp118.xml"/><Relationship Id="rId23" Type="http://schemas.openxmlformats.org/officeDocument/2006/relationships/ctrlProp" Target="../ctrlProps/ctrlProp126.xml"/><Relationship Id="rId28" Type="http://schemas.openxmlformats.org/officeDocument/2006/relationships/ctrlProp" Target="../ctrlProps/ctrlProp131.xml"/><Relationship Id="rId36" Type="http://schemas.openxmlformats.org/officeDocument/2006/relationships/ctrlProp" Target="../ctrlProps/ctrlProp139.xml"/><Relationship Id="rId10" Type="http://schemas.openxmlformats.org/officeDocument/2006/relationships/ctrlProp" Target="../ctrlProps/ctrlProp113.xml"/><Relationship Id="rId19" Type="http://schemas.openxmlformats.org/officeDocument/2006/relationships/ctrlProp" Target="../ctrlProps/ctrlProp122.xml"/><Relationship Id="rId31" Type="http://schemas.openxmlformats.org/officeDocument/2006/relationships/ctrlProp" Target="../ctrlProps/ctrlProp134.xml"/><Relationship Id="rId4" Type="http://schemas.openxmlformats.org/officeDocument/2006/relationships/ctrlProp" Target="../ctrlProps/ctrlProp107.xml"/><Relationship Id="rId9" Type="http://schemas.openxmlformats.org/officeDocument/2006/relationships/ctrlProp" Target="../ctrlProps/ctrlProp112.xml"/><Relationship Id="rId14" Type="http://schemas.openxmlformats.org/officeDocument/2006/relationships/ctrlProp" Target="../ctrlProps/ctrlProp117.xml"/><Relationship Id="rId22" Type="http://schemas.openxmlformats.org/officeDocument/2006/relationships/ctrlProp" Target="../ctrlProps/ctrlProp125.xml"/><Relationship Id="rId27" Type="http://schemas.openxmlformats.org/officeDocument/2006/relationships/ctrlProp" Target="../ctrlProps/ctrlProp130.xml"/><Relationship Id="rId30" Type="http://schemas.openxmlformats.org/officeDocument/2006/relationships/ctrlProp" Target="../ctrlProps/ctrlProp133.xml"/><Relationship Id="rId35" Type="http://schemas.openxmlformats.org/officeDocument/2006/relationships/ctrlProp" Target="../ctrlProps/ctrlProp138.xml"/><Relationship Id="rId8" Type="http://schemas.openxmlformats.org/officeDocument/2006/relationships/ctrlProp" Target="../ctrlProps/ctrlProp111.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1.xml"/><Relationship Id="rId18" Type="http://schemas.openxmlformats.org/officeDocument/2006/relationships/ctrlProp" Target="../ctrlProps/ctrlProp156.xml"/><Relationship Id="rId26" Type="http://schemas.openxmlformats.org/officeDocument/2006/relationships/ctrlProp" Target="../ctrlProps/ctrlProp164.xml"/><Relationship Id="rId21" Type="http://schemas.openxmlformats.org/officeDocument/2006/relationships/ctrlProp" Target="../ctrlProps/ctrlProp159.xml"/><Relationship Id="rId34" Type="http://schemas.openxmlformats.org/officeDocument/2006/relationships/ctrlProp" Target="../ctrlProps/ctrlProp172.xml"/><Relationship Id="rId7" Type="http://schemas.openxmlformats.org/officeDocument/2006/relationships/ctrlProp" Target="../ctrlProps/ctrlProp145.xml"/><Relationship Id="rId12" Type="http://schemas.openxmlformats.org/officeDocument/2006/relationships/ctrlProp" Target="../ctrlProps/ctrlProp150.xml"/><Relationship Id="rId17" Type="http://schemas.openxmlformats.org/officeDocument/2006/relationships/ctrlProp" Target="../ctrlProps/ctrlProp155.xml"/><Relationship Id="rId25" Type="http://schemas.openxmlformats.org/officeDocument/2006/relationships/ctrlProp" Target="../ctrlProps/ctrlProp163.xml"/><Relationship Id="rId33" Type="http://schemas.openxmlformats.org/officeDocument/2006/relationships/ctrlProp" Target="../ctrlProps/ctrlProp171.xml"/><Relationship Id="rId38" Type="http://schemas.openxmlformats.org/officeDocument/2006/relationships/ctrlProp" Target="../ctrlProps/ctrlProp176.xml"/><Relationship Id="rId2" Type="http://schemas.openxmlformats.org/officeDocument/2006/relationships/drawing" Target="../drawings/drawing11.xml"/><Relationship Id="rId16" Type="http://schemas.openxmlformats.org/officeDocument/2006/relationships/ctrlProp" Target="../ctrlProps/ctrlProp154.xml"/><Relationship Id="rId20" Type="http://schemas.openxmlformats.org/officeDocument/2006/relationships/ctrlProp" Target="../ctrlProps/ctrlProp158.xml"/><Relationship Id="rId29" Type="http://schemas.openxmlformats.org/officeDocument/2006/relationships/ctrlProp" Target="../ctrlProps/ctrlProp167.xml"/><Relationship Id="rId1" Type="http://schemas.openxmlformats.org/officeDocument/2006/relationships/printerSettings" Target="../printerSettings/printerSettings16.bin"/><Relationship Id="rId6" Type="http://schemas.openxmlformats.org/officeDocument/2006/relationships/ctrlProp" Target="../ctrlProps/ctrlProp144.xml"/><Relationship Id="rId11" Type="http://schemas.openxmlformats.org/officeDocument/2006/relationships/ctrlProp" Target="../ctrlProps/ctrlProp149.xml"/><Relationship Id="rId24" Type="http://schemas.openxmlformats.org/officeDocument/2006/relationships/ctrlProp" Target="../ctrlProps/ctrlProp162.xml"/><Relationship Id="rId32" Type="http://schemas.openxmlformats.org/officeDocument/2006/relationships/ctrlProp" Target="../ctrlProps/ctrlProp170.xml"/><Relationship Id="rId37" Type="http://schemas.openxmlformats.org/officeDocument/2006/relationships/ctrlProp" Target="../ctrlProps/ctrlProp175.xml"/><Relationship Id="rId5" Type="http://schemas.openxmlformats.org/officeDocument/2006/relationships/ctrlProp" Target="../ctrlProps/ctrlProp143.xml"/><Relationship Id="rId15" Type="http://schemas.openxmlformats.org/officeDocument/2006/relationships/ctrlProp" Target="../ctrlProps/ctrlProp153.xml"/><Relationship Id="rId23" Type="http://schemas.openxmlformats.org/officeDocument/2006/relationships/ctrlProp" Target="../ctrlProps/ctrlProp161.xml"/><Relationship Id="rId28" Type="http://schemas.openxmlformats.org/officeDocument/2006/relationships/ctrlProp" Target="../ctrlProps/ctrlProp166.xml"/><Relationship Id="rId36" Type="http://schemas.openxmlformats.org/officeDocument/2006/relationships/ctrlProp" Target="../ctrlProps/ctrlProp174.xml"/><Relationship Id="rId10" Type="http://schemas.openxmlformats.org/officeDocument/2006/relationships/ctrlProp" Target="../ctrlProps/ctrlProp148.xml"/><Relationship Id="rId19" Type="http://schemas.openxmlformats.org/officeDocument/2006/relationships/ctrlProp" Target="../ctrlProps/ctrlProp157.xml"/><Relationship Id="rId31" Type="http://schemas.openxmlformats.org/officeDocument/2006/relationships/ctrlProp" Target="../ctrlProps/ctrlProp169.xml"/><Relationship Id="rId4" Type="http://schemas.openxmlformats.org/officeDocument/2006/relationships/ctrlProp" Target="../ctrlProps/ctrlProp142.xml"/><Relationship Id="rId9" Type="http://schemas.openxmlformats.org/officeDocument/2006/relationships/ctrlProp" Target="../ctrlProps/ctrlProp147.xml"/><Relationship Id="rId14" Type="http://schemas.openxmlformats.org/officeDocument/2006/relationships/ctrlProp" Target="../ctrlProps/ctrlProp152.xml"/><Relationship Id="rId22" Type="http://schemas.openxmlformats.org/officeDocument/2006/relationships/ctrlProp" Target="../ctrlProps/ctrlProp160.xml"/><Relationship Id="rId27" Type="http://schemas.openxmlformats.org/officeDocument/2006/relationships/ctrlProp" Target="../ctrlProps/ctrlProp165.xml"/><Relationship Id="rId30" Type="http://schemas.openxmlformats.org/officeDocument/2006/relationships/ctrlProp" Target="../ctrlProps/ctrlProp168.xml"/><Relationship Id="rId35" Type="http://schemas.openxmlformats.org/officeDocument/2006/relationships/ctrlProp" Target="../ctrlProps/ctrlProp173.xml"/><Relationship Id="rId8" Type="http://schemas.openxmlformats.org/officeDocument/2006/relationships/ctrlProp" Target="../ctrlProps/ctrlProp146.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6.xml"/><Relationship Id="rId18" Type="http://schemas.openxmlformats.org/officeDocument/2006/relationships/ctrlProp" Target="../ctrlProps/ctrlProp191.xml"/><Relationship Id="rId26" Type="http://schemas.openxmlformats.org/officeDocument/2006/relationships/ctrlProp" Target="../ctrlProps/ctrlProp199.xml"/><Relationship Id="rId21" Type="http://schemas.openxmlformats.org/officeDocument/2006/relationships/ctrlProp" Target="../ctrlProps/ctrlProp194.xml"/><Relationship Id="rId34" Type="http://schemas.openxmlformats.org/officeDocument/2006/relationships/ctrlProp" Target="../ctrlProps/ctrlProp207.xml"/><Relationship Id="rId7" Type="http://schemas.openxmlformats.org/officeDocument/2006/relationships/ctrlProp" Target="../ctrlProps/ctrlProp180.xml"/><Relationship Id="rId12" Type="http://schemas.openxmlformats.org/officeDocument/2006/relationships/ctrlProp" Target="../ctrlProps/ctrlProp185.xml"/><Relationship Id="rId17" Type="http://schemas.openxmlformats.org/officeDocument/2006/relationships/ctrlProp" Target="../ctrlProps/ctrlProp190.xml"/><Relationship Id="rId25" Type="http://schemas.openxmlformats.org/officeDocument/2006/relationships/ctrlProp" Target="../ctrlProps/ctrlProp198.xml"/><Relationship Id="rId33" Type="http://schemas.openxmlformats.org/officeDocument/2006/relationships/ctrlProp" Target="../ctrlProps/ctrlProp206.xml"/><Relationship Id="rId38" Type="http://schemas.openxmlformats.org/officeDocument/2006/relationships/ctrlProp" Target="../ctrlProps/ctrlProp211.xml"/><Relationship Id="rId2" Type="http://schemas.openxmlformats.org/officeDocument/2006/relationships/drawing" Target="../drawings/drawing12.xml"/><Relationship Id="rId16" Type="http://schemas.openxmlformats.org/officeDocument/2006/relationships/ctrlProp" Target="../ctrlProps/ctrlProp189.xml"/><Relationship Id="rId20" Type="http://schemas.openxmlformats.org/officeDocument/2006/relationships/ctrlProp" Target="../ctrlProps/ctrlProp193.xml"/><Relationship Id="rId29" Type="http://schemas.openxmlformats.org/officeDocument/2006/relationships/ctrlProp" Target="../ctrlProps/ctrlProp202.xml"/><Relationship Id="rId1" Type="http://schemas.openxmlformats.org/officeDocument/2006/relationships/printerSettings" Target="../printerSettings/printerSettings17.bin"/><Relationship Id="rId6" Type="http://schemas.openxmlformats.org/officeDocument/2006/relationships/ctrlProp" Target="../ctrlProps/ctrlProp179.xml"/><Relationship Id="rId11" Type="http://schemas.openxmlformats.org/officeDocument/2006/relationships/ctrlProp" Target="../ctrlProps/ctrlProp184.xml"/><Relationship Id="rId24" Type="http://schemas.openxmlformats.org/officeDocument/2006/relationships/ctrlProp" Target="../ctrlProps/ctrlProp197.xml"/><Relationship Id="rId32" Type="http://schemas.openxmlformats.org/officeDocument/2006/relationships/ctrlProp" Target="../ctrlProps/ctrlProp205.xml"/><Relationship Id="rId37" Type="http://schemas.openxmlformats.org/officeDocument/2006/relationships/ctrlProp" Target="../ctrlProps/ctrlProp210.xml"/><Relationship Id="rId5" Type="http://schemas.openxmlformats.org/officeDocument/2006/relationships/ctrlProp" Target="../ctrlProps/ctrlProp178.xml"/><Relationship Id="rId15" Type="http://schemas.openxmlformats.org/officeDocument/2006/relationships/ctrlProp" Target="../ctrlProps/ctrlProp188.xml"/><Relationship Id="rId23" Type="http://schemas.openxmlformats.org/officeDocument/2006/relationships/ctrlProp" Target="../ctrlProps/ctrlProp196.xml"/><Relationship Id="rId28" Type="http://schemas.openxmlformats.org/officeDocument/2006/relationships/ctrlProp" Target="../ctrlProps/ctrlProp201.xml"/><Relationship Id="rId36" Type="http://schemas.openxmlformats.org/officeDocument/2006/relationships/ctrlProp" Target="../ctrlProps/ctrlProp209.xml"/><Relationship Id="rId10" Type="http://schemas.openxmlformats.org/officeDocument/2006/relationships/ctrlProp" Target="../ctrlProps/ctrlProp183.xml"/><Relationship Id="rId19" Type="http://schemas.openxmlformats.org/officeDocument/2006/relationships/ctrlProp" Target="../ctrlProps/ctrlProp192.xml"/><Relationship Id="rId31" Type="http://schemas.openxmlformats.org/officeDocument/2006/relationships/ctrlProp" Target="../ctrlProps/ctrlProp204.xml"/><Relationship Id="rId4" Type="http://schemas.openxmlformats.org/officeDocument/2006/relationships/ctrlProp" Target="../ctrlProps/ctrlProp177.xml"/><Relationship Id="rId9" Type="http://schemas.openxmlformats.org/officeDocument/2006/relationships/ctrlProp" Target="../ctrlProps/ctrlProp182.xml"/><Relationship Id="rId14" Type="http://schemas.openxmlformats.org/officeDocument/2006/relationships/ctrlProp" Target="../ctrlProps/ctrlProp187.xml"/><Relationship Id="rId22" Type="http://schemas.openxmlformats.org/officeDocument/2006/relationships/ctrlProp" Target="../ctrlProps/ctrlProp195.xml"/><Relationship Id="rId27" Type="http://schemas.openxmlformats.org/officeDocument/2006/relationships/ctrlProp" Target="../ctrlProps/ctrlProp200.xml"/><Relationship Id="rId30" Type="http://schemas.openxmlformats.org/officeDocument/2006/relationships/ctrlProp" Target="../ctrlProps/ctrlProp203.xml"/><Relationship Id="rId35" Type="http://schemas.openxmlformats.org/officeDocument/2006/relationships/ctrlProp" Target="../ctrlProps/ctrlProp208.xml"/><Relationship Id="rId8" Type="http://schemas.openxmlformats.org/officeDocument/2006/relationships/ctrlProp" Target="../ctrlProps/ctrlProp181.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1.xml"/><Relationship Id="rId18" Type="http://schemas.openxmlformats.org/officeDocument/2006/relationships/ctrlProp" Target="../ctrlProps/ctrlProp226.xml"/><Relationship Id="rId26" Type="http://schemas.openxmlformats.org/officeDocument/2006/relationships/ctrlProp" Target="../ctrlProps/ctrlProp234.xml"/><Relationship Id="rId21" Type="http://schemas.openxmlformats.org/officeDocument/2006/relationships/ctrlProp" Target="../ctrlProps/ctrlProp229.xml"/><Relationship Id="rId34" Type="http://schemas.openxmlformats.org/officeDocument/2006/relationships/ctrlProp" Target="../ctrlProps/ctrlProp242.x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5" Type="http://schemas.openxmlformats.org/officeDocument/2006/relationships/ctrlProp" Target="../ctrlProps/ctrlProp233.xml"/><Relationship Id="rId33" Type="http://schemas.openxmlformats.org/officeDocument/2006/relationships/ctrlProp" Target="../ctrlProps/ctrlProp241.xml"/><Relationship Id="rId38" Type="http://schemas.openxmlformats.org/officeDocument/2006/relationships/ctrlProp" Target="../ctrlProps/ctrlProp246.xml"/><Relationship Id="rId2" Type="http://schemas.openxmlformats.org/officeDocument/2006/relationships/drawing" Target="../drawings/drawing13.xml"/><Relationship Id="rId16" Type="http://schemas.openxmlformats.org/officeDocument/2006/relationships/ctrlProp" Target="../ctrlProps/ctrlProp224.xml"/><Relationship Id="rId20" Type="http://schemas.openxmlformats.org/officeDocument/2006/relationships/ctrlProp" Target="../ctrlProps/ctrlProp228.xml"/><Relationship Id="rId29" Type="http://schemas.openxmlformats.org/officeDocument/2006/relationships/ctrlProp" Target="../ctrlProps/ctrlProp237.xml"/><Relationship Id="rId1" Type="http://schemas.openxmlformats.org/officeDocument/2006/relationships/printerSettings" Target="../printerSettings/printerSettings18.bin"/><Relationship Id="rId6" Type="http://schemas.openxmlformats.org/officeDocument/2006/relationships/ctrlProp" Target="../ctrlProps/ctrlProp214.xml"/><Relationship Id="rId11" Type="http://schemas.openxmlformats.org/officeDocument/2006/relationships/ctrlProp" Target="../ctrlProps/ctrlProp219.xml"/><Relationship Id="rId24" Type="http://schemas.openxmlformats.org/officeDocument/2006/relationships/ctrlProp" Target="../ctrlProps/ctrlProp232.xml"/><Relationship Id="rId32" Type="http://schemas.openxmlformats.org/officeDocument/2006/relationships/ctrlProp" Target="../ctrlProps/ctrlProp240.xml"/><Relationship Id="rId37" Type="http://schemas.openxmlformats.org/officeDocument/2006/relationships/ctrlProp" Target="../ctrlProps/ctrlProp245.xml"/><Relationship Id="rId5" Type="http://schemas.openxmlformats.org/officeDocument/2006/relationships/ctrlProp" Target="../ctrlProps/ctrlProp213.xml"/><Relationship Id="rId15" Type="http://schemas.openxmlformats.org/officeDocument/2006/relationships/ctrlProp" Target="../ctrlProps/ctrlProp223.xml"/><Relationship Id="rId23" Type="http://schemas.openxmlformats.org/officeDocument/2006/relationships/ctrlProp" Target="../ctrlProps/ctrlProp231.xml"/><Relationship Id="rId28" Type="http://schemas.openxmlformats.org/officeDocument/2006/relationships/ctrlProp" Target="../ctrlProps/ctrlProp236.xml"/><Relationship Id="rId36" Type="http://schemas.openxmlformats.org/officeDocument/2006/relationships/ctrlProp" Target="../ctrlProps/ctrlProp244.xml"/><Relationship Id="rId10" Type="http://schemas.openxmlformats.org/officeDocument/2006/relationships/ctrlProp" Target="../ctrlProps/ctrlProp218.xml"/><Relationship Id="rId19" Type="http://schemas.openxmlformats.org/officeDocument/2006/relationships/ctrlProp" Target="../ctrlProps/ctrlProp227.xml"/><Relationship Id="rId31" Type="http://schemas.openxmlformats.org/officeDocument/2006/relationships/ctrlProp" Target="../ctrlProps/ctrlProp239.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 Id="rId22" Type="http://schemas.openxmlformats.org/officeDocument/2006/relationships/ctrlProp" Target="../ctrlProps/ctrlProp230.xml"/><Relationship Id="rId27" Type="http://schemas.openxmlformats.org/officeDocument/2006/relationships/ctrlProp" Target="../ctrlProps/ctrlProp235.xml"/><Relationship Id="rId30" Type="http://schemas.openxmlformats.org/officeDocument/2006/relationships/ctrlProp" Target="../ctrlProps/ctrlProp238.xml"/><Relationship Id="rId35" Type="http://schemas.openxmlformats.org/officeDocument/2006/relationships/ctrlProp" Target="../ctrlProps/ctrlProp243.xml"/><Relationship Id="rId8" Type="http://schemas.openxmlformats.org/officeDocument/2006/relationships/ctrlProp" Target="../ctrlProps/ctrlProp216.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6.xml"/><Relationship Id="rId18" Type="http://schemas.openxmlformats.org/officeDocument/2006/relationships/ctrlProp" Target="../ctrlProps/ctrlProp261.xml"/><Relationship Id="rId26" Type="http://schemas.openxmlformats.org/officeDocument/2006/relationships/ctrlProp" Target="../ctrlProps/ctrlProp269.xml"/><Relationship Id="rId21" Type="http://schemas.openxmlformats.org/officeDocument/2006/relationships/ctrlProp" Target="../ctrlProps/ctrlProp264.xml"/><Relationship Id="rId34" Type="http://schemas.openxmlformats.org/officeDocument/2006/relationships/ctrlProp" Target="../ctrlProps/ctrlProp277.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5" Type="http://schemas.openxmlformats.org/officeDocument/2006/relationships/ctrlProp" Target="../ctrlProps/ctrlProp268.xml"/><Relationship Id="rId33" Type="http://schemas.openxmlformats.org/officeDocument/2006/relationships/ctrlProp" Target="../ctrlProps/ctrlProp276.xml"/><Relationship Id="rId38" Type="http://schemas.openxmlformats.org/officeDocument/2006/relationships/ctrlProp" Target="../ctrlProps/ctrlProp281.xml"/><Relationship Id="rId2" Type="http://schemas.openxmlformats.org/officeDocument/2006/relationships/drawing" Target="../drawings/drawing14.xml"/><Relationship Id="rId16" Type="http://schemas.openxmlformats.org/officeDocument/2006/relationships/ctrlProp" Target="../ctrlProps/ctrlProp259.xml"/><Relationship Id="rId20" Type="http://schemas.openxmlformats.org/officeDocument/2006/relationships/ctrlProp" Target="../ctrlProps/ctrlProp263.xml"/><Relationship Id="rId29" Type="http://schemas.openxmlformats.org/officeDocument/2006/relationships/ctrlProp" Target="../ctrlProps/ctrlProp272.xml"/><Relationship Id="rId1" Type="http://schemas.openxmlformats.org/officeDocument/2006/relationships/printerSettings" Target="../printerSettings/printerSettings19.bin"/><Relationship Id="rId6" Type="http://schemas.openxmlformats.org/officeDocument/2006/relationships/ctrlProp" Target="../ctrlProps/ctrlProp249.xml"/><Relationship Id="rId11" Type="http://schemas.openxmlformats.org/officeDocument/2006/relationships/ctrlProp" Target="../ctrlProps/ctrlProp254.xml"/><Relationship Id="rId24" Type="http://schemas.openxmlformats.org/officeDocument/2006/relationships/ctrlProp" Target="../ctrlProps/ctrlProp267.xml"/><Relationship Id="rId32" Type="http://schemas.openxmlformats.org/officeDocument/2006/relationships/ctrlProp" Target="../ctrlProps/ctrlProp275.xml"/><Relationship Id="rId37" Type="http://schemas.openxmlformats.org/officeDocument/2006/relationships/ctrlProp" Target="../ctrlProps/ctrlProp280.xml"/><Relationship Id="rId5" Type="http://schemas.openxmlformats.org/officeDocument/2006/relationships/ctrlProp" Target="../ctrlProps/ctrlProp248.xml"/><Relationship Id="rId15" Type="http://schemas.openxmlformats.org/officeDocument/2006/relationships/ctrlProp" Target="../ctrlProps/ctrlProp258.xml"/><Relationship Id="rId23" Type="http://schemas.openxmlformats.org/officeDocument/2006/relationships/ctrlProp" Target="../ctrlProps/ctrlProp266.xml"/><Relationship Id="rId28" Type="http://schemas.openxmlformats.org/officeDocument/2006/relationships/ctrlProp" Target="../ctrlProps/ctrlProp271.xml"/><Relationship Id="rId36" Type="http://schemas.openxmlformats.org/officeDocument/2006/relationships/ctrlProp" Target="../ctrlProps/ctrlProp279.xml"/><Relationship Id="rId10" Type="http://schemas.openxmlformats.org/officeDocument/2006/relationships/ctrlProp" Target="../ctrlProps/ctrlProp253.xml"/><Relationship Id="rId19" Type="http://schemas.openxmlformats.org/officeDocument/2006/relationships/ctrlProp" Target="../ctrlProps/ctrlProp262.xml"/><Relationship Id="rId31" Type="http://schemas.openxmlformats.org/officeDocument/2006/relationships/ctrlProp" Target="../ctrlProps/ctrlProp274.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ctrlProp" Target="../ctrlProps/ctrlProp265.xml"/><Relationship Id="rId27" Type="http://schemas.openxmlformats.org/officeDocument/2006/relationships/ctrlProp" Target="../ctrlProps/ctrlProp270.xml"/><Relationship Id="rId30" Type="http://schemas.openxmlformats.org/officeDocument/2006/relationships/ctrlProp" Target="../ctrlProps/ctrlProp273.xml"/><Relationship Id="rId35" Type="http://schemas.openxmlformats.org/officeDocument/2006/relationships/ctrlProp" Target="../ctrlProps/ctrlProp278.xml"/><Relationship Id="rId8" Type="http://schemas.openxmlformats.org/officeDocument/2006/relationships/ctrlProp" Target="../ctrlProps/ctrlProp251.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1.xml"/><Relationship Id="rId18" Type="http://schemas.openxmlformats.org/officeDocument/2006/relationships/ctrlProp" Target="../ctrlProps/ctrlProp296.xml"/><Relationship Id="rId26" Type="http://schemas.openxmlformats.org/officeDocument/2006/relationships/ctrlProp" Target="../ctrlProps/ctrlProp304.xml"/><Relationship Id="rId21" Type="http://schemas.openxmlformats.org/officeDocument/2006/relationships/ctrlProp" Target="../ctrlProps/ctrlProp299.xml"/><Relationship Id="rId34" Type="http://schemas.openxmlformats.org/officeDocument/2006/relationships/ctrlProp" Target="../ctrlProps/ctrlProp312.xml"/><Relationship Id="rId7" Type="http://schemas.openxmlformats.org/officeDocument/2006/relationships/ctrlProp" Target="../ctrlProps/ctrlProp285.xml"/><Relationship Id="rId12" Type="http://schemas.openxmlformats.org/officeDocument/2006/relationships/ctrlProp" Target="../ctrlProps/ctrlProp290.xml"/><Relationship Id="rId17" Type="http://schemas.openxmlformats.org/officeDocument/2006/relationships/ctrlProp" Target="../ctrlProps/ctrlProp295.xml"/><Relationship Id="rId25" Type="http://schemas.openxmlformats.org/officeDocument/2006/relationships/ctrlProp" Target="../ctrlProps/ctrlProp303.xml"/><Relationship Id="rId33" Type="http://schemas.openxmlformats.org/officeDocument/2006/relationships/ctrlProp" Target="../ctrlProps/ctrlProp311.xml"/><Relationship Id="rId38" Type="http://schemas.openxmlformats.org/officeDocument/2006/relationships/ctrlProp" Target="../ctrlProps/ctrlProp316.xml"/><Relationship Id="rId2" Type="http://schemas.openxmlformats.org/officeDocument/2006/relationships/drawing" Target="../drawings/drawing15.xml"/><Relationship Id="rId16" Type="http://schemas.openxmlformats.org/officeDocument/2006/relationships/ctrlProp" Target="../ctrlProps/ctrlProp294.xml"/><Relationship Id="rId20" Type="http://schemas.openxmlformats.org/officeDocument/2006/relationships/ctrlProp" Target="../ctrlProps/ctrlProp298.xml"/><Relationship Id="rId29" Type="http://schemas.openxmlformats.org/officeDocument/2006/relationships/ctrlProp" Target="../ctrlProps/ctrlProp307.xml"/><Relationship Id="rId1" Type="http://schemas.openxmlformats.org/officeDocument/2006/relationships/printerSettings" Target="../printerSettings/printerSettings20.bin"/><Relationship Id="rId6" Type="http://schemas.openxmlformats.org/officeDocument/2006/relationships/ctrlProp" Target="../ctrlProps/ctrlProp284.xml"/><Relationship Id="rId11" Type="http://schemas.openxmlformats.org/officeDocument/2006/relationships/ctrlProp" Target="../ctrlProps/ctrlProp289.xml"/><Relationship Id="rId24" Type="http://schemas.openxmlformats.org/officeDocument/2006/relationships/ctrlProp" Target="../ctrlProps/ctrlProp302.xml"/><Relationship Id="rId32" Type="http://schemas.openxmlformats.org/officeDocument/2006/relationships/ctrlProp" Target="../ctrlProps/ctrlProp310.xml"/><Relationship Id="rId37" Type="http://schemas.openxmlformats.org/officeDocument/2006/relationships/ctrlProp" Target="../ctrlProps/ctrlProp315.xml"/><Relationship Id="rId5" Type="http://schemas.openxmlformats.org/officeDocument/2006/relationships/ctrlProp" Target="../ctrlProps/ctrlProp283.xml"/><Relationship Id="rId15" Type="http://schemas.openxmlformats.org/officeDocument/2006/relationships/ctrlProp" Target="../ctrlProps/ctrlProp293.xml"/><Relationship Id="rId23" Type="http://schemas.openxmlformats.org/officeDocument/2006/relationships/ctrlProp" Target="../ctrlProps/ctrlProp301.xml"/><Relationship Id="rId28" Type="http://schemas.openxmlformats.org/officeDocument/2006/relationships/ctrlProp" Target="../ctrlProps/ctrlProp306.xml"/><Relationship Id="rId36" Type="http://schemas.openxmlformats.org/officeDocument/2006/relationships/ctrlProp" Target="../ctrlProps/ctrlProp314.xml"/><Relationship Id="rId10" Type="http://schemas.openxmlformats.org/officeDocument/2006/relationships/ctrlProp" Target="../ctrlProps/ctrlProp288.xml"/><Relationship Id="rId19" Type="http://schemas.openxmlformats.org/officeDocument/2006/relationships/ctrlProp" Target="../ctrlProps/ctrlProp297.xml"/><Relationship Id="rId31" Type="http://schemas.openxmlformats.org/officeDocument/2006/relationships/ctrlProp" Target="../ctrlProps/ctrlProp309.xml"/><Relationship Id="rId4" Type="http://schemas.openxmlformats.org/officeDocument/2006/relationships/ctrlProp" Target="../ctrlProps/ctrlProp282.xml"/><Relationship Id="rId9" Type="http://schemas.openxmlformats.org/officeDocument/2006/relationships/ctrlProp" Target="../ctrlProps/ctrlProp287.xml"/><Relationship Id="rId14" Type="http://schemas.openxmlformats.org/officeDocument/2006/relationships/ctrlProp" Target="../ctrlProps/ctrlProp292.xml"/><Relationship Id="rId22" Type="http://schemas.openxmlformats.org/officeDocument/2006/relationships/ctrlProp" Target="../ctrlProps/ctrlProp300.xml"/><Relationship Id="rId27" Type="http://schemas.openxmlformats.org/officeDocument/2006/relationships/ctrlProp" Target="../ctrlProps/ctrlProp305.xml"/><Relationship Id="rId30" Type="http://schemas.openxmlformats.org/officeDocument/2006/relationships/ctrlProp" Target="../ctrlProps/ctrlProp308.xml"/><Relationship Id="rId35" Type="http://schemas.openxmlformats.org/officeDocument/2006/relationships/ctrlProp" Target="../ctrlProps/ctrlProp313.xml"/><Relationship Id="rId8" Type="http://schemas.openxmlformats.org/officeDocument/2006/relationships/ctrlProp" Target="../ctrlProps/ctrlProp286.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6.xml"/><Relationship Id="rId18" Type="http://schemas.openxmlformats.org/officeDocument/2006/relationships/ctrlProp" Target="../ctrlProps/ctrlProp331.xml"/><Relationship Id="rId26" Type="http://schemas.openxmlformats.org/officeDocument/2006/relationships/ctrlProp" Target="../ctrlProps/ctrlProp339.xml"/><Relationship Id="rId21" Type="http://schemas.openxmlformats.org/officeDocument/2006/relationships/ctrlProp" Target="../ctrlProps/ctrlProp334.xml"/><Relationship Id="rId34" Type="http://schemas.openxmlformats.org/officeDocument/2006/relationships/ctrlProp" Target="../ctrlProps/ctrlProp347.xml"/><Relationship Id="rId7" Type="http://schemas.openxmlformats.org/officeDocument/2006/relationships/ctrlProp" Target="../ctrlProps/ctrlProp320.xml"/><Relationship Id="rId12" Type="http://schemas.openxmlformats.org/officeDocument/2006/relationships/ctrlProp" Target="../ctrlProps/ctrlProp325.xml"/><Relationship Id="rId17" Type="http://schemas.openxmlformats.org/officeDocument/2006/relationships/ctrlProp" Target="../ctrlProps/ctrlProp330.xml"/><Relationship Id="rId25" Type="http://schemas.openxmlformats.org/officeDocument/2006/relationships/ctrlProp" Target="../ctrlProps/ctrlProp338.xml"/><Relationship Id="rId33" Type="http://schemas.openxmlformats.org/officeDocument/2006/relationships/ctrlProp" Target="../ctrlProps/ctrlProp346.xml"/><Relationship Id="rId38" Type="http://schemas.openxmlformats.org/officeDocument/2006/relationships/ctrlProp" Target="../ctrlProps/ctrlProp351.xml"/><Relationship Id="rId2" Type="http://schemas.openxmlformats.org/officeDocument/2006/relationships/drawing" Target="../drawings/drawing16.xml"/><Relationship Id="rId16" Type="http://schemas.openxmlformats.org/officeDocument/2006/relationships/ctrlProp" Target="../ctrlProps/ctrlProp329.xml"/><Relationship Id="rId20" Type="http://schemas.openxmlformats.org/officeDocument/2006/relationships/ctrlProp" Target="../ctrlProps/ctrlProp333.xml"/><Relationship Id="rId29" Type="http://schemas.openxmlformats.org/officeDocument/2006/relationships/ctrlProp" Target="../ctrlProps/ctrlProp342.xml"/><Relationship Id="rId1" Type="http://schemas.openxmlformats.org/officeDocument/2006/relationships/printerSettings" Target="../printerSettings/printerSettings21.bin"/><Relationship Id="rId6" Type="http://schemas.openxmlformats.org/officeDocument/2006/relationships/ctrlProp" Target="../ctrlProps/ctrlProp319.xml"/><Relationship Id="rId11" Type="http://schemas.openxmlformats.org/officeDocument/2006/relationships/ctrlProp" Target="../ctrlProps/ctrlProp324.xml"/><Relationship Id="rId24" Type="http://schemas.openxmlformats.org/officeDocument/2006/relationships/ctrlProp" Target="../ctrlProps/ctrlProp337.xml"/><Relationship Id="rId32" Type="http://schemas.openxmlformats.org/officeDocument/2006/relationships/ctrlProp" Target="../ctrlProps/ctrlProp345.xml"/><Relationship Id="rId37" Type="http://schemas.openxmlformats.org/officeDocument/2006/relationships/ctrlProp" Target="../ctrlProps/ctrlProp350.xml"/><Relationship Id="rId5" Type="http://schemas.openxmlformats.org/officeDocument/2006/relationships/ctrlProp" Target="../ctrlProps/ctrlProp318.xml"/><Relationship Id="rId15" Type="http://schemas.openxmlformats.org/officeDocument/2006/relationships/ctrlProp" Target="../ctrlProps/ctrlProp328.xml"/><Relationship Id="rId23" Type="http://schemas.openxmlformats.org/officeDocument/2006/relationships/ctrlProp" Target="../ctrlProps/ctrlProp336.xml"/><Relationship Id="rId28" Type="http://schemas.openxmlformats.org/officeDocument/2006/relationships/ctrlProp" Target="../ctrlProps/ctrlProp341.xml"/><Relationship Id="rId36" Type="http://schemas.openxmlformats.org/officeDocument/2006/relationships/ctrlProp" Target="../ctrlProps/ctrlProp349.xml"/><Relationship Id="rId10" Type="http://schemas.openxmlformats.org/officeDocument/2006/relationships/ctrlProp" Target="../ctrlProps/ctrlProp323.xml"/><Relationship Id="rId19" Type="http://schemas.openxmlformats.org/officeDocument/2006/relationships/ctrlProp" Target="../ctrlProps/ctrlProp332.xml"/><Relationship Id="rId31" Type="http://schemas.openxmlformats.org/officeDocument/2006/relationships/ctrlProp" Target="../ctrlProps/ctrlProp344.xml"/><Relationship Id="rId4" Type="http://schemas.openxmlformats.org/officeDocument/2006/relationships/ctrlProp" Target="../ctrlProps/ctrlProp317.xml"/><Relationship Id="rId9" Type="http://schemas.openxmlformats.org/officeDocument/2006/relationships/ctrlProp" Target="../ctrlProps/ctrlProp322.xml"/><Relationship Id="rId14" Type="http://schemas.openxmlformats.org/officeDocument/2006/relationships/ctrlProp" Target="../ctrlProps/ctrlProp327.xml"/><Relationship Id="rId22" Type="http://schemas.openxmlformats.org/officeDocument/2006/relationships/ctrlProp" Target="../ctrlProps/ctrlProp335.xml"/><Relationship Id="rId27" Type="http://schemas.openxmlformats.org/officeDocument/2006/relationships/ctrlProp" Target="../ctrlProps/ctrlProp340.xml"/><Relationship Id="rId30" Type="http://schemas.openxmlformats.org/officeDocument/2006/relationships/ctrlProp" Target="../ctrlProps/ctrlProp343.xml"/><Relationship Id="rId35" Type="http://schemas.openxmlformats.org/officeDocument/2006/relationships/ctrlProp" Target="../ctrlProps/ctrlProp348.xml"/><Relationship Id="rId8" Type="http://schemas.openxmlformats.org/officeDocument/2006/relationships/ctrlProp" Target="../ctrlProps/ctrlProp321.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1.xml"/><Relationship Id="rId18" Type="http://schemas.openxmlformats.org/officeDocument/2006/relationships/ctrlProp" Target="../ctrlProps/ctrlProp366.xml"/><Relationship Id="rId26" Type="http://schemas.openxmlformats.org/officeDocument/2006/relationships/ctrlProp" Target="../ctrlProps/ctrlProp374.xml"/><Relationship Id="rId21" Type="http://schemas.openxmlformats.org/officeDocument/2006/relationships/ctrlProp" Target="../ctrlProps/ctrlProp369.xml"/><Relationship Id="rId34" Type="http://schemas.openxmlformats.org/officeDocument/2006/relationships/ctrlProp" Target="../ctrlProps/ctrlProp382.xml"/><Relationship Id="rId7" Type="http://schemas.openxmlformats.org/officeDocument/2006/relationships/ctrlProp" Target="../ctrlProps/ctrlProp355.xml"/><Relationship Id="rId12" Type="http://schemas.openxmlformats.org/officeDocument/2006/relationships/ctrlProp" Target="../ctrlProps/ctrlProp360.xml"/><Relationship Id="rId17" Type="http://schemas.openxmlformats.org/officeDocument/2006/relationships/ctrlProp" Target="../ctrlProps/ctrlProp365.xml"/><Relationship Id="rId25" Type="http://schemas.openxmlformats.org/officeDocument/2006/relationships/ctrlProp" Target="../ctrlProps/ctrlProp373.xml"/><Relationship Id="rId33" Type="http://schemas.openxmlformats.org/officeDocument/2006/relationships/ctrlProp" Target="../ctrlProps/ctrlProp381.xml"/><Relationship Id="rId38" Type="http://schemas.openxmlformats.org/officeDocument/2006/relationships/ctrlProp" Target="../ctrlProps/ctrlProp386.xml"/><Relationship Id="rId2" Type="http://schemas.openxmlformats.org/officeDocument/2006/relationships/drawing" Target="../drawings/drawing17.xml"/><Relationship Id="rId16" Type="http://schemas.openxmlformats.org/officeDocument/2006/relationships/ctrlProp" Target="../ctrlProps/ctrlProp364.xml"/><Relationship Id="rId20" Type="http://schemas.openxmlformats.org/officeDocument/2006/relationships/ctrlProp" Target="../ctrlProps/ctrlProp368.xml"/><Relationship Id="rId29" Type="http://schemas.openxmlformats.org/officeDocument/2006/relationships/ctrlProp" Target="../ctrlProps/ctrlProp377.xml"/><Relationship Id="rId1" Type="http://schemas.openxmlformats.org/officeDocument/2006/relationships/printerSettings" Target="../printerSettings/printerSettings22.bin"/><Relationship Id="rId6" Type="http://schemas.openxmlformats.org/officeDocument/2006/relationships/ctrlProp" Target="../ctrlProps/ctrlProp354.xml"/><Relationship Id="rId11" Type="http://schemas.openxmlformats.org/officeDocument/2006/relationships/ctrlProp" Target="../ctrlProps/ctrlProp359.xml"/><Relationship Id="rId24" Type="http://schemas.openxmlformats.org/officeDocument/2006/relationships/ctrlProp" Target="../ctrlProps/ctrlProp372.xml"/><Relationship Id="rId32" Type="http://schemas.openxmlformats.org/officeDocument/2006/relationships/ctrlProp" Target="../ctrlProps/ctrlProp380.xml"/><Relationship Id="rId37" Type="http://schemas.openxmlformats.org/officeDocument/2006/relationships/ctrlProp" Target="../ctrlProps/ctrlProp385.xml"/><Relationship Id="rId5" Type="http://schemas.openxmlformats.org/officeDocument/2006/relationships/ctrlProp" Target="../ctrlProps/ctrlProp353.xml"/><Relationship Id="rId15" Type="http://schemas.openxmlformats.org/officeDocument/2006/relationships/ctrlProp" Target="../ctrlProps/ctrlProp363.xml"/><Relationship Id="rId23" Type="http://schemas.openxmlformats.org/officeDocument/2006/relationships/ctrlProp" Target="../ctrlProps/ctrlProp371.xml"/><Relationship Id="rId28" Type="http://schemas.openxmlformats.org/officeDocument/2006/relationships/ctrlProp" Target="../ctrlProps/ctrlProp376.xml"/><Relationship Id="rId36" Type="http://schemas.openxmlformats.org/officeDocument/2006/relationships/ctrlProp" Target="../ctrlProps/ctrlProp384.xml"/><Relationship Id="rId10" Type="http://schemas.openxmlformats.org/officeDocument/2006/relationships/ctrlProp" Target="../ctrlProps/ctrlProp358.xml"/><Relationship Id="rId19" Type="http://schemas.openxmlformats.org/officeDocument/2006/relationships/ctrlProp" Target="../ctrlProps/ctrlProp367.xml"/><Relationship Id="rId31" Type="http://schemas.openxmlformats.org/officeDocument/2006/relationships/ctrlProp" Target="../ctrlProps/ctrlProp379.xml"/><Relationship Id="rId4" Type="http://schemas.openxmlformats.org/officeDocument/2006/relationships/ctrlProp" Target="../ctrlProps/ctrlProp352.xml"/><Relationship Id="rId9" Type="http://schemas.openxmlformats.org/officeDocument/2006/relationships/ctrlProp" Target="../ctrlProps/ctrlProp357.xml"/><Relationship Id="rId14" Type="http://schemas.openxmlformats.org/officeDocument/2006/relationships/ctrlProp" Target="../ctrlProps/ctrlProp362.xml"/><Relationship Id="rId22" Type="http://schemas.openxmlformats.org/officeDocument/2006/relationships/ctrlProp" Target="../ctrlProps/ctrlProp370.xml"/><Relationship Id="rId27" Type="http://schemas.openxmlformats.org/officeDocument/2006/relationships/ctrlProp" Target="../ctrlProps/ctrlProp375.xml"/><Relationship Id="rId30" Type="http://schemas.openxmlformats.org/officeDocument/2006/relationships/ctrlProp" Target="../ctrlProps/ctrlProp378.xml"/><Relationship Id="rId35" Type="http://schemas.openxmlformats.org/officeDocument/2006/relationships/ctrlProp" Target="../ctrlProps/ctrlProp383.xml"/><Relationship Id="rId8" Type="http://schemas.openxmlformats.org/officeDocument/2006/relationships/ctrlProp" Target="../ctrlProps/ctrlProp356.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6.xml"/><Relationship Id="rId18" Type="http://schemas.openxmlformats.org/officeDocument/2006/relationships/ctrlProp" Target="../ctrlProps/ctrlProp401.xml"/><Relationship Id="rId26" Type="http://schemas.openxmlformats.org/officeDocument/2006/relationships/ctrlProp" Target="../ctrlProps/ctrlProp409.xml"/><Relationship Id="rId21" Type="http://schemas.openxmlformats.org/officeDocument/2006/relationships/ctrlProp" Target="../ctrlProps/ctrlProp404.xml"/><Relationship Id="rId34" Type="http://schemas.openxmlformats.org/officeDocument/2006/relationships/ctrlProp" Target="../ctrlProps/ctrlProp417.xml"/><Relationship Id="rId7" Type="http://schemas.openxmlformats.org/officeDocument/2006/relationships/ctrlProp" Target="../ctrlProps/ctrlProp390.xml"/><Relationship Id="rId12" Type="http://schemas.openxmlformats.org/officeDocument/2006/relationships/ctrlProp" Target="../ctrlProps/ctrlProp395.xml"/><Relationship Id="rId17" Type="http://schemas.openxmlformats.org/officeDocument/2006/relationships/ctrlProp" Target="../ctrlProps/ctrlProp400.xml"/><Relationship Id="rId25" Type="http://schemas.openxmlformats.org/officeDocument/2006/relationships/ctrlProp" Target="../ctrlProps/ctrlProp408.xml"/><Relationship Id="rId33" Type="http://schemas.openxmlformats.org/officeDocument/2006/relationships/ctrlProp" Target="../ctrlProps/ctrlProp416.xml"/><Relationship Id="rId38" Type="http://schemas.openxmlformats.org/officeDocument/2006/relationships/ctrlProp" Target="../ctrlProps/ctrlProp421.xml"/><Relationship Id="rId2" Type="http://schemas.openxmlformats.org/officeDocument/2006/relationships/drawing" Target="../drawings/drawing18.xml"/><Relationship Id="rId16" Type="http://schemas.openxmlformats.org/officeDocument/2006/relationships/ctrlProp" Target="../ctrlProps/ctrlProp399.xml"/><Relationship Id="rId20" Type="http://schemas.openxmlformats.org/officeDocument/2006/relationships/ctrlProp" Target="../ctrlProps/ctrlProp403.xml"/><Relationship Id="rId29" Type="http://schemas.openxmlformats.org/officeDocument/2006/relationships/ctrlProp" Target="../ctrlProps/ctrlProp412.xml"/><Relationship Id="rId1" Type="http://schemas.openxmlformats.org/officeDocument/2006/relationships/printerSettings" Target="../printerSettings/printerSettings23.bin"/><Relationship Id="rId6" Type="http://schemas.openxmlformats.org/officeDocument/2006/relationships/ctrlProp" Target="../ctrlProps/ctrlProp389.xml"/><Relationship Id="rId11" Type="http://schemas.openxmlformats.org/officeDocument/2006/relationships/ctrlProp" Target="../ctrlProps/ctrlProp394.xml"/><Relationship Id="rId24" Type="http://schemas.openxmlformats.org/officeDocument/2006/relationships/ctrlProp" Target="../ctrlProps/ctrlProp407.xml"/><Relationship Id="rId32" Type="http://schemas.openxmlformats.org/officeDocument/2006/relationships/ctrlProp" Target="../ctrlProps/ctrlProp415.xml"/><Relationship Id="rId37" Type="http://schemas.openxmlformats.org/officeDocument/2006/relationships/ctrlProp" Target="../ctrlProps/ctrlProp420.xml"/><Relationship Id="rId5" Type="http://schemas.openxmlformats.org/officeDocument/2006/relationships/ctrlProp" Target="../ctrlProps/ctrlProp388.xml"/><Relationship Id="rId15" Type="http://schemas.openxmlformats.org/officeDocument/2006/relationships/ctrlProp" Target="../ctrlProps/ctrlProp398.xml"/><Relationship Id="rId23" Type="http://schemas.openxmlformats.org/officeDocument/2006/relationships/ctrlProp" Target="../ctrlProps/ctrlProp406.xml"/><Relationship Id="rId28" Type="http://schemas.openxmlformats.org/officeDocument/2006/relationships/ctrlProp" Target="../ctrlProps/ctrlProp411.xml"/><Relationship Id="rId36" Type="http://schemas.openxmlformats.org/officeDocument/2006/relationships/ctrlProp" Target="../ctrlProps/ctrlProp419.xml"/><Relationship Id="rId10" Type="http://schemas.openxmlformats.org/officeDocument/2006/relationships/ctrlProp" Target="../ctrlProps/ctrlProp393.xml"/><Relationship Id="rId19" Type="http://schemas.openxmlformats.org/officeDocument/2006/relationships/ctrlProp" Target="../ctrlProps/ctrlProp402.xml"/><Relationship Id="rId31" Type="http://schemas.openxmlformats.org/officeDocument/2006/relationships/ctrlProp" Target="../ctrlProps/ctrlProp414.xml"/><Relationship Id="rId4" Type="http://schemas.openxmlformats.org/officeDocument/2006/relationships/ctrlProp" Target="../ctrlProps/ctrlProp387.xml"/><Relationship Id="rId9" Type="http://schemas.openxmlformats.org/officeDocument/2006/relationships/ctrlProp" Target="../ctrlProps/ctrlProp392.xml"/><Relationship Id="rId14" Type="http://schemas.openxmlformats.org/officeDocument/2006/relationships/ctrlProp" Target="../ctrlProps/ctrlProp397.xml"/><Relationship Id="rId22" Type="http://schemas.openxmlformats.org/officeDocument/2006/relationships/ctrlProp" Target="../ctrlProps/ctrlProp405.xml"/><Relationship Id="rId27" Type="http://schemas.openxmlformats.org/officeDocument/2006/relationships/ctrlProp" Target="../ctrlProps/ctrlProp410.xml"/><Relationship Id="rId30" Type="http://schemas.openxmlformats.org/officeDocument/2006/relationships/ctrlProp" Target="../ctrlProps/ctrlProp413.xml"/><Relationship Id="rId35" Type="http://schemas.openxmlformats.org/officeDocument/2006/relationships/ctrlProp" Target="../ctrlProps/ctrlProp418.xml"/><Relationship Id="rId8" Type="http://schemas.openxmlformats.org/officeDocument/2006/relationships/ctrlProp" Target="../ctrlProps/ctrlProp391.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1.xml"/><Relationship Id="rId18" Type="http://schemas.openxmlformats.org/officeDocument/2006/relationships/ctrlProp" Target="../ctrlProps/ctrlProp436.xml"/><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7" Type="http://schemas.openxmlformats.org/officeDocument/2006/relationships/ctrlProp" Target="../ctrlProps/ctrlProp425.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2" Type="http://schemas.openxmlformats.org/officeDocument/2006/relationships/drawing" Target="../drawings/drawing19.xml"/><Relationship Id="rId16" Type="http://schemas.openxmlformats.org/officeDocument/2006/relationships/ctrlProp" Target="../ctrlProps/ctrlProp434.xml"/><Relationship Id="rId20" Type="http://schemas.openxmlformats.org/officeDocument/2006/relationships/ctrlProp" Target="../ctrlProps/ctrlProp438.xml"/><Relationship Id="rId29" Type="http://schemas.openxmlformats.org/officeDocument/2006/relationships/ctrlProp" Target="../ctrlProps/ctrlProp447.xml"/><Relationship Id="rId1" Type="http://schemas.openxmlformats.org/officeDocument/2006/relationships/printerSettings" Target="../printerSettings/printerSettings24.bin"/><Relationship Id="rId6" Type="http://schemas.openxmlformats.org/officeDocument/2006/relationships/ctrlProp" Target="../ctrlProps/ctrlProp424.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5" Type="http://schemas.openxmlformats.org/officeDocument/2006/relationships/ctrlProp" Target="../ctrlProps/ctrlProp423.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10" Type="http://schemas.openxmlformats.org/officeDocument/2006/relationships/ctrlProp" Target="../ctrlProps/ctrlProp428.xml"/><Relationship Id="rId19" Type="http://schemas.openxmlformats.org/officeDocument/2006/relationships/ctrlProp" Target="../ctrlProps/ctrlProp437.xml"/><Relationship Id="rId31" Type="http://schemas.openxmlformats.org/officeDocument/2006/relationships/ctrlProp" Target="../ctrlProps/ctrlProp449.xml"/><Relationship Id="rId4" Type="http://schemas.openxmlformats.org/officeDocument/2006/relationships/ctrlProp" Target="../ctrlProps/ctrlProp422.xml"/><Relationship Id="rId9" Type="http://schemas.openxmlformats.org/officeDocument/2006/relationships/ctrlProp" Target="../ctrlProps/ctrlProp42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8" Type="http://schemas.openxmlformats.org/officeDocument/2006/relationships/ctrlProp" Target="../ctrlProps/ctrlProp426.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90" t="s">
        <v>111</v>
      </c>
      <c r="B1" s="69"/>
    </row>
    <row r="2" spans="1:5" x14ac:dyDescent="0.25">
      <c r="A2" s="69"/>
      <c r="B2" s="69"/>
    </row>
    <row r="3" spans="1:5" x14ac:dyDescent="0.25">
      <c r="A3" s="69" t="s">
        <v>245</v>
      </c>
      <c r="B3" s="69"/>
    </row>
    <row r="4" spans="1:5" x14ac:dyDescent="0.25">
      <c r="A4" s="191"/>
      <c r="B4" s="69"/>
    </row>
    <row r="5" spans="1:5" x14ac:dyDescent="0.25">
      <c r="A5" s="191" t="s">
        <v>280</v>
      </c>
      <c r="B5" s="69" t="s">
        <v>538</v>
      </c>
    </row>
    <row r="6" spans="1:5" x14ac:dyDescent="0.25">
      <c r="A6" s="191"/>
      <c r="B6" s="69"/>
    </row>
    <row r="7" spans="1:5" x14ac:dyDescent="0.25">
      <c r="A7" s="69" t="s">
        <v>246</v>
      </c>
      <c r="B7" s="69"/>
    </row>
    <row r="8" spans="1:5" x14ac:dyDescent="0.25">
      <c r="A8" s="191"/>
      <c r="B8" s="69"/>
    </row>
    <row r="9" spans="1:5" x14ac:dyDescent="0.25">
      <c r="A9" s="191"/>
      <c r="B9" s="69"/>
    </row>
    <row r="10" spans="1:5" x14ac:dyDescent="0.25">
      <c r="A10" s="69" t="s">
        <v>70</v>
      </c>
      <c r="B10" s="192" t="s">
        <v>525</v>
      </c>
    </row>
    <row r="11" spans="1:5" x14ac:dyDescent="0.25">
      <c r="A11" s="69" t="s">
        <v>241</v>
      </c>
      <c r="B11" s="193"/>
    </row>
    <row r="12" spans="1:5" x14ac:dyDescent="0.25">
      <c r="A12" s="69"/>
      <c r="B12" s="193"/>
    </row>
    <row r="13" spans="1:5" x14ac:dyDescent="0.25">
      <c r="A13" s="69" t="s">
        <v>185</v>
      </c>
      <c r="B13" s="193"/>
    </row>
    <row r="14" spans="1:5" x14ac:dyDescent="0.25">
      <c r="A14" s="69"/>
      <c r="B14" s="193"/>
    </row>
    <row r="15" spans="1:5" x14ac:dyDescent="0.25">
      <c r="A15" s="69" t="s">
        <v>252</v>
      </c>
      <c r="B15" s="193"/>
      <c r="E15" t="s">
        <v>309</v>
      </c>
    </row>
    <row r="16" spans="1:5" x14ac:dyDescent="0.25">
      <c r="A16" s="69" t="s">
        <v>253</v>
      </c>
      <c r="B16" s="193"/>
    </row>
    <row r="17" spans="1:6" x14ac:dyDescent="0.25">
      <c r="A17" s="69"/>
      <c r="B17" s="193"/>
    </row>
    <row r="18" spans="1:6" x14ac:dyDescent="0.25">
      <c r="A18" s="69"/>
      <c r="B18" s="193"/>
    </row>
    <row r="19" spans="1:6" x14ac:dyDescent="0.25">
      <c r="A19" s="194" t="s">
        <v>254</v>
      </c>
      <c r="B19" s="193"/>
    </row>
    <row r="20" spans="1:6" x14ac:dyDescent="0.25">
      <c r="A20" s="69" t="s">
        <v>62</v>
      </c>
      <c r="B20" s="174" t="str">
        <f>B10&amp;" Edition"</f>
        <v>6/5/2023 Edition</v>
      </c>
    </row>
    <row r="21" spans="1:6" x14ac:dyDescent="0.25">
      <c r="A21" s="69" t="s">
        <v>60</v>
      </c>
      <c r="B21" s="175" t="str">
        <f>IF(ISBLANK(Co_Name),"",Co_Name)</f>
        <v>State Farm Mutual Automobile Insurance Company</v>
      </c>
    </row>
    <row r="22" spans="1:6" x14ac:dyDescent="0.25">
      <c r="A22" s="69" t="s">
        <v>61</v>
      </c>
      <c r="B22" s="175" t="str">
        <f>INDEX(List_GeneralLine,References!$F$5,1)</f>
        <v>Auto Liability and Physical Damage</v>
      </c>
    </row>
    <row r="23" spans="1:6" x14ac:dyDescent="0.25">
      <c r="A23" s="69" t="s">
        <v>113</v>
      </c>
      <c r="B23" s="175" t="str">
        <f>IF(ISBLANK('1.General'!$H$14),"",'1.General'!$H$14)</f>
        <v/>
      </c>
    </row>
    <row r="24" spans="1:6" x14ac:dyDescent="0.25">
      <c r="A24" s="69" t="s">
        <v>222</v>
      </c>
      <c r="B24" s="177" t="str">
        <f>IF(ISBLANK('1.General'!$B$7),"",'1.General'!$B$7)</f>
        <v>Laura Campbell</v>
      </c>
    </row>
    <row r="25" spans="1:6" x14ac:dyDescent="0.25">
      <c r="A25" s="69" t="s">
        <v>223</v>
      </c>
      <c r="B25" s="176">
        <f>IF(ISBLANK('1.General'!$E$7),"",'1.General'!$E$7)</f>
        <v>45096</v>
      </c>
      <c r="F25" t="s">
        <v>309</v>
      </c>
    </row>
    <row r="26" spans="1:6" x14ac:dyDescent="0.25">
      <c r="A26" s="69" t="s">
        <v>220</v>
      </c>
      <c r="B26" s="176" t="str">
        <f>IF(ISBLANK('4.Proposed Impact'!$D$9),"",'4.Proposed Impact'!$D$9)</f>
        <v/>
      </c>
    </row>
    <row r="27" spans="1:6" x14ac:dyDescent="0.25">
      <c r="A27" s="69" t="s">
        <v>278</v>
      </c>
      <c r="B27" s="177" t="b">
        <v>0</v>
      </c>
    </row>
    <row r="28" spans="1:6" x14ac:dyDescent="0.25">
      <c r="A28" s="69" t="s">
        <v>366</v>
      </c>
      <c r="B28" s="350" t="b">
        <f>IF('3.Filing Type and Checklist'!E8="Y",TRUE,FALSE)</f>
        <v>0</v>
      </c>
    </row>
    <row r="29" spans="1:6" x14ac:dyDescent="0.25">
      <c r="A29" s="69" t="s">
        <v>367</v>
      </c>
      <c r="B29" s="350" t="b">
        <f>IF('3.Filing Type and Checklist'!E9="Y",TRUE,FALSE)</f>
        <v>1</v>
      </c>
    </row>
    <row r="30" spans="1:6" x14ac:dyDescent="0.25">
      <c r="A30" s="69" t="s">
        <v>368</v>
      </c>
      <c r="B30" s="350" t="b">
        <f>IF('3.Filing Type and Checklist'!E11="Y",TRUE,FALSE)</f>
        <v>0</v>
      </c>
    </row>
    <row r="31" spans="1:6" x14ac:dyDescent="0.25">
      <c r="A31" s="69" t="s">
        <v>369</v>
      </c>
      <c r="B31" s="350" t="b">
        <f>IF('3.Filing Type and Checklist'!E6="Y",TRUE,FALSE)</f>
        <v>0</v>
      </c>
    </row>
    <row r="32" spans="1:6" x14ac:dyDescent="0.25">
      <c r="A32" s="69" t="s">
        <v>514</v>
      </c>
      <c r="B32" s="350" t="b">
        <f>IF('3.Filing Type and Checklist'!E7="Y",TRUE,FALSE)</f>
        <v>0</v>
      </c>
    </row>
    <row r="33" spans="1:2" x14ac:dyDescent="0.25">
      <c r="A33" s="69" t="s">
        <v>370</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378</v>
      </c>
      <c r="B34" s="69"/>
    </row>
    <row r="35" spans="1:2" x14ac:dyDescent="0.25">
      <c r="A35" s="69" t="s">
        <v>425</v>
      </c>
      <c r="B35" s="442"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90" t="s">
        <v>111</v>
      </c>
      <c r="H1" s="315"/>
    </row>
    <row r="2" spans="1:27" x14ac:dyDescent="0.25">
      <c r="B2" s="131" t="s">
        <v>103</v>
      </c>
      <c r="C2" s="132"/>
      <c r="D2" s="133" t="s">
        <v>104</v>
      </c>
      <c r="E2" s="132"/>
      <c r="F2" s="131" t="s">
        <v>181</v>
      </c>
      <c r="G2" s="132"/>
      <c r="H2" s="134" t="s">
        <v>105</v>
      </c>
      <c r="I2" s="135" t="s">
        <v>274</v>
      </c>
      <c r="L2" s="134" t="s">
        <v>393</v>
      </c>
      <c r="M2" s="398"/>
      <c r="N2" s="378"/>
      <c r="O2" s="378"/>
      <c r="P2" s="378"/>
      <c r="Q2" s="378"/>
      <c r="R2" s="378"/>
      <c r="S2" s="378"/>
      <c r="T2" s="399"/>
      <c r="U2" s="400"/>
      <c r="V2" s="401" t="s">
        <v>411</v>
      </c>
      <c r="W2" s="402"/>
      <c r="Y2" s="131" t="s">
        <v>454</v>
      </c>
    </row>
    <row r="3" spans="1:27" x14ac:dyDescent="0.25">
      <c r="B3" s="136" t="s">
        <v>106</v>
      </c>
      <c r="C3" s="132"/>
      <c r="D3" s="144" t="s">
        <v>183</v>
      </c>
      <c r="F3" s="138"/>
      <c r="H3" s="139"/>
      <c r="I3" s="140"/>
      <c r="L3" s="403"/>
      <c r="M3" s="137"/>
      <c r="N3" s="404"/>
      <c r="O3" s="404"/>
      <c r="P3" s="404"/>
      <c r="Q3" s="404"/>
      <c r="R3" s="404"/>
      <c r="S3" s="404"/>
      <c r="T3" s="405"/>
      <c r="U3" s="140"/>
      <c r="V3" s="406" t="s">
        <v>412</v>
      </c>
      <c r="W3" s="407"/>
      <c r="Y3" s="136" t="s">
        <v>455</v>
      </c>
      <c r="AA3" s="47" t="s">
        <v>516</v>
      </c>
    </row>
    <row r="4" spans="1:27" ht="102.75" x14ac:dyDescent="0.25">
      <c r="B4" s="136" t="s">
        <v>182</v>
      </c>
      <c r="C4" s="163"/>
      <c r="D4" s="137"/>
      <c r="F4" s="138"/>
      <c r="H4" s="139"/>
      <c r="I4" s="140"/>
      <c r="L4" s="139" t="s">
        <v>413</v>
      </c>
      <c r="M4" s="137"/>
      <c r="N4" s="408" t="s">
        <v>414</v>
      </c>
      <c r="O4" s="408" t="s">
        <v>415</v>
      </c>
      <c r="P4" s="408" t="s">
        <v>416</v>
      </c>
      <c r="Q4" s="408" t="s">
        <v>417</v>
      </c>
      <c r="R4" s="408" t="s">
        <v>399</v>
      </c>
      <c r="S4" s="408" t="s">
        <v>499</v>
      </c>
      <c r="T4" s="405"/>
      <c r="U4" s="140"/>
      <c r="V4" s="409" t="s">
        <v>418</v>
      </c>
      <c r="W4" s="410" t="s">
        <v>419</v>
      </c>
      <c r="Y4" s="448">
        <v>1</v>
      </c>
    </row>
    <row r="5" spans="1:27" ht="45" customHeight="1" x14ac:dyDescent="0.25">
      <c r="A5" s="199" t="s">
        <v>255</v>
      </c>
      <c r="B5" s="200"/>
      <c r="C5" s="161"/>
      <c r="D5" s="201">
        <v>2</v>
      </c>
      <c r="E5" s="202"/>
      <c r="F5" s="203">
        <v>5</v>
      </c>
      <c r="G5" s="202"/>
      <c r="H5" s="204"/>
      <c r="I5" s="205"/>
      <c r="J5" s="202"/>
      <c r="L5" s="139" t="s">
        <v>420</v>
      </c>
      <c r="M5" s="137"/>
      <c r="N5" s="411">
        <f>IF('3.Filing Type and Checklist'!A18="",1,0)</f>
        <v>1</v>
      </c>
      <c r="O5" s="411">
        <f>IF(OR('3.Filing Type and Checklist'!$E$8="Y",'3.Filing Type and Checklist'!$E$10="Y",'3.Filing Type and Checklist'!$E$12="Y"),1,0)</f>
        <v>0</v>
      </c>
      <c r="P5" s="411">
        <f>IF('3.Filing Type and Checklist'!$E$11="Y",1,0)</f>
        <v>0</v>
      </c>
      <c r="Q5" s="411">
        <f>IF('3.Filing Type and Checklist'!$E$9="Y",1,0)</f>
        <v>1</v>
      </c>
      <c r="R5" s="411">
        <f>IF('3.Filing Type and Checklist'!$E$6="Y",1,0)</f>
        <v>0</v>
      </c>
      <c r="S5" s="411">
        <f>IF('3.Filing Type and Checklist'!$E$7="Y",1,0)</f>
        <v>0</v>
      </c>
      <c r="T5" s="405"/>
      <c r="U5" s="140"/>
      <c r="V5" s="409"/>
      <c r="W5" s="410"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A21,A23,A24,A25,A26,A27,A28,A30,A31,A32,A33,A37,A38,A39,A40,A41,A42,A43,A44,A45,A46,A47,A48,A49,A50,A51,A52,A55,A56,A58,A59,A62,A63,A64,A65,A66,A67</v>
      </c>
      <c r="Y5" s="449">
        <f>Y4-1</f>
        <v>0</v>
      </c>
    </row>
    <row r="6" spans="1:27" ht="30" x14ac:dyDescent="0.25">
      <c r="B6" s="141" t="s">
        <v>5</v>
      </c>
      <c r="C6" s="50"/>
      <c r="D6" s="137" t="s">
        <v>28</v>
      </c>
      <c r="F6" s="138"/>
      <c r="H6" s="126" t="s">
        <v>82</v>
      </c>
      <c r="I6" s="127" t="s">
        <v>225</v>
      </c>
      <c r="L6" s="379" t="s">
        <v>392</v>
      </c>
      <c r="M6" s="412"/>
      <c r="N6" s="413"/>
      <c r="O6" s="414"/>
      <c r="P6" s="414"/>
      <c r="Q6" s="414"/>
      <c r="R6" s="415"/>
      <c r="S6" s="415"/>
      <c r="T6" s="405"/>
      <c r="U6" s="416"/>
      <c r="V6" s="417"/>
      <c r="W6" s="410"/>
      <c r="Y6" s="420">
        <v>0</v>
      </c>
    </row>
    <row r="7" spans="1:27" ht="30" x14ac:dyDescent="0.25">
      <c r="B7" s="141" t="s">
        <v>6</v>
      </c>
      <c r="C7" s="50"/>
      <c r="D7" s="137" t="s">
        <v>29</v>
      </c>
      <c r="F7" s="138" t="s">
        <v>34</v>
      </c>
      <c r="H7" s="126" t="s">
        <v>83</v>
      </c>
      <c r="I7" s="127" t="s">
        <v>226</v>
      </c>
      <c r="L7" s="381" t="s">
        <v>290</v>
      </c>
      <c r="M7" s="412" t="s">
        <v>421</v>
      </c>
      <c r="N7" s="382"/>
      <c r="O7" s="382"/>
      <c r="P7" s="382"/>
      <c r="Q7" s="382"/>
      <c r="R7" s="382"/>
      <c r="S7" s="382"/>
      <c r="T7" s="418" t="s">
        <v>383</v>
      </c>
      <c r="U7" s="419" t="s">
        <v>384</v>
      </c>
      <c r="V7" s="386"/>
      <c r="W7" s="410"/>
      <c r="Y7" s="420">
        <v>1</v>
      </c>
    </row>
    <row r="8" spans="1:27" ht="30.75" thickBot="1" x14ac:dyDescent="0.3">
      <c r="B8" s="142" t="s">
        <v>51</v>
      </c>
      <c r="C8" s="50"/>
      <c r="D8" s="395"/>
      <c r="F8" s="138" t="s">
        <v>35</v>
      </c>
      <c r="H8" s="126" t="s">
        <v>84</v>
      </c>
      <c r="I8" s="127" t="s">
        <v>227</v>
      </c>
      <c r="L8" s="380" t="s">
        <v>377</v>
      </c>
      <c r="M8" s="420">
        <v>20</v>
      </c>
      <c r="N8" s="421">
        <v>1</v>
      </c>
      <c r="O8" s="421"/>
      <c r="P8" s="421"/>
      <c r="Q8" s="421"/>
      <c r="R8" s="421" t="s">
        <v>422</v>
      </c>
      <c r="S8" s="421"/>
      <c r="T8" s="422">
        <v>1</v>
      </c>
      <c r="U8" s="423">
        <v>1</v>
      </c>
      <c r="V8" s="387">
        <f>SUMPRODUCT(N$5:S$5,N8:S8)</f>
        <v>1</v>
      </c>
      <c r="W8" s="424" t="str">
        <f t="shared" ref="W8:W55" si="0">IF(V8=0,"A"&amp;$M8&amp;",","")</f>
        <v/>
      </c>
      <c r="Y8" s="420">
        <v>2</v>
      </c>
    </row>
    <row r="9" spans="1:27" ht="30" x14ac:dyDescent="0.25">
      <c r="F9" s="138" t="s">
        <v>492</v>
      </c>
      <c r="H9" s="126" t="s">
        <v>85</v>
      </c>
      <c r="I9" s="127" t="s">
        <v>228</v>
      </c>
      <c r="L9" s="425" t="s">
        <v>288</v>
      </c>
      <c r="M9" s="420">
        <v>21</v>
      </c>
      <c r="N9" s="426" t="s">
        <v>422</v>
      </c>
      <c r="O9" s="426"/>
      <c r="P9" s="426"/>
      <c r="Q9" s="426"/>
      <c r="R9" s="426" t="s">
        <v>422</v>
      </c>
      <c r="S9" s="426"/>
      <c r="T9" s="422">
        <v>1</v>
      </c>
      <c r="U9" s="423">
        <v>1</v>
      </c>
      <c r="V9" s="427">
        <f>IF('1.General'!$K$24=1,1,0)</f>
        <v>0</v>
      </c>
      <c r="W9" s="424" t="str">
        <f t="shared" si="0"/>
        <v>A21,</v>
      </c>
      <c r="Y9" s="420">
        <v>3</v>
      </c>
    </row>
    <row r="10" spans="1:27" ht="30" x14ac:dyDescent="0.25">
      <c r="F10" s="138" t="s">
        <v>36</v>
      </c>
      <c r="H10" s="126" t="s">
        <v>86</v>
      </c>
      <c r="I10" s="127" t="s">
        <v>229</v>
      </c>
      <c r="L10" s="380" t="s">
        <v>390</v>
      </c>
      <c r="M10" s="420">
        <v>22</v>
      </c>
      <c r="N10" s="421">
        <v>1</v>
      </c>
      <c r="O10" s="421"/>
      <c r="P10" s="421"/>
      <c r="Q10" s="421"/>
      <c r="R10" s="421" t="s">
        <v>422</v>
      </c>
      <c r="S10" s="421"/>
      <c r="T10" s="422">
        <v>1</v>
      </c>
      <c r="U10" s="423">
        <v>1</v>
      </c>
      <c r="V10" s="387">
        <f>SUMPRODUCT(N$5:S$5,N10:S10)</f>
        <v>1</v>
      </c>
      <c r="W10" s="424" t="str">
        <f t="shared" si="0"/>
        <v/>
      </c>
      <c r="Y10" s="420">
        <v>4</v>
      </c>
    </row>
    <row r="11" spans="1:27" ht="29.25" customHeight="1" x14ac:dyDescent="0.25">
      <c r="F11" s="138" t="s">
        <v>37</v>
      </c>
      <c r="H11" s="126" t="s">
        <v>89</v>
      </c>
      <c r="I11" s="127" t="s">
        <v>230</v>
      </c>
      <c r="L11" s="380" t="s">
        <v>289</v>
      </c>
      <c r="M11" s="420">
        <v>23</v>
      </c>
      <c r="N11" s="421" t="s">
        <v>422</v>
      </c>
      <c r="O11" s="421">
        <v>1</v>
      </c>
      <c r="P11" s="421"/>
      <c r="Q11" s="421"/>
      <c r="R11" s="421">
        <v>1</v>
      </c>
      <c r="S11" s="421">
        <v>1</v>
      </c>
      <c r="T11" s="422">
        <v>1</v>
      </c>
      <c r="U11" s="423">
        <v>1</v>
      </c>
      <c r="V11" s="387">
        <f>SUMPRODUCT(N$5:S$5,N11:S11)</f>
        <v>0</v>
      </c>
      <c r="W11" s="424" t="str">
        <f t="shared" si="0"/>
        <v>A23,</v>
      </c>
      <c r="Y11" s="420">
        <v>5</v>
      </c>
    </row>
    <row r="12" spans="1:27" ht="30" x14ac:dyDescent="0.25">
      <c r="F12" s="138" t="s">
        <v>38</v>
      </c>
      <c r="H12" s="126" t="s">
        <v>87</v>
      </c>
      <c r="I12" s="127" t="s">
        <v>231</v>
      </c>
      <c r="L12" s="380" t="s">
        <v>297</v>
      </c>
      <c r="M12" s="420">
        <v>24</v>
      </c>
      <c r="N12" s="421" t="s">
        <v>422</v>
      </c>
      <c r="O12" s="421">
        <v>1</v>
      </c>
      <c r="P12" s="421"/>
      <c r="Q12" s="421"/>
      <c r="R12" s="421"/>
      <c r="S12" s="421">
        <v>1</v>
      </c>
      <c r="T12" s="422">
        <v>1</v>
      </c>
      <c r="U12" s="423">
        <v>1</v>
      </c>
      <c r="V12" s="387">
        <f t="shared" ref="V12:V17" si="1">SUMPRODUCT(N$5:S$5,N12:S12)</f>
        <v>0</v>
      </c>
      <c r="W12" s="424" t="str">
        <f t="shared" si="0"/>
        <v>A24,</v>
      </c>
      <c r="Y12" s="420">
        <v>6</v>
      </c>
    </row>
    <row r="13" spans="1:27" ht="30" x14ac:dyDescent="0.25">
      <c r="F13" s="138" t="s">
        <v>39</v>
      </c>
      <c r="H13" s="126" t="s">
        <v>88</v>
      </c>
      <c r="I13" s="127" t="s">
        <v>232</v>
      </c>
      <c r="L13" s="380" t="s">
        <v>357</v>
      </c>
      <c r="M13" s="420">
        <v>25</v>
      </c>
      <c r="N13" s="421" t="s">
        <v>422</v>
      </c>
      <c r="O13" s="421">
        <v>1</v>
      </c>
      <c r="P13" s="421"/>
      <c r="Q13" s="421"/>
      <c r="R13" s="421" t="s">
        <v>422</v>
      </c>
      <c r="S13" s="421">
        <v>1</v>
      </c>
      <c r="T13" s="422">
        <v>1</v>
      </c>
      <c r="U13" s="423">
        <v>1</v>
      </c>
      <c r="V13" s="387">
        <f t="shared" si="1"/>
        <v>0</v>
      </c>
      <c r="W13" s="424" t="str">
        <f t="shared" si="0"/>
        <v>A25,</v>
      </c>
      <c r="Y13" s="420">
        <v>7</v>
      </c>
    </row>
    <row r="14" spans="1:27" ht="30" x14ac:dyDescent="0.25">
      <c r="F14" s="138" t="s">
        <v>40</v>
      </c>
      <c r="H14" s="126" t="s">
        <v>110</v>
      </c>
      <c r="I14" s="127" t="s">
        <v>233</v>
      </c>
      <c r="L14" s="380" t="s">
        <v>298</v>
      </c>
      <c r="M14" s="420">
        <v>26</v>
      </c>
      <c r="N14" s="421" t="s">
        <v>422</v>
      </c>
      <c r="O14" s="421">
        <v>1</v>
      </c>
      <c r="P14" s="421"/>
      <c r="Q14" s="421"/>
      <c r="R14" s="421" t="s">
        <v>422</v>
      </c>
      <c r="S14" s="421">
        <v>1</v>
      </c>
      <c r="T14" s="422">
        <v>1</v>
      </c>
      <c r="U14" s="423">
        <v>1</v>
      </c>
      <c r="V14" s="387">
        <f t="shared" si="1"/>
        <v>0</v>
      </c>
      <c r="W14" s="424" t="str">
        <f t="shared" si="0"/>
        <v>A26,</v>
      </c>
      <c r="Y14" s="420">
        <v>8</v>
      </c>
    </row>
    <row r="15" spans="1:27" ht="30" x14ac:dyDescent="0.25">
      <c r="F15" s="138" t="s">
        <v>41</v>
      </c>
      <c r="H15" s="126" t="s">
        <v>90</v>
      </c>
      <c r="I15" s="127" t="s">
        <v>234</v>
      </c>
      <c r="L15" s="380" t="s">
        <v>299</v>
      </c>
      <c r="M15" s="420">
        <v>27</v>
      </c>
      <c r="N15" s="421" t="s">
        <v>422</v>
      </c>
      <c r="O15" s="421">
        <v>1</v>
      </c>
      <c r="P15" s="421"/>
      <c r="Q15" s="421"/>
      <c r="R15" s="421">
        <v>1</v>
      </c>
      <c r="S15" s="421">
        <v>1</v>
      </c>
      <c r="T15" s="422">
        <v>1</v>
      </c>
      <c r="U15" s="423">
        <v>1</v>
      </c>
      <c r="V15" s="387">
        <f t="shared" si="1"/>
        <v>0</v>
      </c>
      <c r="W15" s="424" t="str">
        <f t="shared" si="0"/>
        <v>A27,</v>
      </c>
      <c r="Y15" s="420">
        <v>9</v>
      </c>
    </row>
    <row r="16" spans="1:27" ht="30.75" thickBot="1" x14ac:dyDescent="0.3">
      <c r="F16" s="138" t="s">
        <v>42</v>
      </c>
      <c r="H16" s="126" t="s">
        <v>91</v>
      </c>
      <c r="I16" s="127" t="s">
        <v>235</v>
      </c>
      <c r="L16" s="380" t="s">
        <v>300</v>
      </c>
      <c r="M16" s="420">
        <v>28</v>
      </c>
      <c r="N16" s="421" t="s">
        <v>422</v>
      </c>
      <c r="O16" s="421"/>
      <c r="P16" s="421">
        <v>1</v>
      </c>
      <c r="Q16" s="421"/>
      <c r="R16" s="421">
        <v>1</v>
      </c>
      <c r="S16" s="421"/>
      <c r="T16" s="422">
        <v>1</v>
      </c>
      <c r="U16" s="423">
        <v>1</v>
      </c>
      <c r="V16" s="387">
        <f t="shared" si="1"/>
        <v>0</v>
      </c>
      <c r="W16" s="424" t="str">
        <f t="shared" si="0"/>
        <v>A28,</v>
      </c>
      <c r="Y16" s="429">
        <v>10</v>
      </c>
    </row>
    <row r="17" spans="6:23" ht="30" x14ac:dyDescent="0.25">
      <c r="F17" s="138" t="s">
        <v>343</v>
      </c>
      <c r="H17" s="126" t="s">
        <v>92</v>
      </c>
      <c r="I17" s="127" t="s">
        <v>236</v>
      </c>
      <c r="L17" s="380" t="s">
        <v>325</v>
      </c>
      <c r="M17" s="420">
        <v>29</v>
      </c>
      <c r="N17" s="421" t="s">
        <v>422</v>
      </c>
      <c r="O17" s="421"/>
      <c r="P17" s="421"/>
      <c r="Q17" s="421">
        <v>1</v>
      </c>
      <c r="R17" s="421" t="s">
        <v>422</v>
      </c>
      <c r="S17" s="421"/>
      <c r="T17" s="422">
        <v>1</v>
      </c>
      <c r="U17" s="423">
        <v>1</v>
      </c>
      <c r="V17" s="387">
        <f t="shared" si="1"/>
        <v>1</v>
      </c>
      <c r="W17" s="424" t="str">
        <f t="shared" si="0"/>
        <v/>
      </c>
    </row>
    <row r="18" spans="6:23" ht="30" x14ac:dyDescent="0.25">
      <c r="F18" s="138" t="s">
        <v>490</v>
      </c>
      <c r="H18" s="126" t="s">
        <v>93</v>
      </c>
      <c r="I18" s="127" t="s">
        <v>237</v>
      </c>
      <c r="L18" s="425" t="s">
        <v>76</v>
      </c>
      <c r="M18" s="420">
        <v>30</v>
      </c>
      <c r="N18" s="421" t="s">
        <v>422</v>
      </c>
      <c r="O18" s="421"/>
      <c r="P18" s="421"/>
      <c r="Q18" s="421"/>
      <c r="R18" s="421" t="s">
        <v>422</v>
      </c>
      <c r="S18" s="421"/>
      <c r="T18" s="422">
        <v>1</v>
      </c>
      <c r="U18" s="423">
        <v>1</v>
      </c>
      <c r="V18" s="427">
        <f>IF('1.General'!$K$14=1,1,0)</f>
        <v>0</v>
      </c>
      <c r="W18" s="424" t="str">
        <f t="shared" si="0"/>
        <v>A30,</v>
      </c>
    </row>
    <row r="19" spans="6:23" ht="30" x14ac:dyDescent="0.25">
      <c r="F19" s="138" t="s">
        <v>491</v>
      </c>
      <c r="H19" s="126" t="s">
        <v>94</v>
      </c>
      <c r="I19" s="128" t="s">
        <v>238</v>
      </c>
      <c r="L19" s="425" t="s">
        <v>456</v>
      </c>
      <c r="M19" s="420">
        <v>31</v>
      </c>
      <c r="N19" s="421"/>
      <c r="O19" s="421"/>
      <c r="P19" s="421"/>
      <c r="Q19" s="421"/>
      <c r="R19" s="421"/>
      <c r="S19" s="421"/>
      <c r="T19" s="422">
        <v>1</v>
      </c>
      <c r="U19" s="423">
        <v>1</v>
      </c>
      <c r="V19" s="427">
        <f>IF(Y5&gt;0,1,0)</f>
        <v>0</v>
      </c>
      <c r="W19" s="424" t="str">
        <f t="shared" si="0"/>
        <v>A31,</v>
      </c>
    </row>
    <row r="20" spans="6:23" ht="30" x14ac:dyDescent="0.25">
      <c r="F20" s="138" t="s">
        <v>43</v>
      </c>
      <c r="H20" s="126" t="s">
        <v>95</v>
      </c>
      <c r="I20" s="127" t="s">
        <v>239</v>
      </c>
      <c r="L20" s="547" t="s">
        <v>493</v>
      </c>
      <c r="M20" s="420">
        <v>32</v>
      </c>
      <c r="N20" s="421"/>
      <c r="O20" s="548"/>
      <c r="P20" s="548"/>
      <c r="Q20" s="548"/>
      <c r="R20" s="548"/>
      <c r="S20" s="548"/>
      <c r="T20" s="422">
        <v>1</v>
      </c>
      <c r="U20" s="549"/>
      <c r="V20" s="427">
        <f>IF(Y5&gt;0,1,0)</f>
        <v>0</v>
      </c>
      <c r="W20" s="424" t="str">
        <f t="shared" si="0"/>
        <v>A32,</v>
      </c>
    </row>
    <row r="21" spans="6:23" ht="30" x14ac:dyDescent="0.25">
      <c r="F21" s="138" t="s">
        <v>44</v>
      </c>
      <c r="H21" s="126" t="s">
        <v>96</v>
      </c>
      <c r="I21" s="127" t="s">
        <v>348</v>
      </c>
      <c r="L21" s="547" t="s">
        <v>494</v>
      </c>
      <c r="M21" s="420">
        <v>33</v>
      </c>
      <c r="N21" s="421"/>
      <c r="O21" s="421">
        <v>1</v>
      </c>
      <c r="P21" s="421"/>
      <c r="Q21" s="421">
        <v>1</v>
      </c>
      <c r="R21" s="421">
        <v>1</v>
      </c>
      <c r="S21" s="421">
        <v>1</v>
      </c>
      <c r="T21" s="422">
        <v>1</v>
      </c>
      <c r="U21" s="423"/>
      <c r="V21" s="427">
        <f>IF(AND($D$5=2,SUMPRODUCT(N$5:S$5,N21:S21)&gt;=1,OR($F$5=12,$F$5=13,$F$5=14,$F$5=15,$F$5=17)),1,0)</f>
        <v>0</v>
      </c>
      <c r="W21" s="424" t="str">
        <f t="shared" si="0"/>
        <v>A33,</v>
      </c>
    </row>
    <row r="22" spans="6:23" ht="30" x14ac:dyDescent="0.25">
      <c r="F22" s="138" t="s">
        <v>45</v>
      </c>
      <c r="H22" s="126" t="s">
        <v>97</v>
      </c>
      <c r="I22" s="127" t="s">
        <v>349</v>
      </c>
      <c r="L22" s="547" t="s">
        <v>457</v>
      </c>
      <c r="M22" s="420">
        <v>34</v>
      </c>
      <c r="N22" s="421">
        <v>1</v>
      </c>
      <c r="O22" s="421"/>
      <c r="P22" s="421"/>
      <c r="Q22" s="421"/>
      <c r="R22" s="421"/>
      <c r="S22" s="421"/>
      <c r="T22" s="422">
        <v>1</v>
      </c>
      <c r="U22" s="423"/>
      <c r="V22" s="387">
        <f>SUMPRODUCT(N$5:S$5,N22:S22)</f>
        <v>1</v>
      </c>
      <c r="W22" s="424" t="str">
        <f t="shared" si="0"/>
        <v/>
      </c>
    </row>
    <row r="23" spans="6:23" ht="30" x14ac:dyDescent="0.25">
      <c r="F23" s="138" t="s">
        <v>46</v>
      </c>
      <c r="H23" s="126" t="s">
        <v>98</v>
      </c>
      <c r="I23" s="127" t="s">
        <v>350</v>
      </c>
      <c r="L23" s="204" t="s">
        <v>291</v>
      </c>
      <c r="M23" s="420">
        <v>35</v>
      </c>
      <c r="N23" s="382" t="s">
        <v>422</v>
      </c>
      <c r="O23" s="382"/>
      <c r="P23" s="382"/>
      <c r="Q23" s="382"/>
      <c r="R23" s="382" t="s">
        <v>422</v>
      </c>
      <c r="S23" s="382"/>
      <c r="T23" s="422"/>
      <c r="U23" s="423"/>
      <c r="V23" s="386"/>
      <c r="W23" s="424" t="str">
        <f t="shared" si="0"/>
        <v>A35,</v>
      </c>
    </row>
    <row r="24" spans="6:23" ht="45" x14ac:dyDescent="0.25">
      <c r="F24" s="138" t="s">
        <v>47</v>
      </c>
      <c r="H24" s="126" t="s">
        <v>99</v>
      </c>
      <c r="I24" s="127" t="s">
        <v>351</v>
      </c>
      <c r="L24" s="380" t="s">
        <v>283</v>
      </c>
      <c r="M24" s="420">
        <v>36</v>
      </c>
      <c r="N24" s="421" t="s">
        <v>422</v>
      </c>
      <c r="O24" s="421">
        <v>1</v>
      </c>
      <c r="P24" s="421">
        <v>1</v>
      </c>
      <c r="Q24" s="421">
        <v>1</v>
      </c>
      <c r="R24" s="421" t="s">
        <v>422</v>
      </c>
      <c r="S24" s="421">
        <v>1</v>
      </c>
      <c r="T24" s="422">
        <v>1</v>
      </c>
      <c r="U24" s="423"/>
      <c r="V24" s="387">
        <f>SUMPRODUCT(N$5:S$5,N24:S24)</f>
        <v>1</v>
      </c>
      <c r="W24" s="424" t="str">
        <f t="shared" si="0"/>
        <v/>
      </c>
    </row>
    <row r="25" spans="6:23" ht="30" x14ac:dyDescent="0.25">
      <c r="F25" s="138" t="s">
        <v>48</v>
      </c>
      <c r="H25" s="126" t="s">
        <v>100</v>
      </c>
      <c r="I25" s="127" t="s">
        <v>352</v>
      </c>
      <c r="L25" s="380" t="s">
        <v>284</v>
      </c>
      <c r="M25" s="420">
        <v>37</v>
      </c>
      <c r="N25" s="421" t="s">
        <v>422</v>
      </c>
      <c r="O25" s="421">
        <v>1</v>
      </c>
      <c r="P25" s="421"/>
      <c r="Q25" s="421"/>
      <c r="R25" s="421" t="s">
        <v>422</v>
      </c>
      <c r="S25" s="421">
        <v>1</v>
      </c>
      <c r="T25" s="422">
        <v>1</v>
      </c>
      <c r="U25" s="423">
        <v>1</v>
      </c>
      <c r="V25" s="387">
        <f>SUMPRODUCT(N$5:S$5,N25:S25)</f>
        <v>0</v>
      </c>
      <c r="W25" s="424" t="str">
        <f t="shared" si="0"/>
        <v>A37,</v>
      </c>
    </row>
    <row r="26" spans="6:23" ht="30" x14ac:dyDescent="0.25">
      <c r="F26" s="138" t="s">
        <v>49</v>
      </c>
      <c r="H26" s="126" t="s">
        <v>101</v>
      </c>
      <c r="I26" s="127" t="s">
        <v>353</v>
      </c>
      <c r="L26" s="380" t="s">
        <v>285</v>
      </c>
      <c r="M26" s="420">
        <v>38</v>
      </c>
      <c r="N26" s="421" t="s">
        <v>422</v>
      </c>
      <c r="O26" s="421">
        <v>1</v>
      </c>
      <c r="P26" s="421"/>
      <c r="Q26" s="421"/>
      <c r="R26" s="421" t="s">
        <v>422</v>
      </c>
      <c r="S26" s="421">
        <v>1</v>
      </c>
      <c r="T26" s="422">
        <v>1</v>
      </c>
      <c r="U26" s="423">
        <v>1</v>
      </c>
      <c r="V26" s="387">
        <f>SUMPRODUCT(N$5:S$5,N26:S26)</f>
        <v>0</v>
      </c>
      <c r="W26" s="424" t="str">
        <f t="shared" si="0"/>
        <v>A38,</v>
      </c>
    </row>
    <row r="27" spans="6:23" ht="30.75" customHeight="1" x14ac:dyDescent="0.25">
      <c r="F27" s="138" t="s">
        <v>496</v>
      </c>
      <c r="H27" s="126" t="s">
        <v>102</v>
      </c>
      <c r="I27" s="127" t="s">
        <v>240</v>
      </c>
      <c r="L27" s="380" t="s">
        <v>286</v>
      </c>
      <c r="M27" s="420">
        <v>39</v>
      </c>
      <c r="N27" s="421" t="s">
        <v>422</v>
      </c>
      <c r="O27" s="421">
        <v>1</v>
      </c>
      <c r="P27" s="421"/>
      <c r="Q27" s="421"/>
      <c r="R27" s="421" t="s">
        <v>422</v>
      </c>
      <c r="S27" s="421">
        <v>1</v>
      </c>
      <c r="T27" s="422">
        <v>1</v>
      </c>
      <c r="U27" s="423">
        <v>1</v>
      </c>
      <c r="V27" s="387">
        <f t="shared" ref="V27:V35" si="2">SUMPRODUCT(N$5:S$5,N27:S27)</f>
        <v>0</v>
      </c>
      <c r="W27" s="424" t="str">
        <f t="shared" si="0"/>
        <v>A39,</v>
      </c>
    </row>
    <row r="28" spans="6:23" ht="30.75" customHeight="1" thickBot="1" x14ac:dyDescent="0.3">
      <c r="F28" s="143" t="s">
        <v>50</v>
      </c>
      <c r="H28" s="129" t="s">
        <v>51</v>
      </c>
      <c r="I28" s="130" t="str">
        <f>""</f>
        <v/>
      </c>
      <c r="L28" s="380" t="s">
        <v>385</v>
      </c>
      <c r="M28" s="420">
        <v>40</v>
      </c>
      <c r="N28" s="421" t="s">
        <v>422</v>
      </c>
      <c r="O28" s="421">
        <v>1</v>
      </c>
      <c r="P28" s="421"/>
      <c r="Q28" s="421"/>
      <c r="R28" s="421" t="s">
        <v>422</v>
      </c>
      <c r="S28" s="421">
        <v>1</v>
      </c>
      <c r="T28" s="422">
        <v>1</v>
      </c>
      <c r="U28" s="423">
        <v>1</v>
      </c>
      <c r="V28" s="387">
        <f t="shared" si="2"/>
        <v>0</v>
      </c>
      <c r="W28" s="424" t="str">
        <f t="shared" si="0"/>
        <v>A40,</v>
      </c>
    </row>
    <row r="29" spans="6:23" ht="30.75" customHeight="1" x14ac:dyDescent="0.25">
      <c r="I29" s="63"/>
      <c r="L29" s="380" t="s">
        <v>287</v>
      </c>
      <c r="M29" s="420">
        <v>41</v>
      </c>
      <c r="N29" s="421" t="s">
        <v>422</v>
      </c>
      <c r="O29" s="421">
        <v>1</v>
      </c>
      <c r="P29" s="421"/>
      <c r="Q29" s="421"/>
      <c r="R29" s="421" t="s">
        <v>422</v>
      </c>
      <c r="S29" s="421">
        <v>1</v>
      </c>
      <c r="T29" s="422">
        <v>1</v>
      </c>
      <c r="U29" s="423">
        <v>1</v>
      </c>
      <c r="V29" s="387">
        <f t="shared" si="2"/>
        <v>0</v>
      </c>
      <c r="W29" s="424" t="str">
        <f t="shared" si="0"/>
        <v>A41,</v>
      </c>
    </row>
    <row r="30" spans="6:23" ht="30.75" customHeight="1" x14ac:dyDescent="0.25">
      <c r="I30" s="63"/>
      <c r="L30" s="380" t="s">
        <v>386</v>
      </c>
      <c r="M30" s="420">
        <v>42</v>
      </c>
      <c r="N30" s="421" t="s">
        <v>422</v>
      </c>
      <c r="O30" s="421">
        <v>1</v>
      </c>
      <c r="P30" s="421"/>
      <c r="Q30" s="421"/>
      <c r="R30" s="421" t="s">
        <v>422</v>
      </c>
      <c r="S30" s="421">
        <v>1</v>
      </c>
      <c r="T30" s="422">
        <v>1</v>
      </c>
      <c r="U30" s="423">
        <v>1</v>
      </c>
      <c r="V30" s="387">
        <f t="shared" si="2"/>
        <v>0</v>
      </c>
      <c r="W30" s="424" t="str">
        <f t="shared" si="0"/>
        <v>A42,</v>
      </c>
    </row>
    <row r="31" spans="6:23" ht="30.75" customHeight="1" x14ac:dyDescent="0.25">
      <c r="I31" s="63"/>
      <c r="L31" s="380" t="s">
        <v>387</v>
      </c>
      <c r="M31" s="420">
        <v>43</v>
      </c>
      <c r="N31" s="421" t="s">
        <v>422</v>
      </c>
      <c r="O31" s="421">
        <v>1</v>
      </c>
      <c r="P31" s="421"/>
      <c r="Q31" s="421"/>
      <c r="R31" s="421" t="s">
        <v>422</v>
      </c>
      <c r="S31" s="421">
        <v>1</v>
      </c>
      <c r="T31" s="422">
        <v>1</v>
      </c>
      <c r="U31" s="423">
        <v>1</v>
      </c>
      <c r="V31" s="387">
        <f t="shared" si="2"/>
        <v>0</v>
      </c>
      <c r="W31" s="424" t="str">
        <f t="shared" si="0"/>
        <v>A43,</v>
      </c>
    </row>
    <row r="32" spans="6:23" ht="30.75" customHeight="1" x14ac:dyDescent="0.25">
      <c r="I32" s="63"/>
      <c r="L32" s="380" t="s">
        <v>293</v>
      </c>
      <c r="M32" s="420">
        <v>44</v>
      </c>
      <c r="N32" s="421" t="s">
        <v>422</v>
      </c>
      <c r="O32" s="421">
        <v>1</v>
      </c>
      <c r="P32" s="421"/>
      <c r="Q32" s="421"/>
      <c r="R32" s="421" t="s">
        <v>422</v>
      </c>
      <c r="S32" s="421">
        <v>1</v>
      </c>
      <c r="T32" s="422">
        <v>1</v>
      </c>
      <c r="U32" s="423">
        <v>1</v>
      </c>
      <c r="V32" s="387">
        <f t="shared" si="2"/>
        <v>0</v>
      </c>
      <c r="W32" s="424" t="str">
        <f t="shared" si="0"/>
        <v>A44,</v>
      </c>
    </row>
    <row r="33" spans="9:49" ht="30.75" customHeight="1" x14ac:dyDescent="0.25">
      <c r="I33" s="63"/>
      <c r="L33" s="380" t="s">
        <v>294</v>
      </c>
      <c r="M33" s="420">
        <v>45</v>
      </c>
      <c r="N33" s="421" t="s">
        <v>422</v>
      </c>
      <c r="O33" s="421">
        <v>1</v>
      </c>
      <c r="P33" s="421"/>
      <c r="Q33" s="421"/>
      <c r="R33" s="421" t="s">
        <v>422</v>
      </c>
      <c r="S33" s="421">
        <v>1</v>
      </c>
      <c r="T33" s="422">
        <v>1</v>
      </c>
      <c r="U33" s="423">
        <v>1</v>
      </c>
      <c r="V33" s="387">
        <f t="shared" si="2"/>
        <v>0</v>
      </c>
      <c r="W33" s="424" t="str">
        <f t="shared" si="0"/>
        <v>A45,</v>
      </c>
    </row>
    <row r="34" spans="9:49" ht="30.75" customHeight="1" x14ac:dyDescent="0.25">
      <c r="I34" s="63"/>
      <c r="L34" s="380" t="s">
        <v>295</v>
      </c>
      <c r="M34" s="420">
        <v>46</v>
      </c>
      <c r="N34" s="421" t="s">
        <v>422</v>
      </c>
      <c r="O34" s="421">
        <v>1</v>
      </c>
      <c r="P34" s="421"/>
      <c r="Q34" s="421"/>
      <c r="R34" s="421" t="s">
        <v>422</v>
      </c>
      <c r="S34" s="421">
        <v>1</v>
      </c>
      <c r="T34" s="422">
        <v>1</v>
      </c>
      <c r="U34" s="423">
        <v>1</v>
      </c>
      <c r="V34" s="387">
        <f t="shared" si="2"/>
        <v>0</v>
      </c>
      <c r="W34" s="424" t="str">
        <f t="shared" si="0"/>
        <v>A46,</v>
      </c>
    </row>
    <row r="35" spans="9:49" ht="30.75" customHeight="1" x14ac:dyDescent="0.25">
      <c r="I35" s="63"/>
      <c r="L35" s="380" t="s">
        <v>296</v>
      </c>
      <c r="M35" s="420">
        <v>47</v>
      </c>
      <c r="N35" s="421" t="s">
        <v>422</v>
      </c>
      <c r="O35" s="421">
        <v>1</v>
      </c>
      <c r="P35" s="421"/>
      <c r="Q35" s="421"/>
      <c r="R35" s="421">
        <v>1</v>
      </c>
      <c r="S35" s="421">
        <v>1</v>
      </c>
      <c r="T35" s="422">
        <v>1</v>
      </c>
      <c r="U35" s="423">
        <v>1</v>
      </c>
      <c r="V35" s="387">
        <f t="shared" si="2"/>
        <v>0</v>
      </c>
      <c r="W35" s="424" t="str">
        <f t="shared" si="0"/>
        <v>A47,</v>
      </c>
    </row>
    <row r="36" spans="9:49" ht="30.75" customHeight="1" x14ac:dyDescent="0.25">
      <c r="I36" s="63"/>
      <c r="L36" s="428" t="s">
        <v>328</v>
      </c>
      <c r="M36" s="420">
        <v>48</v>
      </c>
      <c r="N36" s="421" t="s">
        <v>422</v>
      </c>
      <c r="O36" s="421"/>
      <c r="P36" s="421"/>
      <c r="Q36" s="421"/>
      <c r="R36" s="421" t="s">
        <v>422</v>
      </c>
      <c r="S36" s="421"/>
      <c r="T36" s="422">
        <v>1</v>
      </c>
      <c r="U36" s="423"/>
      <c r="V36" s="427">
        <f>IF('1.General'!$K$14=1,1,0)</f>
        <v>0</v>
      </c>
      <c r="W36" s="424" t="str">
        <f t="shared" si="0"/>
        <v>A48,</v>
      </c>
    </row>
    <row r="37" spans="9:49" ht="30.75" customHeight="1" x14ac:dyDescent="0.25">
      <c r="I37" s="63"/>
      <c r="L37" s="380" t="s">
        <v>320</v>
      </c>
      <c r="M37" s="420">
        <v>49</v>
      </c>
      <c r="N37" s="421" t="s">
        <v>422</v>
      </c>
      <c r="O37" s="421">
        <v>1</v>
      </c>
      <c r="P37" s="421"/>
      <c r="Q37" s="421"/>
      <c r="R37" s="421" t="s">
        <v>422</v>
      </c>
      <c r="S37" s="421">
        <v>1</v>
      </c>
      <c r="T37" s="422">
        <v>1</v>
      </c>
      <c r="U37" s="423">
        <v>1</v>
      </c>
      <c r="V37" s="387">
        <f>SUMPRODUCT(N$5:S$5,N37:S37)</f>
        <v>0</v>
      </c>
      <c r="W37" s="424" t="str">
        <f t="shared" si="0"/>
        <v>A49,</v>
      </c>
    </row>
    <row r="38" spans="9:49" ht="30.75" customHeight="1" x14ac:dyDescent="0.25">
      <c r="I38" s="63"/>
      <c r="L38" s="380" t="s">
        <v>321</v>
      </c>
      <c r="M38" s="420">
        <v>50</v>
      </c>
      <c r="N38" s="421" t="s">
        <v>422</v>
      </c>
      <c r="O38" s="421">
        <v>1</v>
      </c>
      <c r="P38" s="421"/>
      <c r="Q38" s="421"/>
      <c r="R38" s="421" t="s">
        <v>422</v>
      </c>
      <c r="S38" s="421">
        <v>1</v>
      </c>
      <c r="T38" s="422">
        <v>1</v>
      </c>
      <c r="U38" s="423">
        <v>1</v>
      </c>
      <c r="V38" s="387">
        <f>SUMPRODUCT(N$5:S$5,N38:S38)</f>
        <v>0</v>
      </c>
      <c r="W38" s="424" t="str">
        <f t="shared" si="0"/>
        <v>A50,</v>
      </c>
    </row>
    <row r="39" spans="9:49" ht="30.75" customHeight="1" x14ac:dyDescent="0.25">
      <c r="I39" s="63"/>
      <c r="L39" s="380" t="s">
        <v>322</v>
      </c>
      <c r="M39" s="420">
        <v>51</v>
      </c>
      <c r="N39" s="421" t="s">
        <v>422</v>
      </c>
      <c r="O39" s="421"/>
      <c r="P39" s="421"/>
      <c r="Q39" s="421"/>
      <c r="R39" s="421">
        <v>1</v>
      </c>
      <c r="S39" s="421"/>
      <c r="T39" s="422">
        <v>1</v>
      </c>
      <c r="U39" s="423"/>
      <c r="V39" s="387">
        <f>SUMPRODUCT(N$5:S$5,N39:S39)</f>
        <v>0</v>
      </c>
      <c r="W39" s="42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5" t="s">
        <v>323</v>
      </c>
      <c r="M40" s="420">
        <v>52</v>
      </c>
      <c r="N40" s="426" t="s">
        <v>422</v>
      </c>
      <c r="O40" s="426"/>
      <c r="P40" s="426"/>
      <c r="Q40" s="426"/>
      <c r="R40" s="426" t="s">
        <v>422</v>
      </c>
      <c r="S40" s="426"/>
      <c r="T40" s="422">
        <v>1</v>
      </c>
      <c r="U40" s="423"/>
      <c r="V40" s="427">
        <f>IF(AND($D$5=2,$F$5=4,'1.General'!$K$40=2),1,0)</f>
        <v>0</v>
      </c>
      <c r="W40" s="424" t="str">
        <f t="shared" si="0"/>
        <v>A52,</v>
      </c>
      <c r="X40"/>
      <c r="Y40"/>
    </row>
    <row r="41" spans="9:49" ht="30" customHeight="1" x14ac:dyDescent="0.25">
      <c r="I41" s="63"/>
      <c r="L41" s="380" t="s">
        <v>423</v>
      </c>
      <c r="M41" s="420">
        <v>53</v>
      </c>
      <c r="N41" s="421" t="s">
        <v>422</v>
      </c>
      <c r="O41" s="421">
        <v>1</v>
      </c>
      <c r="P41" s="421"/>
      <c r="Q41" s="421">
        <v>1</v>
      </c>
      <c r="R41" s="421" t="s">
        <v>422</v>
      </c>
      <c r="S41" s="421">
        <v>1</v>
      </c>
      <c r="T41" s="422">
        <v>1</v>
      </c>
      <c r="U41" s="423"/>
      <c r="V41" s="387">
        <f>SUMPRODUCT(N$5:S$5,N41:S41)</f>
        <v>1</v>
      </c>
      <c r="W41" s="424" t="str">
        <f t="shared" si="0"/>
        <v/>
      </c>
    </row>
    <row r="42" spans="9:49" ht="30" customHeight="1" x14ac:dyDescent="0.25">
      <c r="I42" s="63"/>
      <c r="L42" s="380" t="s">
        <v>324</v>
      </c>
      <c r="M42" s="420">
        <v>54</v>
      </c>
      <c r="N42" s="421">
        <v>1</v>
      </c>
      <c r="O42" s="421"/>
      <c r="P42" s="421"/>
      <c r="Q42" s="421"/>
      <c r="R42" s="421" t="s">
        <v>422</v>
      </c>
      <c r="S42" s="421"/>
      <c r="T42" s="422">
        <v>1</v>
      </c>
      <c r="U42" s="423">
        <v>1</v>
      </c>
      <c r="V42" s="387">
        <f>SUMPRODUCT(N$5:S$5,N42:S42)</f>
        <v>1</v>
      </c>
      <c r="W42" s="424" t="str">
        <f t="shared" si="0"/>
        <v/>
      </c>
    </row>
    <row r="43" spans="9:49" ht="30" customHeight="1" x14ac:dyDescent="0.25">
      <c r="I43" s="63"/>
      <c r="L43" s="380" t="s">
        <v>333</v>
      </c>
      <c r="M43" s="420">
        <v>55</v>
      </c>
      <c r="N43" s="421"/>
      <c r="O43" s="421">
        <v>1</v>
      </c>
      <c r="P43" s="421"/>
      <c r="Q43" s="421"/>
      <c r="R43" s="421" t="s">
        <v>422</v>
      </c>
      <c r="S43" s="421">
        <v>1</v>
      </c>
      <c r="T43" s="422">
        <v>1</v>
      </c>
      <c r="U43" s="423">
        <v>1</v>
      </c>
      <c r="V43" s="387">
        <f>SUMPRODUCT(N$5:S$5,N43:S43)</f>
        <v>0</v>
      </c>
      <c r="W43" s="424" t="str">
        <f t="shared" si="0"/>
        <v>A55,</v>
      </c>
    </row>
    <row r="44" spans="9:49" ht="30" customHeight="1" x14ac:dyDescent="0.25">
      <c r="I44" s="63"/>
      <c r="L44" s="425" t="s">
        <v>332</v>
      </c>
      <c r="M44" s="420">
        <v>56</v>
      </c>
      <c r="N44" s="426" t="s">
        <v>422</v>
      </c>
      <c r="O44" s="426"/>
      <c r="P44" s="426"/>
      <c r="Q44" s="426"/>
      <c r="R44" s="426" t="s">
        <v>422</v>
      </c>
      <c r="S44" s="426"/>
      <c r="T44" s="422">
        <v>1</v>
      </c>
      <c r="U44" s="423">
        <v>1</v>
      </c>
      <c r="V44" s="427">
        <f>IF('1.General'!$K$26=1,1,0)</f>
        <v>0</v>
      </c>
      <c r="W44" s="424" t="str">
        <f t="shared" si="0"/>
        <v>A56,</v>
      </c>
    </row>
    <row r="45" spans="9:49" ht="30" customHeight="1" x14ac:dyDescent="0.25">
      <c r="I45" s="63"/>
      <c r="L45" s="204" t="s">
        <v>77</v>
      </c>
      <c r="M45" s="420">
        <v>57</v>
      </c>
      <c r="N45" s="421">
        <v>1</v>
      </c>
      <c r="O45" s="421"/>
      <c r="P45" s="421"/>
      <c r="Q45" s="421"/>
      <c r="R45" s="421" t="s">
        <v>422</v>
      </c>
      <c r="S45" s="421"/>
      <c r="T45" s="422">
        <v>1</v>
      </c>
      <c r="U45" s="423"/>
      <c r="V45" s="387">
        <f>SUMPRODUCT(N$5:S$5,N45:S45)</f>
        <v>1</v>
      </c>
      <c r="W45" s="424" t="str">
        <f t="shared" si="0"/>
        <v/>
      </c>
    </row>
    <row r="46" spans="9:49" ht="30" customHeight="1" x14ac:dyDescent="0.25">
      <c r="I46" s="63"/>
      <c r="L46" s="204" t="s">
        <v>388</v>
      </c>
      <c r="M46" s="420">
        <v>58</v>
      </c>
      <c r="N46" s="421" t="s">
        <v>422</v>
      </c>
      <c r="O46" s="421">
        <v>1</v>
      </c>
      <c r="P46" s="421"/>
      <c r="Q46" s="421"/>
      <c r="R46" s="421">
        <v>1</v>
      </c>
      <c r="S46" s="421">
        <v>1</v>
      </c>
      <c r="T46" s="422">
        <v>1</v>
      </c>
      <c r="U46" s="423">
        <v>1</v>
      </c>
      <c r="V46" s="387">
        <f t="shared" ref="V46:V54" si="3">SUMPRODUCT(N$5:S$5,N46:S46)</f>
        <v>0</v>
      </c>
      <c r="W46" s="424" t="str">
        <f t="shared" si="0"/>
        <v>A58,</v>
      </c>
    </row>
    <row r="47" spans="9:49" ht="30" customHeight="1" x14ac:dyDescent="0.25">
      <c r="I47" s="63"/>
      <c r="L47" s="204" t="s">
        <v>389</v>
      </c>
      <c r="M47" s="420">
        <v>59</v>
      </c>
      <c r="N47" s="421" t="s">
        <v>422</v>
      </c>
      <c r="O47" s="421">
        <v>1</v>
      </c>
      <c r="P47" s="421"/>
      <c r="Q47" s="421"/>
      <c r="R47" s="421" t="s">
        <v>422</v>
      </c>
      <c r="S47" s="421">
        <v>1</v>
      </c>
      <c r="T47" s="422">
        <v>1</v>
      </c>
      <c r="U47" s="423">
        <v>1</v>
      </c>
      <c r="V47" s="387">
        <f t="shared" si="3"/>
        <v>0</v>
      </c>
      <c r="W47" s="424" t="str">
        <f t="shared" si="0"/>
        <v>A59,</v>
      </c>
    </row>
    <row r="48" spans="9:49" ht="30" customHeight="1" x14ac:dyDescent="0.25">
      <c r="I48" s="63"/>
      <c r="L48" s="204" t="str">
        <f>IF('3.Filing Type and Checklist'!E9="Y","Complete Current, Marked-up and Proposed Underwriting Guidelines","Complete Underwriting Guidelines")</f>
        <v>Complete Current, Marked-up and Proposed Underwriting Guidelines</v>
      </c>
      <c r="M48" s="420">
        <v>60</v>
      </c>
      <c r="N48" s="421" t="s">
        <v>422</v>
      </c>
      <c r="O48" s="421">
        <v>1</v>
      </c>
      <c r="P48" s="421"/>
      <c r="Q48" s="421">
        <v>1</v>
      </c>
      <c r="R48" s="421">
        <v>1</v>
      </c>
      <c r="S48" s="421">
        <v>1</v>
      </c>
      <c r="T48" s="422">
        <v>1</v>
      </c>
      <c r="U48" s="423"/>
      <c r="V48" s="387">
        <f t="shared" si="3"/>
        <v>1</v>
      </c>
      <c r="W48" s="424" t="str">
        <f t="shared" si="0"/>
        <v/>
      </c>
    </row>
    <row r="49" spans="9:23" ht="30" customHeight="1" x14ac:dyDescent="0.25">
      <c r="I49" s="63"/>
      <c r="L49" s="204" t="str">
        <f>IF('3.Filing Type and Checklist'!E6="Y","Complete Current, Marked-up and Proposed Printed Rate and Rule Manual Pages","Complete Printed Rate and Rule Manual Pages")</f>
        <v>Complete Printed Rate and Rule Manual Pages</v>
      </c>
      <c r="M49" s="420">
        <v>61</v>
      </c>
      <c r="N49" s="421"/>
      <c r="O49" s="421">
        <v>1</v>
      </c>
      <c r="P49" s="421"/>
      <c r="Q49" s="421">
        <v>1</v>
      </c>
      <c r="R49" s="421">
        <v>1</v>
      </c>
      <c r="S49" s="421">
        <v>1</v>
      </c>
      <c r="T49" s="422">
        <v>1</v>
      </c>
      <c r="U49" s="423"/>
      <c r="V49" s="387">
        <f t="shared" si="3"/>
        <v>1</v>
      </c>
      <c r="W49" s="424" t="str">
        <f>IF(V49=0,"A"&amp;$M49&amp;",","")</f>
        <v/>
      </c>
    </row>
    <row r="50" spans="9:23" ht="30" customHeight="1" x14ac:dyDescent="0.25">
      <c r="I50" s="63"/>
      <c r="L50" s="204" t="s">
        <v>301</v>
      </c>
      <c r="M50" s="420">
        <v>62</v>
      </c>
      <c r="N50" s="421" t="s">
        <v>422</v>
      </c>
      <c r="O50" s="421"/>
      <c r="P50" s="421">
        <v>1</v>
      </c>
      <c r="Q50" s="421"/>
      <c r="R50" s="421">
        <v>1</v>
      </c>
      <c r="S50" s="421"/>
      <c r="T50" s="422">
        <v>1</v>
      </c>
      <c r="U50" s="423"/>
      <c r="V50" s="387">
        <f t="shared" si="3"/>
        <v>0</v>
      </c>
      <c r="W50" s="424" t="str">
        <f t="shared" si="0"/>
        <v>A62,</v>
      </c>
    </row>
    <row r="51" spans="9:23" ht="30" customHeight="1" x14ac:dyDescent="0.25">
      <c r="I51" s="63"/>
      <c r="L51" s="204" t="s">
        <v>329</v>
      </c>
      <c r="M51" s="420">
        <v>63</v>
      </c>
      <c r="N51" s="421" t="s">
        <v>422</v>
      </c>
      <c r="O51" s="421">
        <v>1</v>
      </c>
      <c r="P51" s="421"/>
      <c r="Q51" s="421"/>
      <c r="R51" s="421">
        <v>1</v>
      </c>
      <c r="S51" s="421">
        <v>1</v>
      </c>
      <c r="T51" s="422">
        <v>1</v>
      </c>
      <c r="U51" s="423"/>
      <c r="V51" s="387">
        <f t="shared" si="3"/>
        <v>0</v>
      </c>
      <c r="W51" s="424" t="str">
        <f t="shared" si="0"/>
        <v>A63,</v>
      </c>
    </row>
    <row r="52" spans="9:23" ht="30" customHeight="1" x14ac:dyDescent="0.25">
      <c r="I52" s="63"/>
      <c r="L52" s="383" t="s">
        <v>391</v>
      </c>
      <c r="M52" s="420">
        <v>64</v>
      </c>
      <c r="N52" s="421"/>
      <c r="O52" s="421">
        <v>1</v>
      </c>
      <c r="P52" s="421">
        <v>1</v>
      </c>
      <c r="Q52" s="421"/>
      <c r="R52" s="421">
        <v>1</v>
      </c>
      <c r="S52" s="421">
        <v>1</v>
      </c>
      <c r="T52" s="422"/>
      <c r="U52" s="423"/>
      <c r="V52" s="387">
        <f t="shared" si="3"/>
        <v>0</v>
      </c>
      <c r="W52" s="424" t="str">
        <f t="shared" si="0"/>
        <v>A64,</v>
      </c>
    </row>
    <row r="53" spans="9:23" ht="30" customHeight="1" x14ac:dyDescent="0.25">
      <c r="I53" s="63"/>
      <c r="L53" s="383" t="s">
        <v>489</v>
      </c>
      <c r="M53" s="420">
        <v>65</v>
      </c>
      <c r="N53" s="421" t="s">
        <v>422</v>
      </c>
      <c r="O53" s="421"/>
      <c r="P53" s="421">
        <v>1</v>
      </c>
      <c r="Q53" s="421"/>
      <c r="R53" s="421">
        <v>1</v>
      </c>
      <c r="S53" s="421"/>
      <c r="T53" s="422"/>
      <c r="U53" s="423"/>
      <c r="V53" s="387">
        <f t="shared" si="3"/>
        <v>0</v>
      </c>
      <c r="W53" s="424" t="str">
        <f t="shared" si="0"/>
        <v>A65,</v>
      </c>
    </row>
    <row r="54" spans="9:23" ht="30" customHeight="1" x14ac:dyDescent="0.25">
      <c r="I54" s="63"/>
      <c r="L54" s="383" t="s">
        <v>397</v>
      </c>
      <c r="M54" s="420">
        <v>66</v>
      </c>
      <c r="N54" s="421" t="s">
        <v>422</v>
      </c>
      <c r="O54" s="421"/>
      <c r="P54" s="421"/>
      <c r="Q54" s="421"/>
      <c r="R54" s="421">
        <v>1</v>
      </c>
      <c r="S54" s="421"/>
      <c r="T54" s="422"/>
      <c r="U54" s="423"/>
      <c r="V54" s="387">
        <f t="shared" si="3"/>
        <v>0</v>
      </c>
      <c r="W54" s="424" t="str">
        <f t="shared" si="0"/>
        <v>A66,</v>
      </c>
    </row>
    <row r="55" spans="9:23" ht="30" customHeight="1" thickBot="1" x14ac:dyDescent="0.3">
      <c r="I55" s="63"/>
      <c r="L55" s="385" t="s">
        <v>382</v>
      </c>
      <c r="M55" s="429">
        <v>67</v>
      </c>
      <c r="N55" s="430" t="s">
        <v>422</v>
      </c>
      <c r="O55" s="430"/>
      <c r="P55" s="430"/>
      <c r="Q55" s="430"/>
      <c r="R55" s="430" t="s">
        <v>422</v>
      </c>
      <c r="S55" s="430"/>
      <c r="T55" s="431"/>
      <c r="U55" s="432"/>
      <c r="V55" s="433">
        <f>IF(AND($D$5=2,$F$5=4),1,0)</f>
        <v>0</v>
      </c>
      <c r="W55" s="434"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hK0lmra9U9GNQ7un40Ji8JbQgLhKcBn6MBj5ZHEjYwS+zyvW7Te/jKFv6SDbAcUbZy24HBKB5tKuATz9UeZ3Og==" saltValue="u51JMxcqV7G6lnezs0ap+A=="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6"/>
      <c r="B1" s="317" t="s">
        <v>306</v>
      </c>
    </row>
    <row r="2" spans="1:2" ht="26.25" customHeight="1" x14ac:dyDescent="0.25">
      <c r="A2" s="316"/>
      <c r="B2" s="318"/>
    </row>
    <row r="3" spans="1:2" ht="47.25" x14ac:dyDescent="0.25">
      <c r="A3" s="186"/>
      <c r="B3" s="187" t="s">
        <v>310</v>
      </c>
    </row>
    <row r="4" spans="1:2" ht="27" thickBot="1" x14ac:dyDescent="0.3">
      <c r="A4" s="185"/>
      <c r="B4" s="188" t="s">
        <v>58</v>
      </c>
    </row>
    <row r="5" spans="1:2" ht="15" customHeight="1" x14ac:dyDescent="0.25">
      <c r="A5" s="186"/>
      <c r="B5" s="189"/>
    </row>
    <row r="6" spans="1:2" ht="75" customHeight="1" x14ac:dyDescent="0.25">
      <c r="A6" s="161" t="s">
        <v>303</v>
      </c>
      <c r="B6" s="173" t="s">
        <v>307</v>
      </c>
    </row>
    <row r="7" spans="1:2" ht="75" customHeight="1" x14ac:dyDescent="0.25">
      <c r="A7" s="161" t="s">
        <v>304</v>
      </c>
      <c r="B7" s="173" t="s">
        <v>400</v>
      </c>
    </row>
    <row r="8" spans="1:2" ht="92.25" customHeight="1" x14ac:dyDescent="0.25">
      <c r="A8" s="161" t="s">
        <v>305</v>
      </c>
      <c r="B8" s="314" t="s">
        <v>347</v>
      </c>
    </row>
    <row r="9" spans="1:2" ht="68.25" customHeight="1" x14ac:dyDescent="0.25">
      <c r="A9" s="161" t="s">
        <v>308</v>
      </c>
      <c r="B9" s="173" t="s">
        <v>311</v>
      </c>
    </row>
    <row r="11" spans="1:2" x14ac:dyDescent="0.25">
      <c r="B11" s="546" t="str">
        <f>Edition_Date</f>
        <v>6/5/2023 Edition</v>
      </c>
    </row>
  </sheetData>
  <sheetProtection algorithmName="SHA-512" hashValue="fpjivWIYsrh5zxsoeZMwmzw6iVCzmHb+bF45skbyGVKTHX0cdcXeYOuuzHlv0eX2/PkEe0mGhlXgmS/erpjyLA==" saltValue="Ldq3ntFnDD82XBw8Fia5kQ=="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zoomScaleNormal="100" zoomScaleSheetLayoutView="100" workbookViewId="0">
      <selection activeCell="L19" sqref="L19"/>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9"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66</v>
      </c>
      <c r="D1" s="20" t="s">
        <v>68</v>
      </c>
      <c r="I1" s="35" t="str">
        <f>Co_Name</f>
        <v>State Farm Mutual Automobile Insurance Company</v>
      </c>
      <c r="L1" s="334" t="s">
        <v>302</v>
      </c>
    </row>
    <row r="2" spans="1:18" x14ac:dyDescent="0.25">
      <c r="A2" s="20" t="s">
        <v>67</v>
      </c>
      <c r="D2" s="20" t="s">
        <v>69</v>
      </c>
      <c r="I2" s="35" t="str">
        <f>General_Line</f>
        <v>Auto Liability and Physical Damage</v>
      </c>
      <c r="L2" s="335" t="s">
        <v>107</v>
      </c>
    </row>
    <row r="3" spans="1:18" ht="18" customHeight="1" x14ac:dyDescent="0.25">
      <c r="A3" s="20"/>
      <c r="B3" s="166"/>
      <c r="J3" s="35"/>
      <c r="K3" s="35"/>
      <c r="L3" s="336"/>
    </row>
    <row r="4" spans="1:18" ht="23.25" x14ac:dyDescent="0.25">
      <c r="A4" s="5" t="s">
        <v>313</v>
      </c>
      <c r="B4" s="6"/>
      <c r="C4" s="6"/>
      <c r="D4" s="6"/>
      <c r="E4" s="6"/>
      <c r="F4" s="6"/>
      <c r="G4" s="6"/>
      <c r="H4" s="6"/>
      <c r="I4" s="6"/>
      <c r="J4" s="6"/>
      <c r="K4" s="6"/>
      <c r="L4" s="336"/>
      <c r="M4" s="7"/>
      <c r="R4" s="9"/>
    </row>
    <row r="5" spans="1:18" ht="23.25" customHeight="1" x14ac:dyDescent="0.25">
      <c r="A5" s="5" t="s">
        <v>312</v>
      </c>
      <c r="B5" s="6"/>
      <c r="C5" s="6"/>
      <c r="D5" s="6"/>
      <c r="E5" s="6"/>
      <c r="F5" s="6"/>
      <c r="G5" s="6"/>
      <c r="H5" s="6"/>
      <c r="I5" s="6"/>
      <c r="J5" s="6"/>
      <c r="K5" s="6"/>
      <c r="L5" s="337"/>
      <c r="M5" s="7"/>
      <c r="R5" s="9"/>
    </row>
    <row r="6" spans="1:18" ht="18" customHeight="1" x14ac:dyDescent="0.25">
      <c r="A6" s="5"/>
      <c r="B6" s="6"/>
      <c r="C6" s="6"/>
      <c r="D6" s="6"/>
      <c r="E6" s="6"/>
      <c r="F6" s="6"/>
      <c r="G6" s="6"/>
      <c r="H6" s="6"/>
      <c r="I6" s="6"/>
      <c r="J6" s="6"/>
      <c r="K6" s="6"/>
      <c r="L6" s="337"/>
      <c r="M6" s="7"/>
      <c r="R6" s="9"/>
    </row>
    <row r="7" spans="1:18" ht="18" customHeight="1" x14ac:dyDescent="0.25">
      <c r="A7" s="10" t="s">
        <v>2</v>
      </c>
      <c r="B7" s="357" t="s">
        <v>526</v>
      </c>
      <c r="C7" s="7"/>
      <c r="D7" s="7" t="s">
        <v>1</v>
      </c>
      <c r="E7" s="358">
        <v>45096</v>
      </c>
      <c r="F7" s="11"/>
      <c r="G7" s="7"/>
      <c r="H7" s="7"/>
      <c r="I7" s="7"/>
      <c r="J7" s="7"/>
      <c r="K7" s="7"/>
      <c r="L7" s="338"/>
      <c r="M7" s="7"/>
      <c r="R7" s="9"/>
    </row>
    <row r="8" spans="1:18" ht="9.9499999999999993" customHeight="1" x14ac:dyDescent="0.25">
      <c r="A8" s="7"/>
      <c r="B8" s="7"/>
      <c r="C8" s="7"/>
      <c r="D8" s="7"/>
      <c r="E8" s="7"/>
      <c r="F8" s="7"/>
      <c r="G8" s="7"/>
      <c r="H8" s="7"/>
      <c r="I8" s="7"/>
      <c r="J8" s="7"/>
      <c r="K8" s="7"/>
      <c r="L8" s="338"/>
      <c r="M8" s="7"/>
    </row>
    <row r="9" spans="1:18" ht="18" customHeight="1" x14ac:dyDescent="0.25">
      <c r="A9" s="10" t="s">
        <v>3</v>
      </c>
      <c r="B9" s="357" t="s">
        <v>527</v>
      </c>
      <c r="C9" s="7"/>
      <c r="D9" s="7"/>
      <c r="E9" s="7"/>
      <c r="F9" s="7"/>
      <c r="G9" s="7"/>
      <c r="H9" s="7"/>
      <c r="I9" s="7"/>
      <c r="J9" s="7"/>
      <c r="K9" s="7"/>
      <c r="L9" s="338"/>
      <c r="M9" s="7"/>
    </row>
    <row r="10" spans="1:18" ht="18" customHeight="1" thickBot="1" x14ac:dyDescent="0.3">
      <c r="A10" s="7"/>
      <c r="B10" s="65" t="s">
        <v>81</v>
      </c>
      <c r="C10" s="7"/>
      <c r="D10" s="7"/>
      <c r="E10" s="7"/>
      <c r="F10" s="7"/>
      <c r="J10" s="245"/>
      <c r="K10" s="17"/>
      <c r="L10" s="338"/>
      <c r="M10" s="7"/>
    </row>
    <row r="11" spans="1:18" ht="5.0999999999999996" customHeight="1" x14ac:dyDescent="0.25">
      <c r="A11" s="7"/>
      <c r="B11" s="7"/>
      <c r="C11" s="7"/>
      <c r="D11" s="7"/>
      <c r="E11" s="7"/>
      <c r="F11" s="7"/>
      <c r="G11" s="39"/>
      <c r="H11" s="40"/>
      <c r="I11" s="40"/>
      <c r="J11" s="243"/>
      <c r="K11" s="246"/>
      <c r="L11" s="331"/>
      <c r="M11" s="7"/>
    </row>
    <row r="12" spans="1:18" ht="18" customHeight="1" x14ac:dyDescent="0.25">
      <c r="A12" s="12" t="s">
        <v>10</v>
      </c>
      <c r="B12" s="7"/>
      <c r="C12" s="7"/>
      <c r="D12" s="13"/>
      <c r="E12" s="7"/>
      <c r="F12" s="7"/>
      <c r="G12" s="41" t="s">
        <v>11</v>
      </c>
      <c r="H12" s="42"/>
      <c r="I12" s="240"/>
      <c r="J12" s="250"/>
      <c r="K12" s="251"/>
      <c r="L12" s="331"/>
      <c r="M12" s="7"/>
    </row>
    <row r="13" spans="1:18" ht="5.0999999999999996" customHeight="1" x14ac:dyDescent="0.25">
      <c r="A13" s="12"/>
      <c r="B13" s="7"/>
      <c r="C13" s="7"/>
      <c r="D13" s="13"/>
      <c r="E13" s="7"/>
      <c r="F13" s="7"/>
      <c r="G13" s="41"/>
      <c r="H13" s="42"/>
      <c r="I13" s="42"/>
      <c r="J13" s="240"/>
      <c r="K13" s="247"/>
      <c r="L13" s="331"/>
      <c r="M13" s="7"/>
    </row>
    <row r="14" spans="1:18" ht="18" customHeight="1" x14ac:dyDescent="0.25">
      <c r="A14" s="7" t="s">
        <v>4</v>
      </c>
      <c r="B14" s="7"/>
      <c r="C14" s="7"/>
      <c r="D14" s="13"/>
      <c r="E14" s="321" t="str">
        <f>IF(INDEX(List_YNIndicator,$K$14,1)="N","(Page 11 hidden)","")</f>
        <v>(Page 11 hidden)</v>
      </c>
      <c r="F14" s="7"/>
      <c r="G14" s="43" t="s">
        <v>112</v>
      </c>
      <c r="H14" s="571"/>
      <c r="I14" s="572"/>
      <c r="J14" s="241"/>
      <c r="K14" s="252">
        <v>2</v>
      </c>
      <c r="L14" s="331"/>
      <c r="M14" s="7"/>
    </row>
    <row r="15" spans="1:18" ht="5.0999999999999996" customHeight="1" x14ac:dyDescent="0.25">
      <c r="A15" s="7"/>
      <c r="B15" s="7"/>
      <c r="C15" s="7"/>
      <c r="D15" s="13"/>
      <c r="E15" s="7"/>
      <c r="F15" s="7"/>
      <c r="G15" s="44"/>
      <c r="H15" s="46"/>
      <c r="I15" s="46"/>
      <c r="J15" s="240"/>
      <c r="K15" s="247"/>
      <c r="L15" s="331"/>
      <c r="M15" s="7"/>
    </row>
    <row r="16" spans="1:18" ht="18" customHeight="1" x14ac:dyDescent="0.25">
      <c r="A16" s="7" t="s">
        <v>7</v>
      </c>
      <c r="B16" s="7"/>
      <c r="C16" s="7"/>
      <c r="D16" s="13"/>
      <c r="E16" s="7"/>
      <c r="F16" s="7"/>
      <c r="G16" s="43" t="s">
        <v>17</v>
      </c>
      <c r="H16" s="571"/>
      <c r="I16" s="572"/>
      <c r="J16" s="240"/>
      <c r="K16" s="247"/>
      <c r="L16" s="331"/>
      <c r="M16" s="7"/>
    </row>
    <row r="17" spans="1:14" ht="5.0999999999999996" customHeight="1" x14ac:dyDescent="0.25">
      <c r="A17" s="7"/>
      <c r="B17" s="7"/>
      <c r="C17" s="7"/>
      <c r="D17" s="13"/>
      <c r="E17" s="7"/>
      <c r="F17" s="7"/>
      <c r="G17" s="44"/>
      <c r="H17" s="64"/>
      <c r="I17" s="64"/>
      <c r="J17" s="240"/>
      <c r="K17" s="247"/>
      <c r="L17" s="331"/>
      <c r="M17" s="7"/>
    </row>
    <row r="18" spans="1:14" ht="18" customHeight="1" x14ac:dyDescent="0.25">
      <c r="A18" s="23" t="s">
        <v>8</v>
      </c>
      <c r="B18" s="7"/>
      <c r="C18" s="7"/>
      <c r="D18" s="13"/>
      <c r="E18" s="7"/>
      <c r="F18" s="7"/>
      <c r="G18" s="43" t="s">
        <v>18</v>
      </c>
      <c r="H18" s="569"/>
      <c r="I18" s="575"/>
      <c r="J18" s="241"/>
      <c r="K18" s="246"/>
      <c r="L18" s="331"/>
      <c r="M18" s="7"/>
    </row>
    <row r="19" spans="1:14" ht="5.0999999999999996" customHeight="1" x14ac:dyDescent="0.25">
      <c r="A19" s="15"/>
      <c r="B19" s="7"/>
      <c r="C19" s="7"/>
      <c r="D19" s="13"/>
      <c r="E19" s="7"/>
      <c r="F19" s="7"/>
      <c r="G19" s="43"/>
      <c r="H19" s="325"/>
      <c r="I19" s="46"/>
      <c r="J19" s="241"/>
      <c r="K19" s="246"/>
      <c r="L19" s="331"/>
      <c r="M19" s="7"/>
    </row>
    <row r="20" spans="1:14" ht="18" customHeight="1" x14ac:dyDescent="0.25">
      <c r="A20" s="33" t="s">
        <v>65</v>
      </c>
      <c r="B20" s="7"/>
      <c r="C20" s="7"/>
      <c r="D20" s="13"/>
      <c r="E20" s="7"/>
      <c r="F20" s="7"/>
      <c r="G20" s="43" t="s">
        <v>12</v>
      </c>
      <c r="H20" s="569"/>
      <c r="I20" s="575"/>
      <c r="J20" s="241"/>
      <c r="K20" s="252">
        <v>3</v>
      </c>
      <c r="L20" s="244"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1"/>
      <c r="K21" s="246"/>
      <c r="L21" s="331"/>
      <c r="M21" s="7"/>
    </row>
    <row r="22" spans="1:14" ht="18" customHeight="1" x14ac:dyDescent="0.25">
      <c r="A22" s="23" t="s">
        <v>117</v>
      </c>
      <c r="B22" s="7"/>
      <c r="C22" s="567"/>
      <c r="D22" s="568"/>
      <c r="E22" s="7"/>
      <c r="F22" s="7"/>
      <c r="G22" s="43" t="s">
        <v>19</v>
      </c>
      <c r="H22" s="576"/>
      <c r="I22" s="577"/>
      <c r="J22" s="241"/>
      <c r="K22" s="246"/>
      <c r="L22" s="331"/>
      <c r="M22" s="7"/>
    </row>
    <row r="23" spans="1:14" ht="5.0999999999999996" customHeight="1" x14ac:dyDescent="0.25">
      <c r="A23" s="7"/>
      <c r="B23" s="7"/>
      <c r="C23" s="7"/>
      <c r="D23" s="7"/>
      <c r="E23" s="7"/>
      <c r="F23" s="7"/>
      <c r="G23" s="43"/>
      <c r="H23" s="46"/>
      <c r="I23" s="46"/>
      <c r="J23" s="241"/>
      <c r="K23" s="246"/>
      <c r="L23" s="331"/>
      <c r="M23" s="7"/>
    </row>
    <row r="24" spans="1:14" ht="18" customHeight="1" x14ac:dyDescent="0.25">
      <c r="A24" s="7" t="s">
        <v>379</v>
      </c>
      <c r="B24" s="7"/>
      <c r="C24" s="7"/>
      <c r="D24" s="7"/>
      <c r="E24" s="321" t="str">
        <f>IF(INDEX(List_YNIndicator,$K$24,1)="N","(Page 2 hidden)","")</f>
        <v>(Page 2 hidden)</v>
      </c>
      <c r="F24" s="7"/>
      <c r="G24" s="43" t="s">
        <v>13</v>
      </c>
      <c r="H24" s="569" t="str">
        <f>IF(ISBLANK(H22)," ",H22+60)</f>
        <v xml:space="preserve"> </v>
      </c>
      <c r="I24" s="570"/>
      <c r="J24" s="241"/>
      <c r="K24" s="252">
        <v>2</v>
      </c>
      <c r="L24" s="331"/>
      <c r="M24" s="7"/>
    </row>
    <row r="25" spans="1:14" ht="5.0999999999999996" customHeight="1" x14ac:dyDescent="0.25">
      <c r="A25" s="16"/>
      <c r="B25" s="7"/>
      <c r="C25" s="7"/>
      <c r="D25" s="7"/>
      <c r="E25" s="7"/>
      <c r="F25" s="7"/>
      <c r="G25" s="43"/>
      <c r="H25" s="46"/>
      <c r="I25" s="46"/>
      <c r="J25" s="241"/>
      <c r="K25" s="246"/>
      <c r="L25" s="331"/>
      <c r="M25" s="7"/>
    </row>
    <row r="26" spans="1:14" ht="18" customHeight="1" x14ac:dyDescent="0.25">
      <c r="A26" s="7" t="s">
        <v>401</v>
      </c>
      <c r="B26" s="7"/>
      <c r="C26" s="7"/>
      <c r="D26" s="7"/>
      <c r="E26" s="7"/>
      <c r="F26" s="7"/>
      <c r="G26" s="43" t="s">
        <v>14</v>
      </c>
      <c r="H26" s="571"/>
      <c r="I26" s="572"/>
      <c r="J26" s="241"/>
      <c r="K26" s="252">
        <v>2</v>
      </c>
      <c r="L26" s="331"/>
      <c r="M26" s="7"/>
    </row>
    <row r="27" spans="1:14" ht="5.0999999999999996" customHeight="1" x14ac:dyDescent="0.25">
      <c r="A27" s="7"/>
      <c r="B27" s="7"/>
      <c r="C27" s="7"/>
      <c r="D27" s="7"/>
      <c r="E27" s="7"/>
      <c r="F27" s="7"/>
      <c r="G27" s="43"/>
      <c r="H27" s="326"/>
      <c r="I27" s="326"/>
      <c r="J27" s="241"/>
      <c r="K27" s="246"/>
      <c r="L27" s="331"/>
      <c r="M27" s="7"/>
    </row>
    <row r="28" spans="1:14" ht="15" customHeight="1" x14ac:dyDescent="0.25">
      <c r="A28" s="7" t="s">
        <v>27</v>
      </c>
      <c r="B28" s="7"/>
      <c r="C28" s="7"/>
      <c r="D28" s="7"/>
      <c r="E28" s="7"/>
      <c r="F28" s="7"/>
      <c r="G28" s="43" t="s">
        <v>64</v>
      </c>
      <c r="H28" s="573"/>
      <c r="I28" s="574"/>
      <c r="J28" s="241"/>
      <c r="K28" s="246"/>
      <c r="L28" s="331" t="str">
        <f>IF(References!D5=3,"← ERROR! Select a Line Type from the pull-down menu.",
IF(AND(References!$D$5=1,References!$F$5=5),"← WARNING! Commercial Auto Liability and Physical Damage must be combined",
IF(AND(References!$D$5=2,References!$F$5=5,K39=1),"WARNING! Indicate whether CIC §1861.16(c) applies in cell D39.","")))</f>
        <v>WARNING! Indicate whether CIC §1861.16(c) applies in cell D39.</v>
      </c>
      <c r="M28" s="7"/>
    </row>
    <row r="29" spans="1:14" ht="5.0999999999999996" customHeight="1" x14ac:dyDescent="0.25">
      <c r="A29" s="7"/>
      <c r="B29" s="7"/>
      <c r="C29" s="7"/>
      <c r="D29" s="7"/>
      <c r="E29" s="7"/>
      <c r="F29" s="7"/>
      <c r="G29" s="43"/>
      <c r="H29" s="64"/>
      <c r="I29" s="64"/>
      <c r="J29" s="241"/>
      <c r="K29" s="246"/>
      <c r="L29" s="331"/>
      <c r="M29" s="7"/>
    </row>
    <row r="30" spans="1:14" ht="18" customHeight="1" x14ac:dyDescent="0.25">
      <c r="A30" s="7" t="s">
        <v>33</v>
      </c>
      <c r="B30" s="7"/>
      <c r="C30" s="7"/>
      <c r="D30" s="7"/>
      <c r="E30" s="7"/>
      <c r="F30" s="7"/>
      <c r="G30" s="43" t="s">
        <v>21</v>
      </c>
      <c r="H30" s="46"/>
      <c r="I30" s="46"/>
      <c r="J30" s="241"/>
      <c r="K30" s="246"/>
      <c r="L30" s="396" t="str">
        <f>IF(INDEX(List_GeneralLine,References!$F$5,1)="","← ERROR! Select a General Line from the pull-down menu.",
IF(AND(References!$D$5=1,References!$F$5=4),"in one application, with separate Rate Calculation pages in the Prior Approval Rate",""))</f>
        <v/>
      </c>
      <c r="M30" s="352" t="b">
        <f>IF(K24=1,TRUE,FALSE)</f>
        <v>0</v>
      </c>
      <c r="N30" s="351" t="b">
        <f>IF(K24=2,TRUE,FALSE)</f>
        <v>1</v>
      </c>
    </row>
    <row r="31" spans="1:14" ht="5.0999999999999996" customHeight="1" x14ac:dyDescent="0.25">
      <c r="A31" s="7"/>
      <c r="B31" s="7"/>
      <c r="C31" s="7"/>
      <c r="D31" s="7"/>
      <c r="E31" s="7"/>
      <c r="F31" s="7"/>
      <c r="G31" s="43"/>
      <c r="H31" s="64"/>
      <c r="I31" s="64"/>
      <c r="J31" s="241"/>
      <c r="K31" s="246"/>
      <c r="L31" s="331"/>
      <c r="M31" s="352"/>
      <c r="N31" s="351"/>
    </row>
    <row r="32" spans="1:14" ht="18" customHeight="1" x14ac:dyDescent="0.25">
      <c r="A32" s="7" t="s">
        <v>30</v>
      </c>
      <c r="B32" s="578"/>
      <c r="C32" s="579"/>
      <c r="D32" s="579"/>
      <c r="E32" s="580"/>
      <c r="F32" s="7"/>
      <c r="G32" s="43" t="s">
        <v>20</v>
      </c>
      <c r="H32" s="571"/>
      <c r="I32" s="572"/>
      <c r="J32" s="241"/>
      <c r="K32" s="246"/>
      <c r="L32" s="331" t="str">
        <f>IF(AND(References!$D$5=1,References!$F$5=4),"Template for liability and physical damage coverages.","")</f>
        <v/>
      </c>
      <c r="M32" s="352"/>
      <c r="N32" s="351"/>
    </row>
    <row r="33" spans="1:14" ht="5.0999999999999996" customHeight="1" x14ac:dyDescent="0.25">
      <c r="A33" s="7"/>
      <c r="B33" s="7"/>
      <c r="C33" s="7"/>
      <c r="D33" s="7"/>
      <c r="E33" s="7"/>
      <c r="F33" s="7"/>
      <c r="G33" s="43"/>
      <c r="H33" s="64"/>
      <c r="I33" s="64"/>
      <c r="J33" s="241"/>
      <c r="K33" s="246"/>
      <c r="L33" s="331"/>
      <c r="M33" s="352"/>
      <c r="N33" s="351"/>
    </row>
    <row r="34" spans="1:14" ht="18" customHeight="1" x14ac:dyDescent="0.25">
      <c r="A34" s="7" t="s">
        <v>31</v>
      </c>
      <c r="B34" s="578" t="s">
        <v>528</v>
      </c>
      <c r="C34" s="579"/>
      <c r="D34" s="579"/>
      <c r="E34" s="580"/>
      <c r="F34" s="7"/>
      <c r="G34" s="43" t="s">
        <v>32</v>
      </c>
      <c r="H34" s="46"/>
      <c r="I34" s="46"/>
      <c r="J34" s="242"/>
      <c r="K34" s="248"/>
      <c r="L34" s="331"/>
      <c r="M34" s="352" t="b">
        <f>IF(FilingType_Rate=TRUE,TRUE,FALSE)</f>
        <v>0</v>
      </c>
      <c r="N34" s="351" t="b">
        <f>IF(FilingType_Rule=TRUE,TRUE,FALSE)</f>
        <v>1</v>
      </c>
    </row>
    <row r="35" spans="1:14" ht="5.0999999999999996" customHeight="1" x14ac:dyDescent="0.25">
      <c r="A35" s="7"/>
      <c r="B35" s="22"/>
      <c r="C35" s="22"/>
      <c r="D35" s="22"/>
      <c r="E35" s="22"/>
      <c r="F35" s="7"/>
      <c r="G35" s="43"/>
      <c r="H35" s="46"/>
      <c r="I35" s="46"/>
      <c r="J35" s="241"/>
      <c r="K35" s="246"/>
      <c r="L35" s="331"/>
      <c r="M35" s="352"/>
      <c r="N35" s="351"/>
    </row>
    <row r="36" spans="1:14" ht="18" customHeight="1" x14ac:dyDescent="0.25">
      <c r="A36" s="7" t="s">
        <v>264</v>
      </c>
      <c r="F36" s="7"/>
      <c r="G36" s="45"/>
      <c r="H36" s="46"/>
      <c r="I36" s="46"/>
      <c r="J36" s="241"/>
      <c r="K36" s="246"/>
      <c r="L36" s="340"/>
      <c r="M36" s="352" t="b">
        <f>IF(FilingType_Form=TRUE,TRUE,FALSE)</f>
        <v>0</v>
      </c>
      <c r="N36" s="351" t="b">
        <f>IF(K14=1,TRUE,FALSE)</f>
        <v>0</v>
      </c>
    </row>
    <row r="37" spans="1:14" ht="18" customHeight="1" x14ac:dyDescent="0.25">
      <c r="A37" s="23" t="s">
        <v>9</v>
      </c>
      <c r="B37" s="7"/>
      <c r="C37" s="567" t="s">
        <v>529</v>
      </c>
      <c r="D37" s="568"/>
      <c r="E37" s="7"/>
      <c r="F37" s="7"/>
      <c r="G37" s="43"/>
      <c r="H37" s="46"/>
      <c r="I37" s="46"/>
      <c r="J37" s="241"/>
      <c r="K37" s="246"/>
      <c r="L37" s="340" t="str">
        <f>IF(AND(LEN(TRIM(C37))=0,FilingType_NewProgram=FALSE),"← WARNING! If this filing is not a new program, provide the most recent applicable","")</f>
        <v/>
      </c>
      <c r="M37" s="352" t="b">
        <f>IF(FilingType_NewProgram=TRUE,TRUE,FALSE)</f>
        <v>0</v>
      </c>
      <c r="N37" s="351"/>
    </row>
    <row r="38" spans="1:14" ht="4.5" customHeight="1" x14ac:dyDescent="0.25">
      <c r="A38" s="23"/>
      <c r="B38" s="7"/>
      <c r="C38" s="552"/>
      <c r="D38" s="552"/>
      <c r="E38" s="7"/>
      <c r="F38" s="7"/>
      <c r="G38" s="43"/>
      <c r="H38" s="46"/>
      <c r="I38" s="46"/>
      <c r="J38" s="241"/>
      <c r="K38" s="246"/>
      <c r="L38" s="340"/>
      <c r="M38" s="352" t="b">
        <f>IF(FilingType_TransferredProgram=TRUE,TRUE,FALSE)</f>
        <v>0</v>
      </c>
      <c r="N38" s="351"/>
    </row>
    <row r="39" spans="1:14" ht="17.25" customHeight="1" x14ac:dyDescent="0.25">
      <c r="A39" s="7" t="str">
        <f>IF(AND(References!D5=2,References!F5=5),"Does CIC §1861.16(c) apply (Super Group)?","")</f>
        <v>Does CIC §1861.16(c) apply (Super Group)?</v>
      </c>
      <c r="B39" s="7"/>
      <c r="C39" s="7"/>
      <c r="D39" s="7"/>
      <c r="E39" s="7"/>
      <c r="F39" s="7"/>
      <c r="G39" s="43"/>
      <c r="H39" s="46"/>
      <c r="I39" s="46"/>
      <c r="J39" s="241"/>
      <c r="K39" s="252">
        <v>1</v>
      </c>
      <c r="L39" s="340"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86"/>
      <c r="I40" s="586"/>
      <c r="J40" s="241"/>
      <c r="K40" s="252"/>
      <c r="L40" s="340"/>
      <c r="M40" s="7"/>
    </row>
    <row r="41" spans="1:14" ht="15.75" customHeight="1" x14ac:dyDescent="0.25">
      <c r="A41" s="7" t="s">
        <v>464</v>
      </c>
      <c r="B41" s="7"/>
      <c r="C41" s="7"/>
      <c r="D41" s="7"/>
      <c r="E41" s="7"/>
      <c r="F41" s="7"/>
      <c r="G41" s="43" t="s">
        <v>22</v>
      </c>
      <c r="H41" s="566"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66"/>
      <c r="J41" s="242"/>
      <c r="K41" s="248"/>
      <c r="L41" s="340"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3"/>
      <c r="I42" s="553"/>
      <c r="J42" s="242"/>
      <c r="K42" s="249"/>
      <c r="L42" s="340"/>
      <c r="M42" s="7"/>
    </row>
    <row r="43" spans="1:14" ht="18" customHeight="1" x14ac:dyDescent="0.25">
      <c r="A43" s="12" t="s">
        <v>15</v>
      </c>
      <c r="B43" s="7"/>
      <c r="C43" s="7"/>
      <c r="D43" s="7"/>
      <c r="E43" s="7"/>
      <c r="F43" s="394"/>
      <c r="G43" s="393"/>
      <c r="H43" s="586"/>
      <c r="I43" s="587"/>
      <c r="J43" s="241"/>
      <c r="K43" s="447"/>
      <c r="L43" s="338" t="str">
        <f>IF(AND(LEN(TRIM(C37))=0,FilingType_NewProgram=FALSE),"in '3.Filing Type and Checklist'.","")</f>
        <v/>
      </c>
      <c r="M43" s="7"/>
    </row>
    <row r="44" spans="1:14" ht="4.5" customHeight="1" thickBot="1" x14ac:dyDescent="0.3">
      <c r="A44" s="7"/>
      <c r="B44" s="7"/>
      <c r="C44" s="7"/>
      <c r="D44" s="7"/>
      <c r="E44" s="7"/>
      <c r="F44" s="394"/>
      <c r="G44" s="390"/>
      <c r="H44" s="391"/>
      <c r="I44" s="391"/>
      <c r="J44" s="392"/>
      <c r="K44" s="249"/>
      <c r="L44" s="340"/>
      <c r="M44" s="7"/>
    </row>
    <row r="45" spans="1:14" ht="18" customHeight="1" x14ac:dyDescent="0.25">
      <c r="A45" s="7" t="s">
        <v>0</v>
      </c>
      <c r="B45" s="578" t="s">
        <v>530</v>
      </c>
      <c r="C45" s="579"/>
      <c r="D45" s="579"/>
      <c r="E45" s="580"/>
      <c r="F45" s="7"/>
      <c r="G45" s="389"/>
      <c r="H45" s="389"/>
      <c r="I45" s="389"/>
      <c r="J45" s="389"/>
      <c r="K45" s="389"/>
      <c r="L45" s="338"/>
      <c r="M45" s="7"/>
    </row>
    <row r="46" spans="1:14" ht="18" customHeight="1" x14ac:dyDescent="0.25">
      <c r="A46" s="7" t="s">
        <v>23</v>
      </c>
      <c r="B46" s="578" t="s">
        <v>531</v>
      </c>
      <c r="C46" s="579"/>
      <c r="D46" s="579"/>
      <c r="E46" s="580"/>
      <c r="F46" s="7"/>
      <c r="G46" s="17"/>
      <c r="H46" s="17"/>
      <c r="I46" s="17"/>
      <c r="J46" s="17"/>
      <c r="K46" s="249"/>
      <c r="L46" s="338"/>
      <c r="M46" s="7"/>
    </row>
    <row r="47" spans="1:14" ht="4.5" customHeight="1" x14ac:dyDescent="0.25">
      <c r="A47" s="7"/>
      <c r="F47" s="7"/>
      <c r="G47" s="17"/>
      <c r="H47" s="17"/>
      <c r="I47" s="17"/>
      <c r="J47" s="17"/>
      <c r="K47" s="17"/>
      <c r="L47" s="551"/>
      <c r="M47" s="7"/>
    </row>
    <row r="48" spans="1:14" ht="18" customHeight="1" x14ac:dyDescent="0.25">
      <c r="A48" s="7" t="s">
        <v>24</v>
      </c>
      <c r="B48" s="341">
        <v>25178</v>
      </c>
      <c r="C48" s="559"/>
      <c r="D48" s="559"/>
      <c r="E48" s="559"/>
      <c r="F48" s="14"/>
      <c r="G48" s="17"/>
      <c r="H48" s="17"/>
      <c r="I48" s="17"/>
      <c r="J48" s="17"/>
      <c r="K48" s="17"/>
      <c r="L48" s="338"/>
      <c r="M48" s="7"/>
    </row>
    <row r="49" spans="1:13" ht="18.75" customHeight="1" x14ac:dyDescent="0.25">
      <c r="A49" s="7" t="s">
        <v>25</v>
      </c>
      <c r="B49" s="341">
        <v>176</v>
      </c>
      <c r="C49" s="7"/>
      <c r="D49" s="7"/>
      <c r="E49" s="7"/>
      <c r="F49" s="7"/>
      <c r="G49" s="17"/>
      <c r="H49" s="17"/>
      <c r="I49" s="17"/>
      <c r="J49" s="17"/>
      <c r="K49" s="17"/>
      <c r="L49" s="338"/>
      <c r="M49" s="7"/>
    </row>
    <row r="50" spans="1:13" ht="4.5" customHeight="1" x14ac:dyDescent="0.25">
      <c r="F50" s="7"/>
      <c r="G50" s="17"/>
      <c r="H50" s="17"/>
      <c r="I50" s="17"/>
      <c r="J50" s="17"/>
      <c r="K50" s="17"/>
      <c r="L50" s="338"/>
      <c r="M50" s="7"/>
    </row>
    <row r="51" spans="1:13" ht="18" customHeight="1" x14ac:dyDescent="0.25">
      <c r="A51" s="7" t="s">
        <v>26</v>
      </c>
      <c r="B51" s="7"/>
      <c r="C51" s="581" t="s">
        <v>532</v>
      </c>
      <c r="D51" s="582"/>
      <c r="E51" s="583"/>
      <c r="F51" s="7"/>
      <c r="G51" s="14"/>
      <c r="H51" s="14"/>
      <c r="I51" s="14"/>
      <c r="J51" s="14"/>
      <c r="K51" s="14"/>
      <c r="L51" s="338"/>
      <c r="M51" s="7"/>
    </row>
    <row r="52" spans="1:13" ht="9.75" customHeight="1" x14ac:dyDescent="0.25">
      <c r="A52" s="7"/>
      <c r="B52" s="14"/>
      <c r="C52" s="7"/>
      <c r="D52" s="7"/>
      <c r="E52" s="7"/>
      <c r="F52" s="7"/>
      <c r="G52" s="14"/>
      <c r="H52" s="14"/>
      <c r="I52" s="14"/>
      <c r="J52" s="14"/>
      <c r="K52" s="14"/>
      <c r="L52" s="338"/>
      <c r="M52" s="7"/>
    </row>
    <row r="53" spans="1:13" ht="18" customHeight="1" x14ac:dyDescent="0.25">
      <c r="A53" s="7" t="s">
        <v>52</v>
      </c>
      <c r="B53" s="578" t="s">
        <v>533</v>
      </c>
      <c r="C53" s="579"/>
      <c r="D53" s="579"/>
      <c r="E53" s="579"/>
      <c r="F53" s="579"/>
      <c r="G53" s="579"/>
      <c r="H53" s="579"/>
      <c r="I53" s="579"/>
      <c r="J53" s="580"/>
      <c r="K53" s="7"/>
      <c r="L53" s="338"/>
      <c r="M53" s="7"/>
    </row>
    <row r="54" spans="1:13" ht="9.9499999999999993" customHeight="1" x14ac:dyDescent="0.25">
      <c r="A54" s="7"/>
      <c r="B54" s="7"/>
      <c r="C54" s="7"/>
      <c r="D54" s="7"/>
      <c r="E54" s="7"/>
      <c r="F54" s="7"/>
      <c r="G54" s="7"/>
      <c r="H54" s="7"/>
      <c r="I54" s="7"/>
      <c r="J54" s="7"/>
      <c r="K54" s="7"/>
      <c r="L54" s="338"/>
      <c r="M54" s="7"/>
    </row>
    <row r="55" spans="1:13" ht="18" customHeight="1" x14ac:dyDescent="0.25">
      <c r="A55" s="7" t="s">
        <v>53</v>
      </c>
      <c r="B55" s="578" t="s">
        <v>534</v>
      </c>
      <c r="C55" s="579"/>
      <c r="D55" s="579"/>
      <c r="E55" s="579"/>
      <c r="F55" s="579"/>
      <c r="G55" s="579"/>
      <c r="H55" s="579"/>
      <c r="I55" s="579"/>
      <c r="J55" s="580"/>
      <c r="K55" s="228"/>
      <c r="L55" s="338"/>
      <c r="M55" s="7"/>
    </row>
    <row r="56" spans="1:13" ht="9.9499999999999993" customHeight="1" x14ac:dyDescent="0.25">
      <c r="A56" s="7"/>
      <c r="B56" s="18"/>
      <c r="C56" s="18"/>
      <c r="D56" s="18"/>
      <c r="E56" s="18"/>
      <c r="F56" s="18"/>
      <c r="G56" s="18"/>
      <c r="H56" s="18"/>
      <c r="I56" s="18"/>
      <c r="J56" s="18"/>
      <c r="K56" s="18"/>
      <c r="L56" s="338"/>
      <c r="M56" s="7"/>
    </row>
    <row r="57" spans="1:13" ht="18" customHeight="1" x14ac:dyDescent="0.25">
      <c r="A57" s="7" t="s">
        <v>54</v>
      </c>
      <c r="B57" s="578" t="s">
        <v>51</v>
      </c>
      <c r="C57" s="579"/>
      <c r="D57" s="579"/>
      <c r="E57" s="580"/>
      <c r="F57" s="7" t="s">
        <v>55</v>
      </c>
      <c r="G57" s="578" t="s">
        <v>535</v>
      </c>
      <c r="H57" s="579"/>
      <c r="I57" s="579"/>
      <c r="J57" s="580"/>
      <c r="K57" s="228"/>
      <c r="L57" s="338"/>
      <c r="M57" s="7"/>
    </row>
    <row r="58" spans="1:13" ht="9.9499999999999993" customHeight="1" x14ac:dyDescent="0.25">
      <c r="A58" s="7"/>
      <c r="B58" s="7"/>
      <c r="C58" s="7"/>
      <c r="D58" s="7"/>
      <c r="E58" s="7"/>
      <c r="F58" s="7"/>
      <c r="G58" s="7"/>
      <c r="H58" s="7"/>
      <c r="I58" s="7"/>
      <c r="J58" s="7"/>
      <c r="K58" s="7"/>
      <c r="L58" s="338"/>
      <c r="M58" s="7"/>
    </row>
    <row r="59" spans="1:13" ht="18" customHeight="1" x14ac:dyDescent="0.25">
      <c r="A59" s="7" t="s">
        <v>56</v>
      </c>
      <c r="B59" s="578" t="s">
        <v>536</v>
      </c>
      <c r="C59" s="579"/>
      <c r="D59" s="579"/>
      <c r="E59" s="579"/>
      <c r="F59" s="579"/>
      <c r="G59" s="579"/>
      <c r="H59" s="579"/>
      <c r="I59" s="579"/>
      <c r="J59" s="580"/>
      <c r="K59" s="228"/>
      <c r="L59" s="338"/>
      <c r="M59" s="7"/>
    </row>
    <row r="60" spans="1:13" ht="9.9499999999999993" customHeight="1" x14ac:dyDescent="0.25">
      <c r="A60" s="7"/>
      <c r="B60" s="7"/>
      <c r="C60" s="7"/>
      <c r="D60" s="7"/>
      <c r="E60" s="7"/>
      <c r="F60" s="7"/>
      <c r="G60" s="7"/>
      <c r="H60" s="7"/>
      <c r="I60" s="7"/>
      <c r="J60" s="7"/>
      <c r="K60" s="7"/>
      <c r="L60" s="338"/>
      <c r="M60" s="7"/>
    </row>
    <row r="61" spans="1:13" ht="18" customHeight="1" x14ac:dyDescent="0.25">
      <c r="A61" s="7" t="s">
        <v>57</v>
      </c>
      <c r="B61" s="578" t="s">
        <v>537</v>
      </c>
      <c r="C61" s="579"/>
      <c r="D61" s="579"/>
      <c r="E61" s="579"/>
      <c r="F61" s="579"/>
      <c r="G61" s="579"/>
      <c r="H61" s="579"/>
      <c r="I61" s="579"/>
      <c r="J61" s="580"/>
      <c r="K61" s="228"/>
      <c r="L61" s="338"/>
      <c r="M61" s="7"/>
    </row>
    <row r="62" spans="1:13" ht="9.9499999999999993" customHeight="1" x14ac:dyDescent="0.25">
      <c r="A62" s="7"/>
      <c r="B62" s="7"/>
      <c r="C62" s="7"/>
      <c r="D62" s="7"/>
      <c r="E62" s="7"/>
      <c r="F62" s="7"/>
      <c r="G62" s="7"/>
      <c r="H62" s="7"/>
      <c r="I62" s="7"/>
      <c r="J62" s="7"/>
      <c r="K62" s="7"/>
      <c r="L62" s="338"/>
      <c r="M62" s="7"/>
    </row>
    <row r="63" spans="1:13" ht="9.75" customHeight="1" x14ac:dyDescent="0.25">
      <c r="K63" s="228"/>
      <c r="L63" s="338"/>
      <c r="M63" s="7"/>
    </row>
    <row r="64" spans="1:13" ht="9.9499999999999993" customHeight="1" x14ac:dyDescent="0.25">
      <c r="A64" s="7"/>
      <c r="B64" s="7"/>
      <c r="C64" s="7"/>
      <c r="D64" s="7"/>
      <c r="E64" s="7"/>
      <c r="F64" s="7"/>
      <c r="G64" s="7"/>
      <c r="H64" s="7"/>
      <c r="I64" s="7"/>
      <c r="J64" s="7"/>
      <c r="K64" s="7"/>
      <c r="L64" s="338"/>
      <c r="M64" s="7"/>
    </row>
    <row r="65" spans="1:16" ht="9.9499999999999993" customHeight="1" x14ac:dyDescent="0.25">
      <c r="A65" s="7"/>
      <c r="B65" s="7"/>
      <c r="C65" s="7"/>
      <c r="D65" s="7"/>
      <c r="E65" s="7"/>
      <c r="F65" s="7"/>
      <c r="G65" s="7"/>
      <c r="H65" s="7"/>
      <c r="I65" s="7"/>
      <c r="J65" s="7"/>
      <c r="K65" s="7"/>
      <c r="L65" s="338"/>
      <c r="M65" s="7"/>
    </row>
    <row r="66" spans="1:16" ht="9.9499999999999993" customHeight="1" x14ac:dyDescent="0.25">
      <c r="A66" s="323"/>
      <c r="B66" s="6"/>
      <c r="C66" s="6"/>
      <c r="D66" s="6"/>
      <c r="E66" s="6"/>
      <c r="F66" s="6"/>
      <c r="G66" s="6"/>
      <c r="H66" s="6"/>
      <c r="I66" s="6"/>
      <c r="J66" s="6"/>
      <c r="K66" s="6"/>
      <c r="L66" s="338"/>
      <c r="M66" s="7"/>
    </row>
    <row r="67" spans="1:16" ht="9.9499999999999993" customHeight="1" x14ac:dyDescent="0.25">
      <c r="A67" s="323"/>
      <c r="B67" s="7"/>
      <c r="C67" s="7"/>
      <c r="D67" s="7"/>
      <c r="E67" s="7"/>
      <c r="F67" s="7"/>
      <c r="G67" s="7"/>
      <c r="H67" s="7"/>
      <c r="I67" s="7"/>
      <c r="J67" s="7"/>
      <c r="K67" s="7"/>
      <c r="L67" s="338"/>
      <c r="M67" s="7"/>
    </row>
    <row r="68" spans="1:16" ht="9.9499999999999993" customHeight="1" x14ac:dyDescent="0.25">
      <c r="A68" s="323"/>
      <c r="B68" s="7"/>
      <c r="C68" s="7"/>
      <c r="D68" s="7"/>
      <c r="E68" s="7"/>
      <c r="F68" s="7"/>
      <c r="G68" s="7"/>
      <c r="H68" s="7"/>
      <c r="I68" s="7"/>
      <c r="J68" s="7"/>
      <c r="K68" s="7"/>
      <c r="L68" s="338"/>
      <c r="M68" s="7"/>
    </row>
    <row r="69" spans="1:16" ht="9.9499999999999993" customHeight="1" x14ac:dyDescent="0.25">
      <c r="A69" s="585"/>
      <c r="B69" s="585"/>
      <c r="C69" s="14"/>
      <c r="D69" s="588"/>
      <c r="E69" s="588"/>
      <c r="F69" s="588"/>
      <c r="G69" s="17"/>
      <c r="H69" s="584"/>
      <c r="I69" s="584"/>
      <c r="J69" s="584"/>
      <c r="K69" s="229"/>
      <c r="L69" s="338"/>
      <c r="M69" s="7"/>
    </row>
    <row r="70" spans="1:16" ht="18.75" customHeight="1" x14ac:dyDescent="0.3">
      <c r="A70" s="31" t="s">
        <v>59</v>
      </c>
      <c r="B70" s="21"/>
      <c r="C70" s="21"/>
      <c r="D70" s="21"/>
      <c r="E70" s="21"/>
      <c r="F70" s="21"/>
      <c r="G70" s="21"/>
      <c r="H70" s="21"/>
      <c r="I70" s="21"/>
      <c r="J70" s="21"/>
      <c r="K70" s="19"/>
      <c r="L70" s="338"/>
      <c r="M70" s="7"/>
    </row>
    <row r="71" spans="1:16" ht="24" customHeight="1" thickBot="1" x14ac:dyDescent="0.35">
      <c r="A71" s="32" t="s">
        <v>58</v>
      </c>
      <c r="B71" s="21"/>
      <c r="C71" s="21"/>
      <c r="D71" s="21"/>
      <c r="E71" s="21"/>
      <c r="F71" s="21"/>
      <c r="G71" s="21"/>
      <c r="H71" s="21"/>
      <c r="I71" s="21"/>
      <c r="J71" s="21"/>
      <c r="K71" s="7"/>
      <c r="L71" s="563"/>
      <c r="M71" s="7"/>
    </row>
    <row r="72" spans="1:16" ht="19.5" hidden="1" thickBot="1" x14ac:dyDescent="0.35">
      <c r="K72" s="560"/>
      <c r="L72" s="562"/>
    </row>
    <row r="73" spans="1:16" ht="18.75" x14ac:dyDescent="0.3">
      <c r="K73" s="560"/>
      <c r="L73" s="561"/>
    </row>
    <row r="74" spans="1:16" ht="4.5" hidden="1" customHeight="1" thickBot="1" x14ac:dyDescent="0.3">
      <c r="K74" s="17"/>
      <c r="L74" s="561"/>
    </row>
    <row r="75" spans="1:16" x14ac:dyDescent="0.25">
      <c r="K75" s="17"/>
      <c r="L75" s="561"/>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YaDuJLEXehRCkUOfVR8uTjFH6Vvm0bn0TM0xa8+x2ehtEYeQUtVOUNuHCvHsI3DgATD3jK204edt4+7zkQ1tHA==" saltValue="sXqO2xSFU+Inhm1qSOOXsA=="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1&amp;L6/5/2023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66</v>
      </c>
      <c r="C1" s="36" t="s">
        <v>68</v>
      </c>
      <c r="D1" s="8"/>
      <c r="E1" s="20"/>
      <c r="F1" s="35" t="str">
        <f>Co_Name</f>
        <v>State Farm Mutual Automobile Insurance Company</v>
      </c>
      <c r="G1" s="8"/>
      <c r="H1" s="8"/>
    </row>
    <row r="2" spans="1:9" x14ac:dyDescent="0.25">
      <c r="A2" s="20" t="s">
        <v>67</v>
      </c>
      <c r="C2" s="36" t="s">
        <v>69</v>
      </c>
      <c r="D2" s="8"/>
      <c r="E2" s="20"/>
      <c r="F2" s="35" t="str">
        <f>General_Line</f>
        <v>Auto Liability and Physical Damage</v>
      </c>
      <c r="G2" s="8"/>
      <c r="H2" s="8"/>
    </row>
    <row r="3" spans="1:9" ht="11.25" customHeight="1" x14ac:dyDescent="0.25">
      <c r="B3" s="165"/>
      <c r="G3" s="8"/>
    </row>
    <row r="4" spans="1:9" ht="23.25" x14ac:dyDescent="0.25">
      <c r="A4" s="5" t="s">
        <v>327</v>
      </c>
      <c r="B4" s="3"/>
      <c r="C4" s="3"/>
      <c r="D4" s="3"/>
      <c r="E4" s="3"/>
      <c r="F4" s="3"/>
      <c r="G4" s="8"/>
      <c r="H4" s="3"/>
      <c r="I4" s="3"/>
    </row>
    <row r="5" spans="1:9" ht="5.25" customHeight="1" x14ac:dyDescent="0.25">
      <c r="A5" s="2"/>
      <c r="B5" s="7"/>
      <c r="C5" s="7"/>
      <c r="D5" s="7"/>
      <c r="E5" s="7"/>
      <c r="F5" s="328"/>
      <c r="G5" s="8"/>
    </row>
    <row r="6" spans="1:9" ht="9.75" customHeight="1" x14ac:dyDescent="0.25">
      <c r="A6" s="2"/>
      <c r="B6" s="7"/>
      <c r="C6" s="7"/>
      <c r="D6" s="7"/>
      <c r="E6" s="7"/>
      <c r="F6" s="328">
        <v>2</v>
      </c>
      <c r="G6" s="8"/>
    </row>
    <row r="7" spans="1:9" ht="18" customHeight="1" x14ac:dyDescent="0.25">
      <c r="A7" t="s">
        <v>380</v>
      </c>
      <c r="B7" s="7"/>
      <c r="C7" s="7"/>
      <c r="D7" s="7"/>
      <c r="E7" s="7"/>
      <c r="F7" s="328"/>
      <c r="G7" s="8"/>
    </row>
    <row r="8" spans="1:9" ht="18" customHeight="1" x14ac:dyDescent="0.25">
      <c r="A8" s="2" t="s">
        <v>381</v>
      </c>
      <c r="B8" s="7"/>
      <c r="C8" s="7"/>
      <c r="D8" s="7"/>
      <c r="E8" s="7"/>
      <c r="F8" s="328"/>
      <c r="G8" s="8"/>
    </row>
    <row r="9" spans="1:9" ht="11.25" customHeight="1" x14ac:dyDescent="0.25">
      <c r="A9" s="2"/>
      <c r="B9" s="7"/>
      <c r="C9" s="7"/>
      <c r="D9" s="7"/>
      <c r="E9" s="7"/>
      <c r="F9" s="328"/>
      <c r="G9" s="8"/>
    </row>
    <row r="10" spans="1:9" ht="21" customHeight="1" x14ac:dyDescent="0.25">
      <c r="A10" s="25" t="s">
        <v>395</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0</v>
      </c>
      <c r="B13" s="353" t="str">
        <f>IF(ISBLANK(Co_Name),"",Co_Name)</f>
        <v>State Farm Mutual Automobile Insurance Company</v>
      </c>
      <c r="C13" s="37"/>
      <c r="E13" s="55" t="s">
        <v>16</v>
      </c>
      <c r="F13" s="264"/>
      <c r="G13" s="8"/>
    </row>
    <row r="14" spans="1:9" ht="18" customHeight="1" x14ac:dyDescent="0.25">
      <c r="E14" s="55"/>
      <c r="F14" s="55" t="s">
        <v>63</v>
      </c>
      <c r="G14" s="8"/>
    </row>
    <row r="15" spans="1:9" ht="18" customHeight="1" x14ac:dyDescent="0.25">
      <c r="A15" s="24" t="s">
        <v>24</v>
      </c>
      <c r="B15" s="354">
        <f>IF(ISBLANK('1.General'!B48),"",'1.General'!B48)</f>
        <v>25178</v>
      </c>
      <c r="C15" s="38"/>
      <c r="G15" s="8"/>
    </row>
    <row r="16" spans="1:9" ht="18" customHeight="1" x14ac:dyDescent="0.25">
      <c r="A16" s="349" t="str">
        <f>IF(B13="","","Proposed Rate Impact:")</f>
        <v>Proposed Rate Impact:</v>
      </c>
      <c r="B16" s="356"/>
      <c r="C16" s="359" t="str">
        <f>IF(B13="","","1")</f>
        <v>1</v>
      </c>
      <c r="G16" s="8"/>
    </row>
    <row r="17" spans="1:7" ht="9.9499999999999993" customHeight="1" x14ac:dyDescent="0.25">
      <c r="A17" s="27"/>
      <c r="B17" s="27"/>
      <c r="C17" s="27"/>
      <c r="D17" s="27"/>
      <c r="E17" s="27"/>
      <c r="F17" s="27"/>
      <c r="G17" s="8"/>
    </row>
    <row r="18" spans="1:7" x14ac:dyDescent="0.25">
      <c r="G18" s="8"/>
    </row>
    <row r="19" spans="1:7" x14ac:dyDescent="0.25">
      <c r="A19" s="1" t="s">
        <v>0</v>
      </c>
      <c r="B19" s="265"/>
      <c r="C19" s="37"/>
      <c r="E19" s="55" t="s">
        <v>16</v>
      </c>
      <c r="F19" s="264"/>
      <c r="G19" s="8"/>
    </row>
    <row r="20" spans="1:7" x14ac:dyDescent="0.25">
      <c r="E20" s="55"/>
      <c r="F20" s="55" t="s">
        <v>63</v>
      </c>
      <c r="G20" s="8"/>
    </row>
    <row r="21" spans="1:7" x14ac:dyDescent="0.25">
      <c r="A21" s="24" t="s">
        <v>24</v>
      </c>
      <c r="B21" s="265"/>
      <c r="C21" s="38"/>
      <c r="G21" s="8"/>
    </row>
    <row r="22" spans="1:7" ht="17.25" x14ac:dyDescent="0.25">
      <c r="A22" t="str">
        <f>IF(B19="","","Proposed Rate Impact:")</f>
        <v/>
      </c>
      <c r="B22" s="355"/>
      <c r="C22" s="360" t="str">
        <f>IF(B19="","","1")</f>
        <v/>
      </c>
      <c r="G22" s="8"/>
    </row>
    <row r="23" spans="1:7" ht="9.9499999999999993" customHeight="1" x14ac:dyDescent="0.25">
      <c r="A23" s="27"/>
      <c r="B23" s="27"/>
      <c r="C23" s="27"/>
      <c r="D23" s="27"/>
      <c r="E23" s="27"/>
      <c r="F23" s="27"/>
      <c r="G23" s="8"/>
    </row>
    <row r="24" spans="1:7" x14ac:dyDescent="0.25">
      <c r="G24" s="8"/>
    </row>
    <row r="25" spans="1:7" x14ac:dyDescent="0.25">
      <c r="A25" s="1" t="s">
        <v>0</v>
      </c>
      <c r="B25" s="265"/>
      <c r="C25" s="37"/>
      <c r="E25" s="55" t="s">
        <v>16</v>
      </c>
      <c r="F25" s="264"/>
      <c r="G25" s="8"/>
    </row>
    <row r="26" spans="1:7" x14ac:dyDescent="0.25">
      <c r="E26" s="55"/>
      <c r="F26" s="55" t="s">
        <v>63</v>
      </c>
      <c r="G26" s="8"/>
    </row>
    <row r="27" spans="1:7" x14ac:dyDescent="0.25">
      <c r="A27" s="24" t="s">
        <v>24</v>
      </c>
      <c r="B27" s="265"/>
      <c r="C27" s="38"/>
      <c r="G27" s="8"/>
    </row>
    <row r="28" spans="1:7" ht="17.25" x14ac:dyDescent="0.25">
      <c r="A28" t="str">
        <f>IF(B25="","","Proposed Rate Impact:")</f>
        <v/>
      </c>
      <c r="B28" s="355"/>
      <c r="C28" s="361" t="str">
        <f>IF(B25="","","1")</f>
        <v/>
      </c>
      <c r="G28" s="8"/>
    </row>
    <row r="29" spans="1:7" ht="9.9499999999999993" customHeight="1" x14ac:dyDescent="0.25">
      <c r="A29" s="27"/>
      <c r="B29" s="27"/>
      <c r="C29" s="27"/>
      <c r="D29" s="27"/>
      <c r="E29" s="27"/>
      <c r="F29" s="27"/>
      <c r="G29" s="8"/>
    </row>
    <row r="30" spans="1:7" x14ac:dyDescent="0.25">
      <c r="G30" s="8"/>
    </row>
    <row r="31" spans="1:7" x14ac:dyDescent="0.25">
      <c r="A31" s="1" t="s">
        <v>0</v>
      </c>
      <c r="B31" s="265"/>
      <c r="C31" s="37"/>
      <c r="E31" s="55" t="s">
        <v>16</v>
      </c>
      <c r="F31" s="264"/>
      <c r="G31" s="8"/>
    </row>
    <row r="32" spans="1:7" x14ac:dyDescent="0.25">
      <c r="E32" s="55"/>
      <c r="F32" s="55" t="s">
        <v>63</v>
      </c>
      <c r="G32" s="8"/>
    </row>
    <row r="33" spans="1:7" x14ac:dyDescent="0.25">
      <c r="A33" s="24" t="s">
        <v>24</v>
      </c>
      <c r="B33" s="265"/>
      <c r="C33" s="38"/>
      <c r="G33" s="8"/>
    </row>
    <row r="34" spans="1:7" ht="17.25" x14ac:dyDescent="0.25">
      <c r="A34" t="str">
        <f>IF(B31="","","Proposed Rate Impact:")</f>
        <v/>
      </c>
      <c r="B34" s="355"/>
      <c r="C34" s="361" t="str">
        <f>IF(B31="","","1")</f>
        <v/>
      </c>
      <c r="G34" s="8"/>
    </row>
    <row r="35" spans="1:7" ht="9.9499999999999993" customHeight="1" x14ac:dyDescent="0.25">
      <c r="A35" s="27"/>
      <c r="B35" s="27"/>
      <c r="C35" s="27"/>
      <c r="D35" s="27"/>
      <c r="E35" s="27"/>
      <c r="F35" s="27"/>
      <c r="G35" s="8"/>
    </row>
    <row r="36" spans="1:7" x14ac:dyDescent="0.25">
      <c r="G36" s="8"/>
    </row>
    <row r="37" spans="1:7" x14ac:dyDescent="0.25">
      <c r="A37" s="1" t="s">
        <v>0</v>
      </c>
      <c r="B37" s="265"/>
      <c r="C37" s="37"/>
      <c r="E37" s="55" t="s">
        <v>16</v>
      </c>
      <c r="F37" s="264"/>
      <c r="G37" s="8"/>
    </row>
    <row r="38" spans="1:7" x14ac:dyDescent="0.25">
      <c r="E38" s="55"/>
      <c r="F38" s="55" t="s">
        <v>63</v>
      </c>
      <c r="G38" s="8"/>
    </row>
    <row r="39" spans="1:7" x14ac:dyDescent="0.25">
      <c r="A39" s="24" t="s">
        <v>24</v>
      </c>
      <c r="B39" s="265"/>
      <c r="C39" s="38"/>
      <c r="G39" s="8"/>
    </row>
    <row r="40" spans="1:7" ht="17.25" x14ac:dyDescent="0.25">
      <c r="A40" t="str">
        <f>IF(B37="","","Proposed Rate Impact:")</f>
        <v/>
      </c>
      <c r="B40" s="355"/>
      <c r="C40" s="361"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0</v>
      </c>
      <c r="B43" s="265"/>
      <c r="C43" s="37"/>
      <c r="E43" s="55" t="s">
        <v>16</v>
      </c>
      <c r="F43" s="264"/>
      <c r="G43" s="8"/>
    </row>
    <row r="44" spans="1:7" ht="18" customHeight="1" x14ac:dyDescent="0.25">
      <c r="E44" s="55"/>
      <c r="F44" s="55" t="s">
        <v>63</v>
      </c>
      <c r="G44" s="8"/>
    </row>
    <row r="45" spans="1:7" ht="18" customHeight="1" x14ac:dyDescent="0.25">
      <c r="A45" s="24" t="s">
        <v>24</v>
      </c>
      <c r="B45" s="265"/>
      <c r="C45" s="38"/>
      <c r="G45" s="8"/>
    </row>
    <row r="46" spans="1:7" ht="18" customHeight="1" x14ac:dyDescent="0.25">
      <c r="A46" t="str">
        <f>IF(B43="","","Proposed Rate Impact:")</f>
        <v/>
      </c>
      <c r="B46" s="355"/>
      <c r="C46" s="361" t="str">
        <f>IF(B43="","","1")</f>
        <v/>
      </c>
      <c r="G46" s="8"/>
    </row>
    <row r="47" spans="1:7" ht="9.9499999999999993" customHeight="1" x14ac:dyDescent="0.25">
      <c r="A47" s="27"/>
      <c r="B47" s="27"/>
      <c r="C47" s="27"/>
      <c r="D47" s="27"/>
      <c r="E47" s="27"/>
      <c r="F47" s="27"/>
      <c r="G47" s="8"/>
    </row>
    <row r="48" spans="1:7" x14ac:dyDescent="0.25">
      <c r="G48" s="8"/>
    </row>
    <row r="49" spans="1:7" x14ac:dyDescent="0.25">
      <c r="A49" s="1" t="s">
        <v>0</v>
      </c>
      <c r="B49" s="265"/>
      <c r="C49" s="37"/>
      <c r="E49" s="55" t="s">
        <v>16</v>
      </c>
      <c r="F49" s="264"/>
      <c r="G49" s="8"/>
    </row>
    <row r="50" spans="1:7" x14ac:dyDescent="0.25">
      <c r="E50" s="55"/>
      <c r="F50" s="55" t="s">
        <v>63</v>
      </c>
      <c r="G50" s="8"/>
    </row>
    <row r="51" spans="1:7" x14ac:dyDescent="0.25">
      <c r="A51" s="24" t="s">
        <v>24</v>
      </c>
      <c r="B51" s="265"/>
      <c r="C51" s="38"/>
      <c r="G51" s="8"/>
    </row>
    <row r="52" spans="1:7" ht="17.25" x14ac:dyDescent="0.25">
      <c r="A52" t="str">
        <f>IF(B49="","","Proposed Rate Impact:")</f>
        <v/>
      </c>
      <c r="B52" s="355"/>
      <c r="C52" s="361" t="str">
        <f>IF(B49="","","1")</f>
        <v/>
      </c>
      <c r="G52" s="8"/>
    </row>
    <row r="53" spans="1:7" ht="9.9499999999999993" customHeight="1" x14ac:dyDescent="0.25">
      <c r="A53" s="27"/>
      <c r="B53" s="27"/>
      <c r="C53" s="27"/>
      <c r="D53" s="27"/>
      <c r="E53" s="27"/>
      <c r="F53" s="27"/>
      <c r="G53" s="8"/>
    </row>
    <row r="54" spans="1:7" x14ac:dyDescent="0.25">
      <c r="G54" s="8"/>
    </row>
    <row r="55" spans="1:7" x14ac:dyDescent="0.25">
      <c r="A55" s="1" t="s">
        <v>0</v>
      </c>
      <c r="B55" s="265"/>
      <c r="C55" s="37"/>
      <c r="E55" s="55" t="s">
        <v>16</v>
      </c>
      <c r="F55" s="264"/>
      <c r="G55" s="8"/>
    </row>
    <row r="56" spans="1:7" x14ac:dyDescent="0.25">
      <c r="E56" s="55"/>
      <c r="F56" s="55" t="s">
        <v>63</v>
      </c>
      <c r="G56" s="8"/>
    </row>
    <row r="57" spans="1:7" x14ac:dyDescent="0.25">
      <c r="A57" s="24" t="s">
        <v>24</v>
      </c>
      <c r="B57" s="265"/>
      <c r="C57" s="38"/>
      <c r="G57" s="8"/>
    </row>
    <row r="58" spans="1:7" ht="17.25" x14ac:dyDescent="0.25">
      <c r="A58" t="str">
        <f>IF(B55="","","Proposed Rate Impact:")</f>
        <v/>
      </c>
      <c r="B58" s="355"/>
      <c r="C58" s="361" t="str">
        <f>IF(B55="","","1")</f>
        <v/>
      </c>
      <c r="G58" s="8"/>
    </row>
    <row r="59" spans="1:7" ht="9.9499999999999993" customHeight="1" x14ac:dyDescent="0.25">
      <c r="A59" s="27"/>
      <c r="B59" s="27"/>
      <c r="C59" s="27"/>
      <c r="D59" s="27"/>
      <c r="E59" s="27"/>
      <c r="F59" s="27"/>
      <c r="G59" s="8"/>
    </row>
    <row r="60" spans="1:7" x14ac:dyDescent="0.25">
      <c r="G60" s="8"/>
    </row>
    <row r="61" spans="1:7" x14ac:dyDescent="0.25">
      <c r="A61" s="1" t="s">
        <v>0</v>
      </c>
      <c r="B61" s="265"/>
      <c r="C61" s="37"/>
      <c r="E61" s="55" t="s">
        <v>16</v>
      </c>
      <c r="F61" s="264"/>
      <c r="G61" s="8"/>
    </row>
    <row r="62" spans="1:7" x14ac:dyDescent="0.25">
      <c r="E62" s="55"/>
      <c r="F62" s="55" t="s">
        <v>63</v>
      </c>
      <c r="G62" s="8"/>
    </row>
    <row r="63" spans="1:7" ht="15" customHeight="1" x14ac:dyDescent="0.25">
      <c r="A63" s="24" t="s">
        <v>24</v>
      </c>
      <c r="B63" s="265"/>
      <c r="C63" s="38"/>
      <c r="G63" s="8"/>
    </row>
    <row r="64" spans="1:7" ht="17.25" x14ac:dyDescent="0.25">
      <c r="A64" t="str">
        <f>IF(B61="","","Proposed Rate Impact:")</f>
        <v/>
      </c>
      <c r="B64" s="355"/>
      <c r="C64" s="361" t="str">
        <f>IF(B61="","","1")</f>
        <v/>
      </c>
      <c r="G64" s="8"/>
    </row>
    <row r="65" spans="1:7" ht="9.9499999999999993" customHeight="1" x14ac:dyDescent="0.25">
      <c r="A65" s="27"/>
      <c r="B65" s="27"/>
      <c r="C65" s="27"/>
      <c r="D65" s="27"/>
      <c r="E65" s="27"/>
      <c r="F65" s="27"/>
      <c r="G65" s="8"/>
    </row>
    <row r="66" spans="1:7" x14ac:dyDescent="0.25">
      <c r="G66" s="8"/>
    </row>
    <row r="67" spans="1:7" x14ac:dyDescent="0.25">
      <c r="A67" s="1" t="s">
        <v>0</v>
      </c>
      <c r="B67" s="265"/>
      <c r="C67" s="37"/>
      <c r="E67" s="55" t="s">
        <v>16</v>
      </c>
      <c r="F67" s="264"/>
      <c r="G67" s="8"/>
    </row>
    <row r="68" spans="1:7" x14ac:dyDescent="0.25">
      <c r="E68" s="55"/>
      <c r="F68" s="55" t="s">
        <v>63</v>
      </c>
      <c r="G68" s="8"/>
    </row>
    <row r="69" spans="1:7" x14ac:dyDescent="0.25">
      <c r="A69" s="24" t="s">
        <v>24</v>
      </c>
      <c r="B69" s="265"/>
      <c r="C69" s="38"/>
      <c r="G69" s="8"/>
    </row>
    <row r="70" spans="1:7" ht="17.25" x14ac:dyDescent="0.25">
      <c r="A70" t="str">
        <f>IF(B67="","","Proposed Rate Impact:")</f>
        <v/>
      </c>
      <c r="B70" s="355"/>
      <c r="C70" s="361"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0</v>
      </c>
      <c r="B73" s="265"/>
      <c r="C73" s="37"/>
      <c r="E73" s="55" t="s">
        <v>16</v>
      </c>
      <c r="F73" s="264"/>
      <c r="G73" s="8"/>
    </row>
    <row r="74" spans="1:7" ht="15" hidden="1" customHeight="1" x14ac:dyDescent="0.25">
      <c r="E74" s="55"/>
      <c r="F74" s="55" t="s">
        <v>63</v>
      </c>
      <c r="G74" s="8"/>
    </row>
    <row r="75" spans="1:7" ht="15" hidden="1" customHeight="1" x14ac:dyDescent="0.25">
      <c r="A75" s="24" t="s">
        <v>24</v>
      </c>
      <c r="B75" s="265"/>
      <c r="C75" s="38"/>
      <c r="G75" s="8"/>
    </row>
    <row r="76" spans="1:7" ht="18" hidden="1" customHeight="1" x14ac:dyDescent="0.25">
      <c r="A76" t="str">
        <f>IF(B73="","","Proposed Rate Impact:")</f>
        <v/>
      </c>
      <c r="B76" s="355"/>
      <c r="C76" s="361"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0</v>
      </c>
      <c r="B79" s="265"/>
      <c r="C79" s="37"/>
      <c r="E79" s="55" t="s">
        <v>16</v>
      </c>
      <c r="F79" s="264"/>
      <c r="G79" s="8"/>
    </row>
    <row r="80" spans="1:7" ht="15" hidden="1" customHeight="1" x14ac:dyDescent="0.25">
      <c r="E80" s="55"/>
      <c r="F80" s="55" t="s">
        <v>63</v>
      </c>
      <c r="G80" s="8"/>
    </row>
    <row r="81" spans="1:7" ht="15" hidden="1" customHeight="1" x14ac:dyDescent="0.25">
      <c r="A81" s="24" t="s">
        <v>24</v>
      </c>
      <c r="B81" s="265"/>
      <c r="C81" s="38"/>
      <c r="G81" s="8"/>
    </row>
    <row r="82" spans="1:7" ht="17.25" hidden="1" x14ac:dyDescent="0.25">
      <c r="A82" t="str">
        <f>IF(B79="","","Proposed Rate Impact:")</f>
        <v/>
      </c>
      <c r="B82" s="355"/>
      <c r="C82" s="361"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0</v>
      </c>
      <c r="B85" s="265"/>
      <c r="C85" s="37"/>
      <c r="E85" s="55" t="s">
        <v>16</v>
      </c>
      <c r="F85" s="264"/>
      <c r="G85" s="8"/>
    </row>
    <row r="86" spans="1:7" ht="15" hidden="1" customHeight="1" x14ac:dyDescent="0.25">
      <c r="E86" s="55"/>
      <c r="F86" s="55" t="s">
        <v>63</v>
      </c>
      <c r="G86" s="8"/>
    </row>
    <row r="87" spans="1:7" ht="15" hidden="1" customHeight="1" x14ac:dyDescent="0.25">
      <c r="A87" s="24" t="s">
        <v>24</v>
      </c>
      <c r="B87" s="265"/>
      <c r="C87" s="38"/>
      <c r="G87" s="8"/>
    </row>
    <row r="88" spans="1:7" ht="17.25" hidden="1" x14ac:dyDescent="0.25">
      <c r="A88" t="str">
        <f>IF(B85="","","Proposed Rate Impact:")</f>
        <v/>
      </c>
      <c r="B88" s="355"/>
      <c r="C88" s="361"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0</v>
      </c>
      <c r="B91" s="265"/>
      <c r="C91" s="37"/>
      <c r="E91" s="55" t="s">
        <v>16</v>
      </c>
      <c r="F91" s="264"/>
      <c r="G91" s="8"/>
    </row>
    <row r="92" spans="1:7" ht="15" hidden="1" customHeight="1" x14ac:dyDescent="0.25">
      <c r="E92" s="55"/>
      <c r="F92" s="55" t="s">
        <v>63</v>
      </c>
      <c r="G92" s="8"/>
    </row>
    <row r="93" spans="1:7" ht="15" hidden="1" customHeight="1" x14ac:dyDescent="0.25">
      <c r="A93" s="24" t="s">
        <v>24</v>
      </c>
      <c r="B93" s="265"/>
      <c r="C93" s="38"/>
      <c r="G93" s="8"/>
    </row>
    <row r="94" spans="1:7" ht="17.25" hidden="1" x14ac:dyDescent="0.25">
      <c r="A94" t="str">
        <f>IF(B91="","","Proposed Rate Impact:")</f>
        <v/>
      </c>
      <c r="B94" s="355"/>
      <c r="C94" s="361"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0</v>
      </c>
      <c r="B97" s="265"/>
      <c r="C97" s="37"/>
      <c r="E97" s="55" t="s">
        <v>16</v>
      </c>
      <c r="F97" s="264"/>
      <c r="G97" s="8"/>
    </row>
    <row r="98" spans="1:7" ht="15" hidden="1" customHeight="1" x14ac:dyDescent="0.25">
      <c r="E98" s="55"/>
      <c r="F98" s="55" t="s">
        <v>63</v>
      </c>
      <c r="G98" s="8"/>
    </row>
    <row r="99" spans="1:7" ht="15" hidden="1" customHeight="1" x14ac:dyDescent="0.25">
      <c r="A99" s="24" t="s">
        <v>24</v>
      </c>
      <c r="B99" s="265"/>
      <c r="C99" s="38"/>
      <c r="G99" s="8"/>
    </row>
    <row r="100" spans="1:7" ht="17.25" hidden="1" x14ac:dyDescent="0.25">
      <c r="A100" t="str">
        <f>IF(B97="","","Proposed Rate Impact:")</f>
        <v/>
      </c>
      <c r="B100" s="355"/>
      <c r="C100" s="361" t="str">
        <f>IF(B97="","","1")</f>
        <v/>
      </c>
      <c r="G100" s="8"/>
    </row>
    <row r="101" spans="1:7" ht="9.75" hidden="1" customHeight="1" x14ac:dyDescent="0.25">
      <c r="A101" s="362"/>
      <c r="B101" s="27"/>
      <c r="C101" s="27"/>
      <c r="D101" s="27"/>
      <c r="E101" s="27"/>
      <c r="F101" s="27"/>
      <c r="G101" s="8"/>
    </row>
    <row r="102" spans="1:7" ht="17.25" x14ac:dyDescent="0.25">
      <c r="A102" s="322" t="s">
        <v>371</v>
      </c>
    </row>
    <row r="103" spans="1:7" x14ac:dyDescent="0.25">
      <c r="A103" s="322" t="s">
        <v>374</v>
      </c>
    </row>
    <row r="105" spans="1:7" hidden="1" x14ac:dyDescent="0.25"/>
  </sheetData>
  <sheetProtection algorithmName="SHA-512" hashValue="pgaQi8gBhO+qysECFrfmULCeHprFwcckxmiQz6MxBH38yGiaIcxNLJK/GPuJw6aaXyvQ1kUmyCWRZ6sZ1py7uQ==" saltValue="pGalrX1ZgNrsw3/ZuYdk5g=="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tabSelected="1" view="pageBreakPreview" topLeftCell="A10" zoomScaleNormal="100" zoomScaleSheetLayoutView="100" workbookViewId="0"/>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9" customWidth="1"/>
  </cols>
  <sheetData>
    <row r="1" spans="1:8" ht="15.75" thickBot="1" x14ac:dyDescent="0.3">
      <c r="A1" s="20" t="s">
        <v>66</v>
      </c>
      <c r="B1" s="20"/>
      <c r="C1" s="8"/>
      <c r="D1" s="36" t="s">
        <v>68</v>
      </c>
      <c r="E1" s="36"/>
      <c r="F1" s="8"/>
      <c r="G1" s="35" t="str">
        <f>Co_Name</f>
        <v>State Farm Mutual Automobile Insurance Company</v>
      </c>
      <c r="H1" s="334" t="s">
        <v>424</v>
      </c>
    </row>
    <row r="2" spans="1:8" x14ac:dyDescent="0.25">
      <c r="A2" s="20" t="s">
        <v>67</v>
      </c>
      <c r="B2" s="20"/>
      <c r="C2" s="8"/>
      <c r="D2" s="36" t="s">
        <v>69</v>
      </c>
      <c r="E2" s="36"/>
      <c r="F2" s="8"/>
      <c r="G2" s="35" t="str">
        <f>General_Line</f>
        <v>Auto Liability and Physical Damage</v>
      </c>
      <c r="H2" s="435"/>
    </row>
    <row r="3" spans="1:8" ht="18" customHeight="1" x14ac:dyDescent="0.25">
      <c r="A3" s="8"/>
      <c r="B3" s="8"/>
      <c r="C3" s="166"/>
      <c r="D3" s="8"/>
      <c r="E3" s="8"/>
      <c r="F3" s="8"/>
      <c r="G3" s="8"/>
      <c r="H3" s="436"/>
    </row>
    <row r="4" spans="1:8" ht="23.25" x14ac:dyDescent="0.25">
      <c r="A4" s="5" t="s">
        <v>281</v>
      </c>
      <c r="B4" s="5"/>
      <c r="C4" s="179"/>
      <c r="D4" s="179"/>
      <c r="E4" s="179"/>
      <c r="F4" s="179"/>
      <c r="G4" s="179"/>
      <c r="H4" s="436" t="str">
        <f>IF(COUNTIF(E6:E12,"")&gt;=1,"",IF(COUNTIF(E6:E12,"Y")=0,"ERROR! You must select yes to at least one filing type.",""))</f>
        <v/>
      </c>
    </row>
    <row r="5" spans="1:8" ht="22.5" customHeight="1" x14ac:dyDescent="0.25">
      <c r="A5" s="384" t="s">
        <v>396</v>
      </c>
      <c r="B5" s="5"/>
      <c r="C5" s="179"/>
      <c r="D5" s="179"/>
      <c r="E5" s="179"/>
      <c r="F5" s="179"/>
      <c r="G5" s="179"/>
      <c r="H5" s="437"/>
    </row>
    <row r="6" spans="1:8" ht="21" customHeight="1" x14ac:dyDescent="0.25">
      <c r="A6" s="367" t="s">
        <v>398</v>
      </c>
      <c r="B6" s="367"/>
      <c r="C6" s="367"/>
      <c r="E6" s="198" t="s">
        <v>6</v>
      </c>
      <c r="G6" s="366"/>
      <c r="H6" s="437" t="str">
        <f>IF(E6="","← ERROR! Please select a response.",IF(E6="Y",IF(OR(E7="Y",E8="Y",E9="Y",E10="Y",E11="Y",E12="Y"),"← ERROR! A New Program Filing cannot be combined with a Rate, Rule, Form, or Transferred Program filing.",""),""))</f>
        <v/>
      </c>
    </row>
    <row r="7" spans="1:8" ht="21" customHeight="1" x14ac:dyDescent="0.25">
      <c r="A7" s="367" t="s">
        <v>501</v>
      </c>
      <c r="B7" s="367"/>
      <c r="C7" s="367"/>
      <c r="E7" s="198" t="s">
        <v>6</v>
      </c>
      <c r="G7" s="366"/>
      <c r="H7" s="437" t="str">
        <f>IF(E7="","← ERROR! Please select a response.",IF(E7="Y",IF(OR(E6="Y",E8="Y",E9="Y",E10="Y",E11="Y",E12="Y"),"← ERROR! A Transferred Program Filing cannot be combined with a Rate, Rule, Form or New Program filing.",""),""))</f>
        <v/>
      </c>
    </row>
    <row r="8" spans="1:8" ht="21" customHeight="1" x14ac:dyDescent="0.25">
      <c r="A8" s="367" t="s">
        <v>500</v>
      </c>
      <c r="B8" s="367"/>
      <c r="C8" s="367"/>
      <c r="E8" s="198" t="s">
        <v>6</v>
      </c>
      <c r="G8" s="366"/>
      <c r="H8" s="438" t="str">
        <f>IF(E8="","← ERROR! Please select a response.","")</f>
        <v/>
      </c>
    </row>
    <row r="9" spans="1:8" ht="21" customHeight="1" x14ac:dyDescent="0.25">
      <c r="A9" s="367" t="s">
        <v>517</v>
      </c>
      <c r="B9" s="367"/>
      <c r="C9" s="367"/>
      <c r="E9" s="198" t="s">
        <v>5</v>
      </c>
      <c r="G9" s="366"/>
      <c r="H9" s="438" t="str">
        <f>IF(E9="","← ERROR! Please select a response.","")</f>
        <v/>
      </c>
    </row>
    <row r="10" spans="1:8" ht="21" customHeight="1" x14ac:dyDescent="0.25">
      <c r="A10" s="367" t="s">
        <v>518</v>
      </c>
      <c r="B10" s="367"/>
      <c r="C10" s="367"/>
      <c r="E10" s="198" t="s">
        <v>6</v>
      </c>
      <c r="G10" s="366"/>
      <c r="H10" s="438" t="str">
        <f>IF(E10="","← ERROR! Please select a response.",IF(E10="Y",IF(E9="Y","","← ERROR! The response to question 3 indicates that this is not a Rule filing."),""))</f>
        <v/>
      </c>
    </row>
    <row r="11" spans="1:8" ht="21" customHeight="1" x14ac:dyDescent="0.25">
      <c r="A11" s="367" t="s">
        <v>519</v>
      </c>
      <c r="B11" s="367"/>
      <c r="C11" s="367"/>
      <c r="E11" s="198" t="s">
        <v>6</v>
      </c>
      <c r="G11" s="366"/>
      <c r="H11" s="438" t="str">
        <f>IF(E11="","← ERROR! Please select a response.","")</f>
        <v/>
      </c>
    </row>
    <row r="12" spans="1:8" ht="21" customHeight="1" x14ac:dyDescent="0.25">
      <c r="A12" s="367" t="s">
        <v>520</v>
      </c>
      <c r="B12" s="367"/>
      <c r="C12" s="367"/>
      <c r="E12" s="198" t="s">
        <v>6</v>
      </c>
      <c r="G12" s="366"/>
      <c r="H12" s="438" t="str">
        <f>IF(E12="","← ERROR! Please select a response.",IF(E12="Y",IF(E11="Y","","← ERROR! The response to question 4 indicates that this is not a Form filing."),""))</f>
        <v/>
      </c>
    </row>
    <row r="13" spans="1:8" ht="21" customHeight="1" x14ac:dyDescent="0.25">
      <c r="A13" s="371" t="s">
        <v>521</v>
      </c>
      <c r="B13" s="367"/>
      <c r="C13" s="367"/>
      <c r="E13" s="441" t="str">
        <f>IF('1.General'!$K$14=1,"Y","N")</f>
        <v>N</v>
      </c>
      <c r="G13" s="550"/>
      <c r="H13" s="439" t="str">
        <f>IF(E13="Y",IF(OR(E6="Y",E7="Y",E8="Y",E10="Y",E12="Y"),"","← ERROR! You cannot file for a variance unless this is a New Program filing, Transferred Program filing or a filing with rate impact."),"")</f>
        <v/>
      </c>
    </row>
    <row r="14" spans="1:8" ht="21" customHeight="1" x14ac:dyDescent="0.25">
      <c r="A14" s="180" t="s">
        <v>522</v>
      </c>
      <c r="B14" s="368"/>
      <c r="C14" s="364"/>
      <c r="D14" s="365"/>
      <c r="E14" s="365"/>
      <c r="F14" s="365"/>
      <c r="G14" s="550"/>
      <c r="H14" s="439"/>
    </row>
    <row r="15" spans="1:8" ht="21" customHeight="1" thickBot="1" x14ac:dyDescent="0.3">
      <c r="A15" s="376" t="s">
        <v>523</v>
      </c>
      <c r="B15" s="369"/>
      <c r="C15" s="364"/>
      <c r="D15" s="365"/>
      <c r="E15" s="365"/>
      <c r="F15" s="365"/>
      <c r="G15" s="550"/>
      <c r="H15" s="440"/>
    </row>
    <row r="16" spans="1:8" ht="23.25" x14ac:dyDescent="0.25">
      <c r="A16" s="5" t="s">
        <v>75</v>
      </c>
      <c r="B16" s="5"/>
      <c r="C16" s="179"/>
      <c r="D16" s="179"/>
      <c r="E16" s="179"/>
      <c r="F16" s="179"/>
      <c r="G16" s="179"/>
    </row>
    <row r="17" spans="1:7" x14ac:dyDescent="0.25">
      <c r="A17" s="370" t="s">
        <v>403</v>
      </c>
      <c r="B17" s="370"/>
      <c r="C17" s="364"/>
      <c r="D17" s="365"/>
      <c r="E17" s="365"/>
      <c r="F17" s="365"/>
      <c r="G17" s="366"/>
    </row>
    <row r="18" spans="1:7" x14ac:dyDescent="0.25">
      <c r="A18" s="388" t="str">
        <f>IF(COUNTIF(H2:H15,"")=14,"","WARNING: This is not a valid filing type. Refer to the Prior Approval Rate Filing Instructions.")</f>
        <v/>
      </c>
      <c r="B18" s="370"/>
      <c r="C18" s="364"/>
      <c r="D18" s="365"/>
      <c r="E18" s="365"/>
      <c r="F18" s="365"/>
      <c r="G18" s="366"/>
    </row>
    <row r="19" spans="1:7" x14ac:dyDescent="0.25">
      <c r="A19" s="162" t="s">
        <v>383</v>
      </c>
      <c r="B19" s="162" t="s">
        <v>384</v>
      </c>
      <c r="C19" s="162" t="s">
        <v>290</v>
      </c>
      <c r="D19" s="162"/>
      <c r="E19" s="365"/>
      <c r="F19" s="365"/>
      <c r="G19" s="366"/>
    </row>
    <row r="20" spans="1:7" ht="21" customHeight="1" x14ac:dyDescent="0.25">
      <c r="A20" s="377"/>
      <c r="B20" s="377"/>
      <c r="C20" s="367" t="s">
        <v>377</v>
      </c>
      <c r="D20" s="367"/>
      <c r="E20" s="367"/>
      <c r="F20" s="49"/>
      <c r="G20" s="49"/>
    </row>
    <row r="21" spans="1:7" ht="21" hidden="1" customHeight="1" x14ac:dyDescent="0.25">
      <c r="A21" s="377"/>
      <c r="B21" s="377"/>
      <c r="C21" s="367" t="s">
        <v>288</v>
      </c>
      <c r="D21" s="367"/>
      <c r="E21" s="367"/>
      <c r="F21" s="49"/>
      <c r="G21" s="49"/>
    </row>
    <row r="22" spans="1:7" ht="21" customHeight="1" x14ac:dyDescent="0.25">
      <c r="A22" s="377"/>
      <c r="B22" s="377"/>
      <c r="C22" s="367" t="s">
        <v>394</v>
      </c>
      <c r="D22" s="367"/>
      <c r="E22" s="367"/>
      <c r="F22" s="49"/>
      <c r="G22" s="49"/>
    </row>
    <row r="23" spans="1:7" ht="21" hidden="1" customHeight="1" x14ac:dyDescent="0.25">
      <c r="A23" s="377"/>
      <c r="B23" s="377"/>
      <c r="C23" s="367" t="s">
        <v>289</v>
      </c>
      <c r="D23" s="367"/>
      <c r="E23" s="367"/>
      <c r="F23" s="49"/>
      <c r="G23" s="49"/>
    </row>
    <row r="24" spans="1:7" ht="21" hidden="1" customHeight="1" x14ac:dyDescent="0.25">
      <c r="A24" s="377"/>
      <c r="B24" s="377"/>
      <c r="C24" s="367" t="s">
        <v>297</v>
      </c>
      <c r="D24" s="367"/>
      <c r="E24" s="367"/>
      <c r="F24" s="49"/>
      <c r="G24" s="49"/>
    </row>
    <row r="25" spans="1:7" ht="21" hidden="1" customHeight="1" x14ac:dyDescent="0.25">
      <c r="A25" s="377"/>
      <c r="B25" s="377"/>
      <c r="C25" s="367" t="s">
        <v>357</v>
      </c>
      <c r="D25" s="367"/>
      <c r="E25" s="367"/>
      <c r="F25" s="49"/>
      <c r="G25" s="49"/>
    </row>
    <row r="26" spans="1:7" ht="21" hidden="1" customHeight="1" x14ac:dyDescent="0.25">
      <c r="A26" s="377"/>
      <c r="B26" s="377"/>
      <c r="C26" s="367" t="s">
        <v>298</v>
      </c>
      <c r="D26" s="367"/>
      <c r="E26" s="367"/>
      <c r="F26" s="49"/>
      <c r="G26" s="49"/>
    </row>
    <row r="27" spans="1:7" ht="21" hidden="1" customHeight="1" x14ac:dyDescent="0.25">
      <c r="A27" s="377"/>
      <c r="B27" s="377"/>
      <c r="C27" s="367" t="s">
        <v>299</v>
      </c>
      <c r="D27" s="367"/>
      <c r="E27" s="367"/>
      <c r="F27" s="49"/>
      <c r="G27" s="49"/>
    </row>
    <row r="28" spans="1:7" ht="21" hidden="1" customHeight="1" x14ac:dyDescent="0.25">
      <c r="A28" s="377"/>
      <c r="B28" s="377"/>
      <c r="C28" s="367" t="s">
        <v>300</v>
      </c>
      <c r="D28" s="367"/>
      <c r="E28" s="367"/>
      <c r="F28" s="49"/>
      <c r="G28" s="49"/>
    </row>
    <row r="29" spans="1:7" ht="21" customHeight="1" x14ac:dyDescent="0.25">
      <c r="A29" s="377"/>
      <c r="B29" s="377"/>
      <c r="C29" s="367" t="s">
        <v>405</v>
      </c>
      <c r="D29" s="367"/>
      <c r="E29" s="367"/>
      <c r="F29" s="49"/>
      <c r="G29" s="49"/>
    </row>
    <row r="30" spans="1:7" ht="21" hidden="1" customHeight="1" x14ac:dyDescent="0.25">
      <c r="A30" s="377"/>
      <c r="B30" s="377"/>
      <c r="C30" s="367" t="s">
        <v>76</v>
      </c>
      <c r="D30" s="367"/>
      <c r="E30" s="367"/>
      <c r="F30" s="49"/>
      <c r="G30" s="49"/>
    </row>
    <row r="31" spans="1:7" ht="21" hidden="1" customHeight="1" x14ac:dyDescent="0.25">
      <c r="A31" s="377"/>
      <c r="B31" s="377"/>
      <c r="C31" s="367" t="s">
        <v>456</v>
      </c>
      <c r="D31" s="367"/>
      <c r="E31" s="367"/>
      <c r="F31" s="49"/>
      <c r="G31" s="49"/>
    </row>
    <row r="32" spans="1:7" ht="21" hidden="1" customHeight="1" x14ac:dyDescent="0.25">
      <c r="A32" s="377"/>
      <c r="B32" s="377"/>
      <c r="C32" s="371" t="s">
        <v>493</v>
      </c>
      <c r="D32" s="367"/>
      <c r="E32" s="367"/>
      <c r="F32" s="49"/>
      <c r="G32" s="49"/>
    </row>
    <row r="33" spans="1:7" ht="21" hidden="1" customHeight="1" x14ac:dyDescent="0.25">
      <c r="A33" s="377"/>
      <c r="B33" s="377"/>
      <c r="C33" s="371" t="s">
        <v>494</v>
      </c>
      <c r="D33" s="367"/>
      <c r="E33" s="367"/>
      <c r="F33" s="49"/>
      <c r="G33" s="49"/>
    </row>
    <row r="34" spans="1:7" ht="21" customHeight="1" x14ac:dyDescent="0.25">
      <c r="A34" s="377"/>
      <c r="B34" s="377"/>
      <c r="C34" s="371" t="s">
        <v>457</v>
      </c>
      <c r="D34" s="367"/>
      <c r="E34" s="367"/>
      <c r="F34" s="49"/>
      <c r="G34" s="49"/>
    </row>
    <row r="35" spans="1:7" ht="21" customHeight="1" x14ac:dyDescent="0.25">
      <c r="A35" s="377"/>
      <c r="B35" s="377"/>
      <c r="C35" s="371" t="s">
        <v>291</v>
      </c>
      <c r="D35" s="371"/>
      <c r="E35" s="371"/>
      <c r="F35" s="371"/>
      <c r="G35" s="371"/>
    </row>
    <row r="36" spans="1:7" ht="21" customHeight="1" x14ac:dyDescent="0.25">
      <c r="A36" s="377"/>
      <c r="B36" s="377"/>
      <c r="C36" s="367" t="s">
        <v>283</v>
      </c>
      <c r="D36" s="367"/>
      <c r="E36" s="367"/>
      <c r="F36" s="49"/>
      <c r="G36" s="49"/>
    </row>
    <row r="37" spans="1:7" ht="21" hidden="1" customHeight="1" x14ac:dyDescent="0.25">
      <c r="A37" s="377"/>
      <c r="B37" s="377"/>
      <c r="C37" s="367" t="s">
        <v>284</v>
      </c>
      <c r="D37" s="367"/>
      <c r="E37" s="367"/>
      <c r="F37" s="49"/>
      <c r="G37" s="49"/>
    </row>
    <row r="38" spans="1:7" ht="21" hidden="1" customHeight="1" x14ac:dyDescent="0.25">
      <c r="A38" s="377"/>
      <c r="B38" s="377"/>
      <c r="C38" s="367" t="s">
        <v>285</v>
      </c>
      <c r="D38" s="367"/>
      <c r="E38" s="367"/>
      <c r="F38" s="49"/>
      <c r="G38" s="49"/>
    </row>
    <row r="39" spans="1:7" ht="21" hidden="1" customHeight="1" x14ac:dyDescent="0.25">
      <c r="A39" s="377"/>
      <c r="B39" s="377"/>
      <c r="C39" s="367" t="s">
        <v>286</v>
      </c>
      <c r="D39" s="367"/>
      <c r="E39" s="367"/>
      <c r="F39" s="49"/>
      <c r="G39" s="49"/>
    </row>
    <row r="40" spans="1:7" ht="21" hidden="1" customHeight="1" x14ac:dyDescent="0.25">
      <c r="A40" s="377"/>
      <c r="B40" s="377"/>
      <c r="C40" s="367" t="s">
        <v>385</v>
      </c>
      <c r="D40" s="367"/>
      <c r="E40" s="367"/>
      <c r="F40" s="49"/>
      <c r="G40" s="49"/>
    </row>
    <row r="41" spans="1:7" ht="21" hidden="1" customHeight="1" x14ac:dyDescent="0.25">
      <c r="A41" s="377"/>
      <c r="B41" s="377"/>
      <c r="C41" s="367" t="s">
        <v>287</v>
      </c>
      <c r="D41" s="367"/>
      <c r="E41" s="367"/>
      <c r="F41" s="49"/>
      <c r="G41" s="49"/>
    </row>
    <row r="42" spans="1:7" ht="21" hidden="1" customHeight="1" x14ac:dyDescent="0.25">
      <c r="A42" s="377"/>
      <c r="B42" s="377"/>
      <c r="C42" s="367" t="s">
        <v>386</v>
      </c>
      <c r="D42" s="367"/>
      <c r="E42" s="367"/>
      <c r="F42" s="49"/>
      <c r="G42" s="49"/>
    </row>
    <row r="43" spans="1:7" ht="21" hidden="1" customHeight="1" x14ac:dyDescent="0.25">
      <c r="A43" s="377"/>
      <c r="B43" s="377"/>
      <c r="C43" s="367" t="s">
        <v>387</v>
      </c>
      <c r="D43" s="367"/>
      <c r="E43" s="367"/>
      <c r="F43" s="49"/>
      <c r="G43" s="49"/>
    </row>
    <row r="44" spans="1:7" ht="21" hidden="1" customHeight="1" x14ac:dyDescent="0.25">
      <c r="A44" s="377"/>
      <c r="B44" s="377"/>
      <c r="C44" s="367" t="s">
        <v>293</v>
      </c>
      <c r="D44" s="367"/>
      <c r="E44" s="367"/>
      <c r="F44" s="49"/>
      <c r="G44" s="49"/>
    </row>
    <row r="45" spans="1:7" ht="21" hidden="1" customHeight="1" x14ac:dyDescent="0.25">
      <c r="A45" s="377"/>
      <c r="B45" s="377"/>
      <c r="C45" s="367" t="s">
        <v>294</v>
      </c>
      <c r="D45" s="367"/>
      <c r="E45" s="367"/>
      <c r="F45" s="49"/>
      <c r="G45" s="49"/>
    </row>
    <row r="46" spans="1:7" ht="21" hidden="1" customHeight="1" x14ac:dyDescent="0.25">
      <c r="A46" s="377"/>
      <c r="B46" s="377"/>
      <c r="C46" s="367" t="s">
        <v>295</v>
      </c>
      <c r="D46" s="367"/>
      <c r="E46" s="367"/>
      <c r="F46" s="49"/>
      <c r="G46" s="49"/>
    </row>
    <row r="47" spans="1:7" ht="21" hidden="1" customHeight="1" x14ac:dyDescent="0.25">
      <c r="A47" s="377"/>
      <c r="B47" s="377"/>
      <c r="C47" s="367" t="s">
        <v>402</v>
      </c>
      <c r="D47" s="367"/>
      <c r="E47" s="367"/>
      <c r="F47" s="49"/>
      <c r="G47" s="49"/>
    </row>
    <row r="48" spans="1:7" ht="21" hidden="1" customHeight="1" x14ac:dyDescent="0.25">
      <c r="A48" s="377"/>
      <c r="B48" s="377"/>
      <c r="C48" s="367" t="s">
        <v>328</v>
      </c>
      <c r="D48" s="367"/>
      <c r="E48" s="367"/>
      <c r="F48" s="49"/>
      <c r="G48" s="49"/>
    </row>
    <row r="49" spans="1:7" ht="21" hidden="1" customHeight="1" x14ac:dyDescent="0.25">
      <c r="A49" s="377"/>
      <c r="B49" s="377"/>
      <c r="C49" s="367" t="s">
        <v>320</v>
      </c>
      <c r="D49" s="367"/>
      <c r="E49" s="367"/>
      <c r="F49" s="49"/>
      <c r="G49" s="49"/>
    </row>
    <row r="50" spans="1:7" ht="21" hidden="1" customHeight="1" x14ac:dyDescent="0.25">
      <c r="A50" s="377"/>
      <c r="B50" s="377"/>
      <c r="C50" s="367" t="s">
        <v>321</v>
      </c>
      <c r="D50" s="367"/>
      <c r="E50" s="367"/>
      <c r="F50" s="49"/>
      <c r="G50" s="49"/>
    </row>
    <row r="51" spans="1:7" ht="21" hidden="1" customHeight="1" x14ac:dyDescent="0.25">
      <c r="A51" s="377"/>
      <c r="B51" s="377"/>
      <c r="C51" s="367" t="s">
        <v>322</v>
      </c>
      <c r="D51" s="367"/>
      <c r="E51" s="367"/>
      <c r="F51" s="49"/>
      <c r="G51" s="49"/>
    </row>
    <row r="52" spans="1:7" ht="21" hidden="1" customHeight="1" x14ac:dyDescent="0.25">
      <c r="A52" s="377"/>
      <c r="B52" s="377"/>
      <c r="C52" s="367" t="s">
        <v>323</v>
      </c>
      <c r="D52" s="367"/>
      <c r="E52" s="367"/>
      <c r="F52" s="49"/>
      <c r="G52" s="49"/>
    </row>
    <row r="53" spans="1:7" ht="21" customHeight="1" x14ac:dyDescent="0.25">
      <c r="A53" s="377"/>
      <c r="B53" s="377"/>
      <c r="C53" s="367" t="s">
        <v>404</v>
      </c>
      <c r="D53" s="367"/>
      <c r="E53" s="367"/>
      <c r="F53" s="49"/>
      <c r="G53" s="49"/>
    </row>
    <row r="54" spans="1:7" ht="21" customHeight="1" x14ac:dyDescent="0.25">
      <c r="A54" s="377"/>
      <c r="B54" s="377"/>
      <c r="C54" s="367" t="s">
        <v>324</v>
      </c>
      <c r="D54" s="367"/>
      <c r="E54" s="367"/>
      <c r="F54" s="49"/>
      <c r="G54" s="49"/>
    </row>
    <row r="55" spans="1:7" ht="21" hidden="1" customHeight="1" x14ac:dyDescent="0.25">
      <c r="A55" s="377"/>
      <c r="B55" s="377"/>
      <c r="C55" s="367" t="s">
        <v>333</v>
      </c>
      <c r="D55" s="367"/>
      <c r="E55" s="367"/>
      <c r="F55" s="49"/>
      <c r="G55" s="49"/>
    </row>
    <row r="56" spans="1:7" ht="21" hidden="1" customHeight="1" x14ac:dyDescent="0.25">
      <c r="A56" s="377"/>
      <c r="B56" s="377"/>
      <c r="C56" s="367" t="s">
        <v>332</v>
      </c>
      <c r="D56" s="367"/>
      <c r="E56" s="367"/>
      <c r="F56" s="49"/>
      <c r="G56" s="49"/>
    </row>
    <row r="57" spans="1:7" ht="21" customHeight="1" x14ac:dyDescent="0.25">
      <c r="A57" s="377"/>
      <c r="B57" s="377"/>
      <c r="C57" s="371" t="s">
        <v>77</v>
      </c>
      <c r="D57" s="371"/>
      <c r="E57" s="371"/>
      <c r="F57" s="49"/>
      <c r="G57" s="49"/>
    </row>
    <row r="58" spans="1:7" ht="21" hidden="1" customHeight="1" x14ac:dyDescent="0.25">
      <c r="A58" s="377"/>
      <c r="B58" s="377"/>
      <c r="C58" s="371" t="s">
        <v>388</v>
      </c>
      <c r="D58" s="371"/>
      <c r="E58" s="371"/>
      <c r="F58" s="49"/>
      <c r="G58" s="49"/>
    </row>
    <row r="59" spans="1:7" ht="21" hidden="1" customHeight="1" x14ac:dyDescent="0.25">
      <c r="A59" s="377"/>
      <c r="B59" s="377"/>
      <c r="C59" s="371" t="s">
        <v>389</v>
      </c>
      <c r="D59" s="371"/>
      <c r="E59" s="371"/>
      <c r="F59" s="49"/>
      <c r="G59" s="49"/>
    </row>
    <row r="60" spans="1:7" ht="21" customHeight="1" x14ac:dyDescent="0.25">
      <c r="A60" s="377"/>
      <c r="B60" s="377"/>
      <c r="C60" s="373" t="str">
        <f>IF('3.Filing Type and Checklist'!E9="Y","Complete Current, Marked-up and Proposed Underwriting Guidelines","Complete Underwriting Guidelines")</f>
        <v>Complete Current, Marked-up and Proposed Underwriting Guidelines</v>
      </c>
      <c r="D60" s="371"/>
      <c r="E60" s="371"/>
      <c r="F60" s="49"/>
      <c r="G60" s="49"/>
    </row>
    <row r="61" spans="1:7" ht="21" customHeight="1" x14ac:dyDescent="0.25">
      <c r="A61" s="377"/>
      <c r="B61" s="377"/>
      <c r="C61" s="371" t="str">
        <f>IF('3.Filing Type and Checklist'!E9="Y","Complete Current, Marked-up and Proposed Printed Rate and Rule Manual Pages","Complete Printed Rate and Rule Manual Pages")</f>
        <v>Complete Current, Marked-up and Proposed Printed Rate and Rule Manual Pages</v>
      </c>
      <c r="D61" s="371"/>
      <c r="E61" s="371"/>
      <c r="F61" s="49"/>
      <c r="G61" s="49"/>
    </row>
    <row r="62" spans="1:7" ht="21" hidden="1" customHeight="1" x14ac:dyDescent="0.25">
      <c r="A62" s="377"/>
      <c r="B62" s="377"/>
      <c r="C62" s="371" t="s">
        <v>301</v>
      </c>
      <c r="D62" s="371"/>
      <c r="E62" s="371"/>
      <c r="F62" s="49"/>
      <c r="G62" s="49"/>
    </row>
    <row r="63" spans="1:7" ht="21" hidden="1" customHeight="1" x14ac:dyDescent="0.25">
      <c r="A63" s="377"/>
      <c r="B63" s="377"/>
      <c r="C63" s="371" t="s">
        <v>329</v>
      </c>
      <c r="D63" s="371"/>
      <c r="E63" s="371"/>
      <c r="F63" s="49"/>
      <c r="G63" s="49"/>
    </row>
    <row r="64" spans="1:7" ht="21" hidden="1" customHeight="1" x14ac:dyDescent="0.25">
      <c r="A64" s="375" t="s">
        <v>391</v>
      </c>
      <c r="B64" s="377"/>
      <c r="D64" s="372"/>
      <c r="E64" s="372"/>
      <c r="F64" s="374"/>
      <c r="G64" s="374"/>
    </row>
    <row r="65" spans="1:7" ht="17.25" hidden="1" x14ac:dyDescent="0.25">
      <c r="A65" s="375" t="s">
        <v>489</v>
      </c>
      <c r="B65" s="363"/>
      <c r="D65" s="372"/>
      <c r="E65" s="372"/>
      <c r="F65" s="374"/>
      <c r="G65" s="374"/>
    </row>
    <row r="66" spans="1:7" hidden="1" x14ac:dyDescent="0.25">
      <c r="A66" s="24" t="s">
        <v>397</v>
      </c>
    </row>
    <row r="67" spans="1:7" hidden="1" x14ac:dyDescent="0.25">
      <c r="A67" s="51" t="s">
        <v>382</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wVfqNDYkcy0nsDlJRZDHwkD0pHjWqXWcz9A44AQbBDp6MA2cT5wUWqQWrPG2ashn2HUw4Qo8r4AxEisJ825Xbw==" saltValue="eTyLQn0qqXkG1Gnjk4UkmA=="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3"/>
  <pageSetup scale="78" orientation="portrait" r:id="rId1"/>
  <headerFooter>
    <oddFooter>&amp;CPrior Approval Rate Application&amp;RPage 3&amp;L6/5/2023 Edition</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6182" r:id="rId4" name="Check Box 54">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6183" r:id="rId5" name="Check Box 55">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6184" r:id="rId6" name="Check Box 56">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6185" r:id="rId7" name="Check Box 57">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6186" r:id="rId8" name="Check Box 58">
              <controlPr defaultSize="0" autoFill="0" autoLine="0" autoPict="0">
                <anchor moveWithCells="1">
                  <from>
                    <xdr:col>0</xdr:col>
                    <xdr:colOff>0</xdr:colOff>
                    <xdr:row>28</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6187" r:id="rId9" name="Check Box 59">
              <controlPr defaultSize="0" autoFill="0" autoLine="0" autoPict="0">
                <anchor moveWithCells="1">
                  <from>
                    <xdr:col>1</xdr:col>
                    <xdr:colOff>0</xdr:colOff>
                    <xdr:row>28</xdr:row>
                    <xdr:rowOff>0</xdr:rowOff>
                  </from>
                  <to>
                    <xdr:col>1</xdr:col>
                    <xdr:colOff>295275</xdr:colOff>
                    <xdr:row>33</xdr:row>
                    <xdr:rowOff>19050</xdr:rowOff>
                  </to>
                </anchor>
              </controlPr>
            </control>
          </mc:Choice>
        </mc:AlternateContent>
        <mc:AlternateContent xmlns:mc="http://schemas.openxmlformats.org/markup-compatibility/2006">
          <mc:Choice Requires="x14">
            <control shapeId="176188" r:id="rId10" name="Check Box 60">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6189" r:id="rId11" name="Check Box 61">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6190" r:id="rId12" name="Check Box 62">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6191" r:id="rId13" name="Check Box 63">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6192" r:id="rId14" name="Check Box 64">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6193" r:id="rId15" name="Check Box 65">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6194" r:id="rId16" name="Check Box 66">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6195" r:id="rId17" name="Check Box 67">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32" customWidth="1"/>
  </cols>
  <sheetData>
    <row r="1" spans="1:7" x14ac:dyDescent="0.25">
      <c r="A1" s="20" t="s">
        <v>66</v>
      </c>
      <c r="D1" s="36" t="s">
        <v>68</v>
      </c>
      <c r="F1" s="35" t="str">
        <f>Co_Name</f>
        <v>State Farm Mutual Automobile Insurance Company</v>
      </c>
    </row>
    <row r="2" spans="1:7" x14ac:dyDescent="0.25">
      <c r="A2" s="20" t="s">
        <v>67</v>
      </c>
      <c r="D2" s="36" t="s">
        <v>69</v>
      </c>
      <c r="F2" s="35" t="str">
        <f>General_Line</f>
        <v>Auto Liability and Physical Damage</v>
      </c>
    </row>
    <row r="3" spans="1:7" x14ac:dyDescent="0.25">
      <c r="B3" s="165"/>
    </row>
    <row r="4" spans="1:7" ht="23.25" x14ac:dyDescent="0.25">
      <c r="A4" s="5" t="s">
        <v>282</v>
      </c>
      <c r="B4" s="3"/>
      <c r="C4" s="3"/>
      <c r="D4" s="3"/>
      <c r="E4" s="3"/>
      <c r="F4" s="3"/>
    </row>
    <row r="6" spans="1:7" ht="15.75" x14ac:dyDescent="0.25">
      <c r="B6" s="54" t="s">
        <v>72</v>
      </c>
      <c r="C6" s="26"/>
      <c r="D6" s="319" t="e">
        <f>$D$22</f>
        <v>#DIV/0!</v>
      </c>
    </row>
    <row r="7" spans="1:7" ht="4.5" customHeight="1" x14ac:dyDescent="0.25"/>
    <row r="8" spans="1:7" s="47" customFormat="1" ht="18" customHeight="1" x14ac:dyDescent="0.25">
      <c r="A8" s="53"/>
      <c r="B8" s="54" t="s">
        <v>71</v>
      </c>
      <c r="C8" s="26"/>
      <c r="D8" s="320"/>
      <c r="G8" s="333" t="str">
        <f>IF(ISBLANK(D8),"←ERROR! Enter the Proposed Earned Premium Per Exposure.","")</f>
        <v>←ERROR! Enter the Proposed Earned Premium Per Exposure.</v>
      </c>
    </row>
    <row r="9" spans="1:7" ht="18" customHeight="1" x14ac:dyDescent="0.25">
      <c r="A9" s="53"/>
      <c r="B9" s="54" t="s">
        <v>221</v>
      </c>
      <c r="C9" s="26"/>
      <c r="D9" s="267"/>
      <c r="G9" s="214" t="str">
        <f>IF(ISBLANK(D9),"←ERROR! Enter the Proposed Effective Date.","")</f>
        <v>←ERROR! Enter the Proposed Effective Date.</v>
      </c>
    </row>
    <row r="10" spans="1:7" ht="15.75" thickBot="1" x14ac:dyDescent="0.3">
      <c r="A10" s="52"/>
    </row>
    <row r="11" spans="1:7" ht="33" thickBot="1" x14ac:dyDescent="0.3">
      <c r="A11" s="57"/>
      <c r="B11" s="58" t="s">
        <v>124</v>
      </c>
      <c r="C11" s="58" t="s">
        <v>73</v>
      </c>
      <c r="D11" s="58" t="s">
        <v>354</v>
      </c>
      <c r="E11" s="58" t="s">
        <v>355</v>
      </c>
      <c r="F11" s="59" t="s">
        <v>356</v>
      </c>
    </row>
    <row r="12" spans="1:7" ht="30" customHeight="1" x14ac:dyDescent="0.25">
      <c r="A12" s="60">
        <v>-1</v>
      </c>
      <c r="B12" s="268"/>
      <c r="C12" s="269"/>
      <c r="D12" s="269"/>
      <c r="E12" s="270"/>
      <c r="F12" s="73">
        <f>E12*(1+D12)</f>
        <v>0</v>
      </c>
      <c r="G12" s="214" t="str">
        <f>IF(AND(COUNTA(B12:E12)&gt;=1,COUNTA(B12:E12)&lt;=3),"←ERROR! Fill out each cell in this row.","")</f>
        <v/>
      </c>
    </row>
    <row r="13" spans="1:7" ht="30" customHeight="1" x14ac:dyDescent="0.25">
      <c r="A13" s="61">
        <v>-2</v>
      </c>
      <c r="B13" s="271"/>
      <c r="C13" s="272"/>
      <c r="D13" s="272"/>
      <c r="E13" s="273"/>
      <c r="F13" s="74">
        <f t="shared" ref="F13:F21" si="0">E13*(1+D13)</f>
        <v>0</v>
      </c>
      <c r="G13" s="214" t="str">
        <f t="shared" ref="G13:G21" si="1">IF(AND(COUNTA(B13:E13)&gt;=1,COUNTA(B13:E13)&lt;=3),"←ERROR! Fill out each cell in this row.","")</f>
        <v/>
      </c>
    </row>
    <row r="14" spans="1:7" ht="30" customHeight="1" x14ac:dyDescent="0.25">
      <c r="A14" s="61">
        <v>-3</v>
      </c>
      <c r="B14" s="271"/>
      <c r="C14" s="272"/>
      <c r="D14" s="272"/>
      <c r="E14" s="273"/>
      <c r="F14" s="74">
        <f t="shared" si="0"/>
        <v>0</v>
      </c>
      <c r="G14" s="214" t="str">
        <f t="shared" si="1"/>
        <v/>
      </c>
    </row>
    <row r="15" spans="1:7" ht="30" customHeight="1" x14ac:dyDescent="0.25">
      <c r="A15" s="61">
        <v>-4</v>
      </c>
      <c r="B15" s="271"/>
      <c r="C15" s="272"/>
      <c r="D15" s="272"/>
      <c r="E15" s="273"/>
      <c r="F15" s="74">
        <f t="shared" si="0"/>
        <v>0</v>
      </c>
      <c r="G15" s="214" t="str">
        <f t="shared" si="1"/>
        <v/>
      </c>
    </row>
    <row r="16" spans="1:7" ht="30" customHeight="1" x14ac:dyDescent="0.25">
      <c r="A16" s="61">
        <v>-5</v>
      </c>
      <c r="B16" s="271"/>
      <c r="C16" s="272"/>
      <c r="D16" s="272"/>
      <c r="E16" s="273"/>
      <c r="F16" s="74">
        <f t="shared" si="0"/>
        <v>0</v>
      </c>
      <c r="G16" s="214" t="str">
        <f t="shared" si="1"/>
        <v/>
      </c>
    </row>
    <row r="17" spans="1:7" ht="30" customHeight="1" x14ac:dyDescent="0.25">
      <c r="A17" s="61">
        <v>-6</v>
      </c>
      <c r="B17" s="271"/>
      <c r="C17" s="272"/>
      <c r="D17" s="272"/>
      <c r="E17" s="273"/>
      <c r="F17" s="74">
        <f t="shared" si="0"/>
        <v>0</v>
      </c>
      <c r="G17" s="214" t="str">
        <f t="shared" si="1"/>
        <v/>
      </c>
    </row>
    <row r="18" spans="1:7" ht="30" customHeight="1" x14ac:dyDescent="0.25">
      <c r="A18" s="61">
        <v>-7</v>
      </c>
      <c r="B18" s="271"/>
      <c r="C18" s="272"/>
      <c r="D18" s="272"/>
      <c r="E18" s="273"/>
      <c r="F18" s="74">
        <f t="shared" si="0"/>
        <v>0</v>
      </c>
      <c r="G18" s="214" t="str">
        <f t="shared" si="1"/>
        <v/>
      </c>
    </row>
    <row r="19" spans="1:7" ht="30" customHeight="1" x14ac:dyDescent="0.25">
      <c r="A19" s="61">
        <v>-8</v>
      </c>
      <c r="B19" s="271"/>
      <c r="C19" s="272"/>
      <c r="D19" s="272"/>
      <c r="E19" s="273"/>
      <c r="F19" s="74">
        <f t="shared" si="0"/>
        <v>0</v>
      </c>
      <c r="G19" s="214" t="str">
        <f t="shared" si="1"/>
        <v/>
      </c>
    </row>
    <row r="20" spans="1:7" ht="30" customHeight="1" x14ac:dyDescent="0.25">
      <c r="A20" s="61">
        <v>-9</v>
      </c>
      <c r="B20" s="271"/>
      <c r="C20" s="272"/>
      <c r="D20" s="272"/>
      <c r="E20" s="273"/>
      <c r="F20" s="74">
        <f t="shared" si="0"/>
        <v>0</v>
      </c>
      <c r="G20" s="214" t="str">
        <f t="shared" si="1"/>
        <v/>
      </c>
    </row>
    <row r="21" spans="1:7" ht="30" customHeight="1" x14ac:dyDescent="0.25">
      <c r="A21" s="61">
        <v>-10</v>
      </c>
      <c r="B21" s="274"/>
      <c r="C21" s="275"/>
      <c r="D21" s="275"/>
      <c r="E21" s="276"/>
      <c r="F21" s="74">
        <f t="shared" si="0"/>
        <v>0</v>
      </c>
      <c r="G21" s="214" t="str">
        <f t="shared" si="1"/>
        <v/>
      </c>
    </row>
    <row r="22" spans="1:7" ht="30" customHeight="1" thickBot="1" x14ac:dyDescent="0.3">
      <c r="A22" s="76" t="s">
        <v>74</v>
      </c>
      <c r="B22" s="71"/>
      <c r="C22" s="77" t="e">
        <f>SUMPRODUCT(C$12:C$21,$E$12:$E$21)/$E$22</f>
        <v>#DIV/0!</v>
      </c>
      <c r="D22" s="77" t="e">
        <f>SUMPRODUCT(D$12:D$21,$E$12:$E$21)/$E$22</f>
        <v>#DIV/0!</v>
      </c>
      <c r="E22" s="78">
        <f>SUM($E$12:$E$21)</f>
        <v>0</v>
      </c>
      <c r="F22" s="75">
        <f>SUM($F$12:$F$21)</f>
        <v>0</v>
      </c>
    </row>
    <row r="23" spans="1:7" x14ac:dyDescent="0.25">
      <c r="D23" s="56"/>
    </row>
    <row r="24" spans="1:7" ht="17.25" x14ac:dyDescent="0.25">
      <c r="A24" t="s">
        <v>372</v>
      </c>
      <c r="D24" s="56"/>
    </row>
    <row r="25" spans="1:7" x14ac:dyDescent="0.25">
      <c r="A25" t="s">
        <v>373</v>
      </c>
      <c r="D25" s="56"/>
    </row>
    <row r="26" spans="1:7" ht="18" customHeight="1" x14ac:dyDescent="0.25">
      <c r="A26" s="48" t="s">
        <v>365</v>
      </c>
    </row>
    <row r="27" spans="1:7" ht="18" customHeight="1" x14ac:dyDescent="0.25">
      <c r="A27" s="322" t="s">
        <v>331</v>
      </c>
    </row>
    <row r="28" spans="1:7" ht="5.0999999999999996" customHeight="1" x14ac:dyDescent="0.25">
      <c r="A28" s="2"/>
    </row>
    <row r="29" spans="1:7" ht="18" customHeight="1" x14ac:dyDescent="0.25">
      <c r="A29" t="s">
        <v>362</v>
      </c>
    </row>
    <row r="30" spans="1:7" ht="18" customHeight="1" x14ac:dyDescent="0.25">
      <c r="A30" s="322" t="s">
        <v>360</v>
      </c>
    </row>
    <row r="31" spans="1:7" ht="18" customHeight="1" x14ac:dyDescent="0.25">
      <c r="A31" s="322" t="s">
        <v>359</v>
      </c>
    </row>
    <row r="32" spans="1:7" ht="5.0999999999999996" customHeight="1" x14ac:dyDescent="0.25">
      <c r="A32" s="322"/>
    </row>
    <row r="33" spans="1:1" ht="17.25" x14ac:dyDescent="0.25">
      <c r="A33" t="s">
        <v>363</v>
      </c>
    </row>
    <row r="34" spans="1:1" ht="18" customHeight="1" x14ac:dyDescent="0.25">
      <c r="A34" s="322" t="s">
        <v>361</v>
      </c>
    </row>
    <row r="35" spans="1:1" ht="5.0999999999999996" customHeight="1" x14ac:dyDescent="0.25">
      <c r="A35" s="2"/>
    </row>
    <row r="36" spans="1:1" ht="17.25" x14ac:dyDescent="0.25">
      <c r="A36" t="s">
        <v>364</v>
      </c>
    </row>
  </sheetData>
  <sheetProtection algorithmName="SHA-512" hashValue="lEsGbIV/leoJmYxzXMwLLo2UubfpHqddbAmWSIWHQIdAhXhJ+UTiywoBMArjL+tu9jNn8WDB+y2yVVFzoYgS+w==" saltValue="gm1YTvVvfdmkagTCLg0QOw=="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4&amp;L6/5/2023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2" customWidth="1"/>
  </cols>
  <sheetData>
    <row r="1" spans="1:10" x14ac:dyDescent="0.25">
      <c r="A1" s="20" t="s">
        <v>66</v>
      </c>
      <c r="C1" s="36" t="s">
        <v>68</v>
      </c>
      <c r="F1" s="35" t="str">
        <f>Co_Name</f>
        <v>State Farm Mutual Automobile Insurance Company</v>
      </c>
    </row>
    <row r="2" spans="1:10" x14ac:dyDescent="0.25">
      <c r="A2" s="20" t="s">
        <v>67</v>
      </c>
      <c r="C2" s="36" t="s">
        <v>69</v>
      </c>
      <c r="F2" s="35" t="str">
        <f>General_Line</f>
        <v>Auto Liability and Physical Damage</v>
      </c>
    </row>
    <row r="3" spans="1:10" x14ac:dyDescent="0.25">
      <c r="B3" s="165"/>
    </row>
    <row r="4" spans="1:10" ht="23.25" x14ac:dyDescent="0.25">
      <c r="A4" s="5" t="s">
        <v>292</v>
      </c>
      <c r="B4" s="5"/>
      <c r="C4" s="5"/>
      <c r="D4" s="5"/>
      <c r="E4" s="5"/>
      <c r="F4" s="5"/>
    </row>
    <row r="5" spans="1:10" ht="18.75" x14ac:dyDescent="0.3">
      <c r="A5" s="81" t="s">
        <v>116</v>
      </c>
      <c r="B5" s="81"/>
      <c r="C5" s="81"/>
      <c r="D5" s="81"/>
      <c r="E5" s="81"/>
      <c r="F5" s="81"/>
    </row>
    <row r="6" spans="1:10" ht="15.75" thickBot="1" x14ac:dyDescent="0.3"/>
    <row r="7" spans="1:10" ht="33" thickBot="1" x14ac:dyDescent="0.3">
      <c r="A7" s="70"/>
      <c r="B7" s="58" t="s">
        <v>124</v>
      </c>
      <c r="C7" s="58" t="s">
        <v>125</v>
      </c>
      <c r="D7" s="58" t="s">
        <v>120</v>
      </c>
      <c r="E7" s="58" t="s">
        <v>119</v>
      </c>
      <c r="F7" s="59" t="s">
        <v>118</v>
      </c>
    </row>
    <row r="8" spans="1:10" ht="18" customHeight="1" thickBot="1" x14ac:dyDescent="0.3">
      <c r="A8" s="159"/>
      <c r="B8" s="160"/>
      <c r="C8" s="160"/>
      <c r="D8" s="254" t="e">
        <f>E8-1</f>
        <v>#VALUE!</v>
      </c>
      <c r="E8" s="254" t="e">
        <f>F8-1</f>
        <v>#VALUE!</v>
      </c>
      <c r="F8" s="253" t="s">
        <v>170</v>
      </c>
    </row>
    <row r="9" spans="1:10" ht="30" customHeight="1" x14ac:dyDescent="0.25">
      <c r="A9" s="60">
        <v>-1</v>
      </c>
      <c r="B9" s="277"/>
      <c r="C9" s="278"/>
      <c r="D9" s="279"/>
      <c r="E9" s="279"/>
      <c r="F9" s="280"/>
      <c r="J9" s="330"/>
    </row>
    <row r="10" spans="1:10" ht="30" customHeight="1" x14ac:dyDescent="0.25">
      <c r="A10" s="61">
        <v>-2</v>
      </c>
      <c r="B10" s="281"/>
      <c r="C10" s="282"/>
      <c r="D10" s="283"/>
      <c r="E10" s="283"/>
      <c r="F10" s="284"/>
    </row>
    <row r="11" spans="1:10" ht="30" customHeight="1" x14ac:dyDescent="0.25">
      <c r="A11" s="61">
        <v>-3</v>
      </c>
      <c r="B11" s="281"/>
      <c r="C11" s="282"/>
      <c r="D11" s="283"/>
      <c r="E11" s="283"/>
      <c r="F11" s="284"/>
    </row>
    <row r="12" spans="1:10" ht="30" customHeight="1" x14ac:dyDescent="0.25">
      <c r="A12" s="61">
        <v>-4</v>
      </c>
      <c r="B12" s="281"/>
      <c r="C12" s="282"/>
      <c r="D12" s="283"/>
      <c r="E12" s="283"/>
      <c r="F12" s="284"/>
    </row>
    <row r="13" spans="1:10" ht="30" customHeight="1" x14ac:dyDescent="0.25">
      <c r="A13" s="61">
        <v>-5</v>
      </c>
      <c r="B13" s="281"/>
      <c r="C13" s="282"/>
      <c r="D13" s="283"/>
      <c r="E13" s="283"/>
      <c r="F13" s="284"/>
    </row>
    <row r="14" spans="1:10" ht="30" customHeight="1" x14ac:dyDescent="0.25">
      <c r="A14" s="61">
        <v>-6</v>
      </c>
      <c r="B14" s="281"/>
      <c r="C14" s="282"/>
      <c r="D14" s="283"/>
      <c r="E14" s="283"/>
      <c r="F14" s="284"/>
    </row>
    <row r="15" spans="1:10" ht="30" customHeight="1" x14ac:dyDescent="0.25">
      <c r="A15" s="61">
        <v>-7</v>
      </c>
      <c r="B15" s="281"/>
      <c r="C15" s="282"/>
      <c r="D15" s="283"/>
      <c r="E15" s="283"/>
      <c r="F15" s="284"/>
    </row>
    <row r="16" spans="1:10" ht="30" customHeight="1" x14ac:dyDescent="0.25">
      <c r="A16" s="61">
        <v>-8</v>
      </c>
      <c r="B16" s="281"/>
      <c r="C16" s="282"/>
      <c r="D16" s="283"/>
      <c r="E16" s="283"/>
      <c r="F16" s="284"/>
    </row>
    <row r="17" spans="1:7" ht="30" customHeight="1" x14ac:dyDescent="0.25">
      <c r="A17" s="61">
        <v>-9</v>
      </c>
      <c r="B17" s="281"/>
      <c r="C17" s="282"/>
      <c r="D17" s="283"/>
      <c r="E17" s="283"/>
      <c r="F17" s="284"/>
    </row>
    <row r="18" spans="1:7" ht="30" customHeight="1" x14ac:dyDescent="0.25">
      <c r="A18" s="61">
        <v>-10</v>
      </c>
      <c r="B18" s="285"/>
      <c r="C18" s="286"/>
      <c r="D18" s="287"/>
      <c r="E18" s="287"/>
      <c r="F18" s="288"/>
    </row>
    <row r="19" spans="1:7" ht="30" customHeight="1" thickBot="1" x14ac:dyDescent="0.3">
      <c r="A19" s="76" t="s">
        <v>74</v>
      </c>
      <c r="B19" s="71"/>
      <c r="C19" s="72"/>
      <c r="D19" s="79">
        <f>SUM(D$9:D$18)</f>
        <v>0</v>
      </c>
      <c r="E19" s="79">
        <f>SUM(E$9:E$18)</f>
        <v>0</v>
      </c>
      <c r="F19" s="80">
        <f>SUM(F$9:F$18)</f>
        <v>0</v>
      </c>
    </row>
    <row r="20" spans="1:7" ht="24.95" customHeight="1" x14ac:dyDescent="0.25">
      <c r="A20" s="233" t="s">
        <v>121</v>
      </c>
      <c r="B20" s="234"/>
      <c r="C20" s="235"/>
      <c r="D20" s="289"/>
      <c r="E20" s="290"/>
      <c r="F20" s="291"/>
      <c r="G20" s="333" t="str">
        <f>IF(COUNTA(D20:F20)&lt;3,"←ERROR! Enter Statutory Page 14 Data."," ")</f>
        <v>←ERROR! Enter Statutory Page 14 Data.</v>
      </c>
    </row>
    <row r="21" spans="1:7" ht="24.95" customHeight="1" thickBot="1" x14ac:dyDescent="0.3">
      <c r="A21" s="236" t="s">
        <v>122</v>
      </c>
      <c r="B21" s="237"/>
      <c r="C21" s="238"/>
      <c r="D21" s="239">
        <f>D19-D20</f>
        <v>0</v>
      </c>
      <c r="E21" s="239">
        <f>E19-E20</f>
        <v>0</v>
      </c>
      <c r="F21" s="256">
        <f>F19-F20</f>
        <v>0</v>
      </c>
    </row>
    <row r="23" spans="1:7" ht="15.75" thickBot="1" x14ac:dyDescent="0.3">
      <c r="A23" t="s">
        <v>123</v>
      </c>
    </row>
    <row r="24" spans="1:7" ht="136.5" customHeight="1" thickBot="1" x14ac:dyDescent="0.3">
      <c r="A24" s="589"/>
      <c r="B24" s="590"/>
      <c r="C24" s="590"/>
      <c r="D24" s="590"/>
      <c r="E24" s="590"/>
      <c r="F24" s="591"/>
      <c r="G24" s="333" t="str">
        <f>IF(AND(ISBLANK(A24),OR(ROUND(D21,0)&lt;&gt;0,ROUND(E21,0)&lt;&gt;0,ROUND(F21,0)&lt;&gt;0)),"← WARNING! Explain any differences.","")</f>
        <v/>
      </c>
    </row>
    <row r="25" spans="1:7" ht="5.0999999999999996" customHeight="1" x14ac:dyDescent="0.25"/>
    <row r="26" spans="1:7" ht="17.25" x14ac:dyDescent="0.25">
      <c r="A26" s="329" t="s">
        <v>358</v>
      </c>
    </row>
    <row r="27" spans="1:7" x14ac:dyDescent="0.25">
      <c r="A27" s="329" t="s">
        <v>375</v>
      </c>
    </row>
    <row r="28" spans="1:7" x14ac:dyDescent="0.25">
      <c r="A28" s="329" t="s">
        <v>376</v>
      </c>
    </row>
    <row r="29" spans="1:7" ht="17.25" x14ac:dyDescent="0.25">
      <c r="A29" t="s">
        <v>126</v>
      </c>
    </row>
  </sheetData>
  <sheetProtection algorithmName="SHA-512" hashValue="Q4lUHny26GF8zdw156xI2lP1ezB8BEkpB5lY1J2/xAcsYTTjKbygovv4iq0sG9wMqcaQaO5egbMO8JFNyO2v0Q==" saltValue="1UqmM8nyD7757r9xnd+8sQ=="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5&amp;L6/5/2023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66</v>
      </c>
      <c r="G1" s="36" t="s">
        <v>68</v>
      </c>
      <c r="J1" s="35" t="str">
        <f>Co_Name</f>
        <v>State Farm Mutual Automobile Insurance Company</v>
      </c>
    </row>
    <row r="2" spans="1:10" x14ac:dyDescent="0.25">
      <c r="A2" s="20" t="s">
        <v>67</v>
      </c>
      <c r="G2" s="36" t="s">
        <v>69</v>
      </c>
      <c r="J2" s="35" t="str">
        <f>General_Line</f>
        <v>Auto Liability and Physical Damage</v>
      </c>
    </row>
    <row r="3" spans="1:10" x14ac:dyDescent="0.25">
      <c r="B3" s="230"/>
    </row>
    <row r="4" spans="1:10" ht="24" thickBot="1" x14ac:dyDescent="0.4">
      <c r="B4" s="301" t="str">
        <f>CONCATENATE("ANNUAL STATEMENT LINE - ", J2,)</f>
        <v>ANNUAL STATEMENT LINE - Auto Liability and Physical Damage</v>
      </c>
      <c r="C4" s="206"/>
      <c r="D4" s="206"/>
      <c r="E4" s="206"/>
      <c r="F4" s="206"/>
      <c r="G4" s="206"/>
      <c r="H4" s="206"/>
      <c r="I4" s="206"/>
      <c r="J4" s="206"/>
    </row>
    <row r="5" spans="1:10" ht="30.75" thickBot="1" x14ac:dyDescent="0.3">
      <c r="B5" s="207" t="s">
        <v>108</v>
      </c>
      <c r="C5" s="207" t="s">
        <v>256</v>
      </c>
      <c r="D5" s="207" t="s">
        <v>257</v>
      </c>
      <c r="E5" s="207" t="s">
        <v>114</v>
      </c>
      <c r="F5" s="207" t="s">
        <v>258</v>
      </c>
      <c r="G5" s="207" t="s">
        <v>115</v>
      </c>
      <c r="H5" s="207" t="s">
        <v>259</v>
      </c>
      <c r="I5" s="207" t="s">
        <v>260</v>
      </c>
      <c r="J5" s="207" t="s">
        <v>261</v>
      </c>
    </row>
    <row r="6" spans="1:10" x14ac:dyDescent="0.25">
      <c r="A6" s="208" t="s">
        <v>212</v>
      </c>
      <c r="B6" s="259" t="s">
        <v>170</v>
      </c>
      <c r="C6" s="311">
        <v>0</v>
      </c>
      <c r="D6" s="302">
        <v>0</v>
      </c>
      <c r="E6" s="303">
        <v>0</v>
      </c>
      <c r="F6" s="217" t="e">
        <f>E6/$D6</f>
        <v>#DIV/0!</v>
      </c>
      <c r="G6" s="308">
        <v>0</v>
      </c>
      <c r="H6" s="217" t="e">
        <f>G6/$D6</f>
        <v>#DIV/0!</v>
      </c>
      <c r="I6" s="216">
        <f>E6+G6</f>
        <v>0</v>
      </c>
      <c r="J6" s="217" t="e">
        <f>I6/$D6</f>
        <v>#DIV/0!</v>
      </c>
    </row>
    <row r="7" spans="1:10" x14ac:dyDescent="0.25">
      <c r="A7" s="208" t="s">
        <v>213</v>
      </c>
      <c r="B7" s="260" t="e">
        <f>B6-1</f>
        <v>#VALUE!</v>
      </c>
      <c r="C7" s="312">
        <v>0</v>
      </c>
      <c r="D7" s="304">
        <v>0</v>
      </c>
      <c r="E7" s="305">
        <v>0</v>
      </c>
      <c r="F7" s="217" t="e">
        <f>E7/$D7</f>
        <v>#DIV/0!</v>
      </c>
      <c r="G7" s="309">
        <v>0</v>
      </c>
      <c r="H7" s="217" t="e">
        <f>G7/$D7</f>
        <v>#DIV/0!</v>
      </c>
      <c r="I7" s="216">
        <f>E7+G7</f>
        <v>0</v>
      </c>
      <c r="J7" s="217" t="e">
        <f>I7/$D7</f>
        <v>#DIV/0!</v>
      </c>
    </row>
    <row r="8" spans="1:10" x14ac:dyDescent="0.25">
      <c r="A8" s="208" t="s">
        <v>215</v>
      </c>
      <c r="B8" s="261" t="e">
        <f>B7-1</f>
        <v>#VALUE!</v>
      </c>
      <c r="C8" s="313">
        <v>0</v>
      </c>
      <c r="D8" s="306">
        <v>0</v>
      </c>
      <c r="E8" s="307">
        <v>0</v>
      </c>
      <c r="F8" s="218" t="e">
        <f>E8/$D8</f>
        <v>#DIV/0!</v>
      </c>
      <c r="G8" s="310">
        <v>0</v>
      </c>
      <c r="H8" s="218" t="e">
        <f>G8/$D8</f>
        <v>#DIV/0!</v>
      </c>
      <c r="I8" s="225">
        <f>E8+G8</f>
        <v>0</v>
      </c>
      <c r="J8" s="218" t="e">
        <f>I8/$D8</f>
        <v>#DIV/0!</v>
      </c>
    </row>
    <row r="9" spans="1:10" x14ac:dyDescent="0.25">
      <c r="A9" s="208" t="s">
        <v>214</v>
      </c>
      <c r="B9" s="262" t="s">
        <v>262</v>
      </c>
      <c r="C9" s="216">
        <f>AVERAGE(C6:C8)</f>
        <v>0</v>
      </c>
      <c r="D9" s="216">
        <f>AVERAGE(D6:D8)</f>
        <v>0</v>
      </c>
      <c r="E9" s="216">
        <f>AVERAGE(E6:E8)</f>
        <v>0</v>
      </c>
      <c r="F9" s="217" t="e">
        <f>E9/$D9</f>
        <v>#DIV/0!</v>
      </c>
      <c r="G9" s="216">
        <f>AVERAGE(G6:G8)</f>
        <v>0</v>
      </c>
      <c r="H9" s="217" t="e">
        <f>G9/$D9</f>
        <v>#DIV/0!</v>
      </c>
      <c r="I9" s="216">
        <f>AVERAGE(I6:I8)</f>
        <v>0</v>
      </c>
      <c r="J9" s="217" t="e">
        <f>I9/$D9</f>
        <v>#DIV/0!</v>
      </c>
    </row>
    <row r="10" spans="1:10" ht="5.0999999999999996" customHeight="1" x14ac:dyDescent="0.25">
      <c r="A10" s="208"/>
      <c r="B10" s="4"/>
      <c r="C10" s="210"/>
      <c r="D10" s="210"/>
      <c r="E10" s="210"/>
      <c r="F10" s="209"/>
      <c r="G10" s="210"/>
      <c r="H10" s="209"/>
      <c r="I10" s="210"/>
      <c r="J10" s="209"/>
    </row>
    <row r="11" spans="1:10" x14ac:dyDescent="0.25">
      <c r="A11" s="146"/>
      <c r="B11" s="211" t="e">
        <f>"Source: Annual Statement for "&amp;B8&amp;", "&amp;B7&amp;" &amp; "&amp;B6</f>
        <v>#VALUE!</v>
      </c>
      <c r="F11" s="212"/>
    </row>
    <row r="12" spans="1:10" x14ac:dyDescent="0.25">
      <c r="B12" s="327" t="s">
        <v>344</v>
      </c>
      <c r="F12" s="212"/>
    </row>
    <row r="13" spans="1:10" x14ac:dyDescent="0.25">
      <c r="A13" s="146"/>
      <c r="B13" s="211" t="s">
        <v>263</v>
      </c>
    </row>
    <row r="14" spans="1:10" x14ac:dyDescent="0.25">
      <c r="A14" s="146"/>
    </row>
    <row r="15" spans="1:10" x14ac:dyDescent="0.25">
      <c r="A15" s="146"/>
      <c r="B15" s="212" t="s">
        <v>345</v>
      </c>
    </row>
    <row r="16" spans="1:10" ht="30.75" thickBot="1" x14ac:dyDescent="0.3">
      <c r="A16" s="146"/>
      <c r="B16" s="207" t="s">
        <v>108</v>
      </c>
      <c r="C16" s="207" t="s">
        <v>256</v>
      </c>
      <c r="D16" s="207" t="s">
        <v>257</v>
      </c>
      <c r="E16" s="207" t="s">
        <v>114</v>
      </c>
      <c r="F16" s="207" t="s">
        <v>258</v>
      </c>
      <c r="G16" s="207" t="s">
        <v>115</v>
      </c>
      <c r="H16" s="207" t="s">
        <v>259</v>
      </c>
      <c r="I16" s="207" t="s">
        <v>260</v>
      </c>
      <c r="J16" s="207" t="s">
        <v>261</v>
      </c>
    </row>
    <row r="17" spans="1:10" x14ac:dyDescent="0.25">
      <c r="A17" s="208" t="s">
        <v>216</v>
      </c>
      <c r="B17" s="215" t="str">
        <f>$B$6</f>
        <v>YYYY</v>
      </c>
      <c r="C17" s="219">
        <f t="shared" ref="C17:E18" si="0">C26+C33+C40+C47+C54+C61+C68+C75+C82+C89+C96+C103+C110+C117+C124+C131+C138+C145+C152+C159+C166+C173+C180+C187+C194+C201+C208+C215+C222+C229</f>
        <v>0</v>
      </c>
      <c r="D17" s="219">
        <f t="shared" si="0"/>
        <v>0</v>
      </c>
      <c r="E17" s="219">
        <f t="shared" si="0"/>
        <v>0</v>
      </c>
      <c r="F17" s="220" t="e">
        <f>E17/$D17</f>
        <v>#DIV/0!</v>
      </c>
      <c r="G17" s="219">
        <f>G26+G33+G40+G47+G54+G61+G68+G75+G82+G89+G96+G103+G110+G117+G124+G131+G138+G145+G152+G159+G166+G173+G180+G187+G194+G201+G208+G215+G222+G229</f>
        <v>0</v>
      </c>
      <c r="H17" s="220" t="e">
        <f>G17/$D17</f>
        <v>#DIV/0!</v>
      </c>
      <c r="I17" s="219">
        <f>I26+I33+I40+I47+I54+I61+I68+I75+I82+I89+I96+I103+I110+I117+I124+I131+I138+I145+I152+I159+I166+I173+I180+I187+I194+I201+I208+I215+I222+I229</f>
        <v>0</v>
      </c>
      <c r="J17" s="220" t="e">
        <f>I17/$D17</f>
        <v>#DIV/0!</v>
      </c>
    </row>
    <row r="18" spans="1:10" x14ac:dyDescent="0.25">
      <c r="A18" s="208" t="s">
        <v>217</v>
      </c>
      <c r="B18" s="215" t="e">
        <f>$B$7</f>
        <v>#VALUE!</v>
      </c>
      <c r="C18" s="219">
        <f t="shared" si="0"/>
        <v>0</v>
      </c>
      <c r="D18" s="219">
        <f t="shared" si="0"/>
        <v>0</v>
      </c>
      <c r="E18" s="219">
        <f t="shared" si="0"/>
        <v>0</v>
      </c>
      <c r="F18" s="220" t="e">
        <f>E18/$D18</f>
        <v>#DIV/0!</v>
      </c>
      <c r="G18" s="219">
        <f>G27+G34+G41+G48+G55+G62+G69+G76+G83+G90+G97+G104+G111+G118+G125+G132+G139+G146+G153+G160+G167+G174+G181+G188+G195+G202+G209+G216+G223+G230</f>
        <v>0</v>
      </c>
      <c r="H18" s="220" t="e">
        <f>G18/$D18</f>
        <v>#DIV/0!</v>
      </c>
      <c r="I18" s="219">
        <f>I27+I34+I41+I48+I55+I62+I69+I76+I83+I90+I97+I104+I111+I118+I125+I132+I139+I146+I153+I160+I167+I174+I181+I188+I195+I1202+I209+I216+I223+I230</f>
        <v>0</v>
      </c>
      <c r="J18" s="220" t="e">
        <f>I18/$D18</f>
        <v>#DIV/0!</v>
      </c>
    </row>
    <row r="19" spans="1:10" x14ac:dyDescent="0.25">
      <c r="A19" s="208" t="s">
        <v>218</v>
      </c>
      <c r="B19" s="221" t="e">
        <f>$B$8</f>
        <v>#VALUE!</v>
      </c>
      <c r="C19" s="222">
        <f>C28+C35+C42+C49+C56+C63+C70+C77+C84+C91+C98+C105+C112+C119+C126+C133+C140+C147+C154+C161+C168+C175+C182+C189+C196+C203+C210+C217+C224+C231</f>
        <v>0</v>
      </c>
      <c r="D19" s="222">
        <f>D28+D35+D42+D49+D56+D63+D70+D77+D84+D91+D98+D105+D112+D119+D126+D133+D140+D147+D154+D161+D168+D175+D182+D189+D196+D203+D210+D217+D224+D231</f>
        <v>0</v>
      </c>
      <c r="E19" s="222">
        <f>E28+E35+E42+E49+E56+E63+E70+E77+E84+E91+E98+E105+E112+E119+E126+E133+E140+E147+E154+E161+E168+E175+E182+E189+E196+E203+E210+E217+E224+E231</f>
        <v>0</v>
      </c>
      <c r="F19" s="223" t="e">
        <f>E19/$D19</f>
        <v>#DIV/0!</v>
      </c>
      <c r="G19" s="222">
        <f>G28+G35+G42+G49+G56+G63+G70+G77+G84+G91+G98+G105+G112+G119+G126+G133+G140+G147+G154+G161+G168+G175+G181+G189+G196+G203+G210+G217+G224+G231</f>
        <v>0</v>
      </c>
      <c r="H19" s="223" t="e">
        <f>G19/$D19</f>
        <v>#DIV/0!</v>
      </c>
      <c r="I19" s="222">
        <f>I28+I35+I42+I49+I56+I63+I70+I77+I84+I91+I98+I105+I112+I119+I126+I133+I140+I147+I154+I161+I168+I175+I182+I189+I196+I203+I210+I217+I224+I231</f>
        <v>0</v>
      </c>
      <c r="J19" s="223" t="e">
        <f>I19/$D19</f>
        <v>#DIV/0!</v>
      </c>
    </row>
    <row r="20" spans="1:10" x14ac:dyDescent="0.25">
      <c r="A20" s="208" t="s">
        <v>219</v>
      </c>
      <c r="B20" s="215" t="s">
        <v>262</v>
      </c>
      <c r="C20" s="219">
        <f>AVERAGE(C17:C19)</f>
        <v>0</v>
      </c>
      <c r="D20" s="219">
        <f>AVERAGE(D17:D19)</f>
        <v>0</v>
      </c>
      <c r="E20" s="219">
        <f>AVERAGE(E17:E19)</f>
        <v>0</v>
      </c>
      <c r="F20" s="220" t="e">
        <f>E20/$D20</f>
        <v>#DIV/0!</v>
      </c>
      <c r="G20" s="219">
        <f>AVERAGE(G17:G19)</f>
        <v>0</v>
      </c>
      <c r="H20" s="220" t="e">
        <f>G20/$D20</f>
        <v>#DIV/0!</v>
      </c>
      <c r="I20" s="219">
        <f>AVERAGE(I17:I19)</f>
        <v>0</v>
      </c>
      <c r="J20" s="220" t="e">
        <f>I20/$D20</f>
        <v>#DIV/0!</v>
      </c>
    </row>
    <row r="21" spans="1:10" x14ac:dyDescent="0.25">
      <c r="A21" s="146"/>
      <c r="B21" s="4"/>
      <c r="C21" s="213"/>
      <c r="D21" s="213"/>
      <c r="E21" s="213"/>
      <c r="F21" s="209"/>
      <c r="G21" s="213"/>
      <c r="H21" s="209"/>
      <c r="I21" s="213"/>
      <c r="J21" s="209"/>
    </row>
    <row r="22" spans="1:10" x14ac:dyDescent="0.25">
      <c r="A22" s="146"/>
      <c r="B22" s="215" t="s">
        <v>122</v>
      </c>
      <c r="C22" s="224">
        <f>C20-C9</f>
        <v>0</v>
      </c>
      <c r="D22" s="224">
        <f t="shared" ref="D22:J22" si="1">D20-D9</f>
        <v>0</v>
      </c>
      <c r="E22" s="224">
        <f t="shared" si="1"/>
        <v>0</v>
      </c>
      <c r="F22" s="224" t="e">
        <f t="shared" si="1"/>
        <v>#DIV/0!</v>
      </c>
      <c r="G22" s="224">
        <f t="shared" si="1"/>
        <v>0</v>
      </c>
      <c r="H22" s="224" t="e">
        <f t="shared" si="1"/>
        <v>#DIV/0!</v>
      </c>
      <c r="I22" s="224">
        <f>I20-I9</f>
        <v>0</v>
      </c>
      <c r="J22" s="224" t="e">
        <f t="shared" si="1"/>
        <v>#DIV/0!</v>
      </c>
    </row>
    <row r="23" spans="1:10" x14ac:dyDescent="0.25">
      <c r="A23" s="146"/>
      <c r="B23" s="214" t="str">
        <f>IF(OR(C20&lt;&gt;C9,D20&lt;&gt;D9,E20&lt;&gt;E9,G20&lt;&gt;G9,I20&lt;&gt;I9),"ERROR! Total of all forms [Line (8)] must match Annual Statement in [Line (4)] above.  (Round-off will be ignored.)","")</f>
        <v/>
      </c>
    </row>
    <row r="24" spans="1:10" x14ac:dyDescent="0.25">
      <c r="A24" s="146"/>
      <c r="B24" s="592" t="s">
        <v>346</v>
      </c>
      <c r="C24" s="592"/>
    </row>
    <row r="25" spans="1:10" ht="30.75" thickBot="1" x14ac:dyDescent="0.3">
      <c r="A25" s="146"/>
      <c r="B25" s="207" t="s">
        <v>108</v>
      </c>
      <c r="C25" s="207" t="s">
        <v>256</v>
      </c>
      <c r="D25" s="207" t="s">
        <v>257</v>
      </c>
      <c r="E25" s="207" t="s">
        <v>114</v>
      </c>
      <c r="F25" s="207" t="s">
        <v>258</v>
      </c>
      <c r="G25" s="207" t="s">
        <v>115</v>
      </c>
      <c r="H25" s="207" t="s">
        <v>259</v>
      </c>
      <c r="I25" s="207" t="s">
        <v>260</v>
      </c>
      <c r="J25" s="207" t="s">
        <v>261</v>
      </c>
    </row>
    <row r="26" spans="1:10" x14ac:dyDescent="0.25">
      <c r="A26" s="146"/>
      <c r="B26" s="215" t="str">
        <f>$B$6</f>
        <v>YYYY</v>
      </c>
      <c r="C26" s="311">
        <v>0</v>
      </c>
      <c r="D26" s="302">
        <v>0</v>
      </c>
      <c r="E26" s="303">
        <v>0</v>
      </c>
      <c r="F26" s="217" t="e">
        <f>E26/$D26</f>
        <v>#DIV/0!</v>
      </c>
      <c r="G26" s="308">
        <v>0</v>
      </c>
      <c r="H26" s="217" t="e">
        <f>G26/$D26</f>
        <v>#DIV/0!</v>
      </c>
      <c r="I26" s="216">
        <f>E26+G26</f>
        <v>0</v>
      </c>
      <c r="J26" s="217" t="e">
        <f>I26/$D26</f>
        <v>#DIV/0!</v>
      </c>
    </row>
    <row r="27" spans="1:10" x14ac:dyDescent="0.25">
      <c r="A27" s="146"/>
      <c r="B27" s="215" t="e">
        <f>$B$7</f>
        <v>#VALUE!</v>
      </c>
      <c r="C27" s="312">
        <v>0</v>
      </c>
      <c r="D27" s="304">
        <v>0</v>
      </c>
      <c r="E27" s="305">
        <v>0</v>
      </c>
      <c r="F27" s="217" t="e">
        <f>E27/$D27</f>
        <v>#DIV/0!</v>
      </c>
      <c r="G27" s="309">
        <v>0</v>
      </c>
      <c r="H27" s="217" t="e">
        <f>G27/$D27</f>
        <v>#DIV/0!</v>
      </c>
      <c r="I27" s="216">
        <f>E27+G27</f>
        <v>0</v>
      </c>
      <c r="J27" s="217" t="e">
        <f>I27/$D27</f>
        <v>#DIV/0!</v>
      </c>
    </row>
    <row r="28" spans="1:10" x14ac:dyDescent="0.25">
      <c r="A28" s="146"/>
      <c r="B28" s="221" t="e">
        <f>$B$8</f>
        <v>#VALUE!</v>
      </c>
      <c r="C28" s="313">
        <v>0</v>
      </c>
      <c r="D28" s="306">
        <v>0</v>
      </c>
      <c r="E28" s="307">
        <v>0</v>
      </c>
      <c r="F28" s="218" t="e">
        <f>E28/$D28</f>
        <v>#DIV/0!</v>
      </c>
      <c r="G28" s="310">
        <v>0</v>
      </c>
      <c r="H28" s="218" t="e">
        <f>G28/$D28</f>
        <v>#DIV/0!</v>
      </c>
      <c r="I28" s="225">
        <f>E28+G28</f>
        <v>0</v>
      </c>
      <c r="J28" s="218" t="e">
        <f>I28/$D28</f>
        <v>#DIV/0!</v>
      </c>
    </row>
    <row r="29" spans="1:10" x14ac:dyDescent="0.25">
      <c r="A29" s="146"/>
      <c r="B29" s="215" t="s">
        <v>262</v>
      </c>
      <c r="C29" s="216">
        <f>AVERAGE(C26:C28)</f>
        <v>0</v>
      </c>
      <c r="D29" s="216">
        <f>AVERAGE(D26:D28)</f>
        <v>0</v>
      </c>
      <c r="E29" s="216">
        <f>AVERAGE(E26:E28)</f>
        <v>0</v>
      </c>
      <c r="F29" s="217" t="e">
        <f>E29/$D29</f>
        <v>#DIV/0!</v>
      </c>
      <c r="G29" s="216">
        <f>AVERAGE(G26:G28)</f>
        <v>0</v>
      </c>
      <c r="H29" s="217" t="e">
        <f>G29/$D29</f>
        <v>#DIV/0!</v>
      </c>
      <c r="I29" s="216">
        <f>AVERAGE(I26:I28)</f>
        <v>0</v>
      </c>
      <c r="J29" s="217" t="e">
        <f>I29/$D29</f>
        <v>#DIV/0!</v>
      </c>
    </row>
    <row r="30" spans="1:10" x14ac:dyDescent="0.25">
      <c r="A30" s="146"/>
    </row>
    <row r="31" spans="1:10" x14ac:dyDescent="0.25">
      <c r="A31" s="146"/>
      <c r="B31" s="592" t="s">
        <v>346</v>
      </c>
      <c r="C31" s="592"/>
    </row>
    <row r="32" spans="1:10" ht="30.75" thickBot="1" x14ac:dyDescent="0.3">
      <c r="A32" s="146"/>
      <c r="B32" s="207" t="s">
        <v>108</v>
      </c>
      <c r="C32" s="207" t="s">
        <v>256</v>
      </c>
      <c r="D32" s="207" t="s">
        <v>257</v>
      </c>
      <c r="E32" s="207" t="s">
        <v>114</v>
      </c>
      <c r="F32" s="207" t="s">
        <v>258</v>
      </c>
      <c r="G32" s="207" t="s">
        <v>115</v>
      </c>
      <c r="H32" s="207" t="s">
        <v>259</v>
      </c>
      <c r="I32" s="207" t="s">
        <v>260</v>
      </c>
      <c r="J32" s="207" t="s">
        <v>261</v>
      </c>
    </row>
    <row r="33" spans="1:10" x14ac:dyDescent="0.25">
      <c r="A33" s="146"/>
      <c r="B33" s="215" t="str">
        <f>$B$6</f>
        <v>YYYY</v>
      </c>
      <c r="C33" s="311">
        <v>0</v>
      </c>
      <c r="D33" s="302">
        <v>0</v>
      </c>
      <c r="E33" s="303">
        <v>0</v>
      </c>
      <c r="F33" s="217" t="e">
        <f>E33/$D33</f>
        <v>#DIV/0!</v>
      </c>
      <c r="G33" s="308">
        <v>0</v>
      </c>
      <c r="H33" s="217" t="e">
        <f>G33/$D33</f>
        <v>#DIV/0!</v>
      </c>
      <c r="I33" s="216">
        <f>E33+G33</f>
        <v>0</v>
      </c>
      <c r="J33" s="217" t="e">
        <f>I33/$D33</f>
        <v>#DIV/0!</v>
      </c>
    </row>
    <row r="34" spans="1:10" x14ac:dyDescent="0.25">
      <c r="A34" s="146"/>
      <c r="B34" s="215" t="e">
        <f>$B$7</f>
        <v>#VALUE!</v>
      </c>
      <c r="C34" s="312">
        <v>0</v>
      </c>
      <c r="D34" s="304">
        <v>0</v>
      </c>
      <c r="E34" s="305">
        <v>0</v>
      </c>
      <c r="F34" s="217" t="e">
        <f>E34/$D34</f>
        <v>#DIV/0!</v>
      </c>
      <c r="G34" s="309">
        <v>0</v>
      </c>
      <c r="H34" s="217" t="e">
        <f>G34/$D34</f>
        <v>#DIV/0!</v>
      </c>
      <c r="I34" s="216">
        <f>E34+G34</f>
        <v>0</v>
      </c>
      <c r="J34" s="217" t="e">
        <f>I34/$D34</f>
        <v>#DIV/0!</v>
      </c>
    </row>
    <row r="35" spans="1:10" x14ac:dyDescent="0.25">
      <c r="A35" s="146"/>
      <c r="B35" s="221" t="e">
        <f>$B$8</f>
        <v>#VALUE!</v>
      </c>
      <c r="C35" s="313">
        <v>0</v>
      </c>
      <c r="D35" s="306">
        <v>0</v>
      </c>
      <c r="E35" s="307">
        <v>0</v>
      </c>
      <c r="F35" s="218" t="e">
        <f>E35/$D35</f>
        <v>#DIV/0!</v>
      </c>
      <c r="G35" s="310">
        <v>0</v>
      </c>
      <c r="H35" s="218" t="e">
        <f>G35/$D35</f>
        <v>#DIV/0!</v>
      </c>
      <c r="I35" s="225">
        <f>E35+G35</f>
        <v>0</v>
      </c>
      <c r="J35" s="218" t="e">
        <f>I35/$D35</f>
        <v>#DIV/0!</v>
      </c>
    </row>
    <row r="36" spans="1:10" x14ac:dyDescent="0.25">
      <c r="A36" s="146"/>
      <c r="B36" s="215" t="s">
        <v>262</v>
      </c>
      <c r="C36" s="216">
        <f>AVERAGE(C33:C35)</f>
        <v>0</v>
      </c>
      <c r="D36" s="216">
        <f>AVERAGE(D33:D35)</f>
        <v>0</v>
      </c>
      <c r="E36" s="216">
        <f>AVERAGE(E33:E35)</f>
        <v>0</v>
      </c>
      <c r="F36" s="217" t="e">
        <f>E36/$D36</f>
        <v>#DIV/0!</v>
      </c>
      <c r="G36" s="216">
        <f>AVERAGE(G33:G35)</f>
        <v>0</v>
      </c>
      <c r="H36" s="217" t="e">
        <f>G36/$D36</f>
        <v>#DIV/0!</v>
      </c>
      <c r="I36" s="216">
        <f>AVERAGE(I33:I35)</f>
        <v>0</v>
      </c>
      <c r="J36" s="217" t="e">
        <f>I36/$D36</f>
        <v>#DIV/0!</v>
      </c>
    </row>
    <row r="37" spans="1:10" x14ac:dyDescent="0.25">
      <c r="A37" s="146"/>
    </row>
    <row r="38" spans="1:10" x14ac:dyDescent="0.25">
      <c r="A38" s="146"/>
      <c r="B38" s="592" t="s">
        <v>346</v>
      </c>
      <c r="C38" s="592"/>
    </row>
    <row r="39" spans="1:10" ht="30.75" thickBot="1" x14ac:dyDescent="0.3">
      <c r="A39" s="146"/>
      <c r="B39" s="207" t="s">
        <v>108</v>
      </c>
      <c r="C39" s="207" t="s">
        <v>256</v>
      </c>
      <c r="D39" s="207" t="s">
        <v>257</v>
      </c>
      <c r="E39" s="207" t="s">
        <v>114</v>
      </c>
      <c r="F39" s="207" t="s">
        <v>258</v>
      </c>
      <c r="G39" s="207" t="s">
        <v>115</v>
      </c>
      <c r="H39" s="207" t="s">
        <v>259</v>
      </c>
      <c r="I39" s="207" t="s">
        <v>260</v>
      </c>
      <c r="J39" s="207" t="s">
        <v>261</v>
      </c>
    </row>
    <row r="40" spans="1:10" x14ac:dyDescent="0.25">
      <c r="A40" s="146"/>
      <c r="B40" s="215" t="str">
        <f>$B$6</f>
        <v>YYYY</v>
      </c>
      <c r="C40" s="311">
        <v>0</v>
      </c>
      <c r="D40" s="302">
        <v>0</v>
      </c>
      <c r="E40" s="303">
        <v>0</v>
      </c>
      <c r="F40" s="217" t="e">
        <f>E40/$D40</f>
        <v>#DIV/0!</v>
      </c>
      <c r="G40" s="308">
        <v>0</v>
      </c>
      <c r="H40" s="217" t="e">
        <f>G40/$D40</f>
        <v>#DIV/0!</v>
      </c>
      <c r="I40" s="216">
        <f>E40+G40</f>
        <v>0</v>
      </c>
      <c r="J40" s="217" t="e">
        <f>I40/$D40</f>
        <v>#DIV/0!</v>
      </c>
    </row>
    <row r="41" spans="1:10" x14ac:dyDescent="0.25">
      <c r="A41" s="146"/>
      <c r="B41" s="215" t="e">
        <f>$B$7</f>
        <v>#VALUE!</v>
      </c>
      <c r="C41" s="312">
        <v>0</v>
      </c>
      <c r="D41" s="304">
        <v>0</v>
      </c>
      <c r="E41" s="305">
        <v>0</v>
      </c>
      <c r="F41" s="217" t="e">
        <f>E41/$D41</f>
        <v>#DIV/0!</v>
      </c>
      <c r="G41" s="309">
        <v>0</v>
      </c>
      <c r="H41" s="217" t="e">
        <f>G41/$D41</f>
        <v>#DIV/0!</v>
      </c>
      <c r="I41" s="216">
        <f>E41+G41</f>
        <v>0</v>
      </c>
      <c r="J41" s="217" t="e">
        <f>I41/$D41</f>
        <v>#DIV/0!</v>
      </c>
    </row>
    <row r="42" spans="1:10" x14ac:dyDescent="0.25">
      <c r="A42" s="146"/>
      <c r="B42" s="221" t="e">
        <f>$B$8</f>
        <v>#VALUE!</v>
      </c>
      <c r="C42" s="313">
        <v>0</v>
      </c>
      <c r="D42" s="306">
        <v>0</v>
      </c>
      <c r="E42" s="307">
        <v>0</v>
      </c>
      <c r="F42" s="218" t="e">
        <f>E42/$D42</f>
        <v>#DIV/0!</v>
      </c>
      <c r="G42" s="310">
        <v>0</v>
      </c>
      <c r="H42" s="218" t="e">
        <f>G42/$D42</f>
        <v>#DIV/0!</v>
      </c>
      <c r="I42" s="225">
        <f>E42+G42</f>
        <v>0</v>
      </c>
      <c r="J42" s="218" t="e">
        <f>I42/$D42</f>
        <v>#DIV/0!</v>
      </c>
    </row>
    <row r="43" spans="1:10" x14ac:dyDescent="0.25">
      <c r="A43" s="146"/>
      <c r="B43" s="215" t="s">
        <v>262</v>
      </c>
      <c r="C43" s="216">
        <f>AVERAGE(C40:C42)</f>
        <v>0</v>
      </c>
      <c r="D43" s="216">
        <f>AVERAGE(D40:D42)</f>
        <v>0</v>
      </c>
      <c r="E43" s="216">
        <f>AVERAGE(E40:E42)</f>
        <v>0</v>
      </c>
      <c r="F43" s="217" t="e">
        <f>E43/$D43</f>
        <v>#DIV/0!</v>
      </c>
      <c r="G43" s="216">
        <f>AVERAGE(G40:G42)</f>
        <v>0</v>
      </c>
      <c r="H43" s="217" t="e">
        <f>G43/$D43</f>
        <v>#DIV/0!</v>
      </c>
      <c r="I43" s="216">
        <f>AVERAGE(I40:I42)</f>
        <v>0</v>
      </c>
      <c r="J43" s="217" t="e">
        <f>I43/$D43</f>
        <v>#DIV/0!</v>
      </c>
    </row>
    <row r="44" spans="1:10" x14ac:dyDescent="0.25">
      <c r="A44" s="146"/>
    </row>
    <row r="45" spans="1:10" x14ac:dyDescent="0.25">
      <c r="A45" s="146"/>
      <c r="B45" s="592" t="s">
        <v>346</v>
      </c>
      <c r="C45" s="592"/>
    </row>
    <row r="46" spans="1:10" ht="30.75" thickBot="1" x14ac:dyDescent="0.3">
      <c r="A46" s="146"/>
      <c r="B46" s="207" t="s">
        <v>108</v>
      </c>
      <c r="C46" s="207" t="s">
        <v>256</v>
      </c>
      <c r="D46" s="207" t="s">
        <v>257</v>
      </c>
      <c r="E46" s="207" t="s">
        <v>114</v>
      </c>
      <c r="F46" s="207" t="s">
        <v>258</v>
      </c>
      <c r="G46" s="207" t="s">
        <v>115</v>
      </c>
      <c r="H46" s="207" t="s">
        <v>259</v>
      </c>
      <c r="I46" s="207" t="s">
        <v>260</v>
      </c>
      <c r="J46" s="207" t="s">
        <v>261</v>
      </c>
    </row>
    <row r="47" spans="1:10" x14ac:dyDescent="0.25">
      <c r="A47" s="146"/>
      <c r="B47" s="215" t="str">
        <f>$B$6</f>
        <v>YYYY</v>
      </c>
      <c r="C47" s="311">
        <v>0</v>
      </c>
      <c r="D47" s="302">
        <v>0</v>
      </c>
      <c r="E47" s="303">
        <v>0</v>
      </c>
      <c r="F47" s="217" t="e">
        <f>E47/$D47</f>
        <v>#DIV/0!</v>
      </c>
      <c r="G47" s="308">
        <v>0</v>
      </c>
      <c r="H47" s="217" t="e">
        <f>G47/$D47</f>
        <v>#DIV/0!</v>
      </c>
      <c r="I47" s="216">
        <f>E47+G47</f>
        <v>0</v>
      </c>
      <c r="J47" s="217" t="e">
        <f>I47/$D47</f>
        <v>#DIV/0!</v>
      </c>
    </row>
    <row r="48" spans="1:10" x14ac:dyDescent="0.25">
      <c r="A48" s="146"/>
      <c r="B48" s="215" t="e">
        <f>$B$7</f>
        <v>#VALUE!</v>
      </c>
      <c r="C48" s="312">
        <v>0</v>
      </c>
      <c r="D48" s="304">
        <v>0</v>
      </c>
      <c r="E48" s="305">
        <v>0</v>
      </c>
      <c r="F48" s="217" t="e">
        <f>E48/$D48</f>
        <v>#DIV/0!</v>
      </c>
      <c r="G48" s="309">
        <v>0</v>
      </c>
      <c r="H48" s="217" t="e">
        <f>G48/$D48</f>
        <v>#DIV/0!</v>
      </c>
      <c r="I48" s="216">
        <f>E48+G48</f>
        <v>0</v>
      </c>
      <c r="J48" s="217" t="e">
        <f>I48/$D48</f>
        <v>#DIV/0!</v>
      </c>
    </row>
    <row r="49" spans="1:10" x14ac:dyDescent="0.25">
      <c r="A49" s="146"/>
      <c r="B49" s="221" t="e">
        <f>$B$8</f>
        <v>#VALUE!</v>
      </c>
      <c r="C49" s="313">
        <v>0</v>
      </c>
      <c r="D49" s="306">
        <v>0</v>
      </c>
      <c r="E49" s="307">
        <v>0</v>
      </c>
      <c r="F49" s="218" t="e">
        <f>E49/$D49</f>
        <v>#DIV/0!</v>
      </c>
      <c r="G49" s="310">
        <v>0</v>
      </c>
      <c r="H49" s="218" t="e">
        <f>G49/$D49</f>
        <v>#DIV/0!</v>
      </c>
      <c r="I49" s="225">
        <f>E49+G49</f>
        <v>0</v>
      </c>
      <c r="J49" s="218" t="e">
        <f>I49/$D49</f>
        <v>#DIV/0!</v>
      </c>
    </row>
    <row r="50" spans="1:10" x14ac:dyDescent="0.25">
      <c r="A50" s="146"/>
      <c r="B50" s="215" t="s">
        <v>262</v>
      </c>
      <c r="C50" s="216">
        <f>AVERAGE(C47:C49)</f>
        <v>0</v>
      </c>
      <c r="D50" s="216">
        <f>AVERAGE(D47:D49)</f>
        <v>0</v>
      </c>
      <c r="E50" s="216">
        <f>AVERAGE(E47:E49)</f>
        <v>0</v>
      </c>
      <c r="F50" s="217" t="e">
        <f>E50/$D50</f>
        <v>#DIV/0!</v>
      </c>
      <c r="G50" s="216">
        <f>AVERAGE(G47:G49)</f>
        <v>0</v>
      </c>
      <c r="H50" s="217" t="e">
        <f>G50/$D50</f>
        <v>#DIV/0!</v>
      </c>
      <c r="I50" s="216">
        <f>AVERAGE(I47:I49)</f>
        <v>0</v>
      </c>
      <c r="J50" s="217" t="e">
        <f>I50/$D50</f>
        <v>#DIV/0!</v>
      </c>
    </row>
    <row r="51" spans="1:10" x14ac:dyDescent="0.25">
      <c r="A51" s="146"/>
    </row>
    <row r="52" spans="1:10" x14ac:dyDescent="0.25">
      <c r="A52" s="146"/>
      <c r="B52" s="592" t="s">
        <v>346</v>
      </c>
      <c r="C52" s="592"/>
    </row>
    <row r="53" spans="1:10" ht="30.75" thickBot="1" x14ac:dyDescent="0.3">
      <c r="A53" s="146"/>
      <c r="B53" s="207" t="s">
        <v>108</v>
      </c>
      <c r="C53" s="207" t="s">
        <v>256</v>
      </c>
      <c r="D53" s="207" t="s">
        <v>257</v>
      </c>
      <c r="E53" s="207" t="s">
        <v>114</v>
      </c>
      <c r="F53" s="207" t="s">
        <v>258</v>
      </c>
      <c r="G53" s="207" t="s">
        <v>115</v>
      </c>
      <c r="H53" s="207" t="s">
        <v>259</v>
      </c>
      <c r="I53" s="207" t="s">
        <v>260</v>
      </c>
      <c r="J53" s="207" t="s">
        <v>261</v>
      </c>
    </row>
    <row r="54" spans="1:10" x14ac:dyDescent="0.25">
      <c r="A54" s="146"/>
      <c r="B54" s="215" t="str">
        <f>$B$6</f>
        <v>YYYY</v>
      </c>
      <c r="C54" s="311">
        <v>0</v>
      </c>
      <c r="D54" s="302">
        <v>0</v>
      </c>
      <c r="E54" s="303">
        <v>0</v>
      </c>
      <c r="F54" s="217" t="e">
        <f>E54/$D54</f>
        <v>#DIV/0!</v>
      </c>
      <c r="G54" s="308">
        <v>0</v>
      </c>
      <c r="H54" s="217" t="e">
        <f>G54/$D54</f>
        <v>#DIV/0!</v>
      </c>
      <c r="I54" s="216">
        <f>E54+G54</f>
        <v>0</v>
      </c>
      <c r="J54" s="217" t="e">
        <f>I54/$D54</f>
        <v>#DIV/0!</v>
      </c>
    </row>
    <row r="55" spans="1:10" x14ac:dyDescent="0.25">
      <c r="A55" s="146"/>
      <c r="B55" s="215" t="e">
        <f>$B$7</f>
        <v>#VALUE!</v>
      </c>
      <c r="C55" s="312">
        <v>0</v>
      </c>
      <c r="D55" s="304">
        <v>0</v>
      </c>
      <c r="E55" s="305">
        <v>0</v>
      </c>
      <c r="F55" s="217" t="e">
        <f>E55/$D55</f>
        <v>#DIV/0!</v>
      </c>
      <c r="G55" s="309">
        <v>0</v>
      </c>
      <c r="H55" s="217" t="e">
        <f>G55/$D55</f>
        <v>#DIV/0!</v>
      </c>
      <c r="I55" s="216">
        <f>E55+G55</f>
        <v>0</v>
      </c>
      <c r="J55" s="217" t="e">
        <f>I55/$D55</f>
        <v>#DIV/0!</v>
      </c>
    </row>
    <row r="56" spans="1:10" x14ac:dyDescent="0.25">
      <c r="A56" s="146"/>
      <c r="B56" s="221" t="e">
        <f>$B$8</f>
        <v>#VALUE!</v>
      </c>
      <c r="C56" s="313">
        <v>0</v>
      </c>
      <c r="D56" s="306">
        <v>0</v>
      </c>
      <c r="E56" s="307">
        <v>0</v>
      </c>
      <c r="F56" s="218" t="e">
        <f>E56/$D56</f>
        <v>#DIV/0!</v>
      </c>
      <c r="G56" s="310">
        <v>0</v>
      </c>
      <c r="H56" s="218" t="e">
        <f>G56/$D56</f>
        <v>#DIV/0!</v>
      </c>
      <c r="I56" s="225">
        <f>E56+G56</f>
        <v>0</v>
      </c>
      <c r="J56" s="218" t="e">
        <f>I56/$D56</f>
        <v>#DIV/0!</v>
      </c>
    </row>
    <row r="57" spans="1:10" x14ac:dyDescent="0.25">
      <c r="A57" s="146"/>
      <c r="B57" s="215" t="s">
        <v>262</v>
      </c>
      <c r="C57" s="216">
        <f>AVERAGE(C54:C56)</f>
        <v>0</v>
      </c>
      <c r="D57" s="216">
        <f>AVERAGE(D54:D56)</f>
        <v>0</v>
      </c>
      <c r="E57" s="216">
        <f>AVERAGE(E54:E56)</f>
        <v>0</v>
      </c>
      <c r="F57" s="217" t="e">
        <f>E57/$D57</f>
        <v>#DIV/0!</v>
      </c>
      <c r="G57" s="216">
        <f>AVERAGE(G54:G56)</f>
        <v>0</v>
      </c>
      <c r="H57" s="217" t="e">
        <f>G57/$D57</f>
        <v>#DIV/0!</v>
      </c>
      <c r="I57" s="216">
        <f>AVERAGE(I54:I56)</f>
        <v>0</v>
      </c>
      <c r="J57" s="217" t="e">
        <f>I57/$D57</f>
        <v>#DIV/0!</v>
      </c>
    </row>
    <row r="58" spans="1:10" hidden="1" x14ac:dyDescent="0.25">
      <c r="A58" s="146"/>
    </row>
    <row r="59" spans="1:10" hidden="1" x14ac:dyDescent="0.25">
      <c r="A59" s="146"/>
      <c r="B59" s="592" t="s">
        <v>346</v>
      </c>
      <c r="C59" s="592"/>
    </row>
    <row r="60" spans="1:10" ht="30.75" hidden="1" thickBot="1" x14ac:dyDescent="0.3">
      <c r="A60" s="146"/>
      <c r="B60" s="207" t="s">
        <v>108</v>
      </c>
      <c r="C60" s="207" t="s">
        <v>256</v>
      </c>
      <c r="D60" s="207" t="s">
        <v>257</v>
      </c>
      <c r="E60" s="207" t="s">
        <v>114</v>
      </c>
      <c r="F60" s="207" t="s">
        <v>258</v>
      </c>
      <c r="G60" s="207" t="s">
        <v>115</v>
      </c>
      <c r="H60" s="207" t="s">
        <v>259</v>
      </c>
      <c r="I60" s="207" t="s">
        <v>260</v>
      </c>
      <c r="J60" s="207" t="s">
        <v>261</v>
      </c>
    </row>
    <row r="61" spans="1:10" hidden="1" x14ac:dyDescent="0.25">
      <c r="A61" s="146"/>
      <c r="B61" s="215" t="str">
        <f>$B$6</f>
        <v>YYYY</v>
      </c>
      <c r="C61" s="311">
        <v>0</v>
      </c>
      <c r="D61" s="302">
        <v>0</v>
      </c>
      <c r="E61" s="303">
        <v>0</v>
      </c>
      <c r="F61" s="217" t="e">
        <f>E61/$D61</f>
        <v>#DIV/0!</v>
      </c>
      <c r="G61" s="308">
        <v>0</v>
      </c>
      <c r="H61" s="217" t="e">
        <f>G61/$D61</f>
        <v>#DIV/0!</v>
      </c>
      <c r="I61" s="216">
        <f>E61+G61</f>
        <v>0</v>
      </c>
      <c r="J61" s="217" t="e">
        <f>I61/$D61</f>
        <v>#DIV/0!</v>
      </c>
    </row>
    <row r="62" spans="1:10" hidden="1" x14ac:dyDescent="0.25">
      <c r="A62" s="146"/>
      <c r="B62" s="215" t="e">
        <f>$B$7</f>
        <v>#VALUE!</v>
      </c>
      <c r="C62" s="312">
        <v>0</v>
      </c>
      <c r="D62" s="304">
        <v>0</v>
      </c>
      <c r="E62" s="305">
        <v>0</v>
      </c>
      <c r="F62" s="217" t="e">
        <f>E62/$D62</f>
        <v>#DIV/0!</v>
      </c>
      <c r="G62" s="309">
        <v>0</v>
      </c>
      <c r="H62" s="217" t="e">
        <f>G62/$D62</f>
        <v>#DIV/0!</v>
      </c>
      <c r="I62" s="216">
        <f>E62+G62</f>
        <v>0</v>
      </c>
      <c r="J62" s="217" t="e">
        <f>I62/$D62</f>
        <v>#DIV/0!</v>
      </c>
    </row>
    <row r="63" spans="1:10" hidden="1" x14ac:dyDescent="0.25">
      <c r="A63" s="146"/>
      <c r="B63" s="221" t="e">
        <f>$B$8</f>
        <v>#VALUE!</v>
      </c>
      <c r="C63" s="313">
        <v>0</v>
      </c>
      <c r="D63" s="306">
        <v>0</v>
      </c>
      <c r="E63" s="307">
        <v>0</v>
      </c>
      <c r="F63" s="218" t="e">
        <f>E63/$D63</f>
        <v>#DIV/0!</v>
      </c>
      <c r="G63" s="310">
        <v>0</v>
      </c>
      <c r="H63" s="218" t="e">
        <f>G63/$D63</f>
        <v>#DIV/0!</v>
      </c>
      <c r="I63" s="225">
        <f>E63+G63</f>
        <v>0</v>
      </c>
      <c r="J63" s="218" t="e">
        <f>I63/$D63</f>
        <v>#DIV/0!</v>
      </c>
    </row>
    <row r="64" spans="1:10" hidden="1" x14ac:dyDescent="0.25">
      <c r="A64" s="146"/>
      <c r="B64" s="215" t="s">
        <v>262</v>
      </c>
      <c r="C64" s="216">
        <f>AVERAGE(C61:C63)</f>
        <v>0</v>
      </c>
      <c r="D64" s="216">
        <f>AVERAGE(D61:D63)</f>
        <v>0</v>
      </c>
      <c r="E64" s="216">
        <f>AVERAGE(E61:E63)</f>
        <v>0</v>
      </c>
      <c r="F64" s="217" t="e">
        <f>E64/$D64</f>
        <v>#DIV/0!</v>
      </c>
      <c r="G64" s="216">
        <f>AVERAGE(G61:G63)</f>
        <v>0</v>
      </c>
      <c r="H64" s="217" t="e">
        <f>G64/$D64</f>
        <v>#DIV/0!</v>
      </c>
      <c r="I64" s="216">
        <f>AVERAGE(I61:I63)</f>
        <v>0</v>
      </c>
      <c r="J64" s="217" t="e">
        <f>I64/$D64</f>
        <v>#DIV/0!</v>
      </c>
    </row>
    <row r="65" spans="1:10" hidden="1" x14ac:dyDescent="0.25">
      <c r="A65" s="146"/>
    </row>
    <row r="66" spans="1:10" hidden="1" x14ac:dyDescent="0.25">
      <c r="A66" s="146"/>
      <c r="B66" s="592" t="s">
        <v>346</v>
      </c>
      <c r="C66" s="592"/>
    </row>
    <row r="67" spans="1:10" ht="30.75" hidden="1" thickBot="1" x14ac:dyDescent="0.3">
      <c r="A67" s="146"/>
      <c r="B67" s="207" t="s">
        <v>108</v>
      </c>
      <c r="C67" s="207" t="s">
        <v>256</v>
      </c>
      <c r="D67" s="207" t="s">
        <v>257</v>
      </c>
      <c r="E67" s="207" t="s">
        <v>114</v>
      </c>
      <c r="F67" s="207" t="s">
        <v>258</v>
      </c>
      <c r="G67" s="207" t="s">
        <v>115</v>
      </c>
      <c r="H67" s="207" t="s">
        <v>259</v>
      </c>
      <c r="I67" s="207" t="s">
        <v>260</v>
      </c>
      <c r="J67" s="207" t="s">
        <v>261</v>
      </c>
    </row>
    <row r="68" spans="1:10" hidden="1" x14ac:dyDescent="0.25">
      <c r="A68" s="146"/>
      <c r="B68" s="215" t="str">
        <f>$B$6</f>
        <v>YYYY</v>
      </c>
      <c r="C68" s="311">
        <v>0</v>
      </c>
      <c r="D68" s="302">
        <v>0</v>
      </c>
      <c r="E68" s="303">
        <v>0</v>
      </c>
      <c r="F68" s="217" t="e">
        <f>E68/$D68</f>
        <v>#DIV/0!</v>
      </c>
      <c r="G68" s="308">
        <v>0</v>
      </c>
      <c r="H68" s="217" t="e">
        <f>G68/$D68</f>
        <v>#DIV/0!</v>
      </c>
      <c r="I68" s="216">
        <f>E68+G68</f>
        <v>0</v>
      </c>
      <c r="J68" s="217" t="e">
        <f>I68/$D68</f>
        <v>#DIV/0!</v>
      </c>
    </row>
    <row r="69" spans="1:10" hidden="1" x14ac:dyDescent="0.25">
      <c r="A69" s="146"/>
      <c r="B69" s="215" t="e">
        <f>$B$7</f>
        <v>#VALUE!</v>
      </c>
      <c r="C69" s="312">
        <v>0</v>
      </c>
      <c r="D69" s="304">
        <v>0</v>
      </c>
      <c r="E69" s="305">
        <v>0</v>
      </c>
      <c r="F69" s="217" t="e">
        <f>E69/$D69</f>
        <v>#DIV/0!</v>
      </c>
      <c r="G69" s="309">
        <v>0</v>
      </c>
      <c r="H69" s="217" t="e">
        <f>G69/$D69</f>
        <v>#DIV/0!</v>
      </c>
      <c r="I69" s="216">
        <f>E69+G69</f>
        <v>0</v>
      </c>
      <c r="J69" s="217" t="e">
        <f>I69/$D69</f>
        <v>#DIV/0!</v>
      </c>
    </row>
    <row r="70" spans="1:10" hidden="1" x14ac:dyDescent="0.25">
      <c r="A70" s="146"/>
      <c r="B70" s="221" t="e">
        <f>$B$8</f>
        <v>#VALUE!</v>
      </c>
      <c r="C70" s="313">
        <v>0</v>
      </c>
      <c r="D70" s="306">
        <v>0</v>
      </c>
      <c r="E70" s="307">
        <v>0</v>
      </c>
      <c r="F70" s="218" t="e">
        <f>E70/$D70</f>
        <v>#DIV/0!</v>
      </c>
      <c r="G70" s="310">
        <v>0</v>
      </c>
      <c r="H70" s="218" t="e">
        <f>G70/$D70</f>
        <v>#DIV/0!</v>
      </c>
      <c r="I70" s="225">
        <f>E70+G70</f>
        <v>0</v>
      </c>
      <c r="J70" s="218" t="e">
        <f>I70/$D70</f>
        <v>#DIV/0!</v>
      </c>
    </row>
    <row r="71" spans="1:10" hidden="1" x14ac:dyDescent="0.25">
      <c r="A71" s="146"/>
      <c r="B71" s="215" t="s">
        <v>262</v>
      </c>
      <c r="C71" s="216">
        <f>AVERAGE(C68:C70)</f>
        <v>0</v>
      </c>
      <c r="D71" s="216">
        <f>AVERAGE(D68:D70)</f>
        <v>0</v>
      </c>
      <c r="E71" s="216">
        <f>AVERAGE(E68:E70)</f>
        <v>0</v>
      </c>
      <c r="F71" s="217" t="e">
        <f>E71/$D71</f>
        <v>#DIV/0!</v>
      </c>
      <c r="G71" s="216">
        <f>AVERAGE(G68:G70)</f>
        <v>0</v>
      </c>
      <c r="H71" s="217" t="e">
        <f>G71/$D71</f>
        <v>#DIV/0!</v>
      </c>
      <c r="I71" s="216">
        <f>AVERAGE(I68:I70)</f>
        <v>0</v>
      </c>
      <c r="J71" s="217" t="e">
        <f>I71/$D71</f>
        <v>#DIV/0!</v>
      </c>
    </row>
    <row r="72" spans="1:10" hidden="1" x14ac:dyDescent="0.25">
      <c r="A72" s="146"/>
    </row>
    <row r="73" spans="1:10" hidden="1" x14ac:dyDescent="0.25">
      <c r="A73" s="146"/>
      <c r="B73" s="592" t="s">
        <v>346</v>
      </c>
      <c r="C73" s="592"/>
    </row>
    <row r="74" spans="1:10" ht="30.75" hidden="1" thickBot="1" x14ac:dyDescent="0.3">
      <c r="A74" s="146"/>
      <c r="B74" s="207" t="s">
        <v>108</v>
      </c>
      <c r="C74" s="207" t="s">
        <v>256</v>
      </c>
      <c r="D74" s="207" t="s">
        <v>257</v>
      </c>
      <c r="E74" s="207" t="s">
        <v>114</v>
      </c>
      <c r="F74" s="207" t="s">
        <v>258</v>
      </c>
      <c r="G74" s="207" t="s">
        <v>115</v>
      </c>
      <c r="H74" s="207" t="s">
        <v>259</v>
      </c>
      <c r="I74" s="207" t="s">
        <v>260</v>
      </c>
      <c r="J74" s="207" t="s">
        <v>261</v>
      </c>
    </row>
    <row r="75" spans="1:10" hidden="1" x14ac:dyDescent="0.25">
      <c r="A75" s="146"/>
      <c r="B75" s="215" t="str">
        <f>$B$6</f>
        <v>YYYY</v>
      </c>
      <c r="C75" s="311">
        <v>0</v>
      </c>
      <c r="D75" s="302">
        <v>0</v>
      </c>
      <c r="E75" s="303">
        <v>0</v>
      </c>
      <c r="F75" s="217" t="e">
        <f>E75/$D75</f>
        <v>#DIV/0!</v>
      </c>
      <c r="G75" s="308">
        <v>0</v>
      </c>
      <c r="H75" s="217" t="e">
        <f>G75/$D75</f>
        <v>#DIV/0!</v>
      </c>
      <c r="I75" s="216">
        <f>E75+G75</f>
        <v>0</v>
      </c>
      <c r="J75" s="217" t="e">
        <f>I75/$D75</f>
        <v>#DIV/0!</v>
      </c>
    </row>
    <row r="76" spans="1:10" hidden="1" x14ac:dyDescent="0.25">
      <c r="A76" s="146"/>
      <c r="B76" s="215" t="e">
        <f>$B$7</f>
        <v>#VALUE!</v>
      </c>
      <c r="C76" s="312">
        <v>0</v>
      </c>
      <c r="D76" s="304">
        <v>0</v>
      </c>
      <c r="E76" s="305">
        <v>0</v>
      </c>
      <c r="F76" s="217" t="e">
        <f>E76/$D76</f>
        <v>#DIV/0!</v>
      </c>
      <c r="G76" s="309">
        <v>0</v>
      </c>
      <c r="H76" s="217" t="e">
        <f>G76/$D76</f>
        <v>#DIV/0!</v>
      </c>
      <c r="I76" s="216">
        <f>E76+G76</f>
        <v>0</v>
      </c>
      <c r="J76" s="217" t="e">
        <f>I76/$D76</f>
        <v>#DIV/0!</v>
      </c>
    </row>
    <row r="77" spans="1:10" hidden="1" x14ac:dyDescent="0.25">
      <c r="A77" s="146"/>
      <c r="B77" s="221" t="e">
        <f>$B$8</f>
        <v>#VALUE!</v>
      </c>
      <c r="C77" s="313">
        <v>0</v>
      </c>
      <c r="D77" s="306">
        <v>0</v>
      </c>
      <c r="E77" s="307">
        <v>0</v>
      </c>
      <c r="F77" s="218" t="e">
        <f>E77/$D77</f>
        <v>#DIV/0!</v>
      </c>
      <c r="G77" s="310">
        <v>0</v>
      </c>
      <c r="H77" s="218" t="e">
        <f>G77/$D77</f>
        <v>#DIV/0!</v>
      </c>
      <c r="I77" s="225">
        <f>E77+G77</f>
        <v>0</v>
      </c>
      <c r="J77" s="218" t="e">
        <f>I77/$D77</f>
        <v>#DIV/0!</v>
      </c>
    </row>
    <row r="78" spans="1:10" hidden="1" x14ac:dyDescent="0.25">
      <c r="A78" s="146"/>
      <c r="B78" s="215" t="s">
        <v>262</v>
      </c>
      <c r="C78" s="216">
        <f>AVERAGE(C75:C77)</f>
        <v>0</v>
      </c>
      <c r="D78" s="216">
        <f>AVERAGE(D75:D77)</f>
        <v>0</v>
      </c>
      <c r="E78" s="216">
        <f>AVERAGE(E75:E77)</f>
        <v>0</v>
      </c>
      <c r="F78" s="217" t="e">
        <f>E78/$D78</f>
        <v>#DIV/0!</v>
      </c>
      <c r="G78" s="216">
        <f>AVERAGE(G75:G77)</f>
        <v>0</v>
      </c>
      <c r="H78" s="217" t="e">
        <f>G78/$D78</f>
        <v>#DIV/0!</v>
      </c>
      <c r="I78" s="216">
        <f>AVERAGE(I75:I77)</f>
        <v>0</v>
      </c>
      <c r="J78" s="217" t="e">
        <f>I78/$D78</f>
        <v>#DIV/0!</v>
      </c>
    </row>
    <row r="79" spans="1:10" hidden="1" x14ac:dyDescent="0.25">
      <c r="A79" s="146"/>
    </row>
    <row r="80" spans="1:10" hidden="1" x14ac:dyDescent="0.25">
      <c r="A80" s="146"/>
      <c r="B80" s="592" t="s">
        <v>346</v>
      </c>
      <c r="C80" s="592"/>
    </row>
    <row r="81" spans="1:10" ht="30.75" hidden="1" thickBot="1" x14ac:dyDescent="0.3">
      <c r="A81" s="146"/>
      <c r="B81" s="207" t="s">
        <v>108</v>
      </c>
      <c r="C81" s="207" t="s">
        <v>256</v>
      </c>
      <c r="D81" s="207" t="s">
        <v>257</v>
      </c>
      <c r="E81" s="207" t="s">
        <v>114</v>
      </c>
      <c r="F81" s="207" t="s">
        <v>258</v>
      </c>
      <c r="G81" s="207" t="s">
        <v>115</v>
      </c>
      <c r="H81" s="207" t="s">
        <v>259</v>
      </c>
      <c r="I81" s="207" t="s">
        <v>260</v>
      </c>
      <c r="J81" s="207" t="s">
        <v>261</v>
      </c>
    </row>
    <row r="82" spans="1:10" hidden="1" x14ac:dyDescent="0.25">
      <c r="A82" s="146"/>
      <c r="B82" s="215" t="str">
        <f>$B$6</f>
        <v>YYYY</v>
      </c>
      <c r="C82" s="311">
        <v>0</v>
      </c>
      <c r="D82" s="302">
        <v>0</v>
      </c>
      <c r="E82" s="303">
        <v>0</v>
      </c>
      <c r="F82" s="217" t="e">
        <f>E82/$D82</f>
        <v>#DIV/0!</v>
      </c>
      <c r="G82" s="308">
        <v>0</v>
      </c>
      <c r="H82" s="217" t="e">
        <f>G82/$D82</f>
        <v>#DIV/0!</v>
      </c>
      <c r="I82" s="216">
        <f>E82+G82</f>
        <v>0</v>
      </c>
      <c r="J82" s="217" t="e">
        <f>I82/$D82</f>
        <v>#DIV/0!</v>
      </c>
    </row>
    <row r="83" spans="1:10" hidden="1" x14ac:dyDescent="0.25">
      <c r="A83" s="146"/>
      <c r="B83" s="215" t="e">
        <f>$B$7</f>
        <v>#VALUE!</v>
      </c>
      <c r="C83" s="312">
        <v>0</v>
      </c>
      <c r="D83" s="304">
        <v>0</v>
      </c>
      <c r="E83" s="305">
        <v>0</v>
      </c>
      <c r="F83" s="217" t="e">
        <f>E83/$D83</f>
        <v>#DIV/0!</v>
      </c>
      <c r="G83" s="309">
        <v>0</v>
      </c>
      <c r="H83" s="217" t="e">
        <f>G83/$D83</f>
        <v>#DIV/0!</v>
      </c>
      <c r="I83" s="216">
        <f>E83+G83</f>
        <v>0</v>
      </c>
      <c r="J83" s="217" t="e">
        <f>I83/$D83</f>
        <v>#DIV/0!</v>
      </c>
    </row>
    <row r="84" spans="1:10" hidden="1" x14ac:dyDescent="0.25">
      <c r="A84" s="146"/>
      <c r="B84" s="221" t="e">
        <f>$B$8</f>
        <v>#VALUE!</v>
      </c>
      <c r="C84" s="313">
        <v>0</v>
      </c>
      <c r="D84" s="306">
        <v>0</v>
      </c>
      <c r="E84" s="307">
        <v>0</v>
      </c>
      <c r="F84" s="218" t="e">
        <f>E84/$D84</f>
        <v>#DIV/0!</v>
      </c>
      <c r="G84" s="310">
        <v>0</v>
      </c>
      <c r="H84" s="218" t="e">
        <f>G84/$D84</f>
        <v>#DIV/0!</v>
      </c>
      <c r="I84" s="225">
        <f>E84+G84</f>
        <v>0</v>
      </c>
      <c r="J84" s="218" t="e">
        <f>I84/$D84</f>
        <v>#DIV/0!</v>
      </c>
    </row>
    <row r="85" spans="1:10" hidden="1" x14ac:dyDescent="0.25">
      <c r="A85" s="146"/>
      <c r="B85" s="215" t="s">
        <v>262</v>
      </c>
      <c r="C85" s="216">
        <f>AVERAGE(C82:C84)</f>
        <v>0</v>
      </c>
      <c r="D85" s="216">
        <f>AVERAGE(D82:D84)</f>
        <v>0</v>
      </c>
      <c r="E85" s="216">
        <f>AVERAGE(E82:E84)</f>
        <v>0</v>
      </c>
      <c r="F85" s="217" t="e">
        <f>E85/$D85</f>
        <v>#DIV/0!</v>
      </c>
      <c r="G85" s="216">
        <f>AVERAGE(G82:G84)</f>
        <v>0</v>
      </c>
      <c r="H85" s="217" t="e">
        <f>G85/$D85</f>
        <v>#DIV/0!</v>
      </c>
      <c r="I85" s="216">
        <f>AVERAGE(I82:I84)</f>
        <v>0</v>
      </c>
      <c r="J85" s="217" t="e">
        <f>I85/$D85</f>
        <v>#DIV/0!</v>
      </c>
    </row>
    <row r="86" spans="1:10" hidden="1" x14ac:dyDescent="0.25">
      <c r="A86" s="146"/>
    </row>
    <row r="87" spans="1:10" hidden="1" x14ac:dyDescent="0.25">
      <c r="A87" s="146"/>
      <c r="B87" s="592" t="s">
        <v>346</v>
      </c>
      <c r="C87" s="592"/>
    </row>
    <row r="88" spans="1:10" ht="30.75" hidden="1" thickBot="1" x14ac:dyDescent="0.3">
      <c r="A88" s="146"/>
      <c r="B88" s="207" t="s">
        <v>108</v>
      </c>
      <c r="C88" s="207" t="s">
        <v>256</v>
      </c>
      <c r="D88" s="207" t="s">
        <v>257</v>
      </c>
      <c r="E88" s="207" t="s">
        <v>114</v>
      </c>
      <c r="F88" s="207" t="s">
        <v>258</v>
      </c>
      <c r="G88" s="207" t="s">
        <v>115</v>
      </c>
      <c r="H88" s="207" t="s">
        <v>259</v>
      </c>
      <c r="I88" s="207" t="s">
        <v>260</v>
      </c>
      <c r="J88" s="207" t="s">
        <v>261</v>
      </c>
    </row>
    <row r="89" spans="1:10" hidden="1" x14ac:dyDescent="0.25">
      <c r="A89" s="146"/>
      <c r="B89" s="215" t="str">
        <f>$B$6</f>
        <v>YYYY</v>
      </c>
      <c r="C89" s="311">
        <v>0</v>
      </c>
      <c r="D89" s="302">
        <v>0</v>
      </c>
      <c r="E89" s="303">
        <v>0</v>
      </c>
      <c r="F89" s="217" t="e">
        <f>E89/$D89</f>
        <v>#DIV/0!</v>
      </c>
      <c r="G89" s="308">
        <v>0</v>
      </c>
      <c r="H89" s="217" t="e">
        <f>G89/$D89</f>
        <v>#DIV/0!</v>
      </c>
      <c r="I89" s="216">
        <f>E89+G89</f>
        <v>0</v>
      </c>
      <c r="J89" s="217" t="e">
        <f>I89/$D89</f>
        <v>#DIV/0!</v>
      </c>
    </row>
    <row r="90" spans="1:10" hidden="1" x14ac:dyDescent="0.25">
      <c r="A90" s="146"/>
      <c r="B90" s="215" t="e">
        <f>$B$7</f>
        <v>#VALUE!</v>
      </c>
      <c r="C90" s="312">
        <v>0</v>
      </c>
      <c r="D90" s="304">
        <v>0</v>
      </c>
      <c r="E90" s="305">
        <v>0</v>
      </c>
      <c r="F90" s="217" t="e">
        <f>E90/$D90</f>
        <v>#DIV/0!</v>
      </c>
      <c r="G90" s="309">
        <v>0</v>
      </c>
      <c r="H90" s="217" t="e">
        <f>G90/$D90</f>
        <v>#DIV/0!</v>
      </c>
      <c r="I90" s="216">
        <f>E90+G90</f>
        <v>0</v>
      </c>
      <c r="J90" s="217" t="e">
        <f>I90/$D90</f>
        <v>#DIV/0!</v>
      </c>
    </row>
    <row r="91" spans="1:10" hidden="1" x14ac:dyDescent="0.25">
      <c r="A91" s="146"/>
      <c r="B91" s="221" t="e">
        <f>$B$8</f>
        <v>#VALUE!</v>
      </c>
      <c r="C91" s="313">
        <v>0</v>
      </c>
      <c r="D91" s="306">
        <v>0</v>
      </c>
      <c r="E91" s="307">
        <v>0</v>
      </c>
      <c r="F91" s="218" t="e">
        <f>E91/$D91</f>
        <v>#DIV/0!</v>
      </c>
      <c r="G91" s="310">
        <v>0</v>
      </c>
      <c r="H91" s="218" t="e">
        <f>G91/$D91</f>
        <v>#DIV/0!</v>
      </c>
      <c r="I91" s="225">
        <f>E91+G91</f>
        <v>0</v>
      </c>
      <c r="J91" s="218" t="e">
        <f>I91/$D91</f>
        <v>#DIV/0!</v>
      </c>
    </row>
    <row r="92" spans="1:10" hidden="1" x14ac:dyDescent="0.25">
      <c r="A92" s="146"/>
      <c r="B92" s="215" t="s">
        <v>262</v>
      </c>
      <c r="C92" s="216">
        <f>AVERAGE(C89:C91)</f>
        <v>0</v>
      </c>
      <c r="D92" s="216">
        <f>AVERAGE(D89:D91)</f>
        <v>0</v>
      </c>
      <c r="E92" s="216">
        <f>AVERAGE(E89:E91)</f>
        <v>0</v>
      </c>
      <c r="F92" s="217" t="e">
        <f>E92/$D92</f>
        <v>#DIV/0!</v>
      </c>
      <c r="G92" s="216">
        <f>AVERAGE(G89:G91)</f>
        <v>0</v>
      </c>
      <c r="H92" s="217" t="e">
        <f>G92/$D92</f>
        <v>#DIV/0!</v>
      </c>
      <c r="I92" s="216">
        <f>AVERAGE(I89:I91)</f>
        <v>0</v>
      </c>
      <c r="J92" s="217" t="e">
        <f>I92/$D92</f>
        <v>#DIV/0!</v>
      </c>
    </row>
    <row r="93" spans="1:10" hidden="1" x14ac:dyDescent="0.25">
      <c r="A93" s="146"/>
    </row>
    <row r="94" spans="1:10" hidden="1" x14ac:dyDescent="0.25">
      <c r="A94" s="146"/>
      <c r="B94" s="592" t="s">
        <v>346</v>
      </c>
      <c r="C94" s="592"/>
    </row>
    <row r="95" spans="1:10" ht="30.75" hidden="1" thickBot="1" x14ac:dyDescent="0.3">
      <c r="A95" s="146"/>
      <c r="B95" s="207" t="s">
        <v>108</v>
      </c>
      <c r="C95" s="207" t="s">
        <v>256</v>
      </c>
      <c r="D95" s="207" t="s">
        <v>257</v>
      </c>
      <c r="E95" s="207" t="s">
        <v>114</v>
      </c>
      <c r="F95" s="207" t="s">
        <v>258</v>
      </c>
      <c r="G95" s="207" t="s">
        <v>115</v>
      </c>
      <c r="H95" s="207" t="s">
        <v>259</v>
      </c>
      <c r="I95" s="207" t="s">
        <v>260</v>
      </c>
      <c r="J95" s="207" t="s">
        <v>261</v>
      </c>
    </row>
    <row r="96" spans="1:10" hidden="1" x14ac:dyDescent="0.25">
      <c r="A96" s="146"/>
      <c r="B96" s="215" t="str">
        <f>$B$6</f>
        <v>YYYY</v>
      </c>
      <c r="C96" s="311">
        <v>0</v>
      </c>
      <c r="D96" s="302">
        <v>0</v>
      </c>
      <c r="E96" s="303">
        <v>0</v>
      </c>
      <c r="F96" s="217" t="e">
        <f>E96/$D96</f>
        <v>#DIV/0!</v>
      </c>
      <c r="G96" s="308">
        <v>0</v>
      </c>
      <c r="H96" s="217" t="e">
        <f>G96/$D96</f>
        <v>#DIV/0!</v>
      </c>
      <c r="I96" s="216">
        <f>E96+G96</f>
        <v>0</v>
      </c>
      <c r="J96" s="217" t="e">
        <f>I96/$D96</f>
        <v>#DIV/0!</v>
      </c>
    </row>
    <row r="97" spans="1:10" hidden="1" x14ac:dyDescent="0.25">
      <c r="A97" s="146"/>
      <c r="B97" s="215" t="e">
        <f>$B$7</f>
        <v>#VALUE!</v>
      </c>
      <c r="C97" s="312">
        <v>0</v>
      </c>
      <c r="D97" s="304">
        <v>0</v>
      </c>
      <c r="E97" s="305">
        <v>0</v>
      </c>
      <c r="F97" s="217" t="e">
        <f>E97/$D97</f>
        <v>#DIV/0!</v>
      </c>
      <c r="G97" s="309">
        <v>0</v>
      </c>
      <c r="H97" s="217" t="e">
        <f>G97/$D97</f>
        <v>#DIV/0!</v>
      </c>
      <c r="I97" s="216">
        <f>E97+G97</f>
        <v>0</v>
      </c>
      <c r="J97" s="217" t="e">
        <f>I97/$D97</f>
        <v>#DIV/0!</v>
      </c>
    </row>
    <row r="98" spans="1:10" hidden="1" x14ac:dyDescent="0.25">
      <c r="A98" s="146"/>
      <c r="B98" s="221" t="e">
        <f>$B$8</f>
        <v>#VALUE!</v>
      </c>
      <c r="C98" s="313">
        <v>0</v>
      </c>
      <c r="D98" s="306">
        <v>0</v>
      </c>
      <c r="E98" s="307">
        <v>0</v>
      </c>
      <c r="F98" s="218" t="e">
        <f>E98/$D98</f>
        <v>#DIV/0!</v>
      </c>
      <c r="G98" s="310">
        <v>0</v>
      </c>
      <c r="H98" s="218" t="e">
        <f>G98/$D98</f>
        <v>#DIV/0!</v>
      </c>
      <c r="I98" s="225">
        <f>E98+G98</f>
        <v>0</v>
      </c>
      <c r="J98" s="218" t="e">
        <f>I98/$D98</f>
        <v>#DIV/0!</v>
      </c>
    </row>
    <row r="99" spans="1:10" hidden="1" x14ac:dyDescent="0.25">
      <c r="A99" s="146"/>
      <c r="B99" s="215" t="s">
        <v>262</v>
      </c>
      <c r="C99" s="216">
        <f>AVERAGE(C96:C98)</f>
        <v>0</v>
      </c>
      <c r="D99" s="216">
        <f>AVERAGE(D96:D98)</f>
        <v>0</v>
      </c>
      <c r="E99" s="216">
        <f>AVERAGE(E96:E98)</f>
        <v>0</v>
      </c>
      <c r="F99" s="217" t="e">
        <f>E99/$D99</f>
        <v>#DIV/0!</v>
      </c>
      <c r="G99" s="216">
        <f>AVERAGE(G96:G98)</f>
        <v>0</v>
      </c>
      <c r="H99" s="217" t="e">
        <f>G99/$D99</f>
        <v>#DIV/0!</v>
      </c>
      <c r="I99" s="216">
        <f>AVERAGE(I96:I98)</f>
        <v>0</v>
      </c>
      <c r="J99" s="217" t="e">
        <f>I99/$D99</f>
        <v>#DIV/0!</v>
      </c>
    </row>
    <row r="100" spans="1:10" hidden="1" x14ac:dyDescent="0.25">
      <c r="A100" s="146"/>
    </row>
    <row r="101" spans="1:10" hidden="1" x14ac:dyDescent="0.25">
      <c r="A101" s="146"/>
      <c r="B101" s="592" t="s">
        <v>346</v>
      </c>
      <c r="C101" s="592"/>
    </row>
    <row r="102" spans="1:10" ht="30.75" hidden="1" thickBot="1" x14ac:dyDescent="0.3">
      <c r="A102" s="146"/>
      <c r="B102" s="207" t="s">
        <v>108</v>
      </c>
      <c r="C102" s="207" t="s">
        <v>256</v>
      </c>
      <c r="D102" s="207" t="s">
        <v>257</v>
      </c>
      <c r="E102" s="207" t="s">
        <v>114</v>
      </c>
      <c r="F102" s="207" t="s">
        <v>258</v>
      </c>
      <c r="G102" s="207" t="s">
        <v>115</v>
      </c>
      <c r="H102" s="207" t="s">
        <v>259</v>
      </c>
      <c r="I102" s="207" t="s">
        <v>260</v>
      </c>
      <c r="J102" s="207" t="s">
        <v>261</v>
      </c>
    </row>
    <row r="103" spans="1:10" hidden="1" x14ac:dyDescent="0.25">
      <c r="A103" s="146"/>
      <c r="B103" s="215" t="str">
        <f>$B$6</f>
        <v>YYYY</v>
      </c>
      <c r="C103" s="311">
        <v>0</v>
      </c>
      <c r="D103" s="302">
        <v>0</v>
      </c>
      <c r="E103" s="303">
        <v>0</v>
      </c>
      <c r="F103" s="217" t="e">
        <f>E103/$D103</f>
        <v>#DIV/0!</v>
      </c>
      <c r="G103" s="308">
        <v>0</v>
      </c>
      <c r="H103" s="217" t="e">
        <f>G103/$D103</f>
        <v>#DIV/0!</v>
      </c>
      <c r="I103" s="216">
        <f>E103+G103</f>
        <v>0</v>
      </c>
      <c r="J103" s="217" t="e">
        <f>I103/$D103</f>
        <v>#DIV/0!</v>
      </c>
    </row>
    <row r="104" spans="1:10" hidden="1" x14ac:dyDescent="0.25">
      <c r="A104" s="146"/>
      <c r="B104" s="215" t="e">
        <f>$B$7</f>
        <v>#VALUE!</v>
      </c>
      <c r="C104" s="312">
        <v>0</v>
      </c>
      <c r="D104" s="304">
        <v>0</v>
      </c>
      <c r="E104" s="305">
        <v>0</v>
      </c>
      <c r="F104" s="217" t="e">
        <f>E104/$D104</f>
        <v>#DIV/0!</v>
      </c>
      <c r="G104" s="309">
        <v>0</v>
      </c>
      <c r="H104" s="217" t="e">
        <f>G104/$D104</f>
        <v>#DIV/0!</v>
      </c>
      <c r="I104" s="216">
        <f>E104+G104</f>
        <v>0</v>
      </c>
      <c r="J104" s="217" t="e">
        <f>I104/$D104</f>
        <v>#DIV/0!</v>
      </c>
    </row>
    <row r="105" spans="1:10" hidden="1" x14ac:dyDescent="0.25">
      <c r="A105" s="146"/>
      <c r="B105" s="221" t="e">
        <f>$B$8</f>
        <v>#VALUE!</v>
      </c>
      <c r="C105" s="313">
        <v>0</v>
      </c>
      <c r="D105" s="306">
        <v>0</v>
      </c>
      <c r="E105" s="307">
        <v>0</v>
      </c>
      <c r="F105" s="218" t="e">
        <f>E105/$D105</f>
        <v>#DIV/0!</v>
      </c>
      <c r="G105" s="310">
        <v>0</v>
      </c>
      <c r="H105" s="218" t="e">
        <f>G105/$D105</f>
        <v>#DIV/0!</v>
      </c>
      <c r="I105" s="225">
        <f>E105+G105</f>
        <v>0</v>
      </c>
      <c r="J105" s="218" t="e">
        <f>I105/$D105</f>
        <v>#DIV/0!</v>
      </c>
    </row>
    <row r="106" spans="1:10" hidden="1" x14ac:dyDescent="0.25">
      <c r="A106" s="146"/>
      <c r="B106" s="215" t="s">
        <v>262</v>
      </c>
      <c r="C106" s="216">
        <f>AVERAGE(C103:C105)</f>
        <v>0</v>
      </c>
      <c r="D106" s="216">
        <f>AVERAGE(D103:D105)</f>
        <v>0</v>
      </c>
      <c r="E106" s="216">
        <f>AVERAGE(E103:E105)</f>
        <v>0</v>
      </c>
      <c r="F106" s="217" t="e">
        <f>E106/$D106</f>
        <v>#DIV/0!</v>
      </c>
      <c r="G106" s="216">
        <f>AVERAGE(G103:G105)</f>
        <v>0</v>
      </c>
      <c r="H106" s="217" t="e">
        <f>G106/$D106</f>
        <v>#DIV/0!</v>
      </c>
      <c r="I106" s="216">
        <f>AVERAGE(I103:I105)</f>
        <v>0</v>
      </c>
      <c r="J106" s="217" t="e">
        <f>I106/$D106</f>
        <v>#DIV/0!</v>
      </c>
    </row>
    <row r="107" spans="1:10" hidden="1" x14ac:dyDescent="0.25">
      <c r="A107" s="146"/>
    </row>
    <row r="108" spans="1:10" hidden="1" x14ac:dyDescent="0.25">
      <c r="A108" s="146"/>
      <c r="B108" s="592" t="s">
        <v>346</v>
      </c>
      <c r="C108" s="592"/>
    </row>
    <row r="109" spans="1:10" ht="30.75" hidden="1" thickBot="1" x14ac:dyDescent="0.3">
      <c r="A109" s="146"/>
      <c r="B109" s="207" t="s">
        <v>108</v>
      </c>
      <c r="C109" s="207" t="s">
        <v>256</v>
      </c>
      <c r="D109" s="207" t="s">
        <v>257</v>
      </c>
      <c r="E109" s="207" t="s">
        <v>114</v>
      </c>
      <c r="F109" s="207" t="s">
        <v>258</v>
      </c>
      <c r="G109" s="207" t="s">
        <v>115</v>
      </c>
      <c r="H109" s="207" t="s">
        <v>259</v>
      </c>
      <c r="I109" s="207" t="s">
        <v>260</v>
      </c>
      <c r="J109" s="207" t="s">
        <v>261</v>
      </c>
    </row>
    <row r="110" spans="1:10" hidden="1" x14ac:dyDescent="0.25">
      <c r="A110" s="146"/>
      <c r="B110" s="215" t="str">
        <f>$B$6</f>
        <v>YYYY</v>
      </c>
      <c r="C110" s="311">
        <v>0</v>
      </c>
      <c r="D110" s="302">
        <v>0</v>
      </c>
      <c r="E110" s="303">
        <v>0</v>
      </c>
      <c r="F110" s="217" t="e">
        <f>E110/$D110</f>
        <v>#DIV/0!</v>
      </c>
      <c r="G110" s="308">
        <v>0</v>
      </c>
      <c r="H110" s="217" t="e">
        <f>G110/$D110</f>
        <v>#DIV/0!</v>
      </c>
      <c r="I110" s="216">
        <f>E110+G110</f>
        <v>0</v>
      </c>
      <c r="J110" s="217" t="e">
        <f>I110/$D110</f>
        <v>#DIV/0!</v>
      </c>
    </row>
    <row r="111" spans="1:10" hidden="1" x14ac:dyDescent="0.25">
      <c r="A111" s="146"/>
      <c r="B111" s="215" t="e">
        <f>$B$7</f>
        <v>#VALUE!</v>
      </c>
      <c r="C111" s="312">
        <v>0</v>
      </c>
      <c r="D111" s="304">
        <v>0</v>
      </c>
      <c r="E111" s="305">
        <v>0</v>
      </c>
      <c r="F111" s="217" t="e">
        <f>E111/$D111</f>
        <v>#DIV/0!</v>
      </c>
      <c r="G111" s="309">
        <v>0</v>
      </c>
      <c r="H111" s="217" t="e">
        <f>G111/$D111</f>
        <v>#DIV/0!</v>
      </c>
      <c r="I111" s="216">
        <f>E111+G111</f>
        <v>0</v>
      </c>
      <c r="J111" s="217" t="e">
        <f>I111/$D111</f>
        <v>#DIV/0!</v>
      </c>
    </row>
    <row r="112" spans="1:10" hidden="1" x14ac:dyDescent="0.25">
      <c r="A112" s="146"/>
      <c r="B112" s="221" t="e">
        <f>$B$8</f>
        <v>#VALUE!</v>
      </c>
      <c r="C112" s="313">
        <v>0</v>
      </c>
      <c r="D112" s="306">
        <v>0</v>
      </c>
      <c r="E112" s="307">
        <v>0</v>
      </c>
      <c r="F112" s="218" t="e">
        <f>E112/$D112</f>
        <v>#DIV/0!</v>
      </c>
      <c r="G112" s="310">
        <v>0</v>
      </c>
      <c r="H112" s="218" t="e">
        <f>G112/$D112</f>
        <v>#DIV/0!</v>
      </c>
      <c r="I112" s="225">
        <f>E112+G112</f>
        <v>0</v>
      </c>
      <c r="J112" s="218" t="e">
        <f>I112/$D112</f>
        <v>#DIV/0!</v>
      </c>
    </row>
    <row r="113" spans="1:10" hidden="1" x14ac:dyDescent="0.25">
      <c r="A113" s="146"/>
      <c r="B113" s="215" t="s">
        <v>262</v>
      </c>
      <c r="C113" s="216">
        <f>AVERAGE(C110:C112)</f>
        <v>0</v>
      </c>
      <c r="D113" s="216">
        <f>AVERAGE(D110:D112)</f>
        <v>0</v>
      </c>
      <c r="E113" s="216">
        <f>AVERAGE(E110:E112)</f>
        <v>0</v>
      </c>
      <c r="F113" s="217" t="e">
        <f>E113/$D113</f>
        <v>#DIV/0!</v>
      </c>
      <c r="G113" s="216">
        <f>AVERAGE(G110:G112)</f>
        <v>0</v>
      </c>
      <c r="H113" s="217" t="e">
        <f>G113/$D113</f>
        <v>#DIV/0!</v>
      </c>
      <c r="I113" s="216">
        <f>AVERAGE(I110:I112)</f>
        <v>0</v>
      </c>
      <c r="J113" s="217" t="e">
        <f>I113/$D113</f>
        <v>#DIV/0!</v>
      </c>
    </row>
    <row r="114" spans="1:10" hidden="1" x14ac:dyDescent="0.25">
      <c r="A114" s="146"/>
    </row>
    <row r="115" spans="1:10" hidden="1" x14ac:dyDescent="0.25">
      <c r="A115" s="146"/>
      <c r="B115" s="592" t="s">
        <v>346</v>
      </c>
      <c r="C115" s="592"/>
    </row>
    <row r="116" spans="1:10" ht="30.75" hidden="1" thickBot="1" x14ac:dyDescent="0.3">
      <c r="A116" s="146"/>
      <c r="B116" s="207" t="s">
        <v>108</v>
      </c>
      <c r="C116" s="207" t="s">
        <v>256</v>
      </c>
      <c r="D116" s="207" t="s">
        <v>257</v>
      </c>
      <c r="E116" s="207" t="s">
        <v>114</v>
      </c>
      <c r="F116" s="207" t="s">
        <v>258</v>
      </c>
      <c r="G116" s="207" t="s">
        <v>115</v>
      </c>
      <c r="H116" s="207" t="s">
        <v>259</v>
      </c>
      <c r="I116" s="207" t="s">
        <v>260</v>
      </c>
      <c r="J116" s="207" t="s">
        <v>261</v>
      </c>
    </row>
    <row r="117" spans="1:10" hidden="1" x14ac:dyDescent="0.25">
      <c r="A117" s="146"/>
      <c r="B117" s="215" t="str">
        <f>$B$6</f>
        <v>YYYY</v>
      </c>
      <c r="C117" s="311">
        <v>0</v>
      </c>
      <c r="D117" s="302">
        <v>0</v>
      </c>
      <c r="E117" s="303">
        <v>0</v>
      </c>
      <c r="F117" s="217" t="e">
        <f>E117/$D117</f>
        <v>#DIV/0!</v>
      </c>
      <c r="G117" s="308">
        <v>0</v>
      </c>
      <c r="H117" s="217" t="e">
        <f>G117/$D117</f>
        <v>#DIV/0!</v>
      </c>
      <c r="I117" s="216">
        <f>E117+G117</f>
        <v>0</v>
      </c>
      <c r="J117" s="217" t="e">
        <f>I117/$D117</f>
        <v>#DIV/0!</v>
      </c>
    </row>
    <row r="118" spans="1:10" hidden="1" x14ac:dyDescent="0.25">
      <c r="A118" s="146"/>
      <c r="B118" s="215" t="e">
        <f>$B$7</f>
        <v>#VALUE!</v>
      </c>
      <c r="C118" s="312">
        <v>0</v>
      </c>
      <c r="D118" s="304">
        <v>0</v>
      </c>
      <c r="E118" s="305">
        <v>0</v>
      </c>
      <c r="F118" s="217" t="e">
        <f>E118/$D118</f>
        <v>#DIV/0!</v>
      </c>
      <c r="G118" s="309">
        <v>0</v>
      </c>
      <c r="H118" s="217" t="e">
        <f>G118/$D118</f>
        <v>#DIV/0!</v>
      </c>
      <c r="I118" s="216">
        <f>E118+G118</f>
        <v>0</v>
      </c>
      <c r="J118" s="217" t="e">
        <f>I118/$D118</f>
        <v>#DIV/0!</v>
      </c>
    </row>
    <row r="119" spans="1:10" hidden="1" x14ac:dyDescent="0.25">
      <c r="A119" s="146"/>
      <c r="B119" s="221" t="e">
        <f>$B$8</f>
        <v>#VALUE!</v>
      </c>
      <c r="C119" s="313">
        <v>0</v>
      </c>
      <c r="D119" s="306">
        <v>0</v>
      </c>
      <c r="E119" s="307">
        <v>0</v>
      </c>
      <c r="F119" s="218" t="e">
        <f>E119/$D119</f>
        <v>#DIV/0!</v>
      </c>
      <c r="G119" s="310">
        <v>0</v>
      </c>
      <c r="H119" s="218" t="e">
        <f>G119/$D119</f>
        <v>#DIV/0!</v>
      </c>
      <c r="I119" s="225">
        <f>E119+G119</f>
        <v>0</v>
      </c>
      <c r="J119" s="218" t="e">
        <f>I119/$D119</f>
        <v>#DIV/0!</v>
      </c>
    </row>
    <row r="120" spans="1:10" hidden="1" x14ac:dyDescent="0.25">
      <c r="A120" s="146"/>
      <c r="B120" s="215" t="s">
        <v>262</v>
      </c>
      <c r="C120" s="216">
        <f>AVERAGE(C117:C119)</f>
        <v>0</v>
      </c>
      <c r="D120" s="216">
        <f>AVERAGE(D117:D119)</f>
        <v>0</v>
      </c>
      <c r="E120" s="216">
        <f>AVERAGE(E117:E119)</f>
        <v>0</v>
      </c>
      <c r="F120" s="217" t="e">
        <f>E120/$D120</f>
        <v>#DIV/0!</v>
      </c>
      <c r="G120" s="216">
        <f>AVERAGE(G117:G119)</f>
        <v>0</v>
      </c>
      <c r="H120" s="217" t="e">
        <f>G120/$D120</f>
        <v>#DIV/0!</v>
      </c>
      <c r="I120" s="216">
        <f>AVERAGE(I117:I119)</f>
        <v>0</v>
      </c>
      <c r="J120" s="217" t="e">
        <f>I120/$D120</f>
        <v>#DIV/0!</v>
      </c>
    </row>
    <row r="121" spans="1:10" hidden="1" x14ac:dyDescent="0.25">
      <c r="A121" s="146"/>
    </row>
    <row r="122" spans="1:10" hidden="1" x14ac:dyDescent="0.25">
      <c r="A122" s="146"/>
      <c r="B122" s="592" t="s">
        <v>346</v>
      </c>
      <c r="C122" s="592"/>
    </row>
    <row r="123" spans="1:10" ht="30.75" hidden="1" thickBot="1" x14ac:dyDescent="0.3">
      <c r="A123" s="146"/>
      <c r="B123" s="207" t="s">
        <v>108</v>
      </c>
      <c r="C123" s="207" t="s">
        <v>256</v>
      </c>
      <c r="D123" s="207" t="s">
        <v>257</v>
      </c>
      <c r="E123" s="207" t="s">
        <v>114</v>
      </c>
      <c r="F123" s="207" t="s">
        <v>258</v>
      </c>
      <c r="G123" s="207" t="s">
        <v>115</v>
      </c>
      <c r="H123" s="207" t="s">
        <v>259</v>
      </c>
      <c r="I123" s="207" t="s">
        <v>260</v>
      </c>
      <c r="J123" s="207" t="s">
        <v>261</v>
      </c>
    </row>
    <row r="124" spans="1:10" hidden="1" x14ac:dyDescent="0.25">
      <c r="A124" s="146"/>
      <c r="B124" s="215" t="str">
        <f>$B$6</f>
        <v>YYYY</v>
      </c>
      <c r="C124" s="311">
        <v>0</v>
      </c>
      <c r="D124" s="302">
        <v>0</v>
      </c>
      <c r="E124" s="303">
        <v>0</v>
      </c>
      <c r="F124" s="217" t="e">
        <f>E124/$D124</f>
        <v>#DIV/0!</v>
      </c>
      <c r="G124" s="308">
        <v>0</v>
      </c>
      <c r="H124" s="217" t="e">
        <f>G124/$D124</f>
        <v>#DIV/0!</v>
      </c>
      <c r="I124" s="216">
        <f>E124+G124</f>
        <v>0</v>
      </c>
      <c r="J124" s="217" t="e">
        <f>I124/$D124</f>
        <v>#DIV/0!</v>
      </c>
    </row>
    <row r="125" spans="1:10" hidden="1" x14ac:dyDescent="0.25">
      <c r="A125" s="146"/>
      <c r="B125" s="215" t="e">
        <f>$B$7</f>
        <v>#VALUE!</v>
      </c>
      <c r="C125" s="312">
        <v>0</v>
      </c>
      <c r="D125" s="304">
        <v>0</v>
      </c>
      <c r="E125" s="305">
        <v>0</v>
      </c>
      <c r="F125" s="217" t="e">
        <f>E125/$D125</f>
        <v>#DIV/0!</v>
      </c>
      <c r="G125" s="309">
        <v>0</v>
      </c>
      <c r="H125" s="217" t="e">
        <f>G125/$D125</f>
        <v>#DIV/0!</v>
      </c>
      <c r="I125" s="216">
        <f>E125+G125</f>
        <v>0</v>
      </c>
      <c r="J125" s="217" t="e">
        <f>I125/$D125</f>
        <v>#DIV/0!</v>
      </c>
    </row>
    <row r="126" spans="1:10" hidden="1" x14ac:dyDescent="0.25">
      <c r="A126" s="146"/>
      <c r="B126" s="221" t="e">
        <f>$B$8</f>
        <v>#VALUE!</v>
      </c>
      <c r="C126" s="313">
        <v>0</v>
      </c>
      <c r="D126" s="306">
        <v>0</v>
      </c>
      <c r="E126" s="307">
        <v>0</v>
      </c>
      <c r="F126" s="218" t="e">
        <f>E126/$D126</f>
        <v>#DIV/0!</v>
      </c>
      <c r="G126" s="310">
        <v>0</v>
      </c>
      <c r="H126" s="218" t="e">
        <f>G126/$D126</f>
        <v>#DIV/0!</v>
      </c>
      <c r="I126" s="225">
        <f>E126+G126</f>
        <v>0</v>
      </c>
      <c r="J126" s="218" t="e">
        <f>I126/$D126</f>
        <v>#DIV/0!</v>
      </c>
    </row>
    <row r="127" spans="1:10" hidden="1" x14ac:dyDescent="0.25">
      <c r="A127" s="146"/>
      <c r="B127" s="215" t="s">
        <v>262</v>
      </c>
      <c r="C127" s="216">
        <f>AVERAGE(C124:C126)</f>
        <v>0</v>
      </c>
      <c r="D127" s="216">
        <f>AVERAGE(D124:D126)</f>
        <v>0</v>
      </c>
      <c r="E127" s="216">
        <f>AVERAGE(E124:E126)</f>
        <v>0</v>
      </c>
      <c r="F127" s="217" t="e">
        <f>E127/$D127</f>
        <v>#DIV/0!</v>
      </c>
      <c r="G127" s="216">
        <f>AVERAGE(G124:G126)</f>
        <v>0</v>
      </c>
      <c r="H127" s="217" t="e">
        <f>G127/$D127</f>
        <v>#DIV/0!</v>
      </c>
      <c r="I127" s="216">
        <f>AVERAGE(I124:I126)</f>
        <v>0</v>
      </c>
      <c r="J127" s="217" t="e">
        <f>I127/$D127</f>
        <v>#DIV/0!</v>
      </c>
    </row>
    <row r="128" spans="1:10" hidden="1" x14ac:dyDescent="0.25">
      <c r="A128" s="146"/>
    </row>
    <row r="129" spans="1:10" hidden="1" x14ac:dyDescent="0.25">
      <c r="A129" s="146"/>
      <c r="B129" s="592" t="s">
        <v>346</v>
      </c>
      <c r="C129" s="592"/>
    </row>
    <row r="130" spans="1:10" ht="30.75" hidden="1" thickBot="1" x14ac:dyDescent="0.3">
      <c r="A130" s="146"/>
      <c r="B130" s="207" t="s">
        <v>108</v>
      </c>
      <c r="C130" s="207" t="s">
        <v>256</v>
      </c>
      <c r="D130" s="207" t="s">
        <v>257</v>
      </c>
      <c r="E130" s="207" t="s">
        <v>114</v>
      </c>
      <c r="F130" s="207" t="s">
        <v>258</v>
      </c>
      <c r="G130" s="207" t="s">
        <v>115</v>
      </c>
      <c r="H130" s="207" t="s">
        <v>259</v>
      </c>
      <c r="I130" s="207" t="s">
        <v>260</v>
      </c>
      <c r="J130" s="207" t="s">
        <v>261</v>
      </c>
    </row>
    <row r="131" spans="1:10" hidden="1" x14ac:dyDescent="0.25">
      <c r="A131" s="146"/>
      <c r="B131" s="215" t="str">
        <f>$B$6</f>
        <v>YYYY</v>
      </c>
      <c r="C131" s="311">
        <v>0</v>
      </c>
      <c r="D131" s="302">
        <v>0</v>
      </c>
      <c r="E131" s="303">
        <v>0</v>
      </c>
      <c r="F131" s="217" t="e">
        <f>E131/$D131</f>
        <v>#DIV/0!</v>
      </c>
      <c r="G131" s="308">
        <v>0</v>
      </c>
      <c r="H131" s="217" t="e">
        <f>G131/$D131</f>
        <v>#DIV/0!</v>
      </c>
      <c r="I131" s="216">
        <f>E131+G131</f>
        <v>0</v>
      </c>
      <c r="J131" s="217" t="e">
        <f>I131/$D131</f>
        <v>#DIV/0!</v>
      </c>
    </row>
    <row r="132" spans="1:10" hidden="1" x14ac:dyDescent="0.25">
      <c r="A132" s="146"/>
      <c r="B132" s="215" t="e">
        <f>$B$7</f>
        <v>#VALUE!</v>
      </c>
      <c r="C132" s="312">
        <v>0</v>
      </c>
      <c r="D132" s="304">
        <v>0</v>
      </c>
      <c r="E132" s="305">
        <v>0</v>
      </c>
      <c r="F132" s="217" t="e">
        <f>E132/$D132</f>
        <v>#DIV/0!</v>
      </c>
      <c r="G132" s="309">
        <v>0</v>
      </c>
      <c r="H132" s="217" t="e">
        <f>G132/$D132</f>
        <v>#DIV/0!</v>
      </c>
      <c r="I132" s="216">
        <f>E132+G132</f>
        <v>0</v>
      </c>
      <c r="J132" s="217" t="e">
        <f>I132/$D132</f>
        <v>#DIV/0!</v>
      </c>
    </row>
    <row r="133" spans="1:10" hidden="1" x14ac:dyDescent="0.25">
      <c r="A133" s="146"/>
      <c r="B133" s="221" t="e">
        <f>$B$8</f>
        <v>#VALUE!</v>
      </c>
      <c r="C133" s="313">
        <v>0</v>
      </c>
      <c r="D133" s="306">
        <v>0</v>
      </c>
      <c r="E133" s="307">
        <v>0</v>
      </c>
      <c r="F133" s="218" t="e">
        <f>E133/$D133</f>
        <v>#DIV/0!</v>
      </c>
      <c r="G133" s="310">
        <v>0</v>
      </c>
      <c r="H133" s="218" t="e">
        <f>G133/$D133</f>
        <v>#DIV/0!</v>
      </c>
      <c r="I133" s="225">
        <f>E133+G133</f>
        <v>0</v>
      </c>
      <c r="J133" s="218" t="e">
        <f>I133/$D133</f>
        <v>#DIV/0!</v>
      </c>
    </row>
    <row r="134" spans="1:10" hidden="1" x14ac:dyDescent="0.25">
      <c r="A134" s="146"/>
      <c r="B134" s="215" t="s">
        <v>262</v>
      </c>
      <c r="C134" s="216">
        <f>AVERAGE(C131:C133)</f>
        <v>0</v>
      </c>
      <c r="D134" s="216">
        <f>AVERAGE(D131:D133)</f>
        <v>0</v>
      </c>
      <c r="E134" s="216">
        <f>AVERAGE(E131:E133)</f>
        <v>0</v>
      </c>
      <c r="F134" s="217" t="e">
        <f>E134/$D134</f>
        <v>#DIV/0!</v>
      </c>
      <c r="G134" s="216">
        <f>AVERAGE(G131:G133)</f>
        <v>0</v>
      </c>
      <c r="H134" s="217" t="e">
        <f>G134/$D134</f>
        <v>#DIV/0!</v>
      </c>
      <c r="I134" s="216">
        <f>AVERAGE(I131:I133)</f>
        <v>0</v>
      </c>
      <c r="J134" s="217" t="e">
        <f>I134/$D134</f>
        <v>#DIV/0!</v>
      </c>
    </row>
    <row r="135" spans="1:10" hidden="1" x14ac:dyDescent="0.25">
      <c r="A135" s="146"/>
    </row>
    <row r="136" spans="1:10" hidden="1" x14ac:dyDescent="0.25">
      <c r="A136" s="146"/>
      <c r="B136" s="592" t="s">
        <v>346</v>
      </c>
      <c r="C136" s="592"/>
    </row>
    <row r="137" spans="1:10" ht="30.75" hidden="1" thickBot="1" x14ac:dyDescent="0.3">
      <c r="A137" s="146"/>
      <c r="B137" s="207" t="s">
        <v>108</v>
      </c>
      <c r="C137" s="207" t="s">
        <v>256</v>
      </c>
      <c r="D137" s="207" t="s">
        <v>257</v>
      </c>
      <c r="E137" s="207" t="s">
        <v>114</v>
      </c>
      <c r="F137" s="207" t="s">
        <v>258</v>
      </c>
      <c r="G137" s="207" t="s">
        <v>115</v>
      </c>
      <c r="H137" s="207" t="s">
        <v>259</v>
      </c>
      <c r="I137" s="207" t="s">
        <v>260</v>
      </c>
      <c r="J137" s="207" t="s">
        <v>261</v>
      </c>
    </row>
    <row r="138" spans="1:10" hidden="1" x14ac:dyDescent="0.25">
      <c r="A138" s="146"/>
      <c r="B138" s="215" t="str">
        <f>$B$6</f>
        <v>YYYY</v>
      </c>
      <c r="C138" s="311">
        <v>0</v>
      </c>
      <c r="D138" s="302">
        <v>0</v>
      </c>
      <c r="E138" s="303">
        <v>0</v>
      </c>
      <c r="F138" s="217" t="e">
        <f>E138/$D138</f>
        <v>#DIV/0!</v>
      </c>
      <c r="G138" s="308">
        <v>0</v>
      </c>
      <c r="H138" s="217" t="e">
        <f>G138/$D138</f>
        <v>#DIV/0!</v>
      </c>
      <c r="I138" s="216">
        <f>E138+G138</f>
        <v>0</v>
      </c>
      <c r="J138" s="217" t="e">
        <f>I138/$D138</f>
        <v>#DIV/0!</v>
      </c>
    </row>
    <row r="139" spans="1:10" hidden="1" x14ac:dyDescent="0.25">
      <c r="A139" s="146"/>
      <c r="B139" s="215" t="e">
        <f>$B$7</f>
        <v>#VALUE!</v>
      </c>
      <c r="C139" s="312">
        <v>0</v>
      </c>
      <c r="D139" s="304">
        <v>0</v>
      </c>
      <c r="E139" s="305">
        <v>0</v>
      </c>
      <c r="F139" s="217" t="e">
        <f>E139/$D139</f>
        <v>#DIV/0!</v>
      </c>
      <c r="G139" s="309">
        <v>0</v>
      </c>
      <c r="H139" s="217" t="e">
        <f>G139/$D139</f>
        <v>#DIV/0!</v>
      </c>
      <c r="I139" s="216">
        <f>E139+G139</f>
        <v>0</v>
      </c>
      <c r="J139" s="217" t="e">
        <f>I139/$D139</f>
        <v>#DIV/0!</v>
      </c>
    </row>
    <row r="140" spans="1:10" hidden="1" x14ac:dyDescent="0.25">
      <c r="A140" s="146"/>
      <c r="B140" s="221" t="e">
        <f>$B$8</f>
        <v>#VALUE!</v>
      </c>
      <c r="C140" s="313">
        <v>0</v>
      </c>
      <c r="D140" s="306">
        <v>0</v>
      </c>
      <c r="E140" s="307">
        <v>0</v>
      </c>
      <c r="F140" s="218" t="e">
        <f>E140/$D140</f>
        <v>#DIV/0!</v>
      </c>
      <c r="G140" s="310">
        <v>0</v>
      </c>
      <c r="H140" s="218" t="e">
        <f>G140/$D140</f>
        <v>#DIV/0!</v>
      </c>
      <c r="I140" s="225">
        <f>E140+G140</f>
        <v>0</v>
      </c>
      <c r="J140" s="218" t="e">
        <f>I140/$D140</f>
        <v>#DIV/0!</v>
      </c>
    </row>
    <row r="141" spans="1:10" hidden="1" x14ac:dyDescent="0.25">
      <c r="A141" s="146"/>
      <c r="B141" s="215" t="s">
        <v>262</v>
      </c>
      <c r="C141" s="216">
        <f>AVERAGE(C138:C140)</f>
        <v>0</v>
      </c>
      <c r="D141" s="216">
        <f>AVERAGE(D138:D140)</f>
        <v>0</v>
      </c>
      <c r="E141" s="216">
        <f>AVERAGE(E138:E140)</f>
        <v>0</v>
      </c>
      <c r="F141" s="217" t="e">
        <f>E141/$D141</f>
        <v>#DIV/0!</v>
      </c>
      <c r="G141" s="216">
        <f>AVERAGE(G138:G140)</f>
        <v>0</v>
      </c>
      <c r="H141" s="217" t="e">
        <f>G141/$D141</f>
        <v>#DIV/0!</v>
      </c>
      <c r="I141" s="216">
        <f>AVERAGE(I138:I140)</f>
        <v>0</v>
      </c>
      <c r="J141" s="217" t="e">
        <f>I141/$D141</f>
        <v>#DIV/0!</v>
      </c>
    </row>
    <row r="142" spans="1:10" hidden="1" x14ac:dyDescent="0.25">
      <c r="A142" s="146"/>
    </row>
    <row r="143" spans="1:10" hidden="1" x14ac:dyDescent="0.25">
      <c r="A143" s="146"/>
      <c r="B143" s="592" t="s">
        <v>346</v>
      </c>
      <c r="C143" s="592"/>
    </row>
    <row r="144" spans="1:10" ht="30.75" hidden="1" thickBot="1" x14ac:dyDescent="0.3">
      <c r="A144" s="146"/>
      <c r="B144" s="207" t="s">
        <v>108</v>
      </c>
      <c r="C144" s="207" t="s">
        <v>256</v>
      </c>
      <c r="D144" s="207" t="s">
        <v>257</v>
      </c>
      <c r="E144" s="207" t="s">
        <v>114</v>
      </c>
      <c r="F144" s="207" t="s">
        <v>258</v>
      </c>
      <c r="G144" s="207" t="s">
        <v>115</v>
      </c>
      <c r="H144" s="207" t="s">
        <v>259</v>
      </c>
      <c r="I144" s="207" t="s">
        <v>260</v>
      </c>
      <c r="J144" s="207" t="s">
        <v>261</v>
      </c>
    </row>
    <row r="145" spans="1:10" hidden="1" x14ac:dyDescent="0.25">
      <c r="A145" s="146"/>
      <c r="B145" s="215" t="str">
        <f>$B$6</f>
        <v>YYYY</v>
      </c>
      <c r="C145" s="311">
        <v>0</v>
      </c>
      <c r="D145" s="302">
        <v>0</v>
      </c>
      <c r="E145" s="303">
        <v>0</v>
      </c>
      <c r="F145" s="217" t="e">
        <f>E145/$D145</f>
        <v>#DIV/0!</v>
      </c>
      <c r="G145" s="308">
        <v>0</v>
      </c>
      <c r="H145" s="217" t="e">
        <f>G145/$D145</f>
        <v>#DIV/0!</v>
      </c>
      <c r="I145" s="216">
        <f>E145+G145</f>
        <v>0</v>
      </c>
      <c r="J145" s="217" t="e">
        <f>I145/$D145</f>
        <v>#DIV/0!</v>
      </c>
    </row>
    <row r="146" spans="1:10" hidden="1" x14ac:dyDescent="0.25">
      <c r="A146" s="146"/>
      <c r="B146" s="215" t="e">
        <f>$B$7</f>
        <v>#VALUE!</v>
      </c>
      <c r="C146" s="312">
        <v>0</v>
      </c>
      <c r="D146" s="304">
        <v>0</v>
      </c>
      <c r="E146" s="305">
        <v>0</v>
      </c>
      <c r="F146" s="217" t="e">
        <f>E146/$D146</f>
        <v>#DIV/0!</v>
      </c>
      <c r="G146" s="309">
        <v>0</v>
      </c>
      <c r="H146" s="217" t="e">
        <f>G146/$D146</f>
        <v>#DIV/0!</v>
      </c>
      <c r="I146" s="216">
        <f>E146+G146</f>
        <v>0</v>
      </c>
      <c r="J146" s="217" t="e">
        <f>I146/$D146</f>
        <v>#DIV/0!</v>
      </c>
    </row>
    <row r="147" spans="1:10" hidden="1" x14ac:dyDescent="0.25">
      <c r="A147" s="146"/>
      <c r="B147" s="221" t="e">
        <f>$B$8</f>
        <v>#VALUE!</v>
      </c>
      <c r="C147" s="313">
        <v>0</v>
      </c>
      <c r="D147" s="306">
        <v>0</v>
      </c>
      <c r="E147" s="307">
        <v>0</v>
      </c>
      <c r="F147" s="218" t="e">
        <f>E147/$D147</f>
        <v>#DIV/0!</v>
      </c>
      <c r="G147" s="310">
        <v>0</v>
      </c>
      <c r="H147" s="218" t="e">
        <f>G147/$D147</f>
        <v>#DIV/0!</v>
      </c>
      <c r="I147" s="225">
        <f>E147+G147</f>
        <v>0</v>
      </c>
      <c r="J147" s="218" t="e">
        <f>I147/$D147</f>
        <v>#DIV/0!</v>
      </c>
    </row>
    <row r="148" spans="1:10" hidden="1" x14ac:dyDescent="0.25">
      <c r="A148" s="146"/>
      <c r="B148" s="215" t="s">
        <v>262</v>
      </c>
      <c r="C148" s="216">
        <f>AVERAGE(C145:C147)</f>
        <v>0</v>
      </c>
      <c r="D148" s="216">
        <f>AVERAGE(D145:D147)</f>
        <v>0</v>
      </c>
      <c r="E148" s="216">
        <f>AVERAGE(E145:E147)</f>
        <v>0</v>
      </c>
      <c r="F148" s="217" t="e">
        <f>E148/$D148</f>
        <v>#DIV/0!</v>
      </c>
      <c r="G148" s="216">
        <f>AVERAGE(G145:G147)</f>
        <v>0</v>
      </c>
      <c r="H148" s="217" t="e">
        <f>G148/$D148</f>
        <v>#DIV/0!</v>
      </c>
      <c r="I148" s="216">
        <f>AVERAGE(I145:I147)</f>
        <v>0</v>
      </c>
      <c r="J148" s="217" t="e">
        <f>I148/$D148</f>
        <v>#DIV/0!</v>
      </c>
    </row>
    <row r="149" spans="1:10" hidden="1" x14ac:dyDescent="0.25">
      <c r="A149" s="146"/>
    </row>
    <row r="150" spans="1:10" hidden="1" x14ac:dyDescent="0.25">
      <c r="A150" s="146"/>
      <c r="B150" s="592" t="s">
        <v>346</v>
      </c>
      <c r="C150" s="592"/>
    </row>
    <row r="151" spans="1:10" ht="30.75" hidden="1" thickBot="1" x14ac:dyDescent="0.3">
      <c r="A151" s="146"/>
      <c r="B151" s="207" t="s">
        <v>108</v>
      </c>
      <c r="C151" s="207" t="s">
        <v>256</v>
      </c>
      <c r="D151" s="207" t="s">
        <v>257</v>
      </c>
      <c r="E151" s="207" t="s">
        <v>114</v>
      </c>
      <c r="F151" s="207" t="s">
        <v>258</v>
      </c>
      <c r="G151" s="207" t="s">
        <v>115</v>
      </c>
      <c r="H151" s="207" t="s">
        <v>259</v>
      </c>
      <c r="I151" s="207" t="s">
        <v>260</v>
      </c>
      <c r="J151" s="207" t="s">
        <v>261</v>
      </c>
    </row>
    <row r="152" spans="1:10" hidden="1" x14ac:dyDescent="0.25">
      <c r="A152" s="146"/>
      <c r="B152" s="215" t="str">
        <f>$B$6</f>
        <v>YYYY</v>
      </c>
      <c r="C152" s="311">
        <v>0</v>
      </c>
      <c r="D152" s="302">
        <v>0</v>
      </c>
      <c r="E152" s="303">
        <v>0</v>
      </c>
      <c r="F152" s="217" t="e">
        <f>E152/$D152</f>
        <v>#DIV/0!</v>
      </c>
      <c r="G152" s="308">
        <v>0</v>
      </c>
      <c r="H152" s="217" t="e">
        <f>G152/$D152</f>
        <v>#DIV/0!</v>
      </c>
      <c r="I152" s="216">
        <f>E152+G152</f>
        <v>0</v>
      </c>
      <c r="J152" s="217" t="e">
        <f>I152/$D152</f>
        <v>#DIV/0!</v>
      </c>
    </row>
    <row r="153" spans="1:10" hidden="1" x14ac:dyDescent="0.25">
      <c r="A153" s="146"/>
      <c r="B153" s="215" t="e">
        <f>$B$7</f>
        <v>#VALUE!</v>
      </c>
      <c r="C153" s="312">
        <v>0</v>
      </c>
      <c r="D153" s="304">
        <v>0</v>
      </c>
      <c r="E153" s="305">
        <v>0</v>
      </c>
      <c r="F153" s="217" t="e">
        <f>E153/$D153</f>
        <v>#DIV/0!</v>
      </c>
      <c r="G153" s="309">
        <v>0</v>
      </c>
      <c r="H153" s="217" t="e">
        <f>G153/$D153</f>
        <v>#DIV/0!</v>
      </c>
      <c r="I153" s="216">
        <f>E153+G153</f>
        <v>0</v>
      </c>
      <c r="J153" s="217" t="e">
        <f>I153/$D153</f>
        <v>#DIV/0!</v>
      </c>
    </row>
    <row r="154" spans="1:10" hidden="1" x14ac:dyDescent="0.25">
      <c r="A154" s="146"/>
      <c r="B154" s="221" t="e">
        <f>$B$8</f>
        <v>#VALUE!</v>
      </c>
      <c r="C154" s="313">
        <v>0</v>
      </c>
      <c r="D154" s="306">
        <v>0</v>
      </c>
      <c r="E154" s="307">
        <v>0</v>
      </c>
      <c r="F154" s="218" t="e">
        <f>E154/$D154</f>
        <v>#DIV/0!</v>
      </c>
      <c r="G154" s="310">
        <v>0</v>
      </c>
      <c r="H154" s="218" t="e">
        <f>G154/$D154</f>
        <v>#DIV/0!</v>
      </c>
      <c r="I154" s="225">
        <f>E154+G154</f>
        <v>0</v>
      </c>
      <c r="J154" s="218" t="e">
        <f>I154/$D154</f>
        <v>#DIV/0!</v>
      </c>
    </row>
    <row r="155" spans="1:10" hidden="1" x14ac:dyDescent="0.25">
      <c r="A155" s="146"/>
      <c r="B155" s="215" t="s">
        <v>262</v>
      </c>
      <c r="C155" s="216">
        <f>AVERAGE(C152:C154)</f>
        <v>0</v>
      </c>
      <c r="D155" s="216">
        <f>AVERAGE(D152:D154)</f>
        <v>0</v>
      </c>
      <c r="E155" s="216">
        <f>AVERAGE(E152:E154)</f>
        <v>0</v>
      </c>
      <c r="F155" s="217" t="e">
        <f>E155/$D155</f>
        <v>#DIV/0!</v>
      </c>
      <c r="G155" s="216">
        <f>AVERAGE(G152:G154)</f>
        <v>0</v>
      </c>
      <c r="H155" s="217" t="e">
        <f>G155/$D155</f>
        <v>#DIV/0!</v>
      </c>
      <c r="I155" s="216">
        <f>AVERAGE(I152:I154)</f>
        <v>0</v>
      </c>
      <c r="J155" s="217" t="e">
        <f>I155/$D155</f>
        <v>#DIV/0!</v>
      </c>
    </row>
    <row r="156" spans="1:10" hidden="1" x14ac:dyDescent="0.25">
      <c r="A156" s="146"/>
    </row>
    <row r="157" spans="1:10" hidden="1" x14ac:dyDescent="0.25">
      <c r="A157" s="146"/>
      <c r="B157" s="592" t="s">
        <v>346</v>
      </c>
      <c r="C157" s="592"/>
    </row>
    <row r="158" spans="1:10" ht="30.75" hidden="1" thickBot="1" x14ac:dyDescent="0.3">
      <c r="A158" s="146"/>
      <c r="B158" s="207" t="s">
        <v>108</v>
      </c>
      <c r="C158" s="207" t="s">
        <v>256</v>
      </c>
      <c r="D158" s="207" t="s">
        <v>257</v>
      </c>
      <c r="E158" s="207" t="s">
        <v>114</v>
      </c>
      <c r="F158" s="207" t="s">
        <v>258</v>
      </c>
      <c r="G158" s="207" t="s">
        <v>115</v>
      </c>
      <c r="H158" s="207" t="s">
        <v>259</v>
      </c>
      <c r="I158" s="207" t="s">
        <v>260</v>
      </c>
      <c r="J158" s="207" t="s">
        <v>261</v>
      </c>
    </row>
    <row r="159" spans="1:10" hidden="1" x14ac:dyDescent="0.25">
      <c r="A159" s="146"/>
      <c r="B159" s="215" t="str">
        <f>$B$6</f>
        <v>YYYY</v>
      </c>
      <c r="C159" s="311">
        <v>0</v>
      </c>
      <c r="D159" s="302">
        <v>0</v>
      </c>
      <c r="E159" s="303">
        <v>0</v>
      </c>
      <c r="F159" s="217" t="e">
        <f>E159/$D159</f>
        <v>#DIV/0!</v>
      </c>
      <c r="G159" s="308">
        <v>0</v>
      </c>
      <c r="H159" s="217" t="e">
        <f>G159/$D159</f>
        <v>#DIV/0!</v>
      </c>
      <c r="I159" s="216">
        <f>E159+G159</f>
        <v>0</v>
      </c>
      <c r="J159" s="217" t="e">
        <f>I159/$D159</f>
        <v>#DIV/0!</v>
      </c>
    </row>
    <row r="160" spans="1:10" hidden="1" x14ac:dyDescent="0.25">
      <c r="A160" s="146"/>
      <c r="B160" s="215" t="e">
        <f>$B$7</f>
        <v>#VALUE!</v>
      </c>
      <c r="C160" s="312">
        <v>0</v>
      </c>
      <c r="D160" s="304">
        <v>0</v>
      </c>
      <c r="E160" s="305">
        <v>0</v>
      </c>
      <c r="F160" s="217" t="e">
        <f>E160/$D160</f>
        <v>#DIV/0!</v>
      </c>
      <c r="G160" s="309">
        <v>0</v>
      </c>
      <c r="H160" s="217" t="e">
        <f>G160/$D160</f>
        <v>#DIV/0!</v>
      </c>
      <c r="I160" s="216">
        <f>E160+G160</f>
        <v>0</v>
      </c>
      <c r="J160" s="217" t="e">
        <f>I160/$D160</f>
        <v>#DIV/0!</v>
      </c>
    </row>
    <row r="161" spans="1:10" hidden="1" x14ac:dyDescent="0.25">
      <c r="A161" s="146"/>
      <c r="B161" s="221" t="e">
        <f>$B$8</f>
        <v>#VALUE!</v>
      </c>
      <c r="C161" s="313">
        <v>0</v>
      </c>
      <c r="D161" s="306">
        <v>0</v>
      </c>
      <c r="E161" s="307">
        <v>0</v>
      </c>
      <c r="F161" s="218" t="e">
        <f>E161/$D161</f>
        <v>#DIV/0!</v>
      </c>
      <c r="G161" s="310">
        <v>0</v>
      </c>
      <c r="H161" s="218" t="e">
        <f>G161/$D161</f>
        <v>#DIV/0!</v>
      </c>
      <c r="I161" s="225">
        <f>E161+G161</f>
        <v>0</v>
      </c>
      <c r="J161" s="218" t="e">
        <f>I161/$D161</f>
        <v>#DIV/0!</v>
      </c>
    </row>
    <row r="162" spans="1:10" hidden="1" x14ac:dyDescent="0.25">
      <c r="A162" s="146"/>
      <c r="B162" s="215" t="s">
        <v>262</v>
      </c>
      <c r="C162" s="216">
        <f>AVERAGE(C159:C161)</f>
        <v>0</v>
      </c>
      <c r="D162" s="216">
        <f>AVERAGE(D159:D161)</f>
        <v>0</v>
      </c>
      <c r="E162" s="216">
        <f>AVERAGE(E159:E161)</f>
        <v>0</v>
      </c>
      <c r="F162" s="217" t="e">
        <f>E162/$D162</f>
        <v>#DIV/0!</v>
      </c>
      <c r="G162" s="216">
        <f>AVERAGE(G159:G161)</f>
        <v>0</v>
      </c>
      <c r="H162" s="217" t="e">
        <f>G162/$D162</f>
        <v>#DIV/0!</v>
      </c>
      <c r="I162" s="216">
        <f>AVERAGE(I159:I161)</f>
        <v>0</v>
      </c>
      <c r="J162" s="217" t="e">
        <f>I162/$D162</f>
        <v>#DIV/0!</v>
      </c>
    </row>
    <row r="163" spans="1:10" hidden="1" x14ac:dyDescent="0.25">
      <c r="A163" s="146"/>
    </row>
    <row r="164" spans="1:10" hidden="1" x14ac:dyDescent="0.25">
      <c r="A164" s="146"/>
      <c r="B164" s="592" t="s">
        <v>346</v>
      </c>
      <c r="C164" s="592"/>
    </row>
    <row r="165" spans="1:10" ht="30.75" hidden="1" thickBot="1" x14ac:dyDescent="0.3">
      <c r="A165" s="146"/>
      <c r="B165" s="207" t="s">
        <v>108</v>
      </c>
      <c r="C165" s="207" t="s">
        <v>256</v>
      </c>
      <c r="D165" s="207" t="s">
        <v>257</v>
      </c>
      <c r="E165" s="207" t="s">
        <v>114</v>
      </c>
      <c r="F165" s="207" t="s">
        <v>258</v>
      </c>
      <c r="G165" s="207" t="s">
        <v>115</v>
      </c>
      <c r="H165" s="207" t="s">
        <v>259</v>
      </c>
      <c r="I165" s="207" t="s">
        <v>260</v>
      </c>
      <c r="J165" s="207" t="s">
        <v>261</v>
      </c>
    </row>
    <row r="166" spans="1:10" hidden="1" x14ac:dyDescent="0.25">
      <c r="A166" s="146"/>
      <c r="B166" s="215" t="str">
        <f>$B$6</f>
        <v>YYYY</v>
      </c>
      <c r="C166" s="311">
        <v>0</v>
      </c>
      <c r="D166" s="302">
        <v>0</v>
      </c>
      <c r="E166" s="303">
        <v>0</v>
      </c>
      <c r="F166" s="217" t="e">
        <f>E166/$D166</f>
        <v>#DIV/0!</v>
      </c>
      <c r="G166" s="308">
        <v>0</v>
      </c>
      <c r="H166" s="217" t="e">
        <f>G166/$D166</f>
        <v>#DIV/0!</v>
      </c>
      <c r="I166" s="216">
        <f>E166+G166</f>
        <v>0</v>
      </c>
      <c r="J166" s="217" t="e">
        <f>I166/$D166</f>
        <v>#DIV/0!</v>
      </c>
    </row>
    <row r="167" spans="1:10" hidden="1" x14ac:dyDescent="0.25">
      <c r="A167" s="146"/>
      <c r="B167" s="215" t="e">
        <f>$B$7</f>
        <v>#VALUE!</v>
      </c>
      <c r="C167" s="312">
        <v>0</v>
      </c>
      <c r="D167" s="304">
        <v>0</v>
      </c>
      <c r="E167" s="305">
        <v>0</v>
      </c>
      <c r="F167" s="217" t="e">
        <f>E167/$D167</f>
        <v>#DIV/0!</v>
      </c>
      <c r="G167" s="309">
        <v>0</v>
      </c>
      <c r="H167" s="217" t="e">
        <f>G167/$D167</f>
        <v>#DIV/0!</v>
      </c>
      <c r="I167" s="216">
        <f>E167+G167</f>
        <v>0</v>
      </c>
      <c r="J167" s="217" t="e">
        <f>I167/$D167</f>
        <v>#DIV/0!</v>
      </c>
    </row>
    <row r="168" spans="1:10" hidden="1" x14ac:dyDescent="0.25">
      <c r="A168" s="146"/>
      <c r="B168" s="221" t="e">
        <f>$B$8</f>
        <v>#VALUE!</v>
      </c>
      <c r="C168" s="313">
        <v>0</v>
      </c>
      <c r="D168" s="306">
        <v>0</v>
      </c>
      <c r="E168" s="307">
        <v>0</v>
      </c>
      <c r="F168" s="218" t="e">
        <f>E168/$D168</f>
        <v>#DIV/0!</v>
      </c>
      <c r="G168" s="310">
        <v>0</v>
      </c>
      <c r="H168" s="218" t="e">
        <f>G168/$D168</f>
        <v>#DIV/0!</v>
      </c>
      <c r="I168" s="225">
        <f>E168+G168</f>
        <v>0</v>
      </c>
      <c r="J168" s="218" t="e">
        <f>I168/$D168</f>
        <v>#DIV/0!</v>
      </c>
    </row>
    <row r="169" spans="1:10" hidden="1" x14ac:dyDescent="0.25">
      <c r="A169" s="146"/>
      <c r="B169" s="215" t="s">
        <v>262</v>
      </c>
      <c r="C169" s="216">
        <f>AVERAGE(C166:C168)</f>
        <v>0</v>
      </c>
      <c r="D169" s="216">
        <f>AVERAGE(D166:D168)</f>
        <v>0</v>
      </c>
      <c r="E169" s="216">
        <f>AVERAGE(E166:E168)</f>
        <v>0</v>
      </c>
      <c r="F169" s="217" t="e">
        <f>E169/$D169</f>
        <v>#DIV/0!</v>
      </c>
      <c r="G169" s="216">
        <f>AVERAGE(G166:G168)</f>
        <v>0</v>
      </c>
      <c r="H169" s="217" t="e">
        <f>G169/$D169</f>
        <v>#DIV/0!</v>
      </c>
      <c r="I169" s="216">
        <f>AVERAGE(I166:I168)</f>
        <v>0</v>
      </c>
      <c r="J169" s="217" t="e">
        <f>I169/$D169</f>
        <v>#DIV/0!</v>
      </c>
    </row>
    <row r="170" spans="1:10" hidden="1" x14ac:dyDescent="0.25">
      <c r="A170" s="146"/>
    </row>
    <row r="171" spans="1:10" hidden="1" x14ac:dyDescent="0.25">
      <c r="A171" s="146"/>
      <c r="B171" s="592" t="s">
        <v>346</v>
      </c>
      <c r="C171" s="592"/>
    </row>
    <row r="172" spans="1:10" ht="30.75" hidden="1" thickBot="1" x14ac:dyDescent="0.3">
      <c r="A172" s="146"/>
      <c r="B172" s="207" t="s">
        <v>108</v>
      </c>
      <c r="C172" s="207" t="s">
        <v>256</v>
      </c>
      <c r="D172" s="207" t="s">
        <v>257</v>
      </c>
      <c r="E172" s="207" t="s">
        <v>114</v>
      </c>
      <c r="F172" s="207" t="s">
        <v>258</v>
      </c>
      <c r="G172" s="207" t="s">
        <v>115</v>
      </c>
      <c r="H172" s="207" t="s">
        <v>259</v>
      </c>
      <c r="I172" s="207" t="s">
        <v>260</v>
      </c>
      <c r="J172" s="207" t="s">
        <v>261</v>
      </c>
    </row>
    <row r="173" spans="1:10" hidden="1" x14ac:dyDescent="0.25">
      <c r="A173" s="146"/>
      <c r="B173" s="215" t="str">
        <f>$B$6</f>
        <v>YYYY</v>
      </c>
      <c r="C173" s="311">
        <v>0</v>
      </c>
      <c r="D173" s="302">
        <v>0</v>
      </c>
      <c r="E173" s="303">
        <v>0</v>
      </c>
      <c r="F173" s="217" t="e">
        <f>E173/$D173</f>
        <v>#DIV/0!</v>
      </c>
      <c r="G173" s="308">
        <v>0</v>
      </c>
      <c r="H173" s="217" t="e">
        <f>G173/$D173</f>
        <v>#DIV/0!</v>
      </c>
      <c r="I173" s="216">
        <f>E173+G173</f>
        <v>0</v>
      </c>
      <c r="J173" s="217" t="e">
        <f>I173/$D173</f>
        <v>#DIV/0!</v>
      </c>
    </row>
    <row r="174" spans="1:10" hidden="1" x14ac:dyDescent="0.25">
      <c r="A174" s="146"/>
      <c r="B174" s="215" t="e">
        <f>$B$7</f>
        <v>#VALUE!</v>
      </c>
      <c r="C174" s="312">
        <v>0</v>
      </c>
      <c r="D174" s="304">
        <v>0</v>
      </c>
      <c r="E174" s="305">
        <v>0</v>
      </c>
      <c r="F174" s="217" t="e">
        <f>E174/$D174</f>
        <v>#DIV/0!</v>
      </c>
      <c r="G174" s="309">
        <v>0</v>
      </c>
      <c r="H174" s="217" t="e">
        <f>G174/$D174</f>
        <v>#DIV/0!</v>
      </c>
      <c r="I174" s="216">
        <f>E174+G174</f>
        <v>0</v>
      </c>
      <c r="J174" s="217" t="e">
        <f>I174/$D174</f>
        <v>#DIV/0!</v>
      </c>
    </row>
    <row r="175" spans="1:10" hidden="1" x14ac:dyDescent="0.25">
      <c r="A175" s="146"/>
      <c r="B175" s="221" t="e">
        <f>$B$8</f>
        <v>#VALUE!</v>
      </c>
      <c r="C175" s="313">
        <v>0</v>
      </c>
      <c r="D175" s="306">
        <v>0</v>
      </c>
      <c r="E175" s="307">
        <v>0</v>
      </c>
      <c r="F175" s="218" t="e">
        <f>E175/$D175</f>
        <v>#DIV/0!</v>
      </c>
      <c r="G175" s="310">
        <v>0</v>
      </c>
      <c r="H175" s="218" t="e">
        <f>G175/$D175</f>
        <v>#DIV/0!</v>
      </c>
      <c r="I175" s="225">
        <f>E175+G175</f>
        <v>0</v>
      </c>
      <c r="J175" s="218" t="e">
        <f>I175/$D175</f>
        <v>#DIV/0!</v>
      </c>
    </row>
    <row r="176" spans="1:10" hidden="1" x14ac:dyDescent="0.25">
      <c r="A176" s="146"/>
      <c r="B176" s="215" t="s">
        <v>262</v>
      </c>
      <c r="C176" s="216">
        <f>AVERAGE(C173:C175)</f>
        <v>0</v>
      </c>
      <c r="D176" s="216">
        <f>AVERAGE(D173:D175)</f>
        <v>0</v>
      </c>
      <c r="E176" s="216">
        <f>AVERAGE(E173:E175)</f>
        <v>0</v>
      </c>
      <c r="F176" s="217" t="e">
        <f>E176/$D176</f>
        <v>#DIV/0!</v>
      </c>
      <c r="G176" s="216">
        <f>AVERAGE(G173:G175)</f>
        <v>0</v>
      </c>
      <c r="H176" s="217" t="e">
        <f>G176/$D176</f>
        <v>#DIV/0!</v>
      </c>
      <c r="I176" s="216">
        <f>AVERAGE(I173:I175)</f>
        <v>0</v>
      </c>
      <c r="J176" s="217" t="e">
        <f>I176/$D176</f>
        <v>#DIV/0!</v>
      </c>
    </row>
    <row r="177" spans="1:10" hidden="1" x14ac:dyDescent="0.25">
      <c r="A177" s="146"/>
    </row>
    <row r="178" spans="1:10" hidden="1" x14ac:dyDescent="0.25">
      <c r="A178" s="146"/>
      <c r="B178" s="592" t="s">
        <v>346</v>
      </c>
      <c r="C178" s="592"/>
    </row>
    <row r="179" spans="1:10" ht="30.75" hidden="1" thickBot="1" x14ac:dyDescent="0.3">
      <c r="A179" s="146"/>
      <c r="B179" s="207" t="s">
        <v>108</v>
      </c>
      <c r="C179" s="207" t="s">
        <v>256</v>
      </c>
      <c r="D179" s="207" t="s">
        <v>257</v>
      </c>
      <c r="E179" s="207" t="s">
        <v>114</v>
      </c>
      <c r="F179" s="207" t="s">
        <v>258</v>
      </c>
      <c r="G179" s="207" t="s">
        <v>115</v>
      </c>
      <c r="H179" s="207" t="s">
        <v>259</v>
      </c>
      <c r="I179" s="207" t="s">
        <v>260</v>
      </c>
      <c r="J179" s="207" t="s">
        <v>261</v>
      </c>
    </row>
    <row r="180" spans="1:10" hidden="1" x14ac:dyDescent="0.25">
      <c r="A180" s="146"/>
      <c r="B180" s="215" t="str">
        <f>$B$6</f>
        <v>YYYY</v>
      </c>
      <c r="C180" s="311">
        <v>0</v>
      </c>
      <c r="D180" s="302">
        <v>0</v>
      </c>
      <c r="E180" s="303">
        <v>0</v>
      </c>
      <c r="F180" s="217" t="e">
        <f>E180/$D180</f>
        <v>#DIV/0!</v>
      </c>
      <c r="G180" s="308">
        <v>0</v>
      </c>
      <c r="H180" s="217" t="e">
        <f>G180/$D180</f>
        <v>#DIV/0!</v>
      </c>
      <c r="I180" s="216">
        <f>E180+G180</f>
        <v>0</v>
      </c>
      <c r="J180" s="217" t="e">
        <f>I180/$D180</f>
        <v>#DIV/0!</v>
      </c>
    </row>
    <row r="181" spans="1:10" hidden="1" x14ac:dyDescent="0.25">
      <c r="A181" s="146"/>
      <c r="B181" s="215" t="e">
        <f>$B$7</f>
        <v>#VALUE!</v>
      </c>
      <c r="C181" s="312">
        <v>0</v>
      </c>
      <c r="D181" s="304">
        <v>0</v>
      </c>
      <c r="E181" s="305">
        <v>0</v>
      </c>
      <c r="F181" s="217" t="e">
        <f>E181/$D181</f>
        <v>#DIV/0!</v>
      </c>
      <c r="G181" s="309">
        <v>0</v>
      </c>
      <c r="H181" s="217" t="e">
        <f>G181/$D181</f>
        <v>#DIV/0!</v>
      </c>
      <c r="I181" s="216">
        <f>E181+G181</f>
        <v>0</v>
      </c>
      <c r="J181" s="217" t="e">
        <f>I181/$D181</f>
        <v>#DIV/0!</v>
      </c>
    </row>
    <row r="182" spans="1:10" hidden="1" x14ac:dyDescent="0.25">
      <c r="A182" s="146"/>
      <c r="B182" s="221" t="e">
        <f>$B$8</f>
        <v>#VALUE!</v>
      </c>
      <c r="C182" s="313">
        <v>0</v>
      </c>
      <c r="D182" s="306">
        <v>0</v>
      </c>
      <c r="E182" s="307">
        <v>0</v>
      </c>
      <c r="F182" s="218" t="e">
        <f>E182/$D182</f>
        <v>#DIV/0!</v>
      </c>
      <c r="G182" s="310">
        <v>0</v>
      </c>
      <c r="H182" s="218" t="e">
        <f>G182/$D182</f>
        <v>#DIV/0!</v>
      </c>
      <c r="I182" s="225">
        <f>E182+G182</f>
        <v>0</v>
      </c>
      <c r="J182" s="218" t="e">
        <f>I182/$D182</f>
        <v>#DIV/0!</v>
      </c>
    </row>
    <row r="183" spans="1:10" hidden="1" x14ac:dyDescent="0.25">
      <c r="A183" s="146"/>
      <c r="B183" s="215" t="s">
        <v>262</v>
      </c>
      <c r="C183" s="216">
        <f>AVERAGE(C180:C182)</f>
        <v>0</v>
      </c>
      <c r="D183" s="216">
        <f>AVERAGE(D180:D182)</f>
        <v>0</v>
      </c>
      <c r="E183" s="216">
        <f>AVERAGE(E180:E182)</f>
        <v>0</v>
      </c>
      <c r="F183" s="217" t="e">
        <f>E183/$D183</f>
        <v>#DIV/0!</v>
      </c>
      <c r="G183" s="216">
        <f>AVERAGE(G180:G182)</f>
        <v>0</v>
      </c>
      <c r="H183" s="217" t="e">
        <f>G183/$D183</f>
        <v>#DIV/0!</v>
      </c>
      <c r="I183" s="216">
        <f>AVERAGE(I180:I182)</f>
        <v>0</v>
      </c>
      <c r="J183" s="217" t="e">
        <f>I183/$D183</f>
        <v>#DIV/0!</v>
      </c>
    </row>
    <row r="184" spans="1:10" hidden="1" x14ac:dyDescent="0.25">
      <c r="A184" s="146"/>
    </row>
    <row r="185" spans="1:10" hidden="1" x14ac:dyDescent="0.25">
      <c r="A185" s="146"/>
      <c r="B185" s="592" t="s">
        <v>346</v>
      </c>
      <c r="C185" s="592"/>
    </row>
    <row r="186" spans="1:10" ht="30.75" hidden="1" thickBot="1" x14ac:dyDescent="0.3">
      <c r="A186" s="146"/>
      <c r="B186" s="207" t="s">
        <v>108</v>
      </c>
      <c r="C186" s="207" t="s">
        <v>256</v>
      </c>
      <c r="D186" s="207" t="s">
        <v>257</v>
      </c>
      <c r="E186" s="207" t="s">
        <v>114</v>
      </c>
      <c r="F186" s="207" t="s">
        <v>258</v>
      </c>
      <c r="G186" s="207" t="s">
        <v>115</v>
      </c>
      <c r="H186" s="207" t="s">
        <v>259</v>
      </c>
      <c r="I186" s="207" t="s">
        <v>260</v>
      </c>
      <c r="J186" s="207" t="s">
        <v>261</v>
      </c>
    </row>
    <row r="187" spans="1:10" hidden="1" x14ac:dyDescent="0.25">
      <c r="A187" s="146"/>
      <c r="B187" s="215" t="str">
        <f>$B$6</f>
        <v>YYYY</v>
      </c>
      <c r="C187" s="311">
        <v>0</v>
      </c>
      <c r="D187" s="302">
        <v>0</v>
      </c>
      <c r="E187" s="303">
        <v>0</v>
      </c>
      <c r="F187" s="217" t="e">
        <f>E187/$D187</f>
        <v>#DIV/0!</v>
      </c>
      <c r="G187" s="308">
        <v>0</v>
      </c>
      <c r="H187" s="217" t="e">
        <f>G187/$D187</f>
        <v>#DIV/0!</v>
      </c>
      <c r="I187" s="216">
        <f>E187+G187</f>
        <v>0</v>
      </c>
      <c r="J187" s="217" t="e">
        <f>I187/$D187</f>
        <v>#DIV/0!</v>
      </c>
    </row>
    <row r="188" spans="1:10" hidden="1" x14ac:dyDescent="0.25">
      <c r="A188" s="146"/>
      <c r="B188" s="215" t="e">
        <f>$B$7</f>
        <v>#VALUE!</v>
      </c>
      <c r="C188" s="312">
        <v>0</v>
      </c>
      <c r="D188" s="304">
        <v>0</v>
      </c>
      <c r="E188" s="305">
        <v>0</v>
      </c>
      <c r="F188" s="217" t="e">
        <f>E188/$D188</f>
        <v>#DIV/0!</v>
      </c>
      <c r="G188" s="309">
        <v>0</v>
      </c>
      <c r="H188" s="217" t="e">
        <f>G188/$D188</f>
        <v>#DIV/0!</v>
      </c>
      <c r="I188" s="216">
        <f>E188+G188</f>
        <v>0</v>
      </c>
      <c r="J188" s="217" t="e">
        <f>I188/$D188</f>
        <v>#DIV/0!</v>
      </c>
    </row>
    <row r="189" spans="1:10" hidden="1" x14ac:dyDescent="0.25">
      <c r="A189" s="146"/>
      <c r="B189" s="221" t="e">
        <f>$B$8</f>
        <v>#VALUE!</v>
      </c>
      <c r="C189" s="313">
        <v>0</v>
      </c>
      <c r="D189" s="306">
        <v>0</v>
      </c>
      <c r="E189" s="307">
        <v>0</v>
      </c>
      <c r="F189" s="218" t="e">
        <f>E189/$D189</f>
        <v>#DIV/0!</v>
      </c>
      <c r="G189" s="310">
        <v>0</v>
      </c>
      <c r="H189" s="218" t="e">
        <f>G189/$D189</f>
        <v>#DIV/0!</v>
      </c>
      <c r="I189" s="225">
        <f>E189+G189</f>
        <v>0</v>
      </c>
      <c r="J189" s="218" t="e">
        <f>I189/$D189</f>
        <v>#DIV/0!</v>
      </c>
    </row>
    <row r="190" spans="1:10" hidden="1" x14ac:dyDescent="0.25">
      <c r="A190" s="146"/>
      <c r="B190" s="215" t="s">
        <v>262</v>
      </c>
      <c r="C190" s="216">
        <f>AVERAGE(C187:C189)</f>
        <v>0</v>
      </c>
      <c r="D190" s="216">
        <f>AVERAGE(D187:D189)</f>
        <v>0</v>
      </c>
      <c r="E190" s="216">
        <f>AVERAGE(E187:E189)</f>
        <v>0</v>
      </c>
      <c r="F190" s="217" t="e">
        <f>E190/$D190</f>
        <v>#DIV/0!</v>
      </c>
      <c r="G190" s="216">
        <f>AVERAGE(G187:G189)</f>
        <v>0</v>
      </c>
      <c r="H190" s="217" t="e">
        <f>G190/$D190</f>
        <v>#DIV/0!</v>
      </c>
      <c r="I190" s="216">
        <f>AVERAGE(I187:I189)</f>
        <v>0</v>
      </c>
      <c r="J190" s="217" t="e">
        <f>I190/$D190</f>
        <v>#DIV/0!</v>
      </c>
    </row>
    <row r="191" spans="1:10" hidden="1" x14ac:dyDescent="0.25">
      <c r="A191" s="146"/>
    </row>
    <row r="192" spans="1:10" hidden="1" x14ac:dyDescent="0.25">
      <c r="A192" s="146"/>
      <c r="B192" s="592" t="s">
        <v>346</v>
      </c>
      <c r="C192" s="592"/>
    </row>
    <row r="193" spans="1:10" ht="30.75" hidden="1" thickBot="1" x14ac:dyDescent="0.3">
      <c r="A193" s="146"/>
      <c r="B193" s="207" t="s">
        <v>108</v>
      </c>
      <c r="C193" s="207" t="s">
        <v>256</v>
      </c>
      <c r="D193" s="207" t="s">
        <v>257</v>
      </c>
      <c r="E193" s="207" t="s">
        <v>114</v>
      </c>
      <c r="F193" s="207" t="s">
        <v>258</v>
      </c>
      <c r="G193" s="207" t="s">
        <v>115</v>
      </c>
      <c r="H193" s="207" t="s">
        <v>259</v>
      </c>
      <c r="I193" s="207" t="s">
        <v>260</v>
      </c>
      <c r="J193" s="207" t="s">
        <v>261</v>
      </c>
    </row>
    <row r="194" spans="1:10" hidden="1" x14ac:dyDescent="0.25">
      <c r="A194" s="146"/>
      <c r="B194" s="215" t="str">
        <f>$B$6</f>
        <v>YYYY</v>
      </c>
      <c r="C194" s="311">
        <v>0</v>
      </c>
      <c r="D194" s="302">
        <v>0</v>
      </c>
      <c r="E194" s="303">
        <v>0</v>
      </c>
      <c r="F194" s="217" t="e">
        <f>E194/$D194</f>
        <v>#DIV/0!</v>
      </c>
      <c r="G194" s="308">
        <v>0</v>
      </c>
      <c r="H194" s="217" t="e">
        <f>G194/$D194</f>
        <v>#DIV/0!</v>
      </c>
      <c r="I194" s="216">
        <f>E194+G194</f>
        <v>0</v>
      </c>
      <c r="J194" s="217" t="e">
        <f>I194/$D194</f>
        <v>#DIV/0!</v>
      </c>
    </row>
    <row r="195" spans="1:10" hidden="1" x14ac:dyDescent="0.25">
      <c r="A195" s="146"/>
      <c r="B195" s="215" t="e">
        <f>$B$7</f>
        <v>#VALUE!</v>
      </c>
      <c r="C195" s="312">
        <v>0</v>
      </c>
      <c r="D195" s="304">
        <v>0</v>
      </c>
      <c r="E195" s="305">
        <v>0</v>
      </c>
      <c r="F195" s="217" t="e">
        <f>E195/$D195</f>
        <v>#DIV/0!</v>
      </c>
      <c r="G195" s="309">
        <v>0</v>
      </c>
      <c r="H195" s="217" t="e">
        <f>G195/$D195</f>
        <v>#DIV/0!</v>
      </c>
      <c r="I195" s="216">
        <f>E195+G195</f>
        <v>0</v>
      </c>
      <c r="J195" s="217" t="e">
        <f>I195/$D195</f>
        <v>#DIV/0!</v>
      </c>
    </row>
    <row r="196" spans="1:10" hidden="1" x14ac:dyDescent="0.25">
      <c r="A196" s="146"/>
      <c r="B196" s="221" t="e">
        <f>$B$8</f>
        <v>#VALUE!</v>
      </c>
      <c r="C196" s="313">
        <v>0</v>
      </c>
      <c r="D196" s="306">
        <v>0</v>
      </c>
      <c r="E196" s="307">
        <v>0</v>
      </c>
      <c r="F196" s="218" t="e">
        <f>E196/$D196</f>
        <v>#DIV/0!</v>
      </c>
      <c r="G196" s="310">
        <v>0</v>
      </c>
      <c r="H196" s="218" t="e">
        <f>G196/$D196</f>
        <v>#DIV/0!</v>
      </c>
      <c r="I196" s="225">
        <f>E196+G196</f>
        <v>0</v>
      </c>
      <c r="J196" s="218" t="e">
        <f>I196/$D196</f>
        <v>#DIV/0!</v>
      </c>
    </row>
    <row r="197" spans="1:10" hidden="1" x14ac:dyDescent="0.25">
      <c r="A197" s="146"/>
      <c r="B197" s="215" t="s">
        <v>262</v>
      </c>
      <c r="C197" s="216">
        <f>AVERAGE(C194:C196)</f>
        <v>0</v>
      </c>
      <c r="D197" s="216">
        <f>AVERAGE(D194:D196)</f>
        <v>0</v>
      </c>
      <c r="E197" s="216">
        <f>AVERAGE(E194:E196)</f>
        <v>0</v>
      </c>
      <c r="F197" s="217" t="e">
        <f>E197/$D197</f>
        <v>#DIV/0!</v>
      </c>
      <c r="G197" s="216">
        <f>AVERAGE(G194:G196)</f>
        <v>0</v>
      </c>
      <c r="H197" s="217" t="e">
        <f>G197/$D197</f>
        <v>#DIV/0!</v>
      </c>
      <c r="I197" s="216">
        <f>AVERAGE(I194:I196)</f>
        <v>0</v>
      </c>
      <c r="J197" s="217" t="e">
        <f>I197/$D197</f>
        <v>#DIV/0!</v>
      </c>
    </row>
    <row r="198" spans="1:10" hidden="1" x14ac:dyDescent="0.25">
      <c r="A198" s="146"/>
    </row>
    <row r="199" spans="1:10" hidden="1" x14ac:dyDescent="0.25">
      <c r="A199" s="146"/>
      <c r="B199" s="592" t="s">
        <v>346</v>
      </c>
      <c r="C199" s="592"/>
    </row>
    <row r="200" spans="1:10" ht="30.75" hidden="1" thickBot="1" x14ac:dyDescent="0.3">
      <c r="A200" s="146"/>
      <c r="B200" s="207" t="s">
        <v>108</v>
      </c>
      <c r="C200" s="207" t="s">
        <v>256</v>
      </c>
      <c r="D200" s="207" t="s">
        <v>257</v>
      </c>
      <c r="E200" s="207" t="s">
        <v>114</v>
      </c>
      <c r="F200" s="207" t="s">
        <v>258</v>
      </c>
      <c r="G200" s="207" t="s">
        <v>115</v>
      </c>
      <c r="H200" s="207" t="s">
        <v>259</v>
      </c>
      <c r="I200" s="207" t="s">
        <v>260</v>
      </c>
      <c r="J200" s="207" t="s">
        <v>261</v>
      </c>
    </row>
    <row r="201" spans="1:10" hidden="1" x14ac:dyDescent="0.25">
      <c r="A201" s="146"/>
      <c r="B201" s="215" t="str">
        <f>$B$6</f>
        <v>YYYY</v>
      </c>
      <c r="C201" s="311">
        <v>0</v>
      </c>
      <c r="D201" s="302">
        <v>0</v>
      </c>
      <c r="E201" s="303">
        <v>0</v>
      </c>
      <c r="F201" s="217" t="e">
        <f>E201/$D201</f>
        <v>#DIV/0!</v>
      </c>
      <c r="G201" s="308">
        <v>0</v>
      </c>
      <c r="H201" s="217" t="e">
        <f>G201/$D201</f>
        <v>#DIV/0!</v>
      </c>
      <c r="I201" s="216">
        <f>E201+G201</f>
        <v>0</v>
      </c>
      <c r="J201" s="217" t="e">
        <f>I201/$D201</f>
        <v>#DIV/0!</v>
      </c>
    </row>
    <row r="202" spans="1:10" hidden="1" x14ac:dyDescent="0.25">
      <c r="A202" s="146"/>
      <c r="B202" s="215" t="e">
        <f>$B$7</f>
        <v>#VALUE!</v>
      </c>
      <c r="C202" s="312">
        <v>0</v>
      </c>
      <c r="D202" s="304">
        <v>0</v>
      </c>
      <c r="E202" s="305">
        <v>0</v>
      </c>
      <c r="F202" s="217" t="e">
        <f>E202/$D202</f>
        <v>#DIV/0!</v>
      </c>
      <c r="G202" s="309">
        <v>0</v>
      </c>
      <c r="H202" s="217" t="e">
        <f>G202/$D202</f>
        <v>#DIV/0!</v>
      </c>
      <c r="I202" s="216">
        <f>E202+G202</f>
        <v>0</v>
      </c>
      <c r="J202" s="217" t="e">
        <f>I202/$D202</f>
        <v>#DIV/0!</v>
      </c>
    </row>
    <row r="203" spans="1:10" hidden="1" x14ac:dyDescent="0.25">
      <c r="A203" s="146"/>
      <c r="B203" s="221" t="e">
        <f>$B$8</f>
        <v>#VALUE!</v>
      </c>
      <c r="C203" s="313">
        <v>0</v>
      </c>
      <c r="D203" s="306">
        <v>0</v>
      </c>
      <c r="E203" s="307">
        <v>0</v>
      </c>
      <c r="F203" s="218" t="e">
        <f>E203/$D203</f>
        <v>#DIV/0!</v>
      </c>
      <c r="G203" s="310">
        <v>0</v>
      </c>
      <c r="H203" s="218" t="e">
        <f>G203/$D203</f>
        <v>#DIV/0!</v>
      </c>
      <c r="I203" s="225">
        <f>E203+G203</f>
        <v>0</v>
      </c>
      <c r="J203" s="218" t="e">
        <f>I203/$D203</f>
        <v>#DIV/0!</v>
      </c>
    </row>
    <row r="204" spans="1:10" hidden="1" x14ac:dyDescent="0.25">
      <c r="A204" s="146"/>
      <c r="B204" s="215" t="s">
        <v>262</v>
      </c>
      <c r="C204" s="216">
        <f>AVERAGE(C201:C203)</f>
        <v>0</v>
      </c>
      <c r="D204" s="216">
        <f>AVERAGE(D201:D203)</f>
        <v>0</v>
      </c>
      <c r="E204" s="216">
        <f>AVERAGE(E201:E203)</f>
        <v>0</v>
      </c>
      <c r="F204" s="217" t="e">
        <f>E204/$D204</f>
        <v>#DIV/0!</v>
      </c>
      <c r="G204" s="216">
        <f>AVERAGE(G201:G203)</f>
        <v>0</v>
      </c>
      <c r="H204" s="217" t="e">
        <f>G204/$D204</f>
        <v>#DIV/0!</v>
      </c>
      <c r="I204" s="216">
        <f>AVERAGE(I201:I203)</f>
        <v>0</v>
      </c>
      <c r="J204" s="217" t="e">
        <f>I204/$D204</f>
        <v>#DIV/0!</v>
      </c>
    </row>
    <row r="205" spans="1:10" hidden="1" x14ac:dyDescent="0.25">
      <c r="A205" s="146"/>
    </row>
    <row r="206" spans="1:10" hidden="1" x14ac:dyDescent="0.25">
      <c r="A206" s="146"/>
      <c r="B206" s="592" t="s">
        <v>346</v>
      </c>
      <c r="C206" s="592"/>
    </row>
    <row r="207" spans="1:10" ht="30.75" hidden="1" thickBot="1" x14ac:dyDescent="0.3">
      <c r="A207" s="146"/>
      <c r="B207" s="207" t="s">
        <v>108</v>
      </c>
      <c r="C207" s="207" t="s">
        <v>256</v>
      </c>
      <c r="D207" s="207" t="s">
        <v>257</v>
      </c>
      <c r="E207" s="207" t="s">
        <v>114</v>
      </c>
      <c r="F207" s="207" t="s">
        <v>258</v>
      </c>
      <c r="G207" s="207" t="s">
        <v>115</v>
      </c>
      <c r="H207" s="207" t="s">
        <v>259</v>
      </c>
      <c r="I207" s="207" t="s">
        <v>260</v>
      </c>
      <c r="J207" s="207" t="s">
        <v>261</v>
      </c>
    </row>
    <row r="208" spans="1:10" hidden="1" x14ac:dyDescent="0.25">
      <c r="A208" s="146"/>
      <c r="B208" s="215" t="str">
        <f>$B$6</f>
        <v>YYYY</v>
      </c>
      <c r="C208" s="311">
        <v>0</v>
      </c>
      <c r="D208" s="302">
        <v>0</v>
      </c>
      <c r="E208" s="303">
        <v>0</v>
      </c>
      <c r="F208" s="217" t="e">
        <f>E208/$D208</f>
        <v>#DIV/0!</v>
      </c>
      <c r="G208" s="308">
        <v>0</v>
      </c>
      <c r="H208" s="217" t="e">
        <f>G208/$D208</f>
        <v>#DIV/0!</v>
      </c>
      <c r="I208" s="216">
        <f>E208+G208</f>
        <v>0</v>
      </c>
      <c r="J208" s="217" t="e">
        <f>I208/$D208</f>
        <v>#DIV/0!</v>
      </c>
    </row>
    <row r="209" spans="1:10" hidden="1" x14ac:dyDescent="0.25">
      <c r="A209" s="146"/>
      <c r="B209" s="215" t="e">
        <f>$B$7</f>
        <v>#VALUE!</v>
      </c>
      <c r="C209" s="312">
        <v>0</v>
      </c>
      <c r="D209" s="304">
        <v>0</v>
      </c>
      <c r="E209" s="305">
        <v>0</v>
      </c>
      <c r="F209" s="217" t="e">
        <f>E209/$D209</f>
        <v>#DIV/0!</v>
      </c>
      <c r="G209" s="309">
        <v>0</v>
      </c>
      <c r="H209" s="217" t="e">
        <f>G209/$D209</f>
        <v>#DIV/0!</v>
      </c>
      <c r="I209" s="216">
        <f>E209+G209</f>
        <v>0</v>
      </c>
      <c r="J209" s="217" t="e">
        <f>I209/$D209</f>
        <v>#DIV/0!</v>
      </c>
    </row>
    <row r="210" spans="1:10" hidden="1" x14ac:dyDescent="0.25">
      <c r="A210" s="146"/>
      <c r="B210" s="221" t="e">
        <f>$B$8</f>
        <v>#VALUE!</v>
      </c>
      <c r="C210" s="313">
        <v>0</v>
      </c>
      <c r="D210" s="306">
        <v>0</v>
      </c>
      <c r="E210" s="307">
        <v>0</v>
      </c>
      <c r="F210" s="218" t="e">
        <f>E210/$D210</f>
        <v>#DIV/0!</v>
      </c>
      <c r="G210" s="310">
        <v>0</v>
      </c>
      <c r="H210" s="218" t="e">
        <f>G210/$D210</f>
        <v>#DIV/0!</v>
      </c>
      <c r="I210" s="225">
        <f>E210+G210</f>
        <v>0</v>
      </c>
      <c r="J210" s="218" t="e">
        <f>I210/$D210</f>
        <v>#DIV/0!</v>
      </c>
    </row>
    <row r="211" spans="1:10" hidden="1" x14ac:dyDescent="0.25">
      <c r="A211" s="146"/>
      <c r="B211" s="215" t="s">
        <v>262</v>
      </c>
      <c r="C211" s="216">
        <f>AVERAGE(C208:C210)</f>
        <v>0</v>
      </c>
      <c r="D211" s="216">
        <f>AVERAGE(D208:D210)</f>
        <v>0</v>
      </c>
      <c r="E211" s="216">
        <f>AVERAGE(E208:E210)</f>
        <v>0</v>
      </c>
      <c r="F211" s="217" t="e">
        <f>E211/$D211</f>
        <v>#DIV/0!</v>
      </c>
      <c r="G211" s="216">
        <f>AVERAGE(G208:G210)</f>
        <v>0</v>
      </c>
      <c r="H211" s="217" t="e">
        <f>G211/$D211</f>
        <v>#DIV/0!</v>
      </c>
      <c r="I211" s="216">
        <f>AVERAGE(I208:I210)</f>
        <v>0</v>
      </c>
      <c r="J211" s="217" t="e">
        <f>I211/$D211</f>
        <v>#DIV/0!</v>
      </c>
    </row>
    <row r="212" spans="1:10" hidden="1" x14ac:dyDescent="0.25">
      <c r="A212" s="146"/>
    </row>
    <row r="213" spans="1:10" hidden="1" x14ac:dyDescent="0.25">
      <c r="A213" s="146"/>
      <c r="B213" s="592" t="s">
        <v>346</v>
      </c>
      <c r="C213" s="592"/>
    </row>
    <row r="214" spans="1:10" ht="30.75" hidden="1" thickBot="1" x14ac:dyDescent="0.3">
      <c r="A214" s="146"/>
      <c r="B214" s="207" t="s">
        <v>108</v>
      </c>
      <c r="C214" s="207" t="s">
        <v>256</v>
      </c>
      <c r="D214" s="207" t="s">
        <v>257</v>
      </c>
      <c r="E214" s="207" t="s">
        <v>114</v>
      </c>
      <c r="F214" s="207" t="s">
        <v>258</v>
      </c>
      <c r="G214" s="207" t="s">
        <v>115</v>
      </c>
      <c r="H214" s="207" t="s">
        <v>259</v>
      </c>
      <c r="I214" s="207" t="s">
        <v>260</v>
      </c>
      <c r="J214" s="207" t="s">
        <v>261</v>
      </c>
    </row>
    <row r="215" spans="1:10" hidden="1" x14ac:dyDescent="0.25">
      <c r="A215" s="146"/>
      <c r="B215" s="215" t="str">
        <f>$B$6</f>
        <v>YYYY</v>
      </c>
      <c r="C215" s="311">
        <v>0</v>
      </c>
      <c r="D215" s="302">
        <v>0</v>
      </c>
      <c r="E215" s="303">
        <v>0</v>
      </c>
      <c r="F215" s="217" t="e">
        <f>E215/$D215</f>
        <v>#DIV/0!</v>
      </c>
      <c r="G215" s="308">
        <v>0</v>
      </c>
      <c r="H215" s="217" t="e">
        <f>G215/$D215</f>
        <v>#DIV/0!</v>
      </c>
      <c r="I215" s="216">
        <f>E215+G215</f>
        <v>0</v>
      </c>
      <c r="J215" s="217" t="e">
        <f>I215/$D215</f>
        <v>#DIV/0!</v>
      </c>
    </row>
    <row r="216" spans="1:10" hidden="1" x14ac:dyDescent="0.25">
      <c r="A216" s="146"/>
      <c r="B216" s="215" t="e">
        <f>$B$7</f>
        <v>#VALUE!</v>
      </c>
      <c r="C216" s="312">
        <v>0</v>
      </c>
      <c r="D216" s="304">
        <v>0</v>
      </c>
      <c r="E216" s="305">
        <v>0</v>
      </c>
      <c r="F216" s="217" t="e">
        <f>E216/$D216</f>
        <v>#DIV/0!</v>
      </c>
      <c r="G216" s="309">
        <v>0</v>
      </c>
      <c r="H216" s="217" t="e">
        <f>G216/$D216</f>
        <v>#DIV/0!</v>
      </c>
      <c r="I216" s="216">
        <f>E216+G216</f>
        <v>0</v>
      </c>
      <c r="J216" s="217" t="e">
        <f>I216/$D216</f>
        <v>#DIV/0!</v>
      </c>
    </row>
    <row r="217" spans="1:10" hidden="1" x14ac:dyDescent="0.25">
      <c r="A217" s="146"/>
      <c r="B217" s="221" t="e">
        <f>$B$8</f>
        <v>#VALUE!</v>
      </c>
      <c r="C217" s="313">
        <v>0</v>
      </c>
      <c r="D217" s="306">
        <v>0</v>
      </c>
      <c r="E217" s="307">
        <v>0</v>
      </c>
      <c r="F217" s="218" t="e">
        <f>E217/$D217</f>
        <v>#DIV/0!</v>
      </c>
      <c r="G217" s="310">
        <v>0</v>
      </c>
      <c r="H217" s="218" t="e">
        <f>G217/$D217</f>
        <v>#DIV/0!</v>
      </c>
      <c r="I217" s="225">
        <f>E217+G217</f>
        <v>0</v>
      </c>
      <c r="J217" s="218" t="e">
        <f>I217/$D217</f>
        <v>#DIV/0!</v>
      </c>
    </row>
    <row r="218" spans="1:10" hidden="1" x14ac:dyDescent="0.25">
      <c r="A218" s="146"/>
      <c r="B218" s="215" t="s">
        <v>262</v>
      </c>
      <c r="C218" s="216">
        <f>AVERAGE(C215:C217)</f>
        <v>0</v>
      </c>
      <c r="D218" s="216">
        <f>AVERAGE(D215:D217)</f>
        <v>0</v>
      </c>
      <c r="E218" s="216">
        <f>AVERAGE(E215:E217)</f>
        <v>0</v>
      </c>
      <c r="F218" s="217" t="e">
        <f>E218/$D218</f>
        <v>#DIV/0!</v>
      </c>
      <c r="G218" s="216">
        <f>AVERAGE(G215:G217)</f>
        <v>0</v>
      </c>
      <c r="H218" s="217" t="e">
        <f>G218/$D218</f>
        <v>#DIV/0!</v>
      </c>
      <c r="I218" s="216">
        <f>AVERAGE(I215:I217)</f>
        <v>0</v>
      </c>
      <c r="J218" s="217" t="e">
        <f>I218/$D218</f>
        <v>#DIV/0!</v>
      </c>
    </row>
    <row r="219" spans="1:10" hidden="1" x14ac:dyDescent="0.25">
      <c r="A219" s="146"/>
    </row>
    <row r="220" spans="1:10" hidden="1" x14ac:dyDescent="0.25">
      <c r="A220" s="146"/>
      <c r="B220" s="592" t="s">
        <v>346</v>
      </c>
      <c r="C220" s="592"/>
    </row>
    <row r="221" spans="1:10" ht="30.75" hidden="1" thickBot="1" x14ac:dyDescent="0.3">
      <c r="A221" s="146"/>
      <c r="B221" s="207" t="s">
        <v>108</v>
      </c>
      <c r="C221" s="207" t="s">
        <v>256</v>
      </c>
      <c r="D221" s="207" t="s">
        <v>257</v>
      </c>
      <c r="E221" s="207" t="s">
        <v>114</v>
      </c>
      <c r="F221" s="207" t="s">
        <v>258</v>
      </c>
      <c r="G221" s="207" t="s">
        <v>115</v>
      </c>
      <c r="H221" s="207" t="s">
        <v>259</v>
      </c>
      <c r="I221" s="207" t="s">
        <v>260</v>
      </c>
      <c r="J221" s="207" t="s">
        <v>261</v>
      </c>
    </row>
    <row r="222" spans="1:10" hidden="1" x14ac:dyDescent="0.25">
      <c r="A222" s="146"/>
      <c r="B222" s="215" t="str">
        <f>$B$6</f>
        <v>YYYY</v>
      </c>
      <c r="C222" s="311">
        <v>0</v>
      </c>
      <c r="D222" s="302">
        <v>0</v>
      </c>
      <c r="E222" s="303">
        <v>0</v>
      </c>
      <c r="F222" s="217" t="e">
        <f>E222/$D222</f>
        <v>#DIV/0!</v>
      </c>
      <c r="G222" s="308">
        <v>0</v>
      </c>
      <c r="H222" s="217" t="e">
        <f>G222/$D222</f>
        <v>#DIV/0!</v>
      </c>
      <c r="I222" s="216">
        <f>E222+G222</f>
        <v>0</v>
      </c>
      <c r="J222" s="217" t="e">
        <f>I222/$D222</f>
        <v>#DIV/0!</v>
      </c>
    </row>
    <row r="223" spans="1:10" hidden="1" x14ac:dyDescent="0.25">
      <c r="A223" s="146"/>
      <c r="B223" s="215" t="e">
        <f>$B$7</f>
        <v>#VALUE!</v>
      </c>
      <c r="C223" s="312">
        <v>0</v>
      </c>
      <c r="D223" s="304">
        <v>0</v>
      </c>
      <c r="E223" s="305">
        <v>0</v>
      </c>
      <c r="F223" s="217" t="e">
        <f>E223/$D223</f>
        <v>#DIV/0!</v>
      </c>
      <c r="G223" s="309">
        <v>0</v>
      </c>
      <c r="H223" s="217" t="e">
        <f>G223/$D223</f>
        <v>#DIV/0!</v>
      </c>
      <c r="I223" s="216">
        <f>E223+G223</f>
        <v>0</v>
      </c>
      <c r="J223" s="217" t="e">
        <f>I223/$D223</f>
        <v>#DIV/0!</v>
      </c>
    </row>
    <row r="224" spans="1:10" hidden="1" x14ac:dyDescent="0.25">
      <c r="A224" s="146"/>
      <c r="B224" s="221" t="e">
        <f>$B$8</f>
        <v>#VALUE!</v>
      </c>
      <c r="C224" s="313">
        <v>0</v>
      </c>
      <c r="D224" s="306">
        <v>0</v>
      </c>
      <c r="E224" s="307">
        <v>0</v>
      </c>
      <c r="F224" s="218" t="e">
        <f>E224/$D224</f>
        <v>#DIV/0!</v>
      </c>
      <c r="G224" s="310">
        <v>0</v>
      </c>
      <c r="H224" s="218" t="e">
        <f>G224/$D224</f>
        <v>#DIV/0!</v>
      </c>
      <c r="I224" s="225">
        <f>E224+G224</f>
        <v>0</v>
      </c>
      <c r="J224" s="218" t="e">
        <f>I224/$D224</f>
        <v>#DIV/0!</v>
      </c>
    </row>
    <row r="225" spans="1:10" hidden="1" x14ac:dyDescent="0.25">
      <c r="A225" s="146"/>
      <c r="B225" s="215" t="s">
        <v>262</v>
      </c>
      <c r="C225" s="216">
        <f>AVERAGE(C222:C224)</f>
        <v>0</v>
      </c>
      <c r="D225" s="216">
        <f>AVERAGE(D222:D224)</f>
        <v>0</v>
      </c>
      <c r="E225" s="216">
        <f>AVERAGE(E222:E224)</f>
        <v>0</v>
      </c>
      <c r="F225" s="217" t="e">
        <f>E225/$D225</f>
        <v>#DIV/0!</v>
      </c>
      <c r="G225" s="216">
        <f>AVERAGE(G222:G224)</f>
        <v>0</v>
      </c>
      <c r="H225" s="217" t="e">
        <f>G225/$D225</f>
        <v>#DIV/0!</v>
      </c>
      <c r="I225" s="216">
        <f>AVERAGE(I222:I224)</f>
        <v>0</v>
      </c>
      <c r="J225" s="217" t="e">
        <f>I225/$D225</f>
        <v>#DIV/0!</v>
      </c>
    </row>
    <row r="226" spans="1:10" hidden="1" x14ac:dyDescent="0.25">
      <c r="A226" s="146"/>
    </row>
    <row r="227" spans="1:10" hidden="1" x14ac:dyDescent="0.25">
      <c r="A227" s="146"/>
      <c r="B227" s="592" t="s">
        <v>346</v>
      </c>
      <c r="C227" s="592"/>
    </row>
    <row r="228" spans="1:10" ht="30.75" hidden="1" thickBot="1" x14ac:dyDescent="0.3">
      <c r="A228" s="146"/>
      <c r="B228" s="207" t="s">
        <v>108</v>
      </c>
      <c r="C228" s="207" t="s">
        <v>256</v>
      </c>
      <c r="D228" s="207" t="s">
        <v>257</v>
      </c>
      <c r="E228" s="207" t="s">
        <v>114</v>
      </c>
      <c r="F228" s="207" t="s">
        <v>258</v>
      </c>
      <c r="G228" s="207" t="s">
        <v>115</v>
      </c>
      <c r="H228" s="207" t="s">
        <v>259</v>
      </c>
      <c r="I228" s="207" t="s">
        <v>260</v>
      </c>
      <c r="J228" s="207" t="s">
        <v>261</v>
      </c>
    </row>
    <row r="229" spans="1:10" hidden="1" x14ac:dyDescent="0.25">
      <c r="A229" s="146"/>
      <c r="B229" s="215" t="str">
        <f>$B$6</f>
        <v>YYYY</v>
      </c>
      <c r="C229" s="311">
        <v>0</v>
      </c>
      <c r="D229" s="302">
        <v>0</v>
      </c>
      <c r="E229" s="303">
        <v>0</v>
      </c>
      <c r="F229" s="217" t="e">
        <f>E229/$D229</f>
        <v>#DIV/0!</v>
      </c>
      <c r="G229" s="308">
        <v>0</v>
      </c>
      <c r="H229" s="217" t="e">
        <f>G229/$D229</f>
        <v>#DIV/0!</v>
      </c>
      <c r="I229" s="216">
        <f>E229+G229</f>
        <v>0</v>
      </c>
      <c r="J229" s="217" t="e">
        <f>I229/$D229</f>
        <v>#DIV/0!</v>
      </c>
    </row>
    <row r="230" spans="1:10" hidden="1" x14ac:dyDescent="0.25">
      <c r="A230" s="146"/>
      <c r="B230" s="215" t="e">
        <f>$B$7</f>
        <v>#VALUE!</v>
      </c>
      <c r="C230" s="312">
        <v>0</v>
      </c>
      <c r="D230" s="304">
        <v>0</v>
      </c>
      <c r="E230" s="305">
        <v>0</v>
      </c>
      <c r="F230" s="217" t="e">
        <f>E230/$D230</f>
        <v>#DIV/0!</v>
      </c>
      <c r="G230" s="309">
        <v>0</v>
      </c>
      <c r="H230" s="217" t="e">
        <f>G230/$D230</f>
        <v>#DIV/0!</v>
      </c>
      <c r="I230" s="216">
        <f>E230+G230</f>
        <v>0</v>
      </c>
      <c r="J230" s="217" t="e">
        <f>I230/$D230</f>
        <v>#DIV/0!</v>
      </c>
    </row>
    <row r="231" spans="1:10" hidden="1" x14ac:dyDescent="0.25">
      <c r="A231" s="146"/>
      <c r="B231" s="221" t="e">
        <f>$B$8</f>
        <v>#VALUE!</v>
      </c>
      <c r="C231" s="313">
        <v>0</v>
      </c>
      <c r="D231" s="306">
        <v>0</v>
      </c>
      <c r="E231" s="307">
        <v>0</v>
      </c>
      <c r="F231" s="218" t="e">
        <f>E231/$D231</f>
        <v>#DIV/0!</v>
      </c>
      <c r="G231" s="310">
        <v>0</v>
      </c>
      <c r="H231" s="218" t="e">
        <f>G231/$D231</f>
        <v>#DIV/0!</v>
      </c>
      <c r="I231" s="225">
        <f>E231+G231</f>
        <v>0</v>
      </c>
      <c r="J231" s="218" t="e">
        <f>I231/$D231</f>
        <v>#DIV/0!</v>
      </c>
    </row>
    <row r="232" spans="1:10" hidden="1" x14ac:dyDescent="0.25">
      <c r="A232" s="146"/>
      <c r="B232" s="215" t="s">
        <v>262</v>
      </c>
      <c r="C232" s="216">
        <f>AVERAGE(C229:C231)</f>
        <v>0</v>
      </c>
      <c r="D232" s="216">
        <f>AVERAGE(D229:D231)</f>
        <v>0</v>
      </c>
      <c r="E232" s="216">
        <f>AVERAGE(E229:E231)</f>
        <v>0</v>
      </c>
      <c r="F232" s="217" t="e">
        <f>E232/$D232</f>
        <v>#DIV/0!</v>
      </c>
      <c r="G232" s="216">
        <f>AVERAGE(G229:G231)</f>
        <v>0</v>
      </c>
      <c r="H232" s="217" t="e">
        <f>G232/$D232</f>
        <v>#DIV/0!</v>
      </c>
      <c r="I232" s="216">
        <f>AVERAGE(I229:I231)</f>
        <v>0</v>
      </c>
      <c r="J232" s="217" t="e">
        <f>I232/$D232</f>
        <v>#DIV/0!</v>
      </c>
    </row>
  </sheetData>
  <sheetProtection algorithmName="SHA-512" hashValue="3WhhJKaWooZ4nNdMRt8+WmR6ZnfyrPFmAe7AjQ37AQmv9jer8+m3/fCNaDU8yaPUv1XwZyVyuLNAb6TiFsF9Gw==" saltValue="NKRuI7OXDHqsLz4Su6Rs+g=="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3"/>
  <pageSetup scale="73" orientation="portrait" r:id="rId1"/>
  <headerFooter>
    <oddFooter>&amp;CPrior Approval Rate Application&amp;RPage 6&amp;L6/5/2023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66</v>
      </c>
      <c r="C1" s="36" t="s">
        <v>68</v>
      </c>
      <c r="E1" s="35" t="str">
        <f>Co_Name</f>
        <v>State Farm Mutual Automobile Insurance Company</v>
      </c>
    </row>
    <row r="2" spans="1:5" x14ac:dyDescent="0.25">
      <c r="A2" s="20" t="s">
        <v>67</v>
      </c>
      <c r="C2" s="36" t="s">
        <v>69</v>
      </c>
      <c r="E2" s="35" t="str">
        <f>General_Line</f>
        <v>Auto Liability and Physical Damage</v>
      </c>
    </row>
    <row r="3" spans="1:5" x14ac:dyDescent="0.25">
      <c r="B3" s="165"/>
    </row>
    <row r="4" spans="1:5" ht="23.25" x14ac:dyDescent="0.25">
      <c r="A4" s="5" t="s">
        <v>149</v>
      </c>
      <c r="B4" s="3"/>
      <c r="C4" s="3"/>
      <c r="D4" s="3"/>
      <c r="E4" s="3"/>
    </row>
    <row r="6" spans="1:5" x14ac:dyDescent="0.25">
      <c r="A6" s="51" t="s">
        <v>150</v>
      </c>
    </row>
    <row r="7" spans="1:5" ht="15.75" thickBot="1" x14ac:dyDescent="0.3"/>
    <row r="8" spans="1:5" ht="30.75" thickBot="1" x14ac:dyDescent="0.3">
      <c r="A8" s="84" t="s">
        <v>80</v>
      </c>
      <c r="B8" s="85" t="s">
        <v>127</v>
      </c>
      <c r="C8" s="85"/>
      <c r="D8" s="91"/>
      <c r="E8" s="82" t="s">
        <v>118</v>
      </c>
    </row>
    <row r="9" spans="1:5" ht="15.75" thickBot="1" x14ac:dyDescent="0.3">
      <c r="A9" s="88" t="s">
        <v>109</v>
      </c>
      <c r="B9" s="86" t="s">
        <v>134</v>
      </c>
      <c r="C9" s="92"/>
      <c r="D9" s="83"/>
      <c r="E9" s="255" t="s">
        <v>170</v>
      </c>
    </row>
    <row r="10" spans="1:5" ht="18" customHeight="1" x14ac:dyDescent="0.25">
      <c r="A10" s="60">
        <v>-1</v>
      </c>
      <c r="B10" s="167" t="s">
        <v>128</v>
      </c>
      <c r="C10" s="93"/>
      <c r="D10" s="87"/>
      <c r="E10" s="292"/>
    </row>
    <row r="11" spans="1:5" ht="18" customHeight="1" x14ac:dyDescent="0.25">
      <c r="A11" s="61">
        <v>-2</v>
      </c>
      <c r="B11" s="168" t="s">
        <v>129</v>
      </c>
      <c r="C11" s="94"/>
      <c r="D11" s="66"/>
      <c r="E11" s="293"/>
    </row>
    <row r="12" spans="1:5" ht="18" customHeight="1" x14ac:dyDescent="0.25">
      <c r="A12" s="61">
        <v>-3</v>
      </c>
      <c r="B12" s="168" t="s">
        <v>130</v>
      </c>
      <c r="C12" s="94"/>
      <c r="D12" s="67"/>
      <c r="E12" s="294"/>
    </row>
    <row r="13" spans="1:5" ht="18" customHeight="1" x14ac:dyDescent="0.25">
      <c r="A13" s="61">
        <v>-4</v>
      </c>
      <c r="B13" s="168" t="s">
        <v>131</v>
      </c>
      <c r="C13" s="94"/>
      <c r="D13" s="67"/>
      <c r="E13" s="183">
        <f>E10+E11-E12</f>
        <v>0</v>
      </c>
    </row>
    <row r="14" spans="1:5" ht="18" customHeight="1" x14ac:dyDescent="0.25">
      <c r="A14" s="61">
        <v>-5</v>
      </c>
      <c r="B14" s="168" t="s">
        <v>132</v>
      </c>
      <c r="C14" s="94"/>
      <c r="D14" s="66"/>
      <c r="E14" s="295"/>
    </row>
    <row r="15" spans="1:5" ht="18" customHeight="1" x14ac:dyDescent="0.25">
      <c r="A15" s="61">
        <v>-6</v>
      </c>
      <c r="B15" s="168" t="s">
        <v>133</v>
      </c>
      <c r="C15" s="94"/>
      <c r="D15" s="66"/>
      <c r="E15" s="296"/>
    </row>
    <row r="16" spans="1:5" ht="18" customHeight="1" x14ac:dyDescent="0.25">
      <c r="A16" s="61">
        <v>-7</v>
      </c>
      <c r="B16" s="168" t="s">
        <v>136</v>
      </c>
      <c r="C16" s="94"/>
      <c r="D16" s="66"/>
      <c r="E16" s="296"/>
    </row>
    <row r="17" spans="1:5" ht="18" customHeight="1" x14ac:dyDescent="0.25">
      <c r="A17" s="61">
        <v>-8</v>
      </c>
      <c r="B17" s="168" t="s">
        <v>135</v>
      </c>
      <c r="C17" s="94"/>
      <c r="D17" s="66"/>
      <c r="E17" s="296"/>
    </row>
    <row r="18" spans="1:5" ht="18" customHeight="1" x14ac:dyDescent="0.25">
      <c r="A18" s="61">
        <v>-9</v>
      </c>
      <c r="B18" s="168" t="s">
        <v>137</v>
      </c>
      <c r="C18" s="94"/>
      <c r="D18" s="67"/>
      <c r="E18" s="297"/>
    </row>
    <row r="19" spans="1:5" ht="18" customHeight="1" x14ac:dyDescent="0.25">
      <c r="A19" s="61">
        <v>-10</v>
      </c>
      <c r="B19" s="168" t="s">
        <v>138</v>
      </c>
      <c r="C19" s="94"/>
      <c r="D19" s="67"/>
      <c r="E19" s="298"/>
    </row>
    <row r="20" spans="1:5" ht="18" customHeight="1" x14ac:dyDescent="0.25">
      <c r="A20" s="61">
        <v>-11</v>
      </c>
      <c r="B20" s="168" t="s">
        <v>247</v>
      </c>
      <c r="C20" s="94"/>
      <c r="D20" s="67"/>
      <c r="E20" s="182">
        <f>E19+E24</f>
        <v>0</v>
      </c>
    </row>
    <row r="21" spans="1:5" ht="18" customHeight="1" x14ac:dyDescent="0.25">
      <c r="A21" s="61">
        <v>-12</v>
      </c>
      <c r="B21" s="168" t="s">
        <v>139</v>
      </c>
      <c r="C21" s="94"/>
      <c r="D21" s="67"/>
      <c r="E21" s="299"/>
    </row>
    <row r="22" spans="1:5" ht="18" customHeight="1" x14ac:dyDescent="0.25">
      <c r="A22" s="61">
        <v>-13</v>
      </c>
      <c r="B22" s="168" t="s">
        <v>140</v>
      </c>
      <c r="C22" s="94"/>
      <c r="D22" s="67"/>
      <c r="E22" s="293"/>
    </row>
    <row r="23" spans="1:5" ht="18" customHeight="1" x14ac:dyDescent="0.25">
      <c r="A23" s="61">
        <v>-14</v>
      </c>
      <c r="B23" s="168" t="s">
        <v>141</v>
      </c>
      <c r="C23" s="94"/>
      <c r="D23" s="67"/>
      <c r="E23" s="293"/>
    </row>
    <row r="24" spans="1:5" ht="18" customHeight="1" x14ac:dyDescent="0.25">
      <c r="A24" s="61">
        <v>-15</v>
      </c>
      <c r="B24" s="168" t="s">
        <v>248</v>
      </c>
      <c r="C24" s="94"/>
      <c r="D24" s="67"/>
      <c r="E24" s="298"/>
    </row>
    <row r="25" spans="1:5" ht="18" customHeight="1" x14ac:dyDescent="0.25">
      <c r="A25" s="61">
        <v>-16</v>
      </c>
      <c r="B25" s="168" t="s">
        <v>142</v>
      </c>
      <c r="C25" s="94"/>
      <c r="D25" s="67"/>
      <c r="E25" s="181"/>
    </row>
    <row r="26" spans="1:5" ht="18" customHeight="1" x14ac:dyDescent="0.25">
      <c r="A26" s="61">
        <v>-17</v>
      </c>
      <c r="B26" s="169" t="s">
        <v>148</v>
      </c>
      <c r="C26" s="95"/>
      <c r="D26" s="67"/>
      <c r="E26" s="295"/>
    </row>
    <row r="27" spans="1:5" ht="18" customHeight="1" x14ac:dyDescent="0.25">
      <c r="A27" s="61">
        <v>-18</v>
      </c>
      <c r="B27" s="169" t="s">
        <v>147</v>
      </c>
      <c r="C27" s="95"/>
      <c r="D27" s="67"/>
      <c r="E27" s="296"/>
    </row>
    <row r="28" spans="1:5" ht="18" customHeight="1" x14ac:dyDescent="0.25">
      <c r="A28" s="61">
        <v>-19</v>
      </c>
      <c r="B28" s="169" t="s">
        <v>146</v>
      </c>
      <c r="C28" s="95"/>
      <c r="D28" s="67"/>
      <c r="E28" s="296"/>
    </row>
    <row r="29" spans="1:5" ht="18" customHeight="1" x14ac:dyDescent="0.25">
      <c r="A29" s="61">
        <v>-20</v>
      </c>
      <c r="B29" s="169" t="s">
        <v>145</v>
      </c>
      <c r="C29" s="95"/>
      <c r="D29" s="67"/>
      <c r="E29" s="296"/>
    </row>
    <row r="30" spans="1:5" ht="18" customHeight="1" x14ac:dyDescent="0.25">
      <c r="A30" s="61">
        <v>-21</v>
      </c>
      <c r="B30" s="169" t="s">
        <v>144</v>
      </c>
      <c r="C30" s="95"/>
      <c r="D30" s="67"/>
      <c r="E30" s="296"/>
    </row>
    <row r="31" spans="1:5" ht="18" customHeight="1" thickBot="1" x14ac:dyDescent="0.3">
      <c r="A31" s="89">
        <v>-22</v>
      </c>
      <c r="B31" s="170" t="s">
        <v>143</v>
      </c>
      <c r="C31" s="96"/>
      <c r="D31" s="90"/>
      <c r="E31" s="300"/>
    </row>
  </sheetData>
  <sheetProtection algorithmName="SHA-512" hashValue="ui2LgEZXsuRzJzflWfANSiz6ZYZP0qBlmpuN1WR5ZZuo26a341BeO2btKdADXY9lchB5YXOhPGxGORkdsTkvNQ==" saltValue="919iG9lbiFfkfG1lJr4Hxw=="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7&amp;L6/5/2023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2" customWidth="1"/>
  </cols>
  <sheetData>
    <row r="1" spans="1:7" ht="15.75" thickBot="1" x14ac:dyDescent="0.3">
      <c r="A1" s="20" t="s">
        <v>66</v>
      </c>
      <c r="C1" s="36" t="s">
        <v>68</v>
      </c>
      <c r="F1" s="35" t="str">
        <f>Co_Name</f>
        <v>State Farm Mutual Automobile Insurance Company</v>
      </c>
      <c r="G1" s="342" t="s">
        <v>279</v>
      </c>
    </row>
    <row r="2" spans="1:7" x14ac:dyDescent="0.25">
      <c r="A2" s="20" t="s">
        <v>67</v>
      </c>
      <c r="C2" s="36" t="s">
        <v>69</v>
      </c>
      <c r="F2" s="35" t="str">
        <f>General_Line</f>
        <v>Auto Liability and Physical Damage</v>
      </c>
      <c r="G2" s="343" t="s">
        <v>107</v>
      </c>
    </row>
    <row r="3" spans="1:7" x14ac:dyDescent="0.25">
      <c r="B3" s="165"/>
      <c r="G3" s="344"/>
    </row>
    <row r="4" spans="1:7" ht="23.25" x14ac:dyDescent="0.25">
      <c r="A4" s="5" t="s">
        <v>151</v>
      </c>
      <c r="B4" s="3"/>
      <c r="C4" s="3"/>
      <c r="D4" s="3"/>
      <c r="E4" s="3"/>
      <c r="F4" s="3"/>
      <c r="G4" s="344"/>
    </row>
    <row r="5" spans="1:7" x14ac:dyDescent="0.25">
      <c r="G5" s="344"/>
    </row>
    <row r="6" spans="1:7" ht="18" customHeight="1" x14ac:dyDescent="0.25">
      <c r="A6" t="s">
        <v>410</v>
      </c>
      <c r="G6" s="344"/>
    </row>
    <row r="7" spans="1:7" ht="18" customHeight="1" x14ac:dyDescent="0.25">
      <c r="A7" t="s">
        <v>161</v>
      </c>
      <c r="C7" s="68"/>
      <c r="G7" s="25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68"/>
      <c r="G8" s="257" t="str">
        <f>IF(AND(No_Fees=TRUE,OR(COUNTA(D12:D25)&lt;&gt;0,COUNTA(F12:F25)&lt;&gt;0,COUNTA(D29:D37)&lt;&gt;0,COUNTA(F29:F37)&lt;&gt;0)),"no fees apply.","")</f>
        <v/>
      </c>
    </row>
    <row r="9" spans="1:7" ht="18" customHeight="1" x14ac:dyDescent="0.25">
      <c r="A9" t="s">
        <v>409</v>
      </c>
      <c r="G9" s="258"/>
    </row>
    <row r="10" spans="1:7" ht="30" customHeight="1" thickBot="1" x14ac:dyDescent="0.3">
      <c r="A10" s="99" t="s">
        <v>152</v>
      </c>
      <c r="B10" s="100"/>
      <c r="C10" s="100"/>
      <c r="D10" s="100"/>
      <c r="E10" s="100"/>
      <c r="F10" s="100"/>
      <c r="G10" s="344"/>
    </row>
    <row r="11" spans="1:7" s="47" customFormat="1" ht="30" customHeight="1" x14ac:dyDescent="0.25">
      <c r="A11" s="101"/>
      <c r="B11" s="102"/>
      <c r="C11" s="102"/>
      <c r="D11" s="103" t="s">
        <v>159</v>
      </c>
      <c r="E11" s="98"/>
      <c r="F11" s="103" t="s">
        <v>160</v>
      </c>
      <c r="G11" s="345"/>
    </row>
    <row r="12" spans="1:7" s="47" customFormat="1" ht="18" customHeight="1" x14ac:dyDescent="0.25">
      <c r="A12" t="s">
        <v>407</v>
      </c>
      <c r="B12" s="102"/>
      <c r="C12" s="102"/>
      <c r="D12" s="196"/>
      <c r="E12" s="98"/>
      <c r="F12" s="196"/>
      <c r="G12" s="397"/>
    </row>
    <row r="13" spans="1:7" ht="18" customHeight="1" x14ac:dyDescent="0.25">
      <c r="A13" t="s">
        <v>153</v>
      </c>
      <c r="C13" s="68"/>
      <c r="D13" s="196"/>
      <c r="E13" s="68"/>
      <c r="F13" s="196"/>
      <c r="G13" s="348"/>
    </row>
    <row r="14" spans="1:7" ht="18" customHeight="1" x14ac:dyDescent="0.25">
      <c r="A14" t="s">
        <v>334</v>
      </c>
      <c r="C14" s="68"/>
      <c r="D14" s="196"/>
      <c r="E14" s="68"/>
      <c r="F14" s="196"/>
      <c r="G14" s="346"/>
    </row>
    <row r="15" spans="1:7" ht="18" customHeight="1" x14ac:dyDescent="0.25">
      <c r="A15" t="s">
        <v>154</v>
      </c>
      <c r="C15" s="68"/>
      <c r="D15" s="196"/>
      <c r="E15" s="68"/>
      <c r="F15" s="196"/>
      <c r="G15" s="346"/>
    </row>
    <row r="16" spans="1:7" ht="18" customHeight="1" x14ac:dyDescent="0.25">
      <c r="A16" t="s">
        <v>156</v>
      </c>
      <c r="C16" s="68"/>
      <c r="D16" s="196"/>
      <c r="E16" s="68"/>
      <c r="F16" s="196"/>
      <c r="G16" s="346"/>
    </row>
    <row r="17" spans="1:7" ht="18" customHeight="1" x14ac:dyDescent="0.25">
      <c r="A17" t="s">
        <v>155</v>
      </c>
      <c r="C17" s="68"/>
      <c r="D17" s="196"/>
      <c r="E17" s="68"/>
      <c r="F17" s="196"/>
      <c r="G17" s="346"/>
    </row>
    <row r="18" spans="1:7" ht="18" customHeight="1" x14ac:dyDescent="0.25">
      <c r="A18" t="s">
        <v>157</v>
      </c>
      <c r="C18" s="68"/>
      <c r="D18" s="196"/>
      <c r="E18" s="68"/>
      <c r="F18" s="196"/>
      <c r="G18" s="346"/>
    </row>
    <row r="19" spans="1:7" ht="18" customHeight="1" x14ac:dyDescent="0.25">
      <c r="A19" t="s">
        <v>158</v>
      </c>
      <c r="C19" s="68"/>
      <c r="D19" s="196"/>
      <c r="E19" s="68"/>
      <c r="F19" s="196"/>
      <c r="G19" s="346"/>
    </row>
    <row r="20" spans="1:7" ht="18" customHeight="1" x14ac:dyDescent="0.25">
      <c r="A20" t="s">
        <v>224</v>
      </c>
      <c r="C20" s="68"/>
      <c r="D20" s="196"/>
      <c r="E20" s="68"/>
      <c r="F20" s="196"/>
      <c r="G20" s="346"/>
    </row>
    <row r="21" spans="1:7" ht="18" customHeight="1" x14ac:dyDescent="0.25">
      <c r="A21" t="s">
        <v>165</v>
      </c>
      <c r="B21" s="8"/>
      <c r="C21" s="8"/>
      <c r="D21" s="8"/>
      <c r="E21" s="8"/>
      <c r="F21" s="8"/>
      <c r="G21" s="346"/>
    </row>
    <row r="22" spans="1:7" ht="18" customHeight="1" x14ac:dyDescent="0.25">
      <c r="A22" s="324" t="s">
        <v>336</v>
      </c>
      <c r="C22" s="68"/>
      <c r="D22" s="196"/>
      <c r="E22" s="68"/>
      <c r="F22" s="196"/>
      <c r="G22" s="346"/>
    </row>
    <row r="23" spans="1:7" ht="18" customHeight="1" x14ac:dyDescent="0.25">
      <c r="A23" s="324" t="s">
        <v>162</v>
      </c>
      <c r="C23" s="68"/>
      <c r="D23" s="196"/>
      <c r="E23" s="68"/>
      <c r="F23" s="196"/>
      <c r="G23" s="346"/>
    </row>
    <row r="24" spans="1:7" ht="18" customHeight="1" x14ac:dyDescent="0.25">
      <c r="A24" s="324" t="s">
        <v>163</v>
      </c>
      <c r="C24" s="68"/>
      <c r="D24" s="196"/>
      <c r="E24" s="68"/>
      <c r="F24" s="196"/>
      <c r="G24" s="346"/>
    </row>
    <row r="25" spans="1:7" ht="18" customHeight="1" x14ac:dyDescent="0.25">
      <c r="A25" s="324" t="s">
        <v>164</v>
      </c>
      <c r="C25" s="68"/>
      <c r="D25" s="196"/>
      <c r="E25" s="68"/>
      <c r="F25" s="196"/>
      <c r="G25" s="346"/>
    </row>
    <row r="26" spans="1:7" ht="18" customHeight="1" x14ac:dyDescent="0.25">
      <c r="G26" s="344"/>
    </row>
    <row r="27" spans="1:7" ht="30" customHeight="1" thickBot="1" x14ac:dyDescent="0.3">
      <c r="A27" s="99" t="s">
        <v>78</v>
      </c>
      <c r="B27" s="100"/>
      <c r="C27" s="100"/>
      <c r="D27" s="100"/>
      <c r="E27" s="100"/>
      <c r="F27" s="100"/>
      <c r="G27" s="344"/>
    </row>
    <row r="28" spans="1:7" ht="30" customHeight="1" x14ac:dyDescent="0.25">
      <c r="A28" s="101"/>
      <c r="B28" s="102"/>
      <c r="C28" s="102"/>
      <c r="D28" s="103" t="s">
        <v>159</v>
      </c>
      <c r="E28" s="98"/>
      <c r="F28" s="103" t="s">
        <v>160</v>
      </c>
      <c r="G28" s="344"/>
    </row>
    <row r="29" spans="1:7" ht="18" customHeight="1" x14ac:dyDescent="0.25">
      <c r="A29" s="97" t="s">
        <v>168</v>
      </c>
      <c r="C29" s="68"/>
      <c r="D29" s="197"/>
      <c r="E29" s="68"/>
      <c r="F29" s="197"/>
      <c r="G29" s="346"/>
    </row>
    <row r="30" spans="1:7" ht="18" customHeight="1" x14ac:dyDescent="0.25">
      <c r="A30" t="s">
        <v>167</v>
      </c>
      <c r="C30" s="68"/>
      <c r="D30" s="196"/>
      <c r="E30" s="68"/>
      <c r="F30" s="196"/>
      <c r="G30" s="346"/>
    </row>
    <row r="31" spans="1:7" ht="18" customHeight="1" x14ac:dyDescent="0.25">
      <c r="A31" t="s">
        <v>166</v>
      </c>
      <c r="C31" s="68"/>
      <c r="D31" s="196"/>
      <c r="E31" s="68"/>
      <c r="F31" s="196"/>
      <c r="G31" s="346"/>
    </row>
    <row r="32" spans="1:7" ht="18" customHeight="1" x14ac:dyDescent="0.25">
      <c r="A32" t="s">
        <v>335</v>
      </c>
      <c r="C32" s="68"/>
      <c r="D32" s="196"/>
      <c r="E32" s="68"/>
      <c r="F32" s="196"/>
      <c r="G32" s="346"/>
    </row>
    <row r="33" spans="1:7" ht="18" customHeight="1" x14ac:dyDescent="0.25">
      <c r="A33" t="s">
        <v>165</v>
      </c>
      <c r="B33" s="8"/>
      <c r="C33" s="8"/>
      <c r="D33" s="8"/>
      <c r="E33" s="8"/>
      <c r="F33" s="8"/>
      <c r="G33" s="346"/>
    </row>
    <row r="34" spans="1:7" ht="18" customHeight="1" x14ac:dyDescent="0.25">
      <c r="A34" s="324" t="s">
        <v>336</v>
      </c>
      <c r="C34" s="68"/>
      <c r="D34" s="196"/>
      <c r="E34" s="68"/>
      <c r="F34" s="196"/>
      <c r="G34" s="346"/>
    </row>
    <row r="35" spans="1:7" ht="18" customHeight="1" x14ac:dyDescent="0.25">
      <c r="A35" s="324" t="s">
        <v>162</v>
      </c>
      <c r="C35" s="68"/>
      <c r="D35" s="196"/>
      <c r="E35" s="68"/>
      <c r="F35" s="196"/>
      <c r="G35" s="346"/>
    </row>
    <row r="36" spans="1:7" ht="18" customHeight="1" x14ac:dyDescent="0.25">
      <c r="A36" s="324" t="s">
        <v>163</v>
      </c>
      <c r="C36" s="68"/>
      <c r="D36" s="196"/>
      <c r="E36" s="68"/>
      <c r="F36" s="196"/>
      <c r="G36" s="346"/>
    </row>
    <row r="37" spans="1:7" ht="18" customHeight="1" x14ac:dyDescent="0.25">
      <c r="A37" s="324" t="s">
        <v>164</v>
      </c>
      <c r="C37" s="68"/>
      <c r="D37" s="196"/>
      <c r="E37" s="68"/>
      <c r="F37" s="196"/>
      <c r="G37" s="344"/>
    </row>
    <row r="38" spans="1:7" x14ac:dyDescent="0.25">
      <c r="G38" s="344"/>
    </row>
    <row r="39" spans="1:7" ht="15.75" thickBot="1" x14ac:dyDescent="0.3">
      <c r="A39" s="97" t="s">
        <v>169</v>
      </c>
      <c r="G39" s="347"/>
    </row>
  </sheetData>
  <sheetProtection algorithmName="SHA-512" hashValue="QRGBg83+vr2UwwiuLR2ToJu4s1tEL9uKxPSTXfL35Xo+dB8xeJqqsogRGf6jkOXDvUWkLUxWUxeK8+a8t6Q0Jw==" saltValue="7nTsYm0b45/aDP3sCtD2lQ=="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1" width="16.28515625" customWidth="1"/>
    <col min="12" max="12" width="18.5703125" customWidth="1"/>
    <col min="13" max="13" width="74" style="565" customWidth="1"/>
  </cols>
  <sheetData>
    <row r="1" spans="1:12" x14ac:dyDescent="0.25">
      <c r="A1" s="20" t="s">
        <v>66</v>
      </c>
      <c r="B1" s="20"/>
      <c r="G1"/>
      <c r="J1" s="36" t="s">
        <v>68</v>
      </c>
      <c r="L1" t="str">
        <f>Co_Name</f>
        <v>State Farm Mutual Automobile Insurance Company</v>
      </c>
    </row>
    <row r="2" spans="1:12" x14ac:dyDescent="0.25">
      <c r="A2" s="20" t="s">
        <v>67</v>
      </c>
      <c r="B2" s="20"/>
      <c r="G2"/>
      <c r="J2" s="36" t="s">
        <v>69</v>
      </c>
      <c r="L2" t="str">
        <f>General_Line</f>
        <v>Auto Liability and Physical Damage</v>
      </c>
    </row>
    <row r="3" spans="1:12" ht="5.0999999999999996" customHeight="1" x14ac:dyDescent="0.25">
      <c r="B3" s="165"/>
      <c r="G3" s="212"/>
    </row>
    <row r="4" spans="1:12" ht="23.25" x14ac:dyDescent="0.25">
      <c r="A4" s="5" t="s">
        <v>184</v>
      </c>
      <c r="B4" s="5"/>
      <c r="C4" s="3"/>
      <c r="D4" s="3"/>
      <c r="E4" s="3"/>
      <c r="F4" s="3"/>
      <c r="G4" s="3"/>
      <c r="H4" s="3"/>
      <c r="I4" s="3"/>
      <c r="J4" s="3"/>
      <c r="K4" s="3"/>
      <c r="L4" s="3"/>
    </row>
    <row r="5" spans="1:12" ht="26.25" x14ac:dyDescent="0.4">
      <c r="A5" s="263"/>
      <c r="B5" s="5"/>
      <c r="C5" s="3"/>
      <c r="D5" s="263"/>
      <c r="E5" s="3"/>
      <c r="F5" s="3"/>
      <c r="G5" s="3"/>
      <c r="H5" s="3"/>
      <c r="I5" s="3"/>
      <c r="J5" s="3"/>
      <c r="K5" s="3"/>
      <c r="L5" s="3"/>
    </row>
    <row r="6" spans="1:12" ht="5.0999999999999996" customHeight="1" x14ac:dyDescent="0.25">
      <c r="A6" s="451"/>
      <c r="B6" s="5"/>
      <c r="C6" s="3"/>
      <c r="D6" s="3"/>
      <c r="E6" s="3"/>
      <c r="F6" s="3"/>
      <c r="G6" s="3"/>
      <c r="H6" s="3"/>
      <c r="I6" s="3"/>
      <c r="J6" s="3"/>
      <c r="K6" s="3"/>
      <c r="L6" s="3"/>
    </row>
    <row r="7" spans="1:12" ht="15.75" thickBot="1" x14ac:dyDescent="0.3">
      <c r="A7" s="519"/>
      <c r="B7" s="542" t="s">
        <v>487</v>
      </c>
      <c r="C7" s="111"/>
      <c r="D7" s="111"/>
      <c r="E7" s="543"/>
      <c r="F7" s="111"/>
      <c r="G7" s="111"/>
      <c r="H7" s="111"/>
      <c r="I7" s="111"/>
      <c r="J7" s="111"/>
      <c r="K7" s="111"/>
      <c r="L7" s="111"/>
    </row>
    <row r="8" spans="1:12" x14ac:dyDescent="0.25">
      <c r="A8" s="493"/>
      <c r="B8" s="472" t="s">
        <v>197</v>
      </c>
      <c r="C8" s="475"/>
      <c r="D8" s="473" t="s">
        <v>198</v>
      </c>
      <c r="E8" s="494" t="s">
        <v>199</v>
      </c>
      <c r="F8" s="483"/>
      <c r="G8" s="483"/>
      <c r="H8" s="483"/>
      <c r="I8" s="483"/>
      <c r="J8" s="477"/>
      <c r="K8" s="480"/>
      <c r="L8" s="492"/>
    </row>
    <row r="9" spans="1:12" x14ac:dyDescent="0.25">
      <c r="A9" s="476"/>
      <c r="B9" s="49" t="s">
        <v>480</v>
      </c>
      <c r="C9" s="476"/>
      <c r="D9" s="474" t="s">
        <v>498</v>
      </c>
      <c r="E9" s="484" t="s">
        <v>467</v>
      </c>
      <c r="F9" s="484"/>
      <c r="G9" s="484"/>
      <c r="H9" s="484" t="s">
        <v>470</v>
      </c>
      <c r="I9" s="484"/>
      <c r="J9" s="478"/>
      <c r="K9" s="481" t="s">
        <v>473</v>
      </c>
      <c r="L9" s="486"/>
    </row>
    <row r="10" spans="1:12" x14ac:dyDescent="0.25">
      <c r="A10" s="476"/>
      <c r="B10" s="49" t="s">
        <v>481</v>
      </c>
      <c r="C10" s="476"/>
      <c r="D10" s="474" t="s">
        <v>477</v>
      </c>
      <c r="E10" s="484" t="s">
        <v>468</v>
      </c>
      <c r="F10" s="484"/>
      <c r="G10" s="484"/>
      <c r="H10" s="484" t="s">
        <v>471</v>
      </c>
      <c r="I10" s="484"/>
      <c r="J10" s="478"/>
      <c r="K10" s="481" t="s">
        <v>474</v>
      </c>
      <c r="L10" s="486"/>
    </row>
    <row r="11" spans="1:12" x14ac:dyDescent="0.25">
      <c r="A11" s="476"/>
      <c r="B11" s="49" t="s">
        <v>482</v>
      </c>
      <c r="C11" s="476"/>
      <c r="D11" s="474" t="s">
        <v>478</v>
      </c>
      <c r="E11" s="484" t="s">
        <v>469</v>
      </c>
      <c r="F11" s="484"/>
      <c r="G11" s="484"/>
      <c r="H11" s="484" t="s">
        <v>472</v>
      </c>
      <c r="I11" s="484"/>
      <c r="J11" s="478"/>
      <c r="K11" s="481" t="s">
        <v>475</v>
      </c>
      <c r="L11" s="486"/>
    </row>
    <row r="12" spans="1:12" x14ac:dyDescent="0.25">
      <c r="A12" s="533">
        <v>1</v>
      </c>
      <c r="B12" s="49" t="s">
        <v>483</v>
      </c>
      <c r="C12" s="476"/>
      <c r="D12" s="474" t="s">
        <v>479</v>
      </c>
      <c r="E12" s="484"/>
      <c r="F12" s="484"/>
      <c r="G12" s="484"/>
      <c r="H12" s="484"/>
      <c r="I12" s="484"/>
      <c r="J12" s="478"/>
      <c r="K12" s="481" t="s">
        <v>476</v>
      </c>
      <c r="L12" s="486"/>
    </row>
    <row r="13" spans="1:12" x14ac:dyDescent="0.25">
      <c r="A13" s="488"/>
      <c r="B13" s="49"/>
      <c r="C13" s="488"/>
      <c r="D13" s="490"/>
      <c r="E13" s="484" t="s">
        <v>484</v>
      </c>
      <c r="F13" s="484"/>
      <c r="G13" s="484"/>
      <c r="H13" s="484"/>
      <c r="I13" s="484"/>
      <c r="J13" s="478"/>
      <c r="K13" s="481"/>
      <c r="L13" s="486"/>
    </row>
    <row r="14" spans="1:12" x14ac:dyDescent="0.25">
      <c r="A14" s="488"/>
      <c r="B14" s="49"/>
      <c r="C14" s="488"/>
      <c r="D14" s="490"/>
      <c r="E14" s="484" t="s">
        <v>485</v>
      </c>
      <c r="F14" s="484"/>
      <c r="G14" s="484"/>
      <c r="H14" s="484"/>
      <c r="I14" s="484"/>
      <c r="J14" s="478"/>
      <c r="K14" s="481"/>
      <c r="L14" s="486"/>
    </row>
    <row r="15" spans="1:12" ht="15.75" thickBot="1" x14ac:dyDescent="0.3">
      <c r="A15" s="488"/>
      <c r="B15" s="111"/>
      <c r="C15" s="489"/>
      <c r="D15" s="491"/>
      <c r="E15" s="485" t="s">
        <v>486</v>
      </c>
      <c r="F15" s="485"/>
      <c r="G15" s="485"/>
      <c r="H15" s="485"/>
      <c r="I15" s="485"/>
      <c r="J15" s="479"/>
      <c r="K15" s="482"/>
      <c r="L15" s="487"/>
    </row>
    <row r="16" spans="1:12" ht="4.5" customHeight="1" thickBot="1" x14ac:dyDescent="0.3">
      <c r="A16" s="266"/>
      <c r="B16" s="544"/>
      <c r="C16" s="544"/>
      <c r="D16" s="544"/>
      <c r="E16" s="544"/>
      <c r="F16" s="544"/>
      <c r="G16" s="544"/>
      <c r="H16" s="544"/>
      <c r="I16" s="544"/>
      <c r="J16" s="544"/>
      <c r="K16" s="544"/>
      <c r="L16" s="544"/>
    </row>
    <row r="17" spans="1:15" x14ac:dyDescent="0.25">
      <c r="A17" s="151"/>
      <c r="B17" s="149"/>
      <c r="C17" s="152" t="s">
        <v>186</v>
      </c>
      <c r="D17" s="148"/>
      <c r="E17" s="150"/>
      <c r="F17" s="152" t="s">
        <v>190</v>
      </c>
      <c r="G17" s="150"/>
      <c r="H17" s="154"/>
      <c r="I17" s="152" t="s">
        <v>192</v>
      </c>
      <c r="J17" s="150"/>
      <c r="K17" s="152" t="s">
        <v>193</v>
      </c>
      <c r="L17" s="150"/>
    </row>
    <row r="18" spans="1:15" ht="18" thickBot="1" x14ac:dyDescent="0.3">
      <c r="A18" s="156"/>
      <c r="B18" s="155"/>
      <c r="C18" s="153" t="s">
        <v>187</v>
      </c>
      <c r="D18" s="463" t="s">
        <v>188</v>
      </c>
      <c r="E18" s="464" t="s">
        <v>189</v>
      </c>
      <c r="F18" s="153" t="s">
        <v>79</v>
      </c>
      <c r="G18" s="464" t="s">
        <v>330</v>
      </c>
      <c r="H18" s="469" t="s">
        <v>495</v>
      </c>
      <c r="I18" s="153" t="s">
        <v>276</v>
      </c>
      <c r="J18" s="464" t="s">
        <v>194</v>
      </c>
      <c r="K18" s="153" t="s">
        <v>195</v>
      </c>
      <c r="L18" s="464" t="s">
        <v>191</v>
      </c>
      <c r="N18" s="68"/>
      <c r="O18" s="68"/>
    </row>
    <row r="19" spans="1:15" hidden="1" x14ac:dyDescent="0.25">
      <c r="A19" s="460">
        <f>A12-1</f>
        <v>0</v>
      </c>
      <c r="B19" s="538" t="s">
        <v>196</v>
      </c>
      <c r="C19" s="516"/>
      <c r="D19" s="507"/>
      <c r="E19" s="508"/>
      <c r="F19" s="508"/>
      <c r="G19" s="509"/>
      <c r="H19" s="508"/>
      <c r="I19" s="508"/>
      <c r="J19" s="508"/>
      <c r="K19" s="508"/>
      <c r="L19" s="510"/>
      <c r="M19" s="56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2"/>
      <c r="B20" s="539" t="s">
        <v>265</v>
      </c>
      <c r="C20" s="517"/>
      <c r="D20" s="512"/>
      <c r="E20" s="513"/>
      <c r="F20" s="513"/>
      <c r="G20" s="511"/>
      <c r="H20" s="513"/>
      <c r="I20" s="514"/>
      <c r="J20" s="514"/>
      <c r="K20" s="514"/>
      <c r="L20" s="515"/>
      <c r="M20" s="565" t="str">
        <f>IF(OR(H19=1,H19=2,H19=3,H19=7,H19=8,H19=9,ISBLANK(H19)),"",
IF(COUNTBLANK(C20:H20)&gt;0,"←ERROR! Fill out all of the required information in the current line."))</f>
        <v/>
      </c>
      <c r="N20" s="68"/>
      <c r="O20" s="68"/>
    </row>
    <row r="21" spans="1:15" ht="75" hidden="1" customHeight="1" x14ac:dyDescent="0.25">
      <c r="A21" s="452"/>
      <c r="B21" s="596" t="s">
        <v>462</v>
      </c>
      <c r="C21" s="597"/>
      <c r="D21" s="604"/>
      <c r="E21" s="604"/>
      <c r="F21" s="604"/>
      <c r="G21" s="604"/>
      <c r="H21" s="604"/>
      <c r="I21" s="604"/>
      <c r="J21" s="604"/>
      <c r="K21" s="604"/>
      <c r="L21" s="605"/>
      <c r="M21" s="565" t="str">
        <f>IF(LEN(TRIM(CLEAN(D21)))=0,"←ERROR! Detailed explanation was not provided.","")</f>
        <v>←ERROR! Detailed explanation was not provided.</v>
      </c>
      <c r="N21" s="68"/>
      <c r="O21" s="68"/>
    </row>
    <row r="22" spans="1:15" ht="105" hidden="1" customHeight="1" x14ac:dyDescent="0.25">
      <c r="A22" s="460"/>
      <c r="B22" s="596" t="s">
        <v>460</v>
      </c>
      <c r="C22" s="597"/>
      <c r="D22" s="598"/>
      <c r="E22" s="598"/>
      <c r="F22" s="598"/>
      <c r="G22" s="598"/>
      <c r="H22" s="598"/>
      <c r="I22" s="598"/>
      <c r="J22" s="598"/>
      <c r="K22" s="598"/>
      <c r="L22" s="599"/>
      <c r="N22" s="68"/>
      <c r="O22" s="68"/>
    </row>
    <row r="23" spans="1:15" ht="45.95" hidden="1" customHeight="1" x14ac:dyDescent="0.25">
      <c r="A23" s="452"/>
      <c r="B23" s="596" t="s">
        <v>461</v>
      </c>
      <c r="C23" s="597"/>
      <c r="D23" s="598"/>
      <c r="E23" s="598"/>
      <c r="F23" s="598"/>
      <c r="G23" s="598"/>
      <c r="H23" s="598"/>
      <c r="I23" s="598"/>
      <c r="J23" s="598"/>
      <c r="K23" s="598"/>
      <c r="L23" s="599"/>
      <c r="N23" s="68"/>
      <c r="O23" s="68"/>
    </row>
    <row r="24" spans="1:15" ht="45.95" hidden="1" customHeight="1" x14ac:dyDescent="0.25">
      <c r="A24" s="452"/>
      <c r="B24" s="596" t="s">
        <v>488</v>
      </c>
      <c r="C24" s="597"/>
      <c r="D24" s="598"/>
      <c r="E24" s="598"/>
      <c r="F24" s="598"/>
      <c r="G24" s="598"/>
      <c r="H24" s="598"/>
      <c r="I24" s="598"/>
      <c r="J24" s="598"/>
      <c r="K24" s="598"/>
      <c r="L24" s="599"/>
      <c r="M24" s="565" t="str">
        <f>IF(OR(H19=2,H19=5),"←Reminder: optional required forms should have an accompanying underwriting rule specifying when the form will attach and the applicable rule(s) should be specified in this box.","")</f>
        <v/>
      </c>
      <c r="N24" s="68"/>
      <c r="O24" s="68"/>
    </row>
    <row r="25" spans="1:15" ht="15.75" hidden="1" thickBot="1" x14ac:dyDescent="0.3">
      <c r="A25" s="452"/>
      <c r="B25" s="610"/>
      <c r="C25" s="610"/>
      <c r="D25" s="603"/>
      <c r="E25" s="603"/>
      <c r="F25" s="603"/>
      <c r="G25" s="603"/>
      <c r="H25" s="603"/>
      <c r="I25" s="603"/>
      <c r="J25" s="603"/>
      <c r="K25" s="603"/>
      <c r="L25" s="603"/>
      <c r="N25" s="68"/>
      <c r="O25" s="68"/>
    </row>
    <row r="26" spans="1:15" hidden="1" x14ac:dyDescent="0.25">
      <c r="A26" s="520">
        <f>A19-1</f>
        <v>-1</v>
      </c>
      <c r="B26" s="540" t="s">
        <v>196</v>
      </c>
      <c r="C26" s="521"/>
      <c r="D26" s="522"/>
      <c r="E26" s="523"/>
      <c r="F26" s="523"/>
      <c r="G26" s="524"/>
      <c r="H26" s="525"/>
      <c r="I26" s="526"/>
      <c r="J26" s="525"/>
      <c r="K26" s="527"/>
      <c r="L26" s="528"/>
      <c r="M26" s="56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3"/>
      <c r="B27" s="541" t="s">
        <v>265</v>
      </c>
      <c r="C27" s="454"/>
      <c r="D27" s="455"/>
      <c r="E27" s="456"/>
      <c r="F27" s="456"/>
      <c r="G27" s="457"/>
      <c r="H27" s="458"/>
      <c r="I27" s="470"/>
      <c r="J27" s="468"/>
      <c r="K27" s="471"/>
      <c r="L27" s="468"/>
      <c r="M27" s="565" t="str">
        <f>IF(OR(H26=1,H26=2,H26=3,H26=7,H26=8,H26=9,ISBLANK(H26)),"",
IF(COUNTBLANK(C27:H27)&gt;0,"←ERROR! Fill out all of the required information in the current line.",
))</f>
        <v/>
      </c>
      <c r="N27" s="68"/>
      <c r="O27" s="68"/>
    </row>
    <row r="28" spans="1:15" ht="75" hidden="1" customHeight="1" x14ac:dyDescent="0.25">
      <c r="A28" s="453"/>
      <c r="B28" s="611" t="s">
        <v>462</v>
      </c>
      <c r="C28" s="612"/>
      <c r="D28" s="606"/>
      <c r="E28" s="607"/>
      <c r="F28" s="607"/>
      <c r="G28" s="607"/>
      <c r="H28" s="607"/>
      <c r="I28" s="607"/>
      <c r="J28" s="607"/>
      <c r="K28" s="607"/>
      <c r="L28" s="608"/>
      <c r="M28" s="565" t="str">
        <f>IF(LEN(TRIM(CLEAN(D28)))=0,"←ERROR! Detailed explanation was not provided.","")</f>
        <v>←ERROR! Detailed explanation was not provided.</v>
      </c>
      <c r="N28" s="68"/>
      <c r="O28" s="68"/>
    </row>
    <row r="29" spans="1:15" ht="105" hidden="1" customHeight="1" x14ac:dyDescent="0.25">
      <c r="A29" s="461"/>
      <c r="B29" s="593" t="s">
        <v>460</v>
      </c>
      <c r="C29" s="594"/>
      <c r="D29" s="606"/>
      <c r="E29" s="607"/>
      <c r="F29" s="607"/>
      <c r="G29" s="607"/>
      <c r="H29" s="607"/>
      <c r="I29" s="607"/>
      <c r="J29" s="607"/>
      <c r="K29" s="607"/>
      <c r="L29" s="608"/>
      <c r="N29" s="68"/>
      <c r="O29" s="68"/>
    </row>
    <row r="30" spans="1:15" ht="45.95" hidden="1" customHeight="1" x14ac:dyDescent="0.25">
      <c r="A30" s="453"/>
      <c r="B30" s="593" t="s">
        <v>461</v>
      </c>
      <c r="C30" s="594"/>
      <c r="D30" s="606"/>
      <c r="E30" s="607"/>
      <c r="F30" s="607"/>
      <c r="G30" s="607"/>
      <c r="H30" s="607"/>
      <c r="I30" s="607"/>
      <c r="J30" s="607"/>
      <c r="K30" s="607"/>
      <c r="L30" s="608"/>
      <c r="N30" s="68"/>
      <c r="O30" s="68"/>
    </row>
    <row r="31" spans="1:15" ht="45.95" hidden="1" customHeight="1" x14ac:dyDescent="0.25">
      <c r="A31" s="453"/>
      <c r="B31" s="593" t="s">
        <v>488</v>
      </c>
      <c r="C31" s="594"/>
      <c r="D31" s="606"/>
      <c r="E31" s="607"/>
      <c r="F31" s="607"/>
      <c r="G31" s="607"/>
      <c r="H31" s="607"/>
      <c r="I31" s="607"/>
      <c r="J31" s="607"/>
      <c r="K31" s="607"/>
      <c r="L31" s="608"/>
      <c r="M31" s="565" t="str">
        <f>IF(OR(H26=2,H26=5),"←Reminder: optional required forms should have an accompanying underwriting rule specifying when the form will attach and the applicable rule(s) should be specified in this box.","")</f>
        <v/>
      </c>
      <c r="N31" s="68"/>
      <c r="O31" s="68"/>
    </row>
    <row r="32" spans="1:15" ht="15.75" hidden="1" thickBot="1" x14ac:dyDescent="0.3">
      <c r="A32" s="495"/>
      <c r="B32" s="595"/>
      <c r="C32" s="595"/>
      <c r="D32" s="609"/>
      <c r="E32" s="609"/>
      <c r="F32" s="609"/>
      <c r="G32" s="609"/>
      <c r="H32" s="609"/>
      <c r="I32" s="609"/>
      <c r="J32" s="609"/>
      <c r="K32" s="609"/>
      <c r="L32" s="609"/>
      <c r="N32" s="68"/>
      <c r="O32" s="68"/>
    </row>
    <row r="33" spans="1:15" x14ac:dyDescent="0.25">
      <c r="A33" s="520">
        <f>A19-1</f>
        <v>-1</v>
      </c>
      <c r="B33" s="534" t="s">
        <v>196</v>
      </c>
      <c r="C33" s="500"/>
      <c r="D33" s="496"/>
      <c r="E33" s="497"/>
      <c r="F33" s="497"/>
      <c r="G33" s="498"/>
      <c r="H33" s="497"/>
      <c r="I33" s="497"/>
      <c r="J33" s="497"/>
      <c r="K33" s="497"/>
      <c r="L33" s="499"/>
      <c r="M33" s="56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68"/>
      <c r="O33" s="68"/>
    </row>
    <row r="34" spans="1:15" ht="18" customHeight="1" x14ac:dyDescent="0.25">
      <c r="A34" s="452"/>
      <c r="B34" s="535" t="s">
        <v>265</v>
      </c>
      <c r="C34" s="506"/>
      <c r="D34" s="502"/>
      <c r="E34" s="503"/>
      <c r="F34" s="503"/>
      <c r="G34" s="501"/>
      <c r="H34" s="503"/>
      <c r="I34" s="504"/>
      <c r="J34" s="504"/>
      <c r="K34" s="504"/>
      <c r="L34" s="468"/>
      <c r="M34" s="565" t="str">
        <f>IF(OR(H33=1,H33=2,H33=3,H33=7,H33=8,H33=9,ISBLANK(H33)),"",
IF(COUNTBLANK(C34:H34)&gt;0,"←ERROR! Fill out all of the required information in the current line.",
))</f>
        <v/>
      </c>
      <c r="N34" s="68"/>
      <c r="O34" s="68"/>
    </row>
    <row r="35" spans="1:15" ht="75" customHeight="1" x14ac:dyDescent="0.25">
      <c r="A35" s="452"/>
      <c r="B35" s="601" t="s">
        <v>462</v>
      </c>
      <c r="C35" s="602"/>
      <c r="D35" s="598"/>
      <c r="E35" s="598"/>
      <c r="F35" s="598"/>
      <c r="G35" s="598"/>
      <c r="H35" s="598"/>
      <c r="I35" s="598"/>
      <c r="J35" s="598"/>
      <c r="K35" s="598"/>
      <c r="L35" s="599"/>
      <c r="M35" s="565" t="str">
        <f>IF(LEN(TRIM(CLEAN(D35)))=0,"←ERROR! Detailed explanation was not provided.","")</f>
        <v>←ERROR! Detailed explanation was not provided.</v>
      </c>
      <c r="N35" s="68"/>
      <c r="O35" s="68"/>
    </row>
    <row r="36" spans="1:15" ht="105" customHeight="1" x14ac:dyDescent="0.25">
      <c r="A36" s="460"/>
      <c r="B36" s="601" t="s">
        <v>460</v>
      </c>
      <c r="C36" s="602"/>
      <c r="D36" s="598"/>
      <c r="E36" s="598"/>
      <c r="F36" s="598"/>
      <c r="G36" s="598"/>
      <c r="H36" s="598"/>
      <c r="I36" s="598"/>
      <c r="J36" s="598"/>
      <c r="K36" s="598"/>
      <c r="L36" s="599"/>
      <c r="N36" s="68"/>
      <c r="O36" s="68"/>
    </row>
    <row r="37" spans="1:15" ht="45.95" customHeight="1" x14ac:dyDescent="0.25">
      <c r="A37" s="452"/>
      <c r="B37" s="601" t="s">
        <v>461</v>
      </c>
      <c r="C37" s="602"/>
      <c r="D37" s="598"/>
      <c r="E37" s="598"/>
      <c r="F37" s="598"/>
      <c r="G37" s="598"/>
      <c r="H37" s="598"/>
      <c r="I37" s="598"/>
      <c r="J37" s="598"/>
      <c r="K37" s="598"/>
      <c r="L37" s="599"/>
      <c r="N37" s="68"/>
      <c r="O37" s="68"/>
    </row>
    <row r="38" spans="1:15" ht="45.95" customHeight="1" x14ac:dyDescent="0.25">
      <c r="A38" s="452"/>
      <c r="B38" s="601" t="s">
        <v>488</v>
      </c>
      <c r="C38" s="602"/>
      <c r="D38" s="598"/>
      <c r="E38" s="598"/>
      <c r="F38" s="598"/>
      <c r="G38" s="598"/>
      <c r="H38" s="598"/>
      <c r="I38" s="598"/>
      <c r="J38" s="598"/>
      <c r="K38" s="598"/>
      <c r="L38" s="599"/>
      <c r="M38" s="565" t="str">
        <f>IF(OR(H33=2,H33=5),"←Reminder: optional required forms should have an accompanying underwriting rule specifying when the form will attach and the applicable rule(s) should be specified in this box.","")</f>
        <v/>
      </c>
      <c r="N38" s="68"/>
      <c r="O38" s="68"/>
    </row>
    <row r="39" spans="1:15" ht="9" customHeight="1" thickBot="1" x14ac:dyDescent="0.3">
      <c r="A39" s="452"/>
      <c r="B39" s="600"/>
      <c r="C39" s="600"/>
      <c r="D39" s="603"/>
      <c r="E39" s="603"/>
      <c r="F39" s="603"/>
      <c r="G39" s="603"/>
      <c r="H39" s="603"/>
      <c r="I39" s="603"/>
      <c r="J39" s="603"/>
      <c r="K39" s="603"/>
      <c r="L39" s="603"/>
      <c r="N39" s="68"/>
      <c r="O39" s="68"/>
    </row>
    <row r="40" spans="1:15" ht="18" customHeight="1" x14ac:dyDescent="0.25">
      <c r="A40" s="529">
        <f>A33-1</f>
        <v>-2</v>
      </c>
      <c r="B40" s="536" t="s">
        <v>196</v>
      </c>
      <c r="C40" s="521"/>
      <c r="D40" s="522"/>
      <c r="E40" s="523"/>
      <c r="F40" s="523"/>
      <c r="G40" s="531"/>
      <c r="H40" s="525"/>
      <c r="I40" s="526"/>
      <c r="J40" s="525"/>
      <c r="K40" s="527"/>
      <c r="L40" s="528"/>
      <c r="M40" s="56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68"/>
      <c r="O40" s="68"/>
    </row>
    <row r="41" spans="1:15" ht="18" customHeight="1" x14ac:dyDescent="0.25">
      <c r="A41" s="459"/>
      <c r="B41" s="537" t="s">
        <v>265</v>
      </c>
      <c r="C41" s="454"/>
      <c r="D41" s="455"/>
      <c r="E41" s="456"/>
      <c r="F41" s="456"/>
      <c r="G41" s="457"/>
      <c r="H41" s="458"/>
      <c r="I41" s="465"/>
      <c r="J41" s="466"/>
      <c r="K41" s="467"/>
      <c r="L41" s="468"/>
      <c r="M41" s="565" t="str">
        <f>IF(OR(H40=1,H40=2,H40=3,H40=7,H40=8,H40=9,ISBLANK(H40)),"",
IF(COUNTBLANK(C41:H41)&gt;0,"←ERROR! Fill out all of the required information in the current line.",
))</f>
        <v/>
      </c>
      <c r="N41" s="68"/>
      <c r="O41" s="68"/>
    </row>
    <row r="42" spans="1:15" ht="90" customHeight="1" x14ac:dyDescent="0.25">
      <c r="A42" s="459"/>
      <c r="B42" s="632" t="s">
        <v>462</v>
      </c>
      <c r="C42" s="633"/>
      <c r="D42" s="629"/>
      <c r="E42" s="629"/>
      <c r="F42" s="629"/>
      <c r="G42" s="629"/>
      <c r="H42" s="629"/>
      <c r="I42" s="629"/>
      <c r="J42" s="629"/>
      <c r="K42" s="629"/>
      <c r="L42" s="630"/>
      <c r="M42" s="565" t="str">
        <f>IF(LEN(TRIM(CLEAN(D42)))=0,"←ERROR! Detailed explanation was not provided.","")</f>
        <v>←ERROR! Detailed explanation was not provided.</v>
      </c>
      <c r="N42" s="68"/>
      <c r="O42" s="68"/>
    </row>
    <row r="43" spans="1:15" ht="120" customHeight="1" x14ac:dyDescent="0.25">
      <c r="A43" s="462"/>
      <c r="B43" s="632" t="s">
        <v>460</v>
      </c>
      <c r="C43" s="633"/>
      <c r="D43" s="629"/>
      <c r="E43" s="629"/>
      <c r="F43" s="629"/>
      <c r="G43" s="629"/>
      <c r="H43" s="629"/>
      <c r="I43" s="629"/>
      <c r="J43" s="629"/>
      <c r="K43" s="629"/>
      <c r="L43" s="630"/>
      <c r="N43" s="68"/>
      <c r="O43" s="68"/>
    </row>
    <row r="44" spans="1:15" ht="45.95" customHeight="1" x14ac:dyDescent="0.25">
      <c r="A44" s="459"/>
      <c r="B44" s="632" t="s">
        <v>461</v>
      </c>
      <c r="C44" s="633"/>
      <c r="D44" s="629"/>
      <c r="E44" s="629"/>
      <c r="F44" s="629"/>
      <c r="G44" s="629"/>
      <c r="H44" s="629"/>
      <c r="I44" s="629"/>
      <c r="J44" s="629"/>
      <c r="K44" s="629"/>
      <c r="L44" s="630"/>
      <c r="N44" s="68"/>
      <c r="O44" s="68"/>
    </row>
    <row r="45" spans="1:15" ht="60.95" customHeight="1" x14ac:dyDescent="0.25">
      <c r="A45" s="459"/>
      <c r="B45" s="632" t="s">
        <v>488</v>
      </c>
      <c r="C45" s="633"/>
      <c r="D45" s="629"/>
      <c r="E45" s="629"/>
      <c r="F45" s="629"/>
      <c r="G45" s="629"/>
      <c r="H45" s="629"/>
      <c r="I45" s="629"/>
      <c r="J45" s="629"/>
      <c r="K45" s="629"/>
      <c r="L45" s="630"/>
      <c r="M45" s="565" t="str">
        <f>IF(OR(H40=2,H40=5),"←Reminder: optional required forms should have an accompanying underwriting rule specifying when the form will attach and the applicable rule(s) should be specified in this box.","")</f>
        <v/>
      </c>
      <c r="N45" s="68"/>
      <c r="O45" s="68"/>
    </row>
    <row r="46" spans="1:15" ht="9" customHeight="1" thickBot="1" x14ac:dyDescent="0.3">
      <c r="A46" s="459"/>
      <c r="B46" s="634"/>
      <c r="C46" s="635"/>
      <c r="D46" s="631"/>
      <c r="E46" s="631"/>
      <c r="F46" s="631"/>
      <c r="G46" s="631"/>
      <c r="H46" s="631"/>
      <c r="I46" s="631"/>
      <c r="J46" s="631"/>
      <c r="K46" s="631"/>
      <c r="L46" s="631"/>
      <c r="N46" s="68"/>
      <c r="O46" s="68"/>
    </row>
    <row r="47" spans="1:15" ht="18" customHeight="1" x14ac:dyDescent="0.25">
      <c r="A47" s="520">
        <f>A40-1</f>
        <v>-3</v>
      </c>
      <c r="B47" s="534" t="s">
        <v>196</v>
      </c>
      <c r="C47" s="500"/>
      <c r="D47" s="496"/>
      <c r="E47" s="497"/>
      <c r="F47" s="497"/>
      <c r="G47" s="498"/>
      <c r="H47" s="497"/>
      <c r="I47" s="497"/>
      <c r="J47" s="497"/>
      <c r="K47" s="497"/>
      <c r="L47" s="499"/>
      <c r="M47" s="56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68"/>
      <c r="O47" s="68"/>
    </row>
    <row r="48" spans="1:15" ht="18" customHeight="1" x14ac:dyDescent="0.25">
      <c r="A48" s="452"/>
      <c r="B48" s="535" t="s">
        <v>265</v>
      </c>
      <c r="C48" s="505"/>
      <c r="D48" s="502"/>
      <c r="E48" s="503"/>
      <c r="F48" s="503"/>
      <c r="G48" s="501"/>
      <c r="H48" s="503"/>
      <c r="I48" s="504"/>
      <c r="J48" s="504"/>
      <c r="K48" s="504"/>
      <c r="L48" s="468"/>
      <c r="M48" s="565" t="str">
        <f>IF(OR(H47=1,H47=2,H47=3,H47=7,H47=8,H47=9,ISBLANK(H47)),"",
IF(COUNTBLANK(C48:H48)&gt;0,"←ERROR! Fill out all of the required information in the current line.",
))</f>
        <v/>
      </c>
      <c r="N48" s="68"/>
      <c r="O48" s="68"/>
    </row>
    <row r="49" spans="1:15" ht="90" customHeight="1" x14ac:dyDescent="0.25">
      <c r="A49" s="452"/>
      <c r="B49" s="601" t="s">
        <v>462</v>
      </c>
      <c r="C49" s="602"/>
      <c r="D49" s="598"/>
      <c r="E49" s="598"/>
      <c r="F49" s="598"/>
      <c r="G49" s="598"/>
      <c r="H49" s="598"/>
      <c r="I49" s="598"/>
      <c r="J49" s="598"/>
      <c r="K49" s="598"/>
      <c r="L49" s="599"/>
      <c r="M49" s="565" t="str">
        <f>IF(LEN(TRIM(CLEAN(D49)))=0,"←ERROR! Detailed explanation was not provided.","")</f>
        <v>←ERROR! Detailed explanation was not provided.</v>
      </c>
      <c r="N49" s="68"/>
      <c r="O49" s="68"/>
    </row>
    <row r="50" spans="1:15" ht="120" customHeight="1" x14ac:dyDescent="0.25">
      <c r="A50" s="460"/>
      <c r="B50" s="601" t="s">
        <v>460</v>
      </c>
      <c r="C50" s="602"/>
      <c r="D50" s="598"/>
      <c r="E50" s="598"/>
      <c r="F50" s="598"/>
      <c r="G50" s="598"/>
      <c r="H50" s="598"/>
      <c r="I50" s="598"/>
      <c r="J50" s="598"/>
      <c r="K50" s="598"/>
      <c r="L50" s="599"/>
      <c r="N50" s="68"/>
      <c r="O50" s="68"/>
    </row>
    <row r="51" spans="1:15" ht="45.95" customHeight="1" x14ac:dyDescent="0.25">
      <c r="A51" s="452"/>
      <c r="B51" s="601" t="s">
        <v>461</v>
      </c>
      <c r="C51" s="602"/>
      <c r="D51" s="598"/>
      <c r="E51" s="598"/>
      <c r="F51" s="598"/>
      <c r="G51" s="598"/>
      <c r="H51" s="598"/>
      <c r="I51" s="598"/>
      <c r="J51" s="598"/>
      <c r="K51" s="598"/>
      <c r="L51" s="599"/>
      <c r="N51" s="68"/>
      <c r="O51" s="68"/>
    </row>
    <row r="52" spans="1:15" ht="60.95" customHeight="1" x14ac:dyDescent="0.25">
      <c r="A52" s="452"/>
      <c r="B52" s="601" t="s">
        <v>488</v>
      </c>
      <c r="C52" s="602"/>
      <c r="D52" s="598"/>
      <c r="E52" s="598"/>
      <c r="F52" s="598"/>
      <c r="G52" s="598"/>
      <c r="H52" s="598"/>
      <c r="I52" s="598"/>
      <c r="J52" s="598"/>
      <c r="K52" s="598"/>
      <c r="L52" s="599"/>
      <c r="M52" s="565" t="str">
        <f>IF(OR(H47=2,H47=5),"←Reminder: optional required forms should have an accompanying underwriting rule specifying when the form will attach and the applicable rule(s) should be specified in this box.","")</f>
        <v/>
      </c>
      <c r="N52" s="68"/>
      <c r="O52" s="68"/>
    </row>
    <row r="53" spans="1:15" ht="9" customHeight="1" thickBot="1" x14ac:dyDescent="0.3">
      <c r="A53" s="452"/>
      <c r="B53" s="623"/>
      <c r="C53" s="624"/>
      <c r="D53" s="622"/>
      <c r="E53" s="622"/>
      <c r="F53" s="622"/>
      <c r="G53" s="622"/>
      <c r="H53" s="622"/>
      <c r="I53" s="622"/>
      <c r="J53" s="622"/>
      <c r="K53" s="622"/>
      <c r="L53" s="622"/>
      <c r="N53" s="68"/>
      <c r="O53" s="68"/>
    </row>
    <row r="54" spans="1:15" ht="18" customHeight="1" x14ac:dyDescent="0.25">
      <c r="A54" s="529">
        <f>A47-1</f>
        <v>-4</v>
      </c>
      <c r="B54" s="530" t="s">
        <v>196</v>
      </c>
      <c r="C54" s="521"/>
      <c r="D54" s="522"/>
      <c r="E54" s="523"/>
      <c r="F54" s="523"/>
      <c r="G54" s="531"/>
      <c r="H54" s="525"/>
      <c r="I54" s="526"/>
      <c r="J54" s="525"/>
      <c r="K54" s="527"/>
      <c r="L54" s="528"/>
      <c r="M54" s="56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9"/>
      <c r="B55" s="518" t="s">
        <v>265</v>
      </c>
      <c r="C55" s="454"/>
      <c r="D55" s="455"/>
      <c r="E55" s="456"/>
      <c r="F55" s="456"/>
      <c r="G55" s="457"/>
      <c r="H55" s="458"/>
      <c r="I55" s="465"/>
      <c r="J55" s="466"/>
      <c r="K55" s="467"/>
      <c r="L55" s="468"/>
      <c r="M55" s="565" t="str">
        <f>IF(OR(H54=1,H54=2,H54=3,H54=7,H54=8,H54=9,ISBLANK(H54)),"",
IF(COUNTBLANK(C55:H55)&gt;0,"←ERROR! Fill out all of the required information in the current line.",
))</f>
        <v/>
      </c>
      <c r="N55" s="68"/>
      <c r="O55" s="68"/>
    </row>
    <row r="56" spans="1:15" ht="90" customHeight="1" x14ac:dyDescent="0.25">
      <c r="A56" s="459"/>
      <c r="B56" s="625" t="s">
        <v>462</v>
      </c>
      <c r="C56" s="626"/>
      <c r="D56" s="629"/>
      <c r="E56" s="629"/>
      <c r="F56" s="629"/>
      <c r="G56" s="629"/>
      <c r="H56" s="629"/>
      <c r="I56" s="629"/>
      <c r="J56" s="629"/>
      <c r="K56" s="629"/>
      <c r="L56" s="630"/>
      <c r="M56" s="565" t="str">
        <f>IF(LEN(TRIM(CLEAN(D56)))=0,"←ERROR! Detailed explanation was not provided.","")</f>
        <v>←ERROR! Detailed explanation was not provided.</v>
      </c>
      <c r="N56" s="68"/>
      <c r="O56" s="68"/>
    </row>
    <row r="57" spans="1:15" ht="120" customHeight="1" x14ac:dyDescent="0.25">
      <c r="A57" s="462"/>
      <c r="B57" s="625" t="s">
        <v>460</v>
      </c>
      <c r="C57" s="626"/>
      <c r="D57" s="629"/>
      <c r="E57" s="629"/>
      <c r="F57" s="629"/>
      <c r="G57" s="629"/>
      <c r="H57" s="629"/>
      <c r="I57" s="629"/>
      <c r="J57" s="629"/>
      <c r="K57" s="629"/>
      <c r="L57" s="630"/>
      <c r="N57" s="68"/>
      <c r="O57" s="68"/>
    </row>
    <row r="58" spans="1:15" ht="45.95" customHeight="1" x14ac:dyDescent="0.25">
      <c r="A58" s="459"/>
      <c r="B58" s="625" t="s">
        <v>461</v>
      </c>
      <c r="C58" s="626"/>
      <c r="D58" s="629"/>
      <c r="E58" s="629"/>
      <c r="F58" s="629"/>
      <c r="G58" s="629"/>
      <c r="H58" s="629"/>
      <c r="I58" s="629"/>
      <c r="J58" s="629"/>
      <c r="K58" s="629"/>
      <c r="L58" s="630"/>
      <c r="N58" s="68"/>
      <c r="O58" s="68"/>
    </row>
    <row r="59" spans="1:15" ht="60.95" customHeight="1" x14ac:dyDescent="0.25">
      <c r="A59" s="459"/>
      <c r="B59" s="625" t="s">
        <v>488</v>
      </c>
      <c r="C59" s="626"/>
      <c r="D59" s="629"/>
      <c r="E59" s="629"/>
      <c r="F59" s="629"/>
      <c r="G59" s="629"/>
      <c r="H59" s="629"/>
      <c r="I59" s="629"/>
      <c r="J59" s="629"/>
      <c r="K59" s="629"/>
      <c r="L59" s="630"/>
      <c r="M59" s="565" t="str">
        <f>IF(OR(H54=2,H54=5),"←Reminder: optional required forms should have an accompanying underwriting rule specifying when the form will attach and the applicable rule(s) should be specified in this box.","")</f>
        <v/>
      </c>
      <c r="N59" s="68"/>
      <c r="O59" s="68"/>
    </row>
    <row r="60" spans="1:15" ht="9" customHeight="1" thickBot="1" x14ac:dyDescent="0.3">
      <c r="A60" s="532"/>
      <c r="B60" s="627"/>
      <c r="C60" s="628"/>
      <c r="D60" s="609"/>
      <c r="E60" s="609"/>
      <c r="F60" s="609"/>
      <c r="G60" s="609"/>
      <c r="H60" s="609"/>
      <c r="I60" s="609"/>
      <c r="J60" s="609"/>
      <c r="K60" s="609"/>
      <c r="L60" s="609"/>
      <c r="N60" s="68"/>
      <c r="O60" s="68"/>
    </row>
    <row r="61" spans="1:15" ht="3.75" customHeight="1" x14ac:dyDescent="0.25"/>
    <row r="62" spans="1:15" ht="17.25" x14ac:dyDescent="0.25">
      <c r="B62" s="47" t="s">
        <v>458</v>
      </c>
    </row>
    <row r="63" spans="1:15" x14ac:dyDescent="0.25">
      <c r="B63" s="450" t="s">
        <v>459</v>
      </c>
    </row>
    <row r="64" spans="1:15" ht="17.25" customHeight="1" x14ac:dyDescent="0.25">
      <c r="B64" s="47" t="s">
        <v>277</v>
      </c>
    </row>
    <row r="65" spans="2:12" ht="17.25" x14ac:dyDescent="0.25">
      <c r="B65" s="47" t="s">
        <v>497</v>
      </c>
    </row>
    <row r="66" spans="2:12" x14ac:dyDescent="0.25">
      <c r="B66" s="47"/>
    </row>
    <row r="67" spans="2:12" ht="15.75" thickBot="1" x14ac:dyDescent="0.3">
      <c r="B67" s="1" t="s">
        <v>466</v>
      </c>
      <c r="F67" s="147"/>
      <c r="G67"/>
    </row>
    <row r="68" spans="2:12" ht="15" customHeight="1" x14ac:dyDescent="0.25">
      <c r="B68" s="613"/>
      <c r="C68" s="614"/>
      <c r="D68" s="614"/>
      <c r="E68" s="614"/>
      <c r="F68" s="614"/>
      <c r="G68" s="614"/>
      <c r="H68" s="614"/>
      <c r="I68" s="614"/>
      <c r="J68" s="614"/>
      <c r="K68" s="614"/>
      <c r="L68" s="615"/>
    </row>
    <row r="69" spans="2:12" x14ac:dyDescent="0.25">
      <c r="B69" s="616"/>
      <c r="C69" s="617"/>
      <c r="D69" s="617"/>
      <c r="E69" s="617"/>
      <c r="F69" s="617"/>
      <c r="G69" s="617"/>
      <c r="H69" s="617"/>
      <c r="I69" s="617"/>
      <c r="J69" s="617"/>
      <c r="K69" s="617"/>
      <c r="L69" s="618"/>
    </row>
    <row r="70" spans="2:12" x14ac:dyDescent="0.25">
      <c r="B70" s="616"/>
      <c r="C70" s="617"/>
      <c r="D70" s="617"/>
      <c r="E70" s="617"/>
      <c r="F70" s="617"/>
      <c r="G70" s="617"/>
      <c r="H70" s="617"/>
      <c r="I70" s="617"/>
      <c r="J70" s="617"/>
      <c r="K70" s="617"/>
      <c r="L70" s="618"/>
    </row>
    <row r="71" spans="2:12" x14ac:dyDescent="0.25">
      <c r="B71" s="616"/>
      <c r="C71" s="617"/>
      <c r="D71" s="617"/>
      <c r="E71" s="617"/>
      <c r="F71" s="617"/>
      <c r="G71" s="617"/>
      <c r="H71" s="617"/>
      <c r="I71" s="617"/>
      <c r="J71" s="617"/>
      <c r="K71" s="617"/>
      <c r="L71" s="618"/>
    </row>
    <row r="72" spans="2:12" x14ac:dyDescent="0.25">
      <c r="B72" s="616"/>
      <c r="C72" s="617"/>
      <c r="D72" s="617"/>
      <c r="E72" s="617"/>
      <c r="F72" s="617"/>
      <c r="G72" s="617"/>
      <c r="H72" s="617"/>
      <c r="I72" s="617"/>
      <c r="J72" s="617"/>
      <c r="K72" s="617"/>
      <c r="L72" s="618"/>
    </row>
    <row r="73" spans="2:12" x14ac:dyDescent="0.25">
      <c r="B73" s="616"/>
      <c r="C73" s="617"/>
      <c r="D73" s="617"/>
      <c r="E73" s="617"/>
      <c r="F73" s="617"/>
      <c r="G73" s="617"/>
      <c r="H73" s="617"/>
      <c r="I73" s="617"/>
      <c r="J73" s="617"/>
      <c r="K73" s="617"/>
      <c r="L73" s="618"/>
    </row>
    <row r="74" spans="2:12" x14ac:dyDescent="0.25">
      <c r="B74" s="616"/>
      <c r="C74" s="617"/>
      <c r="D74" s="617"/>
      <c r="E74" s="617"/>
      <c r="F74" s="617"/>
      <c r="G74" s="617"/>
      <c r="H74" s="617"/>
      <c r="I74" s="617"/>
      <c r="J74" s="617"/>
      <c r="K74" s="617"/>
      <c r="L74" s="618"/>
    </row>
    <row r="75" spans="2:12" x14ac:dyDescent="0.25">
      <c r="B75" s="616"/>
      <c r="C75" s="617"/>
      <c r="D75" s="617"/>
      <c r="E75" s="617"/>
      <c r="F75" s="617"/>
      <c r="G75" s="617"/>
      <c r="H75" s="617"/>
      <c r="I75" s="617"/>
      <c r="J75" s="617"/>
      <c r="K75" s="617"/>
      <c r="L75" s="618"/>
    </row>
    <row r="76" spans="2:12" ht="15.75" thickBot="1" x14ac:dyDescent="0.3">
      <c r="B76" s="619"/>
      <c r="C76" s="620"/>
      <c r="D76" s="620"/>
      <c r="E76" s="620"/>
      <c r="F76" s="620"/>
      <c r="G76" s="620"/>
      <c r="H76" s="620"/>
      <c r="I76" s="620"/>
      <c r="J76" s="620"/>
      <c r="K76" s="620"/>
      <c r="L76" s="621"/>
    </row>
  </sheetData>
  <sheetProtection algorithmName="SHA-512" hashValue="LYLD8BIxK7ZiXiCqceVvrm2A5w6Z/65F4gZU0xs7Q5BQVB41CZ0Jar63W9GTlFgeJJr5r/q2pSm/CSvwswLCDQ==" saltValue="h6mwruJyJhcMJq07kUOkIA=="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42:L42"/>
    <mergeCell ref="D43:L43"/>
    <mergeCell ref="D44:L44"/>
    <mergeCell ref="B68:L76"/>
    <mergeCell ref="D53:L53"/>
    <mergeCell ref="B53:C53"/>
    <mergeCell ref="B56:C56"/>
    <mergeCell ref="B57:C57"/>
    <mergeCell ref="B58:C58"/>
    <mergeCell ref="B59:C59"/>
    <mergeCell ref="D60:L60"/>
    <mergeCell ref="B60:C60"/>
    <mergeCell ref="D59:L59"/>
    <mergeCell ref="D58:L58"/>
    <mergeCell ref="D57:L57"/>
    <mergeCell ref="D56:L56"/>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D35:L35"/>
    <mergeCell ref="D36:L36"/>
    <mergeCell ref="D37:L37"/>
    <mergeCell ref="B39:C39"/>
    <mergeCell ref="B38:C38"/>
    <mergeCell ref="B35:C35"/>
    <mergeCell ref="B36:C36"/>
    <mergeCell ref="D38:L38"/>
    <mergeCell ref="D39:L39"/>
    <mergeCell ref="B30:C30"/>
    <mergeCell ref="B31:C31"/>
    <mergeCell ref="B32:C32"/>
    <mergeCell ref="B21:C21"/>
    <mergeCell ref="B22:C2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3" fitToHeight="0" orientation="landscape" useFirstPageNumber="1" r:id="rId1"/>
  <headerFooter>
    <oddFooter>&amp;CPrior Approval Rate Application&amp;RPage 9.&amp;P&amp;L6/5/2023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topLeftCell="A10" zoomScaleNormal="100" zoomScaleSheetLayoutView="100" workbookViewId="0">
      <selection activeCell="D11" sqref="D11"/>
    </sheetView>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66</v>
      </c>
      <c r="B1" s="10"/>
      <c r="C1" s="157" t="s">
        <v>68</v>
      </c>
      <c r="D1" s="158" t="str">
        <f>Co_Name</f>
        <v>State Farm Mutual Automobile Insurance Company</v>
      </c>
      <c r="H1" s="158"/>
      <c r="I1" s="157"/>
    </row>
    <row r="2" spans="1:14" x14ac:dyDescent="0.25">
      <c r="A2" s="10" t="s">
        <v>67</v>
      </c>
      <c r="B2" s="10"/>
      <c r="C2" s="157" t="s">
        <v>69</v>
      </c>
      <c r="D2" s="158" t="str">
        <f>General_Line</f>
        <v>Auto Liability and Physical Damage</v>
      </c>
      <c r="H2" s="158"/>
      <c r="I2" s="157"/>
    </row>
    <row r="3" spans="1:14" x14ac:dyDescent="0.25">
      <c r="B3" s="164"/>
    </row>
    <row r="4" spans="1:14" ht="23.25" x14ac:dyDescent="0.25">
      <c r="A4" s="5" t="s">
        <v>406</v>
      </c>
      <c r="B4" s="5"/>
      <c r="C4" s="145"/>
      <c r="D4" s="145"/>
      <c r="F4" s="145"/>
      <c r="G4" s="145"/>
      <c r="H4" s="145"/>
      <c r="I4" s="145"/>
      <c r="J4" s="145"/>
      <c r="K4" s="145"/>
      <c r="L4" s="145"/>
      <c r="M4" s="145"/>
      <c r="N4" s="145"/>
    </row>
    <row r="6" spans="1:14" x14ac:dyDescent="0.25">
      <c r="A6" s="47" t="s">
        <v>251</v>
      </c>
    </row>
    <row r="7" spans="1:14" x14ac:dyDescent="0.25">
      <c r="A7" s="47" t="s">
        <v>314</v>
      </c>
    </row>
    <row r="9" spans="1:14" ht="18" customHeight="1" x14ac:dyDescent="0.25">
      <c r="A9" s="47" t="s">
        <v>200</v>
      </c>
    </row>
    <row r="10" spans="1:14" ht="24.95" customHeight="1" x14ac:dyDescent="0.25">
      <c r="B10" s="47" t="s">
        <v>202</v>
      </c>
    </row>
    <row r="11" spans="1:14" ht="24.95" customHeight="1" x14ac:dyDescent="0.25">
      <c r="B11" s="47" t="s">
        <v>201</v>
      </c>
    </row>
    <row r="12" spans="1:14" ht="24.95" customHeight="1" x14ac:dyDescent="0.25">
      <c r="B12" s="47" t="s">
        <v>272</v>
      </c>
      <c r="E12" s="22" t="b">
        <v>0</v>
      </c>
    </row>
    <row r="13" spans="1:14" ht="24.95" customHeight="1" x14ac:dyDescent="0.25">
      <c r="B13" s="47" t="s">
        <v>205</v>
      </c>
    </row>
    <row r="14" spans="1:14" ht="24.75" customHeight="1" x14ac:dyDescent="0.25">
      <c r="B14" s="47" t="s">
        <v>269</v>
      </c>
    </row>
    <row r="15" spans="1:14" ht="9.75" customHeight="1" x14ac:dyDescent="0.25"/>
    <row r="16" spans="1:14" ht="18" customHeight="1" x14ac:dyDescent="0.25">
      <c r="A16" s="231" t="s">
        <v>266</v>
      </c>
    </row>
    <row r="17" spans="1:6" ht="24.95" customHeight="1" x14ac:dyDescent="0.25">
      <c r="B17" s="47" t="s">
        <v>271</v>
      </c>
    </row>
    <row r="18" spans="1:6" ht="24.95" customHeight="1" x14ac:dyDescent="0.25">
      <c r="B18" s="28" t="s">
        <v>315</v>
      </c>
    </row>
    <row r="19" spans="1:6" ht="24.95" customHeight="1" x14ac:dyDescent="0.25">
      <c r="B19" s="47" t="s">
        <v>267</v>
      </c>
    </row>
    <row r="20" spans="1:6" ht="24.95" customHeight="1" x14ac:dyDescent="0.25">
      <c r="B20" s="47" t="s">
        <v>210</v>
      </c>
    </row>
    <row r="21" spans="1:6" ht="24.95" customHeight="1" x14ac:dyDescent="0.25">
      <c r="B21" s="28" t="s">
        <v>316</v>
      </c>
    </row>
    <row r="22" spans="1:6" ht="24.95" customHeight="1" x14ac:dyDescent="0.25">
      <c r="B22" s="47" t="s">
        <v>273</v>
      </c>
    </row>
    <row r="23" spans="1:6" ht="24.95" customHeight="1" x14ac:dyDescent="0.25">
      <c r="B23" s="28" t="s">
        <v>317</v>
      </c>
    </row>
    <row r="24" spans="1:6" ht="24.95" customHeight="1" x14ac:dyDescent="0.25">
      <c r="B24" s="47" t="s">
        <v>206</v>
      </c>
    </row>
    <row r="25" spans="1:6" ht="18" customHeight="1" x14ac:dyDescent="0.25">
      <c r="B25" s="28" t="s">
        <v>203</v>
      </c>
    </row>
    <row r="26" spans="1:6" ht="18" customHeight="1" x14ac:dyDescent="0.25">
      <c r="B26" s="28" t="s">
        <v>204</v>
      </c>
    </row>
    <row r="27" spans="1:6" ht="9.9499999999999993" customHeight="1" x14ac:dyDescent="0.25"/>
    <row r="28" spans="1:6" ht="18" customHeight="1" x14ac:dyDescent="0.25">
      <c r="A28" s="47" t="s">
        <v>209</v>
      </c>
      <c r="D28" s="198"/>
      <c r="F28" s="333" t="str">
        <f>IF(AND(ISBLANK(D28),E12=TRUE),"← WARNING! If (3) above is checked, specify the approved CDI File #(s) of the AO rule.","")</f>
        <v/>
      </c>
    </row>
    <row r="29" spans="1:6" ht="9.9499999999999993" customHeight="1" x14ac:dyDescent="0.25"/>
    <row r="30" spans="1:6" ht="18" customHeight="1" x14ac:dyDescent="0.25">
      <c r="A30" s="47" t="s">
        <v>207</v>
      </c>
    </row>
    <row r="31" spans="1:6" ht="24.95" customHeight="1" x14ac:dyDescent="0.25">
      <c r="B31" s="47" t="s">
        <v>318</v>
      </c>
    </row>
    <row r="32" spans="1:6" ht="24.95" customHeight="1" x14ac:dyDescent="0.25">
      <c r="B32" s="47" t="s">
        <v>208</v>
      </c>
    </row>
    <row r="33" spans="1:2" ht="24.95" customHeight="1" x14ac:dyDescent="0.25">
      <c r="B33" s="47" t="s">
        <v>211</v>
      </c>
    </row>
    <row r="34" spans="1:2" ht="24.95" customHeight="1" x14ac:dyDescent="0.25">
      <c r="B34" s="28" t="s">
        <v>317</v>
      </c>
    </row>
    <row r="36" spans="1:2" ht="18" customHeight="1" x14ac:dyDescent="0.25">
      <c r="A36" s="47" t="s">
        <v>275</v>
      </c>
    </row>
    <row r="37" spans="1:2" ht="18" customHeight="1" x14ac:dyDescent="0.25">
      <c r="A37" s="47" t="s">
        <v>319</v>
      </c>
    </row>
    <row r="39" spans="1:2" ht="17.25" x14ac:dyDescent="0.25">
      <c r="A39" s="47" t="s">
        <v>270</v>
      </c>
    </row>
    <row r="40" spans="1:2" x14ac:dyDescent="0.25">
      <c r="A40" s="62" t="s">
        <v>268</v>
      </c>
    </row>
  </sheetData>
  <sheetProtection algorithmName="SHA-512" hashValue="lXOQ21AGb8BK052dJiwkDpXjodb2xXXFAp8UwA5PsIlsnngZfBnFwe70Fhz8dz1kC3xtwI80z6/I0vu16NsoKA==" saltValue="as9GzJ/XSRvC30b/9KwzXQ==" spinCount="100000" sheet="1" objects="1" scenarios="1" formatColumns="0" formatRows="0" sort="0"/>
  <pageMargins left="0.7" right="0.7" top="0.75" bottom="0.75" header="0.3" footer="0.3"/>
  <pageSetup scale="84" orientation="portrait" r:id="rId1"/>
  <headerFooter>
    <oddFooter>&amp;CPrior Approval Rate Application&amp;RPage 10&amp;L6/5/2023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66</v>
      </c>
      <c r="E1" s="36" t="s">
        <v>68</v>
      </c>
      <c r="G1" s="35" t="str">
        <f>Co_Name</f>
        <v>State Farm Mutual Automobile Insurance Company</v>
      </c>
      <c r="I1" s="48"/>
    </row>
    <row r="2" spans="1:10" x14ac:dyDescent="0.25">
      <c r="A2" s="20" t="s">
        <v>67</v>
      </c>
      <c r="E2" s="36" t="s">
        <v>69</v>
      </c>
      <c r="G2" s="35" t="str">
        <f>General_Line</f>
        <v>Auto Liability and Physical Damage</v>
      </c>
      <c r="I2" s="48"/>
    </row>
    <row r="3" spans="1:10" x14ac:dyDescent="0.25">
      <c r="B3" s="165"/>
      <c r="I3" s="48"/>
    </row>
    <row r="4" spans="1:10" ht="23.25" x14ac:dyDescent="0.25">
      <c r="A4" s="5" t="s">
        <v>326</v>
      </c>
      <c r="B4" s="3"/>
      <c r="C4" s="3"/>
      <c r="D4" s="3"/>
      <c r="E4" s="3"/>
      <c r="F4" s="3"/>
      <c r="G4" s="3"/>
      <c r="I4" s="232"/>
    </row>
    <row r="5" spans="1:10" x14ac:dyDescent="0.25">
      <c r="I5" s="48"/>
    </row>
    <row r="6" spans="1:10" x14ac:dyDescent="0.25">
      <c r="A6" t="s">
        <v>243</v>
      </c>
      <c r="I6" s="48"/>
    </row>
    <row r="7" spans="1:10" x14ac:dyDescent="0.25">
      <c r="A7" s="2" t="s">
        <v>242</v>
      </c>
      <c r="I7" s="48"/>
    </row>
    <row r="8" spans="1:10" ht="5.0999999999999996" customHeight="1" x14ac:dyDescent="0.25">
      <c r="A8" s="2"/>
      <c r="I8" s="48"/>
    </row>
    <row r="9" spans="1:10" x14ac:dyDescent="0.25">
      <c r="A9" t="s">
        <v>244</v>
      </c>
      <c r="I9" s="48"/>
    </row>
    <row r="10" spans="1:10" x14ac:dyDescent="0.25">
      <c r="A10" s="2" t="s">
        <v>250</v>
      </c>
      <c r="I10" s="48"/>
    </row>
    <row r="11" spans="1:10" ht="15.75" thickBot="1" x14ac:dyDescent="0.3">
      <c r="I11" s="48"/>
    </row>
    <row r="12" spans="1:10" ht="195" x14ac:dyDescent="0.25">
      <c r="A12" s="107"/>
      <c r="B12" s="108"/>
      <c r="C12" s="108"/>
      <c r="D12" s="227" t="s">
        <v>171</v>
      </c>
      <c r="E12" s="227" t="s">
        <v>178</v>
      </c>
      <c r="F12" s="227" t="s">
        <v>172</v>
      </c>
      <c r="G12" s="109" t="s">
        <v>179</v>
      </c>
      <c r="H12" s="105" t="s">
        <v>177</v>
      </c>
      <c r="I12" s="48"/>
    </row>
    <row r="13" spans="1:10" ht="5.0999999999999996" customHeight="1" thickBot="1" x14ac:dyDescent="0.3">
      <c r="A13" s="113"/>
      <c r="B13" s="111"/>
      <c r="C13" s="111"/>
      <c r="D13" s="226"/>
      <c r="E13" s="226"/>
      <c r="F13" s="226"/>
      <c r="G13" s="114"/>
      <c r="H13" s="4"/>
      <c r="I13" s="48"/>
    </row>
    <row r="14" spans="1:10" ht="18" customHeight="1" x14ac:dyDescent="0.25">
      <c r="A14" s="115" t="s">
        <v>337</v>
      </c>
      <c r="B14" s="116"/>
      <c r="C14" s="116"/>
      <c r="D14" s="195"/>
      <c r="E14" s="117"/>
      <c r="F14" s="195"/>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180</v>
      </c>
      <c r="B16" s="125" t="s">
        <v>105</v>
      </c>
      <c r="C16" s="125"/>
      <c r="D16" s="195"/>
      <c r="E16" s="123" t="str">
        <f>IF(ISBLANK(D16),"",D16-D$14)</f>
        <v/>
      </c>
      <c r="F16" s="195"/>
      <c r="G16" s="124" t="str">
        <f>IF(ISBLANK(F16),"",F16-F$14)</f>
        <v/>
      </c>
      <c r="H16" s="178">
        <v>23</v>
      </c>
      <c r="I16" s="48"/>
    </row>
    <row r="17" spans="1:9" ht="5.0999999999999996" customHeight="1" x14ac:dyDescent="0.25">
      <c r="A17" s="110"/>
      <c r="B17" s="162"/>
      <c r="C17" s="162"/>
      <c r="D17" s="106"/>
      <c r="E17" s="171"/>
      <c r="F17" s="106"/>
      <c r="G17" s="172"/>
      <c r="H17" s="4"/>
      <c r="I17" s="48"/>
    </row>
    <row r="18" spans="1:9" ht="24.95" customHeight="1" x14ac:dyDescent="0.25">
      <c r="A18" s="636" t="str">
        <f>INDEX(List_Variances,$H16,2)</f>
        <v/>
      </c>
      <c r="B18" s="637"/>
      <c r="C18" s="637"/>
      <c r="D18" s="637"/>
      <c r="E18" s="637"/>
      <c r="F18" s="637"/>
      <c r="G18" s="638"/>
      <c r="H18" s="4"/>
      <c r="I18" s="48"/>
    </row>
    <row r="19" spans="1:9" ht="24.95" customHeight="1" thickBot="1" x14ac:dyDescent="0.3">
      <c r="A19" s="639"/>
      <c r="B19" s="640"/>
      <c r="C19" s="640"/>
      <c r="D19" s="640"/>
      <c r="E19" s="640"/>
      <c r="F19" s="640"/>
      <c r="G19" s="641"/>
      <c r="H19" s="4"/>
      <c r="I19" s="48"/>
    </row>
    <row r="20" spans="1:9" ht="18" customHeight="1" x14ac:dyDescent="0.25">
      <c r="A20" s="115" t="s">
        <v>173</v>
      </c>
      <c r="B20" s="125" t="s">
        <v>105</v>
      </c>
      <c r="C20" s="116"/>
      <c r="D20" s="195"/>
      <c r="E20" s="123" t="str">
        <f>IF(ISBLANK(D20),"",D20-D$14)</f>
        <v/>
      </c>
      <c r="F20" s="195"/>
      <c r="G20" s="124" t="str">
        <f>IF(ISBLANK(F20),"",F20-F$14)</f>
        <v/>
      </c>
      <c r="H20" s="178">
        <v>23</v>
      </c>
      <c r="I20" s="48"/>
    </row>
    <row r="21" spans="1:9" ht="24.75" customHeight="1" x14ac:dyDescent="0.25">
      <c r="A21" s="636" t="str">
        <f>INDEX(List_Variances,$H20,2)</f>
        <v/>
      </c>
      <c r="B21" s="637"/>
      <c r="C21" s="637"/>
      <c r="D21" s="637"/>
      <c r="E21" s="637"/>
      <c r="F21" s="637"/>
      <c r="G21" s="638"/>
      <c r="H21" s="4"/>
      <c r="I21" s="48"/>
    </row>
    <row r="22" spans="1:9" ht="24.75" customHeight="1" thickBot="1" x14ac:dyDescent="0.3">
      <c r="A22" s="639"/>
      <c r="B22" s="640"/>
      <c r="C22" s="640"/>
      <c r="D22" s="640"/>
      <c r="E22" s="640"/>
      <c r="F22" s="640"/>
      <c r="G22" s="641"/>
      <c r="H22" s="4"/>
      <c r="I22" s="48"/>
    </row>
    <row r="23" spans="1:9" ht="18" customHeight="1" x14ac:dyDescent="0.25">
      <c r="A23" s="115" t="s">
        <v>174</v>
      </c>
      <c r="B23" s="125" t="s">
        <v>105</v>
      </c>
      <c r="C23" s="116"/>
      <c r="D23" s="195"/>
      <c r="E23" s="123" t="str">
        <f>IF(ISBLANK(D23),"",D23-D$14)</f>
        <v/>
      </c>
      <c r="F23" s="195"/>
      <c r="G23" s="124" t="str">
        <f>IF(ISBLANK(F23),"",F23-F$14)</f>
        <v/>
      </c>
      <c r="H23" s="178">
        <v>23</v>
      </c>
      <c r="I23" s="48"/>
    </row>
    <row r="24" spans="1:9" ht="24.75" customHeight="1" x14ac:dyDescent="0.25">
      <c r="A24" s="636" t="str">
        <f>INDEX(List_Variances,$H23,2)</f>
        <v/>
      </c>
      <c r="B24" s="637"/>
      <c r="C24" s="637"/>
      <c r="D24" s="637"/>
      <c r="E24" s="637"/>
      <c r="F24" s="637"/>
      <c r="G24" s="638"/>
      <c r="H24" s="4"/>
      <c r="I24" s="48"/>
    </row>
    <row r="25" spans="1:9" ht="24.75" customHeight="1" thickBot="1" x14ac:dyDescent="0.3">
      <c r="A25" s="639"/>
      <c r="B25" s="640"/>
      <c r="C25" s="640"/>
      <c r="D25" s="640"/>
      <c r="E25" s="640"/>
      <c r="F25" s="640"/>
      <c r="G25" s="641"/>
      <c r="H25" s="4"/>
      <c r="I25" s="48"/>
    </row>
    <row r="26" spans="1:9" ht="18" customHeight="1" x14ac:dyDescent="0.25">
      <c r="A26" s="115" t="s">
        <v>175</v>
      </c>
      <c r="B26" s="125" t="s">
        <v>105</v>
      </c>
      <c r="C26" s="116"/>
      <c r="D26" s="195"/>
      <c r="E26" s="123" t="str">
        <f>IF(ISBLANK(D26),"",D26-D$14)</f>
        <v/>
      </c>
      <c r="F26" s="195"/>
      <c r="G26" s="124" t="str">
        <f>IF(ISBLANK(F26),"",F26-F$14)</f>
        <v/>
      </c>
      <c r="H26" s="178">
        <v>23</v>
      </c>
      <c r="I26" s="48"/>
    </row>
    <row r="27" spans="1:9" ht="24.75" customHeight="1" x14ac:dyDescent="0.25">
      <c r="A27" s="636" t="str">
        <f>INDEX(List_Variances,$H26,2)</f>
        <v/>
      </c>
      <c r="B27" s="637"/>
      <c r="C27" s="637"/>
      <c r="D27" s="637"/>
      <c r="E27" s="637"/>
      <c r="F27" s="637"/>
      <c r="G27" s="638"/>
      <c r="H27" s="4"/>
      <c r="I27" s="48"/>
    </row>
    <row r="28" spans="1:9" ht="24.75" customHeight="1" thickBot="1" x14ac:dyDescent="0.3">
      <c r="A28" s="639"/>
      <c r="B28" s="640"/>
      <c r="C28" s="640"/>
      <c r="D28" s="640"/>
      <c r="E28" s="640"/>
      <c r="F28" s="640"/>
      <c r="G28" s="641"/>
      <c r="H28" s="4"/>
      <c r="I28" s="48"/>
    </row>
    <row r="29" spans="1:9" ht="18" customHeight="1" x14ac:dyDescent="0.25">
      <c r="A29" s="115" t="s">
        <v>176</v>
      </c>
      <c r="B29" s="125" t="s">
        <v>105</v>
      </c>
      <c r="C29" s="116"/>
      <c r="D29" s="195"/>
      <c r="E29" s="123" t="str">
        <f>IF(ISBLANK(D29),"",D29-D$14)</f>
        <v/>
      </c>
      <c r="F29" s="195"/>
      <c r="G29" s="124" t="str">
        <f>IF(ISBLANK(F29),"",F29-F$14)</f>
        <v/>
      </c>
      <c r="H29" s="178">
        <v>23</v>
      </c>
      <c r="I29" s="48"/>
    </row>
    <row r="30" spans="1:9" ht="24.75" customHeight="1" x14ac:dyDescent="0.25">
      <c r="A30" s="636" t="str">
        <f>INDEX(List_Variances,$H29,2)</f>
        <v/>
      </c>
      <c r="B30" s="637"/>
      <c r="C30" s="637"/>
      <c r="D30" s="637"/>
      <c r="E30" s="637"/>
      <c r="F30" s="637"/>
      <c r="G30" s="638"/>
      <c r="H30" s="4"/>
      <c r="I30" s="48"/>
    </row>
    <row r="31" spans="1:9" ht="24.75" customHeight="1" thickBot="1" x14ac:dyDescent="0.3">
      <c r="A31" s="639"/>
      <c r="B31" s="640"/>
      <c r="C31" s="640"/>
      <c r="D31" s="640"/>
      <c r="E31" s="640"/>
      <c r="F31" s="640"/>
      <c r="G31" s="641"/>
      <c r="H31" s="4"/>
      <c r="I31" s="48"/>
    </row>
    <row r="32" spans="1:9" ht="18" customHeight="1" x14ac:dyDescent="0.25">
      <c r="A32" s="115" t="s">
        <v>338</v>
      </c>
      <c r="B32" s="125" t="s">
        <v>105</v>
      </c>
      <c r="C32" s="116"/>
      <c r="D32" s="195"/>
      <c r="E32" s="123" t="str">
        <f>IF(ISBLANK(D32),"",D32-D$14)</f>
        <v/>
      </c>
      <c r="F32" s="195"/>
      <c r="G32" s="124" t="str">
        <f>IF(ISBLANK(F32),"",F32-F$14)</f>
        <v/>
      </c>
      <c r="H32" s="178">
        <v>23</v>
      </c>
      <c r="I32" s="48"/>
    </row>
    <row r="33" spans="1:9" ht="24.75" customHeight="1" x14ac:dyDescent="0.25">
      <c r="A33" s="636" t="str">
        <f>INDEX(List_Variances,$H32,2)</f>
        <v/>
      </c>
      <c r="B33" s="637"/>
      <c r="C33" s="637"/>
      <c r="D33" s="637"/>
      <c r="E33" s="637"/>
      <c r="F33" s="637"/>
      <c r="G33" s="638"/>
      <c r="I33" s="48"/>
    </row>
    <row r="34" spans="1:9" ht="15.75" thickBot="1" x14ac:dyDescent="0.3">
      <c r="A34" s="639"/>
      <c r="B34" s="640"/>
      <c r="C34" s="640"/>
      <c r="D34" s="640"/>
      <c r="E34" s="640"/>
      <c r="F34" s="640"/>
      <c r="G34" s="641"/>
      <c r="I34" s="48"/>
    </row>
    <row r="35" spans="1:9" ht="18" customHeight="1" x14ac:dyDescent="0.25">
      <c r="A35" s="115" t="s">
        <v>339</v>
      </c>
      <c r="B35" s="125" t="s">
        <v>105</v>
      </c>
      <c r="C35" s="116"/>
      <c r="D35" s="195"/>
      <c r="E35" s="123" t="str">
        <f>IF(ISBLANK(D35),"",D35-D$14)</f>
        <v/>
      </c>
      <c r="F35" s="195"/>
      <c r="G35" s="124" t="str">
        <f>IF(ISBLANK(F35),"",F35-F$14)</f>
        <v/>
      </c>
      <c r="H35" s="178">
        <v>23</v>
      </c>
      <c r="I35" s="48"/>
    </row>
    <row r="36" spans="1:9" ht="24.75" customHeight="1" x14ac:dyDescent="0.25">
      <c r="A36" s="636" t="str">
        <f>INDEX(List_Variances,$H35,2)</f>
        <v/>
      </c>
      <c r="B36" s="637"/>
      <c r="C36" s="637"/>
      <c r="D36" s="637"/>
      <c r="E36" s="637"/>
      <c r="F36" s="637"/>
      <c r="G36" s="638"/>
      <c r="I36" s="48"/>
    </row>
    <row r="37" spans="1:9" ht="15.75" thickBot="1" x14ac:dyDescent="0.3">
      <c r="A37" s="639"/>
      <c r="B37" s="640"/>
      <c r="C37" s="640"/>
      <c r="D37" s="640"/>
      <c r="E37" s="640"/>
      <c r="F37" s="640"/>
      <c r="G37" s="641"/>
      <c r="I37" s="48"/>
    </row>
    <row r="38" spans="1:9" ht="18" customHeight="1" x14ac:dyDescent="0.25">
      <c r="A38" s="115" t="s">
        <v>340</v>
      </c>
      <c r="B38" s="125" t="s">
        <v>105</v>
      </c>
      <c r="C38" s="116"/>
      <c r="D38" s="195"/>
      <c r="E38" s="123" t="str">
        <f>IF(ISBLANK(D38),"",D38-D$14)</f>
        <v/>
      </c>
      <c r="F38" s="195"/>
      <c r="G38" s="124" t="str">
        <f>IF(ISBLANK(F38),"",F38-F$14)</f>
        <v/>
      </c>
      <c r="H38" s="178">
        <v>23</v>
      </c>
      <c r="I38" s="48"/>
    </row>
    <row r="39" spans="1:9" ht="24.75" customHeight="1" x14ac:dyDescent="0.25">
      <c r="A39" s="636" t="str">
        <f>INDEX(List_Variances,$H38,2)</f>
        <v/>
      </c>
      <c r="B39" s="637"/>
      <c r="C39" s="637"/>
      <c r="D39" s="637"/>
      <c r="E39" s="637"/>
      <c r="F39" s="637"/>
      <c r="G39" s="638"/>
      <c r="I39" s="48"/>
    </row>
    <row r="40" spans="1:9" ht="15.75" thickBot="1" x14ac:dyDescent="0.3">
      <c r="A40" s="639"/>
      <c r="B40" s="640"/>
      <c r="C40" s="640"/>
      <c r="D40" s="640"/>
      <c r="E40" s="640"/>
      <c r="F40" s="640"/>
      <c r="G40" s="641"/>
      <c r="I40" s="48"/>
    </row>
    <row r="41" spans="1:9" ht="18" customHeight="1" x14ac:dyDescent="0.25">
      <c r="A41" s="115" t="s">
        <v>341</v>
      </c>
      <c r="B41" s="125" t="s">
        <v>105</v>
      </c>
      <c r="C41" s="116"/>
      <c r="D41" s="195"/>
      <c r="E41" s="123" t="str">
        <f>IF(ISBLANK(D41),"",D41-D$14)</f>
        <v/>
      </c>
      <c r="F41" s="195"/>
      <c r="G41" s="124" t="str">
        <f>IF(ISBLANK(F41),"",F41-F$14)</f>
        <v/>
      </c>
      <c r="H41" s="178">
        <v>23</v>
      </c>
      <c r="I41" s="48"/>
    </row>
    <row r="42" spans="1:9" ht="24.75" customHeight="1" x14ac:dyDescent="0.25">
      <c r="A42" s="636" t="str">
        <f>INDEX(List_Variances,$H41,2)</f>
        <v/>
      </c>
      <c r="B42" s="637"/>
      <c r="C42" s="637"/>
      <c r="D42" s="637"/>
      <c r="E42" s="637"/>
      <c r="F42" s="637"/>
      <c r="G42" s="638"/>
      <c r="I42" s="48"/>
    </row>
    <row r="43" spans="1:9" ht="15.75" thickBot="1" x14ac:dyDescent="0.3">
      <c r="A43" s="639"/>
      <c r="B43" s="640"/>
      <c r="C43" s="640"/>
      <c r="D43" s="640"/>
      <c r="E43" s="640"/>
      <c r="F43" s="640"/>
      <c r="G43" s="641"/>
      <c r="I43" s="48"/>
    </row>
    <row r="44" spans="1:9" ht="18" customHeight="1" x14ac:dyDescent="0.25">
      <c r="A44" s="115" t="s">
        <v>342</v>
      </c>
      <c r="B44" s="125" t="s">
        <v>105</v>
      </c>
      <c r="C44" s="116"/>
      <c r="D44" s="195"/>
      <c r="E44" s="123" t="str">
        <f>IF(ISBLANK(D44),"",D44-D$14)</f>
        <v/>
      </c>
      <c r="F44" s="195"/>
      <c r="G44" s="124" t="str">
        <f>IF(ISBLANK(F44),"",F44-F$14)</f>
        <v/>
      </c>
      <c r="H44" s="178">
        <v>23</v>
      </c>
      <c r="I44" s="48"/>
    </row>
    <row r="45" spans="1:9" ht="24.75" customHeight="1" x14ac:dyDescent="0.25">
      <c r="A45" s="636" t="str">
        <f>INDEX(List_Variances,$H44,2)</f>
        <v/>
      </c>
      <c r="B45" s="637"/>
      <c r="C45" s="637"/>
      <c r="D45" s="637"/>
      <c r="E45" s="637"/>
      <c r="F45" s="637"/>
      <c r="G45" s="638"/>
      <c r="I45" s="48"/>
    </row>
    <row r="46" spans="1:9" ht="15.75" thickBot="1" x14ac:dyDescent="0.3">
      <c r="A46" s="639"/>
      <c r="B46" s="640"/>
      <c r="C46" s="640"/>
      <c r="D46" s="640"/>
      <c r="E46" s="640"/>
      <c r="F46" s="640"/>
      <c r="G46" s="641"/>
      <c r="I46" s="48"/>
    </row>
    <row r="47" spans="1:9" x14ac:dyDescent="0.25">
      <c r="A47" s="115" t="s">
        <v>249</v>
      </c>
      <c r="B47" s="125"/>
      <c r="C47" s="108"/>
      <c r="D47" s="195"/>
      <c r="E47" s="123" t="str">
        <f>IF(ISBLANK(D47),"",D47-D$14)</f>
        <v/>
      </c>
      <c r="F47" s="195"/>
      <c r="G47" s="124" t="str">
        <f>IF(ISBLANK(F47),"",F47-F$14)</f>
        <v/>
      </c>
      <c r="I47" s="48"/>
    </row>
    <row r="48" spans="1:9" ht="15.75" thickBot="1" x14ac:dyDescent="0.3">
      <c r="A48" s="184"/>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EkyzqqrhYlvu8/YYHLdSKMy0yM+LDM4vA1wJjtAaN/4J3ntDio9elztmADbY6WgaLyZDeU+umJe3sd2zr63cFw==" saltValue="Sfzjfu0pmzLNgJ7W0w3cHg=="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ht="27" customHeight="1" x14ac:dyDescent="0.25">
      <c r="A5" s="47"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4"/>
      <c r="O18" s="554"/>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4"/>
      <c r="O30" s="554"/>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TD6JojTbTDlXRqnn2ApYgVqUN7jKvCNJN/MCPyiD7NP/vKKQIgKxUxsDWhDiAhxecic/Ok1Oj4Fe/d1cOt77GA==" saltValue="c+g2MLiZiPgkxYAfV7UCH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ht="27" customHeight="1" x14ac:dyDescent="0.25">
      <c r="A5" s="63" t="s">
        <v>524</v>
      </c>
      <c r="I5" s="564"/>
      <c r="J5" s="4"/>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6"/>
      <c r="O18" s="556"/>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6"/>
      <c r="O30" s="556"/>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voy+RT2yedFIKMJotyOZ6tsvqFfzfhWyMlvX5iFf6b7gWDSl9qu7TKUER3fixaYfl18ogYcK+vGPyJC5evyCrA==" saltValue="fhtraoM56DR1BQEyJn37u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7"/>
      <c r="O18" s="557"/>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7"/>
      <c r="O30" s="557"/>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uT4dV2RpnB+XhTpUZ2nBHw1QJR4NolYLkYrTCZPNrzxr3C/H66o6ZvEQNqILgwWH94e3dXqhb1Babx/DI+gP+A==" saltValue="TQSl9pKCmyHZ735m8JlO/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7"/>
      <c r="O18" s="557"/>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7"/>
      <c r="O30" s="557"/>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ljrSESDP0cSyosMmDSvpkVuux8LLy65KIRTnFm6zl23N53UKNRvBf3oZGp82Q0lyTuOAU2/HhvYvxJB8go6dQQ==" saltValue="/77S8qWe7dawQZzWxipna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qDgLgAPwKRpiuH4iQhV8AQZIwjvexlSU3Z5QGkfmou+D0xdJYf0nGs8I+XrkzNKabp/YODzfJIi5HjDESCwW1g==" saltValue="HCRHZd3UIcNhUn2zClrDA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Mwyo+VSug+W/EeUM/8LghswTykEet0pdO8rbwSeBQ/dhtYFUNgQJkFvrGB9xFL/DqpX5Hi3ah3cGHv4C5upzfg==" saltValue="tIgNmhX47EPZfLKSj7Mg1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8q7hTVi2ziOg0SiEdv/9lnMwfjAiUR9ZbraWbsTaMlKzRjiEK/r0DUOwEM1I1O+1Il846SsfFaE+hbx/vsciTw==" saltValue="f4MGBFqZe6HxuwkEtm3oV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xld8fGDeF/XLqa1uNgUEbjAdkYA0M69wu/wJwPAk96k5hmTYmLK05cHxLhn8T1FG1+bz4Er97aLb2OukoocKLg==" saltValue="lKhZ+Dh3KLDRbg3lY+pV4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VpsDNDKARdoQHiNEZYgrtdtR7iZqZ4xOiP7fx6lCbdsOSSgTc6WTtx8HkmJ5L5fD6It3jektZQ0JfrSHQlfs6A==" saltValue="rCCLeOel5VqJ+V1OShgaE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78"/>
      <c r="F6" s="579"/>
      <c r="G6" s="579"/>
      <c r="H6" s="579"/>
      <c r="I6" s="579"/>
      <c r="J6" s="580"/>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78"/>
      <c r="J13" s="579"/>
      <c r="K13" s="580"/>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78"/>
      <c r="E18" s="580"/>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78"/>
      <c r="O25" s="580"/>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78"/>
      <c r="O29" s="580"/>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78"/>
      <c r="J34" s="580"/>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78"/>
      <c r="N40" s="580"/>
    </row>
    <row r="41" spans="1:16" ht="15.75" hidden="1" customHeight="1" x14ac:dyDescent="0.25">
      <c r="I41" s="49"/>
      <c r="K41" s="443" t="s">
        <v>428</v>
      </c>
      <c r="L41" s="49"/>
      <c r="M41" s="578"/>
      <c r="N41" s="580"/>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CLi5YLsR4HL9eewSO3ljoTphTLUDYbkCVxO5RP9/6M9oZX8aKAMk22X2iQRgdSK02S+AlUUo5r67brS3jDgYcg==" saltValue="XxVSiUzJskwqHDkS961fG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139</vt:i4>
      </vt:variant>
    </vt:vector>
  </HeadingPairs>
  <TitlesOfParts>
    <vt:vector size="149"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Laura Campbell</cp:lastModifiedBy>
  <cp:lastPrinted>2023-05-26T17:38:05Z</cp:lastPrinted>
  <dcterms:created xsi:type="dcterms:W3CDTF">2014-04-24T17:59:28Z</dcterms:created>
  <dcterms:modified xsi:type="dcterms:W3CDTF">2023-06-25T19:22:36Z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2023-06-25T18:59:26Z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2ed97562-fca1-45ac-97b5-e46d393587e9</vt:lpwstr>
  </property>
  <property fmtid="{D5CDD505-2E9C-101B-9397-08002B2CF9AE}" pid="8" name="MSIP_Label_9fec7713-ff10-4e30-a417-5bbcd9826c75_ContentBits">
    <vt:lpwstr>0</vt:lpwstr>
  </property>
</Properties>
</file>