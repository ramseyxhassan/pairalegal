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W:\P-C ACTUARIAL\AUTO\STATE FILES\California\REVISIONS\2023\10-2-2023 Rate Filing\Filing\Objections\11-6 Objection\"/>
    </mc:Choice>
  </mc:AlternateContent>
  <xr:revisionPtr revIDLastSave="0" documentId="13_ncr:1_{E55821CB-5919-4B2B-B524-44573493618C}" xr6:coauthVersionLast="47" xr6:coauthVersionMax="47" xr10:uidLastSave="{00000000-0000-0000-0000-000000000000}"/>
  <bookViews>
    <workbookView xWindow="-28920" yWindow="120" windowWidth="29040" windowHeight="15840" xr2:uid="{52E7C002-CD00-4B4E-A0AB-B7DC2D95E4B6}"/>
  </bookViews>
  <sheets>
    <sheet name="Exhibit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3" l="1"/>
  <c r="F9" i="3"/>
  <c r="E9" i="3"/>
  <c r="D9" i="3"/>
  <c r="C9" i="3"/>
  <c r="G19" i="3"/>
  <c r="F19" i="3"/>
  <c r="E19" i="3"/>
  <c r="D19" i="3"/>
  <c r="C19" i="3"/>
  <c r="H19" i="3" l="1"/>
  <c r="H18" i="3"/>
  <c r="H17" i="3"/>
  <c r="H16" i="3"/>
  <c r="H15" i="3"/>
  <c r="H14" i="3"/>
  <c r="H9" i="3"/>
  <c r="H8" i="3"/>
  <c r="H7" i="3"/>
  <c r="H6" i="3"/>
  <c r="H5" i="3"/>
  <c r="H4" i="3"/>
</calcChain>
</file>

<file path=xl/sharedStrings.xml><?xml version="1.0" encoding="utf-8"?>
<sst xmlns="http://schemas.openxmlformats.org/spreadsheetml/2006/main" count="16" uniqueCount="9">
  <si>
    <t>Policy Count</t>
  </si>
  <si>
    <t>Earned Premium</t>
  </si>
  <si>
    <t>Paid Losses</t>
  </si>
  <si>
    <t>Incurred Losses</t>
  </si>
  <si>
    <t>Loss Ratio</t>
  </si>
  <si>
    <t>Total</t>
  </si>
  <si>
    <t>California Good Driver</t>
  </si>
  <si>
    <t>Reported Claim Counts</t>
  </si>
  <si>
    <t>Non-California Good Driver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</si>
</sst>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/>
    <xf numFmtId="164" fontId="0" fillId="0" borderId="7" xfId="1" applyNumberFormat="1" applyFont="1" applyBorder="1"/>
    <xf numFmtId="164" fontId="0" fillId="0" borderId="0" xfId="1" applyNumberFormat="1" applyFont="1" applyBorder="1"/>
    <xf numFmtId="9" fontId="0" fillId="0" borderId="8" xfId="2" applyFont="1" applyBorder="1"/>
    <xf numFmtId="0" fontId="0" fillId="0" borderId="9" xfId="0" applyBorder="1"/>
    <xf numFmtId="164" fontId="0" fillId="0" borderId="9" xfId="0" applyNumberFormat="1" applyBorder="1"/>
    <xf numFmtId="164" fontId="0" fillId="0" borderId="10" xfId="0" applyNumberFormat="1" applyBorder="1"/>
    <xf numFmtId="9" fontId="0" fillId="0" borderId="11" xfId="2" applyFont="1" applyBorder="1"/>
    <xf numFmtId="165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D67B8-DE1D-4773-969F-0E2EB0A48C42}">
  <dimension ref="B2:H19"/>
  <sheetViews>
    <sheetView tabSelected="1" view="pageLayout" zoomScaleNormal="100" workbookViewId="0">
      <selection activeCell="F11" sqref="F11"/>
    </sheetView>
  </sheetViews>
  <sheetFormatPr defaultRowHeight="15" x14ac:dyDescent="0.25"/>
  <cols>
    <col min="1" max="1" width="12.42578125" customWidth="1"/>
    <col min="2" max="2" width="6.5703125" customWidth="1"/>
    <col min="3" max="3" width="14.28515625" customWidth="1"/>
    <col min="4" max="4" width="18" customWidth="1"/>
    <col min="5" max="5" width="19.28515625" customWidth="1"/>
    <col min="6" max="6" width="20.140625" customWidth="1"/>
    <col min="7" max="7" width="19" customWidth="1"/>
    <col min="8" max="8" width="11.140625" customWidth="1"/>
    <col min="9" max="9" width="12.42578125" customWidth="1"/>
    <col min="10" max="10" width="14.85546875" customWidth="1"/>
    <col min="11" max="11" width="15.85546875" bestFit="1" customWidth="1"/>
    <col min="12" max="13" width="16.85546875" bestFit="1" customWidth="1"/>
    <col min="14" max="14" width="16.85546875" customWidth="1"/>
    <col min="15" max="15" width="9.7109375" bestFit="1" customWidth="1"/>
  </cols>
  <sheetData>
    <row r="2" spans="2:8" x14ac:dyDescent="0.25">
      <c r="B2" s="1"/>
      <c r="C2" s="15" t="s">
        <v>8</v>
      </c>
      <c r="D2" s="16"/>
      <c r="E2" s="16"/>
      <c r="F2" s="16"/>
      <c r="G2" s="16"/>
      <c r="H2" s="17"/>
    </row>
    <row r="3" spans="2:8" ht="30" x14ac:dyDescent="0.25">
      <c r="B3" s="2"/>
      <c r="C3" s="3" t="s">
        <v>0</v>
      </c>
      <c r="D3" s="4" t="s">
        <v>1</v>
      </c>
      <c r="E3" s="4" t="s">
        <v>7</v>
      </c>
      <c r="F3" s="4" t="s">
        <v>2</v>
      </c>
      <c r="G3" s="4" t="s">
        <v>3</v>
      </c>
      <c r="H3" s="5" t="s">
        <v>4</v>
      </c>
    </row>
    <row r="4" spans="2:8" x14ac:dyDescent="0.25">
      <c r="B4" s="6">
        <v>2018</v>
      </c>
      <c r="C4" s="7">
        <v>157217</v>
      </c>
      <c r="D4" s="8">
        <v>342779078.79000002</v>
      </c>
      <c r="E4" s="8">
        <v>91668</v>
      </c>
      <c r="F4" s="8">
        <v>208923566.81999999</v>
      </c>
      <c r="G4" s="8">
        <v>206055372.81999999</v>
      </c>
      <c r="H4" s="9">
        <f>G4/D4</f>
        <v>0.60113170718402464</v>
      </c>
    </row>
    <row r="5" spans="2:8" x14ac:dyDescent="0.25">
      <c r="B5" s="6">
        <v>2019</v>
      </c>
      <c r="C5" s="7">
        <v>150691</v>
      </c>
      <c r="D5" s="8">
        <v>301954149.41000003</v>
      </c>
      <c r="E5" s="8">
        <v>85188</v>
      </c>
      <c r="F5" s="8">
        <v>196618846.06</v>
      </c>
      <c r="G5" s="8">
        <v>195459828.06</v>
      </c>
      <c r="H5" s="9">
        <f>G5/D5</f>
        <v>0.64731625129814108</v>
      </c>
    </row>
    <row r="6" spans="2:8" x14ac:dyDescent="0.25">
      <c r="B6" s="6">
        <v>2020</v>
      </c>
      <c r="C6" s="7">
        <v>144011</v>
      </c>
      <c r="D6" s="8">
        <v>275881974.76999998</v>
      </c>
      <c r="E6" s="8">
        <v>64430</v>
      </c>
      <c r="F6" s="8">
        <v>156375029.74000001</v>
      </c>
      <c r="G6" s="8">
        <v>149003035.74000001</v>
      </c>
      <c r="H6" s="9">
        <f>G6/D6</f>
        <v>0.54009703194354153</v>
      </c>
    </row>
    <row r="7" spans="2:8" x14ac:dyDescent="0.25">
      <c r="B7" s="6">
        <v>2021</v>
      </c>
      <c r="C7" s="7">
        <v>143517</v>
      </c>
      <c r="D7" s="8">
        <v>255940272.94999999</v>
      </c>
      <c r="E7" s="8">
        <v>74055</v>
      </c>
      <c r="F7" s="8">
        <v>173001713.28999999</v>
      </c>
      <c r="G7" s="8">
        <v>183114257.28999999</v>
      </c>
      <c r="H7" s="9">
        <f>G7/D7</f>
        <v>0.71545698994301243</v>
      </c>
    </row>
    <row r="8" spans="2:8" x14ac:dyDescent="0.25">
      <c r="B8" s="6">
        <v>2022</v>
      </c>
      <c r="C8" s="7">
        <v>148412</v>
      </c>
      <c r="D8" s="8">
        <v>268473128.29000002</v>
      </c>
      <c r="E8" s="8">
        <v>84555</v>
      </c>
      <c r="F8" s="8">
        <v>237870404.18000001</v>
      </c>
      <c r="G8" s="8">
        <v>247511286.18000001</v>
      </c>
      <c r="H8" s="9">
        <f>G8/D8</f>
        <v>0.92192201043168309</v>
      </c>
    </row>
    <row r="9" spans="2:8" x14ac:dyDescent="0.25">
      <c r="B9" s="10" t="s">
        <v>5</v>
      </c>
      <c r="C9" s="11">
        <f>SUM(C4:C8)</f>
        <v>743848</v>
      </c>
      <c r="D9" s="12">
        <f t="shared" ref="D9" si="0">SUM(D4:D8)</f>
        <v>1445028604.21</v>
      </c>
      <c r="E9" s="12">
        <f>SUM(E4:E8)</f>
        <v>399896</v>
      </c>
      <c r="F9" s="12">
        <f t="shared" ref="F9" si="1">SUM(F4:F8)</f>
        <v>972789560.08999991</v>
      </c>
      <c r="G9" s="12">
        <f t="shared" ref="G9" si="2">SUM(G4:G8)</f>
        <v>981143780.08999991</v>
      </c>
      <c r="H9" s="13">
        <f>G9/D9</f>
        <v>0.67897879476676049</v>
      </c>
    </row>
    <row r="10" spans="2:8" x14ac:dyDescent="0.25">
      <c r="C10" s="14"/>
    </row>
    <row r="12" spans="2:8" x14ac:dyDescent="0.25">
      <c r="B12" s="1"/>
      <c r="C12" s="15" t="s">
        <v>6</v>
      </c>
      <c r="D12" s="16"/>
      <c r="E12" s="16"/>
      <c r="F12" s="16"/>
      <c r="G12" s="16"/>
      <c r="H12" s="17"/>
    </row>
    <row r="13" spans="2:8" ht="30" x14ac:dyDescent="0.25">
      <c r="B13" s="2"/>
      <c r="C13" s="3" t="s">
        <v>0</v>
      </c>
      <c r="D13" s="4" t="s">
        <v>1</v>
      </c>
      <c r="E13" s="4" t="s">
        <v>7</v>
      </c>
      <c r="F13" s="4" t="s">
        <v>2</v>
      </c>
      <c r="G13" s="4" t="s">
        <v>3</v>
      </c>
      <c r="H13" s="5" t="s">
        <v>4</v>
      </c>
    </row>
    <row r="14" spans="2:8" x14ac:dyDescent="0.25">
      <c r="B14" s="6">
        <v>2018</v>
      </c>
      <c r="C14" s="7">
        <v>3503490</v>
      </c>
      <c r="D14" s="8">
        <v>3731292386.04</v>
      </c>
      <c r="E14" s="8">
        <v>1237831</v>
      </c>
      <c r="F14" s="8">
        <v>2297132423.4400001</v>
      </c>
      <c r="G14" s="8">
        <v>2327872605.4400001</v>
      </c>
      <c r="H14" s="9">
        <f>G14/D14</f>
        <v>0.62387836829655652</v>
      </c>
    </row>
    <row r="15" spans="2:8" x14ac:dyDescent="0.25">
      <c r="B15" s="6">
        <v>2019</v>
      </c>
      <c r="C15" s="7">
        <v>3443357</v>
      </c>
      <c r="D15" s="8">
        <v>3679634623.1300001</v>
      </c>
      <c r="E15" s="8">
        <v>1278446</v>
      </c>
      <c r="F15" s="8">
        <v>2387374486.75</v>
      </c>
      <c r="G15" s="8">
        <v>2434561534.75</v>
      </c>
      <c r="H15" s="9">
        <f>G15/D15</f>
        <v>0.66163132596004703</v>
      </c>
    </row>
    <row r="16" spans="2:8" x14ac:dyDescent="0.25">
      <c r="B16" s="6">
        <v>2020</v>
      </c>
      <c r="C16" s="7">
        <v>3457672</v>
      </c>
      <c r="D16" s="8">
        <v>3630357330.9899998</v>
      </c>
      <c r="E16" s="8">
        <v>966020</v>
      </c>
      <c r="F16" s="8">
        <v>1884479941.78</v>
      </c>
      <c r="G16" s="8">
        <v>1792406120.78</v>
      </c>
      <c r="H16" s="9">
        <f>G16/D16</f>
        <v>0.49372718918862185</v>
      </c>
    </row>
    <row r="17" spans="2:8" x14ac:dyDescent="0.25">
      <c r="B17" s="6">
        <v>2021</v>
      </c>
      <c r="C17" s="7">
        <v>3537659</v>
      </c>
      <c r="D17" s="8">
        <v>3520576092.79</v>
      </c>
      <c r="E17" s="8">
        <v>1103247</v>
      </c>
      <c r="F17" s="8">
        <v>2155419202.3200002</v>
      </c>
      <c r="G17" s="8">
        <v>2311630827.3200002</v>
      </c>
      <c r="H17" s="9">
        <f>G17/D17</f>
        <v>0.65660584131504163</v>
      </c>
    </row>
    <row r="18" spans="2:8" x14ac:dyDescent="0.25">
      <c r="B18" s="6">
        <v>2022</v>
      </c>
      <c r="C18" s="7">
        <v>3645044</v>
      </c>
      <c r="D18" s="8">
        <v>3685962164.6599998</v>
      </c>
      <c r="E18" s="8">
        <v>1246888</v>
      </c>
      <c r="F18" s="8">
        <v>2907010908.7800002</v>
      </c>
      <c r="G18" s="8">
        <v>3016382128.7800002</v>
      </c>
      <c r="H18" s="9">
        <f>G18/D18</f>
        <v>0.81834321515837838</v>
      </c>
    </row>
    <row r="19" spans="2:8" x14ac:dyDescent="0.25">
      <c r="B19" s="10" t="s">
        <v>5</v>
      </c>
      <c r="C19" s="11">
        <f>SUM(C14:C18)</f>
        <v>17587222</v>
      </c>
      <c r="D19" s="12">
        <f t="shared" ref="D19:G19" si="3">SUM(D14:D18)</f>
        <v>18247822597.610001</v>
      </c>
      <c r="E19" s="12">
        <f>SUM(E14:E18)</f>
        <v>5832432</v>
      </c>
      <c r="F19" s="12">
        <f t="shared" si="3"/>
        <v>11631416963.070002</v>
      </c>
      <c r="G19" s="12">
        <f t="shared" si="3"/>
        <v>11882853217.070002</v>
      </c>
      <c r="H19" s="13">
        <f>G19/D19</f>
        <v>0.65119293841810766</v>
      </c>
    </row>
  </sheetData>
  <mergeCells count="2">
    <mergeCell ref="C2:H2"/>
    <mergeCell ref="C12:H12"/>
  </mergeCells>
  <pageMargins left="0.25" right="0.25" top="0.75" bottom="0.75" header="0.3" footer="0.3"/>
  <pageSetup orientation="landscape" horizontalDpi="200" verticalDpi="200" r:id="rId1"/>
  <headerFooter>
    <oddHeader>&amp;CState Farm Mutual Automobile Insurance Company
California Private Passenger Auto
Supplemental Exhibit 11-6</oddHeader>
    <oddFooter xml:space="preserve">&amp;C©, Copyright, State Farm Mutual Automobile Insurance Company 2023 
No reproduction of this copyrighted material allowed without express written consent from State Farm®
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Exhibit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Kossuth</dc:creator>
  <cp:lastModifiedBy>Michael Kossuth</cp:lastModifiedBy>
  <dcterms:created xsi:type="dcterms:W3CDTF">2023-07-24T14:53:26Z</dcterms:created>
  <dcterms:modified xsi:type="dcterms:W3CDTF">2023-11-07T17:34:37Z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fec7713-ff10-4e30-a417-5bbcd9826c75_Enabled">
    <vt:lpwstr>true</vt:lpwstr>
  </property>
  <property fmtid="{D5CDD505-2E9C-101B-9397-08002B2CF9AE}" pid="3" name="MSIP_Label_9fec7713-ff10-4e30-a417-5bbcd9826c75_SetDate">
    <vt:lpwstr>2023-07-25T16:39:19Z</vt:lpwstr>
  </property>
  <property fmtid="{D5CDD505-2E9C-101B-9397-08002B2CF9AE}" pid="4" name="MSIP_Label_9fec7713-ff10-4e30-a417-5bbcd9826c75_Method">
    <vt:lpwstr>Standard</vt:lpwstr>
  </property>
  <property fmtid="{D5CDD505-2E9C-101B-9397-08002B2CF9AE}" pid="5" name="MSIP_Label_9fec7713-ff10-4e30-a417-5bbcd9826c75_Name">
    <vt:lpwstr>Enteprise-InternalUseOnly-Child-514205181618919515141225</vt:lpwstr>
  </property>
  <property fmtid="{D5CDD505-2E9C-101B-9397-08002B2CF9AE}" pid="6" name="MSIP_Label_9fec7713-ff10-4e30-a417-5bbcd9826c75_SiteId">
    <vt:lpwstr>fa23982e-6646-4a33-a5c4-1a848d02fcc4</vt:lpwstr>
  </property>
  <property fmtid="{D5CDD505-2E9C-101B-9397-08002B2CF9AE}" pid="7" name="MSIP_Label_9fec7713-ff10-4e30-a417-5bbcd9826c75_ActionId">
    <vt:lpwstr>3f3815d8-d873-4706-a806-cfc82177241b</vt:lpwstr>
  </property>
  <property fmtid="{D5CDD505-2E9C-101B-9397-08002B2CF9AE}" pid="8" name="MSIP_Label_9fec7713-ff10-4e30-a417-5bbcd9826c75_ContentBits">
    <vt:lpwstr>0</vt:lpwstr>
  </property>
</Properties>
</file>