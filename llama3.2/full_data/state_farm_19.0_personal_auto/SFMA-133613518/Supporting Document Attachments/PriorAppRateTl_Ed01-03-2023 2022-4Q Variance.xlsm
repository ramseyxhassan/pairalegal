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opr.statefarm.org\dfs\PCACT\00\WORKGROUP\P-C ACTUARIAL\AUTO\STATE FILES\California\REVISIONS\2023\10-2-2023 Rate Filing\Filing\Objections\12-20 Updates\"/>
    </mc:Choice>
  </mc:AlternateContent>
  <xr:revisionPtr revIDLastSave="0" documentId="13_ncr:1_{FEC9F62C-E175-4CE6-8F63-C3C8F8691DD4}" xr6:coauthVersionLast="47" xr6:coauthVersionMax="47" xr10:uidLastSave="{00000000-0000-0000-0000-000000000000}"/>
  <bookViews>
    <workbookView xWindow="-120" yWindow="-120" windowWidth="29040" windowHeight="15840" tabRatio="866" firstSheet="2" activeTab="4"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r:id="rId12"/>
    <sheet name="6.3Ratemaking Data" sheetId="41" r:id="rId13"/>
    <sheet name="6.4Ratemaking Data" sheetId="42" r:id="rId14"/>
    <sheet name="6.5Ratemaking Data" sheetId="43" r:id="rId15"/>
    <sheet name="6.6Ratemaking Data" sheetId="44" r:id="rId16"/>
    <sheet name="6.7Ratemaking Data" sheetId="45"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r:id="rId22"/>
    <sheet name="7.3Rate Change Calculation" sheetId="50" r:id="rId23"/>
    <sheet name="7.4Rate Change Calculation" sheetId="51" r:id="rId24"/>
    <sheet name="7.5Rate Change Calculation" sheetId="52" r:id="rId25"/>
    <sheet name="7.6Rate Change Calculation" sheetId="53" r:id="rId26"/>
    <sheet name="7.7Rate Change Calculation" sheetId="54" r:id="rId27"/>
    <sheet name="7.8Rate Change Calculation" sheetId="55" state="hidden" r:id="rId28"/>
    <sheet name="7.9Rate Change Calculation" sheetId="56" state="hidden" r:id="rId29"/>
    <sheet name="7.10Rate Change Calculation" sheetId="57" state="hidden" r:id="rId30"/>
    <sheet name="8.1LCM Calculation" sheetId="29" state="hidden" r:id="rId31"/>
    <sheet name="8.2LCM Calculation" sheetId="59" state="hidden" r:id="rId32"/>
    <sheet name="8.3LCM Calculation" sheetId="60" state="hidden" r:id="rId33"/>
    <sheet name="8.4LCM Calculation" sheetId="61" state="hidden" r:id="rId34"/>
    <sheet name="8.5LCM Calculation" sheetId="62" state="hidden" r:id="rId35"/>
    <sheet name="8.6LCM Calculation" sheetId="63" state="hidden" r:id="rId36"/>
    <sheet name="8.7LCM Calculation" sheetId="64" state="hidden" r:id="rId37"/>
    <sheet name="8.8LCM Calculation" sheetId="65" state="hidden" r:id="rId38"/>
    <sheet name="8.9LCM Calculation" sheetId="66" state="hidden" r:id="rId39"/>
    <sheet name="8.10LCM Calculation" sheetId="67" state="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functionGroups builtInGroupCount="19"/>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Settings!$B$43</definedName>
    <definedName name="Covg02">Settings!$B$44</definedName>
    <definedName name="Covg03">Settings!$B$45</definedName>
    <definedName name="Covg04">Settings!$B$46</definedName>
    <definedName name="Covg05">Settings!$B$47</definedName>
    <definedName name="Covg06">Settings!$B$48</definedName>
    <definedName name="Covg07">Settings!$B$49</definedName>
    <definedName name="Covg08">Settings!$B$50</definedName>
    <definedName name="Covg09">Settings!$B$51</definedName>
    <definedName name="Covg10">Settings!$B$52</definedName>
    <definedName name="CovgEntry_Indicator">Settings!$B$28</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Settings!$B$31</definedName>
    <definedName name="Detailed_LineDesc02">Settings!$B$32</definedName>
    <definedName name="Detailed_LineDesc03">Settings!$B$33</definedName>
    <definedName name="Detailed_LineDesc04">Settings!$B$34</definedName>
    <definedName name="Detailed_LineDesc05">Settings!$B$35</definedName>
    <definedName name="Detailed_LineDesc06">Settings!$B$36</definedName>
    <definedName name="Detailed_LineDesc07">Settings!$B$37</definedName>
    <definedName name="Detailed_LineDesc08">Settings!$B$38</definedName>
    <definedName name="Detailed_LineDesc09">Settings!$B$39</definedName>
    <definedName name="Detailed_LineDesc10">Settings!$B$40</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Settings!$B$68</definedName>
    <definedName name="EffStd_Var02">Settings!$B$69</definedName>
    <definedName name="EffStd_Var03">Settings!$B$70</definedName>
    <definedName name="EffStd_Var04">Settings!$B$71</definedName>
    <definedName name="EffStd_Var05">Settings!$B$72</definedName>
    <definedName name="EffStd_Var06">Settings!$B$73</definedName>
    <definedName name="EffStd_Var07">Settings!$B$74</definedName>
    <definedName name="EffStd_Var08">Settings!$B$75</definedName>
    <definedName name="EffStd_Var09">Settings!$B$76</definedName>
    <definedName name="EffStd_Var10">Settings!$B$77</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Settings!$B$55</definedName>
    <definedName name="EffStd_Wtd02">Settings!$B$56</definedName>
    <definedName name="EffStd_Wtd03">Settings!$B$57</definedName>
    <definedName name="EffStd_Wtd04">Settings!$B$58</definedName>
    <definedName name="EffStd_Wtd05">Settings!$B$59</definedName>
    <definedName name="EffStd_Wtd06">Settings!$B$60</definedName>
    <definedName name="EffStd_Wtd07">Settings!$B$61</definedName>
    <definedName name="EffStd_Wtd08">Settings!$B$62</definedName>
    <definedName name="EffStd_Wtd09">Settings!$B$63</definedName>
    <definedName name="EffStd_Wtd10">Settings!$B$64</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Settings!$B$27</definedName>
    <definedName name="FIT_Inv">Settings!$B$24</definedName>
    <definedName name="FIT_UW">Settings!$B$103</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Settings!$B$92</definedName>
    <definedName name="LevFact_Final02">Settings!$B$93</definedName>
    <definedName name="LevFact_Final03">Settings!$B$94</definedName>
    <definedName name="LevFact_Final04">Settings!$B$95</definedName>
    <definedName name="LevFact_Final05">Settings!$B$96</definedName>
    <definedName name="LevFact_Final06">Settings!$B$97</definedName>
    <definedName name="LevFact_Final07">Settings!$B$98</definedName>
    <definedName name="LevFact_Final08">Settings!$B$99</definedName>
    <definedName name="LevFact_Final09">Settings!$B$100</definedName>
    <definedName name="LevFact_Final10">Settings!$B$101</definedName>
    <definedName name="List_AggMeth">References!$K$6:$K$8</definedName>
    <definedName name="List_AOELoad">References!$P$6:$P$9</definedName>
    <definedName name="List_DetailLine">References!$H$41:$I$43</definedName>
    <definedName name="List_GeneralLine">References!$F$6:$F$30</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Insurer_Group">Settings!$B$26</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Settings!$B$104</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Standard'!$A$1:$E$40</definedName>
    <definedName name="_xlnm.Print_Area" localSheetId="44">'Federal Income Tax Rate'!$A$1:$C$33</definedName>
    <definedName name="_xlnm.Print_Area" localSheetId="43">'Incurred Loss &amp; DCCE'!$A$1:$D$44</definedName>
    <definedName name="_xlnm.Print_Area" localSheetId="2">Instructions!$A$1:$D$16</definedName>
    <definedName name="_xlnm.Print_Area" localSheetId="41">'Leverage Factor'!$A$1:$C$41</definedName>
    <definedName name="_xlnm.Print_Area" localSheetId="42">'Reserves Ratio'!$A$1:$D$41</definedName>
    <definedName name="_xlnm.Print_Area" localSheetId="0">Settings!$A$1:$E$106</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Settings!$B$80</definedName>
    <definedName name="ResRatio_UPR02">Settings!$B$81</definedName>
    <definedName name="ResRatio_UPR03">Settings!$B$82</definedName>
    <definedName name="ResRatio_UPR04">Settings!$B$83</definedName>
    <definedName name="ResRatio_UPR05">Settings!$B$84</definedName>
    <definedName name="ResRatio_UPR06">Settings!$B$85</definedName>
    <definedName name="ResRatio_UPR07">Settings!$B$86</definedName>
    <definedName name="ResRatio_UPR08">Settings!$B$87</definedName>
    <definedName name="ResRatio_UPR09">Settings!$B$88</definedName>
    <definedName name="ResRatio_UPR10">Settings!$B$89</definedName>
    <definedName name="ROR_Max">Settings!$B$107</definedName>
    <definedName name="ROR_Min">Settings!$B$106</definedName>
    <definedName name="ROR_RiskFree">Settings!$B$105</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Standard'!$A$10:$E$40</definedName>
    <definedName name="Table_IncdLossDCCE">'Incurred Loss &amp; DCCE'!$A$11:$D$41</definedName>
    <definedName name="Table_LevFact">'Leverage Factor'!$A$11:$C$41</definedName>
    <definedName name="Table_ResRatio">'Reserves Ratio'!$A$11:$D$41</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1" i="32" l="1"/>
  <c r="D30" i="38"/>
  <c r="D29" i="38"/>
  <c r="D27" i="38"/>
  <c r="D26" i="38"/>
  <c r="D25" i="38"/>
  <c r="D24" i="38"/>
  <c r="D23" i="38"/>
  <c r="D22" i="38"/>
  <c r="D20" i="38"/>
  <c r="D19" i="38"/>
  <c r="D16" i="38"/>
  <c r="D15" i="38"/>
  <c r="D14" i="38"/>
  <c r="D12" i="38"/>
  <c r="D11" i="38"/>
  <c r="D10" i="38"/>
  <c r="I44" i="3" l="1"/>
  <c r="I43" i="3"/>
  <c r="I42" i="3"/>
  <c r="I50" i="3" l="1"/>
  <c r="I49" i="3"/>
  <c r="I48" i="3"/>
  <c r="I47" i="3"/>
  <c r="I46" i="3"/>
  <c r="I45" i="3"/>
  <c r="J8" i="2" l="1"/>
  <c r="J18" i="2" l="1"/>
  <c r="E26" i="1" l="1"/>
  <c r="J10" i="2"/>
  <c r="J29" i="2" l="1"/>
  <c r="V7" i="3" l="1"/>
  <c r="V6" i="3" l="1"/>
  <c r="U6" i="3" s="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H19" i="28"/>
  <c r="B21" i="68"/>
  <c r="B20" i="68"/>
  <c r="B19" i="68"/>
  <c r="V18" i="3" l="1"/>
  <c r="U19" i="3"/>
  <c r="B104"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3"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J30" i="9"/>
  <c r="I30" i="9"/>
  <c r="H30" i="9"/>
  <c r="G30" i="9"/>
  <c r="F30" i="9"/>
  <c r="E30" i="9"/>
  <c r="D30" i="9"/>
  <c r="M31" i="9" l="1"/>
  <c r="M31" i="39"/>
  <c r="M31" i="41"/>
  <c r="M31" i="42"/>
  <c r="M31" i="43"/>
  <c r="M31" i="44"/>
  <c r="M31" i="45"/>
  <c r="M31" i="46"/>
  <c r="M31" i="47"/>
  <c r="M31" i="48"/>
  <c r="U25" i="3"/>
  <c r="V24" i="3"/>
  <c r="I40" i="67"/>
  <c r="I40" i="66"/>
  <c r="I40" i="65"/>
  <c r="I40" i="64"/>
  <c r="I40" i="63"/>
  <c r="I40" i="62"/>
  <c r="I40" i="61"/>
  <c r="I40" i="60"/>
  <c r="I21" i="34"/>
  <c r="U26" i="3" l="1"/>
  <c r="V25" i="3"/>
  <c r="B105" i="1"/>
  <c r="H43" i="57" s="1"/>
  <c r="V26" i="3" l="1"/>
  <c r="U27" i="3"/>
  <c r="H43" i="28"/>
  <c r="H43" i="50"/>
  <c r="H43" i="52"/>
  <c r="H43" i="55"/>
  <c r="H43" i="51"/>
  <c r="H43" i="53"/>
  <c r="H43" i="49"/>
  <c r="H43" i="54"/>
  <c r="H43" i="56"/>
  <c r="B107"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G49" i="49" s="1"/>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F49" i="49" l="1"/>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C51" i="49" l="1"/>
  <c r="E51" i="49"/>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18" i="9"/>
  <c r="M39" i="39"/>
  <c r="M29" i="39"/>
  <c r="M22" i="39"/>
  <c r="M21" i="39"/>
  <c r="M20" i="39"/>
  <c r="M19" i="39"/>
  <c r="K16" i="39"/>
  <c r="M16" i="39" s="1"/>
  <c r="M15" i="39"/>
  <c r="I14" i="39"/>
  <c r="H14" i="39"/>
  <c r="G14" i="39"/>
  <c r="F14" i="39"/>
  <c r="E14" i="39"/>
  <c r="D14" i="39"/>
  <c r="D18" i="38"/>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7" i="1" l="1"/>
  <c r="J33" i="48" s="1"/>
  <c r="F20" i="36"/>
  <c r="D42" i="38"/>
  <c r="F34" i="38"/>
  <c r="J26" i="32" s="1"/>
  <c r="K33" i="39" l="1"/>
  <c r="K33" i="44"/>
  <c r="K33" i="45"/>
  <c r="K33" i="46"/>
  <c r="K33" i="47"/>
  <c r="K33" i="48"/>
  <c r="K33" i="43"/>
  <c r="K33" i="41"/>
  <c r="K33" i="42"/>
  <c r="H31" i="56"/>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2" i="1"/>
  <c r="I18" i="34" s="1"/>
  <c r="B51" i="1"/>
  <c r="I17" i="34" s="1"/>
  <c r="B50" i="1"/>
  <c r="I16" i="34" s="1"/>
  <c r="B49" i="1"/>
  <c r="B48" i="1"/>
  <c r="B47" i="1"/>
  <c r="B46" i="1"/>
  <c r="B45" i="1"/>
  <c r="B44" i="1"/>
  <c r="B43" i="1"/>
  <c r="D34" i="34" l="1"/>
  <c r="C34" i="34"/>
  <c r="C32" i="34"/>
  <c r="D32" i="34"/>
  <c r="D33" i="34"/>
  <c r="C33" i="34"/>
  <c r="B34" i="1"/>
  <c r="B12" i="34"/>
  <c r="H12" i="34" s="1"/>
  <c r="C41" i="34"/>
  <c r="F28" i="34"/>
  <c r="B16" i="34"/>
  <c r="B45" i="34" s="1"/>
  <c r="C45" i="34"/>
  <c r="F32" i="34"/>
  <c r="H16" i="34"/>
  <c r="B35" i="1"/>
  <c r="E34" i="1" s="1"/>
  <c r="F29" i="34"/>
  <c r="B13" i="34"/>
  <c r="H13" i="34" s="1"/>
  <c r="C42" i="34"/>
  <c r="C46" i="34"/>
  <c r="B17" i="34"/>
  <c r="H17" i="34" s="1"/>
  <c r="E33" i="34" s="1"/>
  <c r="F33" i="34"/>
  <c r="B32" i="1"/>
  <c r="E31" i="1" s="1"/>
  <c r="C39" i="34"/>
  <c r="F26" i="34"/>
  <c r="B10" i="34"/>
  <c r="H10" i="34" s="1"/>
  <c r="B36" i="1"/>
  <c r="E35" i="1" s="1"/>
  <c r="C43" i="34"/>
  <c r="F30" i="34"/>
  <c r="B14" i="34"/>
  <c r="H14" i="34" s="1"/>
  <c r="C47" i="34"/>
  <c r="F34" i="34"/>
  <c r="B18" i="34"/>
  <c r="H18" i="34"/>
  <c r="B33" i="1"/>
  <c r="C40" i="34"/>
  <c r="F27" i="34"/>
  <c r="B11" i="34"/>
  <c r="H11" i="34" s="1"/>
  <c r="B15" i="34"/>
  <c r="B44" i="34" s="1"/>
  <c r="C44" i="34"/>
  <c r="F31" i="34"/>
  <c r="I65" i="54"/>
  <c r="I65" i="50"/>
  <c r="I65" i="53"/>
  <c r="I65" i="56"/>
  <c r="I65" i="28"/>
  <c r="I65" i="55"/>
  <c r="I65" i="51"/>
  <c r="I65" i="57"/>
  <c r="I65" i="49"/>
  <c r="I65" i="52"/>
  <c r="J34" i="41"/>
  <c r="J34" i="44"/>
  <c r="J34" i="48"/>
  <c r="J34" i="42"/>
  <c r="J34" i="47"/>
  <c r="J34" i="43"/>
  <c r="K34" i="48"/>
  <c r="H32" i="56"/>
  <c r="K34" i="46"/>
  <c r="B31" i="1"/>
  <c r="E30" i="1" s="1"/>
  <c r="G26" i="32"/>
  <c r="H32" i="57"/>
  <c r="K34" i="42"/>
  <c r="K34" i="44"/>
  <c r="K34" i="45"/>
  <c r="K34" i="41"/>
  <c r="K34" i="47"/>
  <c r="H32" i="50"/>
  <c r="B40" i="1"/>
  <c r="E39" i="1" s="1"/>
  <c r="A18" i="34"/>
  <c r="A34" i="34"/>
  <c r="E34" i="34"/>
  <c r="A47" i="34"/>
  <c r="B39" i="1"/>
  <c r="E38" i="1" s="1"/>
  <c r="A33" i="34"/>
  <c r="A46" i="34"/>
  <c r="A17" i="34"/>
  <c r="B38" i="1"/>
  <c r="E37" i="1" s="1"/>
  <c r="A16" i="34"/>
  <c r="A32" i="34"/>
  <c r="A45" i="34"/>
  <c r="B37" i="1"/>
  <c r="E36" i="1"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H13" i="32"/>
  <c r="C28" i="32"/>
  <c r="C13" i="32"/>
  <c r="I12" i="32"/>
  <c r="C27" i="32"/>
  <c r="G27" i="32"/>
  <c r="H12"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H15" i="34" l="1"/>
  <c r="B26" i="34"/>
  <c r="F31" i="32"/>
  <c r="H31" i="32" s="1"/>
  <c r="M22" i="63"/>
  <c r="M20" i="63"/>
  <c r="F34" i="32"/>
  <c r="M20" i="66"/>
  <c r="M20" i="64"/>
  <c r="M20" i="62"/>
  <c r="E35" i="32"/>
  <c r="M20" i="67"/>
  <c r="B12" i="32"/>
  <c r="M20" i="59"/>
  <c r="M20" i="65"/>
  <c r="M20" i="29"/>
  <c r="B11" i="32"/>
  <c r="B46" i="34"/>
  <c r="D46" i="34" s="1"/>
  <c r="B34" i="34"/>
  <c r="D45" i="34"/>
  <c r="B47" i="34"/>
  <c r="B43" i="34"/>
  <c r="D47" i="34"/>
  <c r="B31" i="34"/>
  <c r="E31" i="34"/>
  <c r="B33" i="34"/>
  <c r="E28" i="34"/>
  <c r="E30" i="34"/>
  <c r="D44" i="34"/>
  <c r="B32" i="34"/>
  <c r="E32" i="34"/>
  <c r="B41" i="34"/>
  <c r="D41" i="34" s="1"/>
  <c r="B28" i="34"/>
  <c r="B27" i="34"/>
  <c r="B42" i="34"/>
  <c r="D42" i="34" s="1"/>
  <c r="E27" i="34"/>
  <c r="D43"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E32" i="1"/>
  <c r="M20" i="60" s="1"/>
  <c r="E33" i="1"/>
  <c r="M20" i="61" s="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16" i="32" l="1"/>
  <c r="J16" i="32" s="1"/>
  <c r="G20" i="32"/>
  <c r="J20" i="32" s="1"/>
  <c r="G19" i="32"/>
  <c r="J19" i="32" s="1"/>
  <c r="G18" i="32"/>
  <c r="J18" i="32" s="1"/>
  <c r="G17" i="32"/>
  <c r="J17" i="32" s="1"/>
  <c r="G15" i="32"/>
  <c r="J15" i="32" s="1"/>
  <c r="B14" i="32"/>
  <c r="F29" i="32"/>
  <c r="H29" i="32" s="1"/>
  <c r="E29" i="32"/>
  <c r="D29" i="32"/>
  <c r="E14" i="32"/>
  <c r="D14" i="32"/>
  <c r="F14" i="32"/>
  <c r="H73" i="51"/>
  <c r="B13" i="32"/>
  <c r="D13" i="32"/>
  <c r="E28" i="32"/>
  <c r="H73" i="50"/>
  <c r="D28" i="32"/>
  <c r="F28" i="32"/>
  <c r="H28" i="32" s="1"/>
  <c r="E13" i="32"/>
  <c r="F13" i="32"/>
  <c r="G12" i="32"/>
  <c r="J12" i="32" s="1"/>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J13" i="32" s="1"/>
  <c r="H75" i="57"/>
  <c r="H75" i="55"/>
  <c r="H75" i="56"/>
  <c r="H75" i="53"/>
  <c r="H75" i="54"/>
  <c r="H75" i="51"/>
  <c r="H75" i="52"/>
  <c r="H75" i="50"/>
  <c r="H75" i="49"/>
  <c r="B95" i="1"/>
  <c r="B29" i="32"/>
  <c r="B83" i="1"/>
  <c r="E82" i="1"/>
  <c r="E85" i="1"/>
  <c r="B98" i="1"/>
  <c r="B86" i="1"/>
  <c r="B32" i="32"/>
  <c r="E80" i="1"/>
  <c r="B93" i="1"/>
  <c r="B27" i="32"/>
  <c r="B81" i="1"/>
  <c r="E81" i="1"/>
  <c r="B94" i="1"/>
  <c r="B82" i="1"/>
  <c r="H41" i="50" s="1"/>
  <c r="B28" i="32"/>
  <c r="B84" i="1"/>
  <c r="B30" i="32"/>
  <c r="E83" i="1"/>
  <c r="B96" i="1"/>
  <c r="B88" i="1"/>
  <c r="B34" i="32"/>
  <c r="E87" i="1"/>
  <c r="B100" i="1"/>
  <c r="E84" i="1"/>
  <c r="B97" i="1"/>
  <c r="B31" i="32"/>
  <c r="B85" i="1"/>
  <c r="B92" i="1"/>
  <c r="B80" i="1"/>
  <c r="E79" i="1"/>
  <c r="H57" i="28" s="1"/>
  <c r="B26" i="32"/>
  <c r="E88" i="1"/>
  <c r="B101" i="1"/>
  <c r="B35" i="32"/>
  <c r="B89" i="1"/>
  <c r="B99" i="1"/>
  <c r="B33" i="32"/>
  <c r="B87" i="1"/>
  <c r="E86" i="1"/>
  <c r="B20" i="32"/>
  <c r="B19" i="32"/>
  <c r="B18" i="32"/>
  <c r="B17" i="32"/>
  <c r="B16" i="32"/>
  <c r="B15" i="32"/>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9" i="1"/>
  <c r="M40" i="43" s="1"/>
  <c r="I69" i="52" s="1"/>
  <c r="B56" i="1"/>
  <c r="M40" i="39" s="1"/>
  <c r="I69" i="49" s="1"/>
  <c r="B64" i="1"/>
  <c r="M40" i="48" s="1"/>
  <c r="I69" i="57" s="1"/>
  <c r="B58" i="1"/>
  <c r="M40" i="42" s="1"/>
  <c r="I69" i="51" s="1"/>
  <c r="B62" i="1"/>
  <c r="M40" i="46" s="1"/>
  <c r="I69" i="55" s="1"/>
  <c r="B55" i="1"/>
  <c r="M40" i="9" s="1"/>
  <c r="B60" i="1"/>
  <c r="M40" i="44" s="1"/>
  <c r="I69" i="53" s="1"/>
  <c r="B57" i="1"/>
  <c r="M40" i="41" s="1"/>
  <c r="I69" i="50" s="1"/>
  <c r="B61" i="1"/>
  <c r="M40" i="45" s="1"/>
  <c r="I69" i="54" s="1"/>
  <c r="B63" i="1"/>
  <c r="M40" i="47" s="1"/>
  <c r="I69" i="56" s="1"/>
  <c r="B68" i="1" l="1"/>
  <c r="H11" i="32" s="1"/>
  <c r="J11" i="32" s="1"/>
  <c r="E42" i="1" s="1"/>
  <c r="B73" i="1"/>
  <c r="B77" i="1"/>
  <c r="B76" i="1"/>
  <c r="B69" i="1"/>
  <c r="B74" i="1"/>
  <c r="B75" i="1"/>
  <c r="B72" i="1"/>
  <c r="B70" i="1"/>
  <c r="B71"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8" i="56"/>
  <c r="E17" i="34" s="1"/>
  <c r="H69" i="56"/>
  <c r="H68" i="55"/>
  <c r="E16" i="34" s="1"/>
  <c r="H69" i="55"/>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B23" i="28"/>
  <c r="G22" i="28"/>
  <c r="F22" i="28"/>
  <c r="E22" i="28"/>
  <c r="D22" i="28"/>
  <c r="C22" i="28"/>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C50" i="28"/>
  <c r="C49" i="28"/>
  <c r="G75" i="28"/>
  <c r="F25" i="34"/>
  <c r="F49" i="28"/>
  <c r="G49" i="28"/>
  <c r="D48" i="28"/>
  <c r="D52" i="28" s="1"/>
  <c r="D50" i="28"/>
  <c r="D53" i="28" s="1"/>
  <c r="E49" i="28"/>
  <c r="G50" i="28"/>
  <c r="C16" i="34"/>
  <c r="C18" i="34"/>
  <c r="C17"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G53" i="28" l="1"/>
  <c r="E53" i="28"/>
  <c r="C38" i="34"/>
  <c r="C48" i="34" s="1"/>
  <c r="G52" i="28"/>
  <c r="B9" i="34"/>
  <c r="H76" i="28"/>
  <c r="H50" i="28"/>
  <c r="H56" i="28"/>
  <c r="B53" i="28"/>
  <c r="H49" i="28"/>
  <c r="H48" i="28"/>
  <c r="H52" i="28" s="1"/>
  <c r="B52" i="28"/>
  <c r="K33" i="9"/>
  <c r="H9" i="34" l="1"/>
  <c r="B25" i="34"/>
  <c r="B19" i="34"/>
  <c r="B35" i="34" s="1"/>
  <c r="B38" i="34"/>
  <c r="H53" i="28"/>
  <c r="B48" i="34"/>
  <c r="D48" i="34" s="1"/>
  <c r="D38" i="34"/>
  <c r="H30" i="28"/>
  <c r="G19" i="34" l="1"/>
  <c r="E25" i="34"/>
  <c r="H19" i="34"/>
  <c r="E35" i="34" s="1"/>
  <c r="H59" i="28"/>
  <c r="H60" i="28"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I69" i="28" s="1"/>
  <c r="L24" i="29" l="1"/>
  <c r="G71" i="28"/>
  <c r="F71" i="28"/>
  <c r="E71" i="28"/>
  <c r="G47" i="28"/>
  <c r="F47" i="28"/>
  <c r="E47" i="28"/>
  <c r="D47" i="28"/>
  <c r="C47" i="28"/>
  <c r="B47" i="28"/>
  <c r="G15" i="28"/>
  <c r="F15" i="28"/>
  <c r="E15" i="28"/>
  <c r="D15" i="28"/>
  <c r="C15" i="28"/>
  <c r="B15" i="28"/>
  <c r="H9" i="29"/>
  <c r="N28" i="3"/>
  <c r="H7" i="29"/>
  <c r="B22" i="1"/>
  <c r="G1" i="2"/>
  <c r="B20" i="1"/>
  <c r="D16" i="30" s="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7" i="34" l="1"/>
  <c r="D16" i="34"/>
  <c r="D18" i="34"/>
  <c r="F16" i="34" l="1"/>
  <c r="F17" i="34"/>
  <c r="F18" i="34"/>
  <c r="H58" i="51"/>
  <c r="H58" i="28"/>
  <c r="H62" i="28"/>
  <c r="H57" i="54"/>
  <c r="H57" i="51"/>
  <c r="H62" i="52"/>
  <c r="H58" i="53"/>
  <c r="H61" i="57"/>
  <c r="H61" i="28"/>
  <c r="H65" i="28" l="1"/>
  <c r="B54" i="28" s="1"/>
  <c r="B55" i="28" s="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D54" i="28" l="1"/>
  <c r="D55" i="28" s="1"/>
  <c r="F54" i="28"/>
  <c r="F55" i="28" s="1"/>
  <c r="F77" i="28"/>
  <c r="H54" i="28"/>
  <c r="H55" i="28" s="1"/>
  <c r="H66" i="28" s="1"/>
  <c r="G54" i="28"/>
  <c r="G55" i="28" s="1"/>
  <c r="G77" i="28"/>
  <c r="B77" i="28"/>
  <c r="D77" i="28"/>
  <c r="E54" i="28"/>
  <c r="E55" i="28" s="1"/>
  <c r="C54" i="28"/>
  <c r="C55" i="28" s="1"/>
  <c r="C77" i="28"/>
  <c r="E77" i="28"/>
  <c r="H64" i="50"/>
  <c r="H64" i="56"/>
  <c r="H65" i="55"/>
  <c r="G77" i="55" s="1"/>
  <c r="H65" i="49"/>
  <c r="C54" i="49" s="1"/>
  <c r="C55" i="49" s="1"/>
  <c r="H64" i="49"/>
  <c r="H77" i="28"/>
  <c r="H78" i="28" s="1"/>
  <c r="H79" i="28" s="1"/>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C30" i="34" l="1"/>
  <c r="H68" i="53"/>
  <c r="E14" i="34" s="1"/>
  <c r="C25" i="34"/>
  <c r="H68" i="28"/>
  <c r="E9" i="34" s="1"/>
  <c r="H77" i="50"/>
  <c r="H78" i="50" s="1"/>
  <c r="H79" i="50" s="1"/>
  <c r="H67" i="28"/>
  <c r="H69" i="28" s="1"/>
  <c r="E77" i="50"/>
  <c r="D54" i="50"/>
  <c r="D55" i="50" s="1"/>
  <c r="H67" i="53"/>
  <c r="H69" i="53" s="1"/>
  <c r="F14" i="34" s="1"/>
  <c r="D14" i="34"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9" i="50" s="1"/>
  <c r="F11" i="34" s="1"/>
  <c r="D11" i="34"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9" i="51" s="1"/>
  <c r="F12" i="34" s="1"/>
  <c r="D12" i="34" s="1"/>
  <c r="C28" i="34" l="1"/>
  <c r="H68" i="51"/>
  <c r="E12" i="34" s="1"/>
  <c r="C29" i="34"/>
  <c r="H68" i="52"/>
  <c r="E13" i="34" s="1"/>
  <c r="C14" i="34"/>
  <c r="I14" i="34"/>
  <c r="H63" i="53"/>
  <c r="D30" i="34"/>
  <c r="H63" i="51"/>
  <c r="D28" i="34"/>
  <c r="H63" i="50"/>
  <c r="D27" i="34"/>
  <c r="F10" i="34"/>
  <c r="D10" i="34" s="1"/>
  <c r="G40" i="59"/>
  <c r="F9" i="34"/>
  <c r="I9" i="34" s="1"/>
  <c r="G40" i="29"/>
  <c r="C9" i="34"/>
  <c r="H63" i="49"/>
  <c r="D26" i="34"/>
  <c r="H63" i="28"/>
  <c r="D25" i="34"/>
  <c r="H67" i="55"/>
  <c r="H63" i="55" s="1"/>
  <c r="H67" i="52"/>
  <c r="H69" i="52" s="1"/>
  <c r="F13" i="34" s="1"/>
  <c r="D13" i="34" s="1"/>
  <c r="H66" i="49"/>
  <c r="H66" i="50"/>
  <c r="H67" i="56"/>
  <c r="H63" i="56" s="1"/>
  <c r="H67" i="54"/>
  <c r="H69" i="54" s="1"/>
  <c r="F15" i="34" s="1"/>
  <c r="D15" i="34" s="1"/>
  <c r="H66" i="54"/>
  <c r="C13" i="34" l="1"/>
  <c r="I13" i="34"/>
  <c r="C31" i="34"/>
  <c r="H68" i="54"/>
  <c r="E15" i="34" s="1"/>
  <c r="C12" i="34"/>
  <c r="I12" i="34"/>
  <c r="C27" i="34"/>
  <c r="H68" i="50"/>
  <c r="E11" i="34" s="1"/>
  <c r="H63" i="54"/>
  <c r="D31" i="34"/>
  <c r="H63" i="52"/>
  <c r="D29" i="34"/>
  <c r="D9" i="34"/>
  <c r="D19" i="34" s="1"/>
  <c r="D35" i="34" s="1"/>
  <c r="F19" i="34"/>
  <c r="I22" i="59"/>
  <c r="I40" i="59"/>
  <c r="I22" i="29"/>
  <c r="I40" i="29"/>
  <c r="C26" i="34"/>
  <c r="H68" i="49"/>
  <c r="E10" i="34" s="1"/>
  <c r="I10" i="34" s="1"/>
  <c r="C11" i="34" l="1"/>
  <c r="I11" i="34"/>
  <c r="C15" i="34"/>
  <c r="I15" i="34"/>
  <c r="C10" i="34"/>
  <c r="E19" i="34"/>
  <c r="I19" i="34" s="1"/>
  <c r="C19" i="34" l="1"/>
  <c r="C3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<sst xmlns="http://schemas.openxmlformats.org/spreadsheetml/2006/main" count="3099" uniqueCount="763">
  <si>
    <t>Company Name:</t>
  </si>
  <si>
    <t>Completed by:</t>
  </si>
  <si>
    <t>Y</t>
  </si>
  <si>
    <t>N</t>
  </si>
  <si>
    <t>Line Type:</t>
  </si>
  <si>
    <t>Commercial</t>
  </si>
  <si>
    <t>Personal</t>
  </si>
  <si>
    <t>General Line :</t>
  </si>
  <si>
    <t>Aircraft</t>
  </si>
  <si>
    <t>Allied Lines</t>
  </si>
  <si>
    <t>Auto Liability and Physical Damage</t>
  </si>
  <si>
    <t>Auto Warranty</t>
  </si>
  <si>
    <t>Boiler &amp; Machinery</t>
  </si>
  <si>
    <t>Burglary &amp; Theft</t>
  </si>
  <si>
    <t>Earthquake</t>
  </si>
  <si>
    <t>Farmowners</t>
  </si>
  <si>
    <t>Fidelity</t>
  </si>
  <si>
    <t>Fire</t>
  </si>
  <si>
    <t>Flood</t>
  </si>
  <si>
    <t>Home Warranty</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</si>
  <si>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</si>
  <si>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</si>
  <si>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</si>
  <si>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</si>
  <si>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</si>
  <si>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</si>
  <si>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</si>
  <si>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</si>
  <si>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</si>
  <si>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</si>
  <si>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</si>
  <si>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</si>
  <si>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</si>
  <si>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</si>
  <si>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</si>
  <si>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</si>
  <si>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</si>
  <si>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</si>
  <si>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</si>
  <si>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</si>
  <si>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</si>
  <si>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</si>
  <si>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</si>
  <si>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</si>
  <si>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</si>
  <si>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</si>
  <si>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</si>
  <si>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</si>
  <si>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</si>
  <si>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</si>
  <si>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</si>
  <si>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</si>
  <si>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</si>
  <si>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</si>
  <si>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</si>
  <si>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</si>
  <si>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</si>
  <si>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</si>
  <si>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</si>
  <si>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</si>
  <si>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</si>
  <si>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</si>
  <si>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</si>
  <si>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</si>
  <si>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</si>
  <si>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</si>
  <si>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</si>
  <si>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</si>
  <si>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</si>
  <si>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</si>
  <si>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</si>
  <si>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</si>
  <si>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</si>
  <si>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</si>
  <si>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</si>
  <si>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</si>
  <si>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</si>
  <si>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</si>
  <si>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</si>
  <si>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</si>
  <si>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</si>
  <si>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</si>
  <si>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</si>
  <si>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</si>
  <si>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</si>
  <si>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</si>
  <si>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</si>
  <si>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</si>
  <si>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</si>
  <si>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</si>
  <si>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</si>
  <si>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</si>
  <si>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</si>
  <si>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</si>
  <si>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</si>
  <si>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</si>
  <si>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</si>
  <si>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</si>
  <si>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</si>
  <si>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</si>
  <si>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</si>
  <si>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</si>
  <si>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</si>
  <si>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</si>
  <si>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</si>
  <si>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</si>
  <si>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</si>
  <si>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</si>
  <si>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</si>
  <si>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</si>
  <si>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</si>
  <si>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</si>
  <si>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</si>
  <si>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</si>
  <si>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</si>
  <si>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</si>
  <si>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</si>
  <si>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</si>
  <si>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</si>
  <si>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</si>
  <si>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</si>
  <si>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</si>
  <si>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</si>
  <si>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</si>
  <si>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</si>
  <si>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</si>
  <si>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</si>
  <si>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</si>
  <si>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</si>
  <si>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</si>
  <si>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</si>
  <si>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</si>
  <si>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</si>
  <si>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</si>
  <si>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</si>
  <si>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</si>
  <si>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</si>
  <si>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</si>
  <si>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</si>
  <si>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</si>
  <si>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</si>
  <si>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</si>
  <si>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</si>
  <si>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</si>
  <si>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</si>
  <si>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</si>
  <si>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</si>
  <si>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</si>
  <si>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</si>
  <si>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</si>
  <si>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</si>
  <si>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</si>
  <si>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</si>
  <si>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</si>
  <si>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</si>
  <si>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</si>
  <si>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</si>
  <si>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</si>
  <si>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</si>
  <si>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</si>
  <si>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</si>
  <si>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</si>
  <si>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</si>
  <si>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</si>
  <si>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</si>
  <si>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</si>
  <si>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</si>
  <si>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</si>
  <si>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</si>
  <si>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</si>
  <si>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</si>
  <si>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</si>
  <si>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</si>
  <si>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</si>
  <si>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</si>
  <si>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</si>
  <si>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</si>
  <si>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</si>
  <si>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</si>
  <si>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</si>
  <si>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</si>
  <si>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</si>
  <si>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</si>
  <si>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</si>
  <si>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</si>
  <si>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</si>
  <si>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</si>
  <si>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</si>
  <si>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</si>
  <si>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</si>
  <si>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</si>
  <si>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</si>
  <si>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</si>
  <si>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</si>
  <si>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</si>
  <si>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</si>
  <si>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</si>
  <si>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</si>
  <si>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</si>
  <si>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</si>
  <si>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</si>
  <si>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</si>
  <si>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</si>
  <si>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</si>
  <si>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</si>
  <si>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</si>
  <si>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</si>
  <si>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</si>
  <si>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</si>
  <si>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</si>
  <si>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</si>
  <si>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</si>
  <si>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</si>
  <si>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</si>
  <si>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</si>
  <si>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</si>
  <si>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</si>
  <si>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</si>
  <si>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</si>
  <si>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</si>
  <si>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</si>
  <si>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</si>
  <si>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</si>
  <si>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</si>
  <si>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</si>
  <si>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</si>
  <si>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</si>
  <si>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</si>
  <si>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</si>
  <si>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</si>
  <si>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</si>
  <si>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</si>
  <si>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</si>
  <si>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</si>
  <si>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</si>
  <si>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</si>
  <si>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</si>
  <si>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</si>
  <si>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</si>
  <si>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</si>
  <si>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</si>
  <si>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</si>
  <si>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</si>
  <si>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</si>
  <si>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</si>
  <si>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</si>
  <si>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</si>
  <si>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</si>
  <si>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</si>
  <si>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</si>
  <si>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</si>
  <si>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</si>
  <si>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</si>
  <si>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</si>
  <si>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</si>
  <si>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</si>
  <si>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</si>
  <si>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</si>
  <si>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</si>
  <si>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</si>
  <si>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</si>
  <si>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</si>
  <si>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</si>
  <si>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</si>
  <si>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</si>
  <si>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</si>
  <si>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</si>
  <si>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</si>
  <si>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</si>
  <si>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</si>
  <si>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</si>
  <si>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</si>
  <si>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</si>
  <si>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</si>
  <si>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</si>
  <si>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</si>
  <si>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</si>
  <si>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</si>
  <si>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</si>
  <si>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</si>
  <si>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</si>
  <si>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</si>
  <si>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</si>
  <si>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</si>
  <si>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</si>
  <si>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</si>
  <si>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</si>
  <si>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</si>
  <si>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</si>
  <si>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</si>
  <si>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</si>
  <si>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</si>
  <si>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</si>
  <si>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</si>
  <si>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</si>
  <si>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</si>
  <si>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</si>
  <si>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</si>
  <si>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</si>
  <si>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</si>
  <si>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</si>
  <si>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</si>
  <si>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</si>
  <si>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</si>
  <si>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</si>
  <si>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</si>
  <si>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</si>
  <si>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</si>
  <si>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</si>
  <si>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</si>
  <si>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</si>
  <si>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</si>
  <si>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</si>
  <si>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</si>
  <si>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</si>
  <si>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</si>
  <si>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</si>
  <si>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</si>
  <si>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</si>
  <si>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</si>
  <si>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</si>
  <si>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</si>
  <si>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</si>
  <si>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</si>
  <si>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</si>
  <si>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</si>
  <si>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</si>
  <si>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</si>
  <si>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</si>
  <si>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</si>
  <si>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</si>
  <si>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</si>
  <si>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</si>
  <si>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</si>
  <si>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</si>
  <si>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</si>
  <si>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</si>
  <si>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</si>
  <si>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</si>
  <si>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</si>
  <si>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</si>
  <si>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</si>
  <si>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</si>
  <si>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</si>
  <si>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</si>
  <si>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</si>
  <si>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</si>
  <si>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</si>
  <si>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</si>
  <si>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</si>
  <si>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</si>
  <si>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</si>
  <si>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</si>
  <si>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</si>
  <si>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</si>
  <si>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</si>
  <si>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</si>
  <si>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</si>
  <si>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</si>
  <si>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</si>
  <si>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</si>
  <si>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</si>
  <si>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</si>
  <si>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</si>
  <si>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</si>
  <si>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</si>
  <si>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</si>
  <si>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</si>
  <si>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</si>
  <si>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</si>
  <si>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</si>
  <si>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</si>
  <si>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</si>
  <si>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</si>
  <si>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</si>
  <si>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</si>
  <si>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</si>
  <si>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</si>
  <si>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</si>
  <si>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</si>
  <si>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</si>
  <si>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</si>
  <si>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</si>
  <si>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</si>
  <si>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</si>
  <si>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</si>
  <si>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</si>
  <si>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</si>
  <si>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</si>
  <si>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</si>
  <si>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</si>
  <si>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</si>
  <si>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</si>
  <si>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</si>
  <si>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</si>
  <si>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</si>
  <si>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</si>
  <si>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</si>
  <si>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</si>
  <si>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</si>
  <si>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</si>
  <si>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</si>
  <si>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</si>
  <si>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</si>
  <si>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</si>
  <si>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</si>
  <si>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</si>
  <si>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</si>
  <si>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</si>
  <si>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</si>
  <si>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</si>
  <si>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</si>
  <si>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</si>
  <si>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</si>
  <si>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</si>
  <si>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</si>
  <si>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</si>
  <si>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</si>
  <si>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</si>
  <si>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</si>
  <si>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</si>
  <si>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</si>
  <si>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</si>
  <si>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</si>
  <si>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</si>
  <si>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</si>
  <si>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</si>
  <si>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</si>
  <si>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</si>
  <si>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</si>
  <si>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</si>
  <si>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</si>
  <si>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</si>
  <si>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</si>
  <si>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</si>
  <si>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</si>
  <si>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</si>
  <si>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</si>
  <si>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</si>
  <si>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</si>
  <si>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</si>
  <si>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</si>
  <si>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</si>
  <si>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</si>
  <si>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</si>
  <si>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</si>
  <si>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</si>
  <si>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</si>
  <si>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</si>
  <si>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</si>
  <si>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</si>
  <si>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</si>
  <si>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</si>
  <si>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</si>
  <si>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</si>
  <si>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</si>
  <si>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</si>
  <si>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</si>
  <si>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</si>
  <si>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</si>
  <si>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</si>
  <si>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</si>
  <si>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</si>
  <si>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</si>
  <si>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</si>
  <si>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</si>
  <si>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</si>
  <si>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</si>
  <si>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</si>
  <si>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</si>
  <si>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</si>
  <si>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</si>
  <si>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</si>
  <si>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</si>
  <si>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</si>
  <si>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</si>
  <si>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</si>
  <si>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</si>
  <si>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</si>
  <si>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</si>
  <si>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</si>
  <si>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</si>
  <si>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</si>
  <si>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</si>
  <si>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</si>
  <si>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</si>
  <si>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</si>
  <si>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</si>
  <si>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</si>
  <si>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</si>
  <si>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</si>
  <si>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</si>
  <si>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</si>
  <si>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</si>
  <si>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</si>
  <si>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</si>
  <si>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</si>
  <si>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</si>
  <si>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</si>
  <si>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</si>
  <si>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</si>
  <si>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</si>
  <si>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</si>
  <si>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</si>
  <si>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</si>
  <si>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</si>
  <si>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</si>
  <si>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</si>
  <si>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</si>
  <si>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</si>
  <si>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</si>
  <si>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</si>
  <si>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</si>
  <si>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</si>
  <si>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</si>
  <si>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</si>
  <si>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</si>
  <si>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</si>
  <si>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</si>
  <si>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</si>
  <si>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</si>
  <si>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</si>
  <si>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</si>
  <si>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</si>
  <si>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</si>
  <si>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</si>
  <si>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</si>
  <si>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</si>
  <si>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</si>
  <si>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</si>
  <si>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</si>
  <si>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</si>
  <si>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</si>
  <si>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</si>
  <si>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</si>
  <si>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</si>
  <si>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</si>
  <si>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</si>
  <si>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</si>
  <si>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</si>
  <si>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</si>
  <si>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</si>
  <si>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</si>
  <si>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</si>
  <si>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</si>
  <si>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</si>
  <si>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</si>
  <si>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</si>
  <si>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</si>
  <si>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</si>
  <si>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</si>
  <si>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</si>
  <si>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</si>
  <si>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</si>
  <si>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</si>
  <si>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</si>
  <si>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</si>
  <si>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</si>
  <si>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</si>
  <si>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</si>
  <si>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</si>
  <si>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</si>
  <si>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</si>
  <si>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</si>
  <si>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</si>
  <si>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</si>
  <si>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</si>
  <si>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</si>
  <si>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</si>
  <si>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</si>
  <si>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</si>
  <si>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</si>
  <si>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</si>
  <si>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</si>
  <si>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</si>
  <si>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</si>
  <si>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</si>
  <si>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</si>
  <si>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</si>
  <si>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</si>
  <si>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</si>
  <si>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</si>
  <si>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</si>
  <si>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</si>
  <si>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</si>
  <si>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</si>
  <si>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</si>
  <si>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</si>
  <si>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</si>
  <si>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</si>
  <si>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</si>
  <si>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</si>
  <si>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</si>
  <si>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</si>
  <si>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</si>
  <si>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</si>
  <si>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</si>
  <si>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</si>
  <si>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</si>
  <si>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</si>
  <si>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</si>
  <si>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</si>
  <si>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</si>
  <si>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</si>
  <si>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</si>
  <si>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</si>
  <si>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</si>
  <si>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</si>
  <si>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</si>
  <si>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</si>
  <si>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</si>
  <si>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</si>
  <si>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</si>
  <si>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</si>
  <si>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</si>
  <si>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</si>
  <si>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</si>
  <si>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</si>
  <si>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</si>
  <si>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</si>
  <si>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</si>
  <si>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</si>
  <si>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</si>
  <si>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</si>
  <si>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</si>
  <si>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</si>
  <si>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</si>
  <si>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</si>
  <si>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</si>
  <si>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</si>
  <si>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</si>
  <si>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</si>
  <si>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</si>
  <si>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</si>
  <si>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</si>
  <si>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</si>
  <si>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</si>
  <si>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</si>
  <si>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</si>
  <si>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</si>
  <si>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</si>
  <si>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</si>
  <si>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</si>
  <si>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</si>
  <si>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</si>
  <si>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</si>
  <si>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</si>
  <si>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</si>
  <si>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</si>
  <si>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</si>
  <si>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</si>
  <si>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</si>
  <si>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</si>
  <si>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Data Aggregation Method used (accident year, report year, policy year); Most Recent Year of Experience Data; and Request for Variance, if applicable.  Also indicate if this application reflects a new program.</t>
    </r>
  </si>
  <si>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</si>
  <si>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</si>
  <si>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</si>
  <si>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</si>
  <si>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</si>
  <si>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</si>
  <si>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</si>
  <si>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</si>
  <si>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</si>
  <si>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</si>
  <si>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</si>
  <si>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</si>
  <si>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</si>
  <si>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</si>
  <si>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</si>
  <si>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</si>
  <si>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</si>
  <si>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</si>
  <si>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</si>
  <si>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</si>
  <si>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</si>
  <si>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</si>
  <si>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</si>
  <si>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</si>
  <si>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</si>
  <si>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</si>
  <si>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</si>
  <si>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</si>
  <si>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</si>
  <si>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</si>
  <si>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</si>
  <si>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</si>
  <si>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</si>
  <si>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</si>
  <si>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</si>
  <si>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</si>
  <si>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</si>
  <si>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</si>
  <si>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</si>
  <si>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</si>
  <si>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</si>
  <si>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</si>
  <si>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</si>
  <si>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</si>
  <si>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</si>
  <si>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</si>
  <si>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</si>
  <si>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</si>
  <si>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</si>
  <si>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</si>
  <si>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</si>
  <si>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</si>
  <si>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</si>
  <si>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</si>
  <si>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</si>
  <si>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</si>
  <si>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Complete Lines 19, 20 &amp; 21 for Earthquake and certain Medical Malpractice with Reinsurance Only (see instructions).</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</si>
  <si>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</si>
  <si>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</si>
  <si>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</si>
  <si>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</si>
  <si>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</si>
  <si>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</si>
  <si>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</si>
  <si>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</si>
  <si>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</si>
  <si>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</si>
  <si>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</si>
  <si>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</si>
  <si>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</si>
  <si>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</si>
  <si>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</si>
  <si>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</si>
  <si>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</si>
  <si>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</si>
  <si>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</si>
  <si>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</si>
  <si>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</si>
  <si>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</si>
  <si>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</si>
  <si>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</si>
  <si>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</si>
  <si>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</si>
  <si>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</si>
  <si>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</si>
  <si>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</si>
  <si>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</si>
  <si>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</si>
  <si>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</si>
  <si>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New_Insurer_Group</t>
  </si>
  <si>
    <t>Fire, Allied Lines &amp; Other Liability</t>
  </si>
  <si>
    <t>Allied Lines &amp; Other Liability</t>
  </si>
  <si>
    <t>Fire &amp; Other Liability</t>
  </si>
  <si>
    <t>Products Liability &amp; Other Liability</t>
  </si>
  <si>
    <t>New Insurer Group with less than 3 years of Premium:</t>
  </si>
  <si>
    <t>2022</t>
  </si>
  <si>
    <t>1/3/2023</t>
  </si>
  <si>
    <t>BIPD</t>
  </si>
  <si>
    <t>MPC</t>
  </si>
  <si>
    <t>UM</t>
  </si>
  <si>
    <t>COMP</t>
  </si>
  <si>
    <t>COLL</t>
  </si>
  <si>
    <t>Misc. Damage</t>
  </si>
  <si>
    <t>Misc. Liability</t>
  </si>
  <si>
    <t>2021</t>
  </si>
  <si>
    <t>State Farm Mutual Automobile Insurance Company</t>
  </si>
  <si>
    <t>Laura Campbell</t>
  </si>
  <si>
    <t>January 2023</t>
  </si>
  <si>
    <t>1suJaAVE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</si>
</sst>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8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0">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s>
  <cellStyleXfs count="117">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xf numFmtId="0" fontId="54" fillId="0" borderId="0"/>
    <xf numFmtId="43" fontId="71" fillId="0" borderId="0" applyFont="0" applyFill="0" applyBorder="0" applyAlignment="0" applyProtection="0"/>
    <xf numFmtId="0" fontId="6" fillId="0" borderId="0"/>
    <xf numFmtId="43" fontId="5" fillId="0" borderId="0" applyFont="0" applyFill="0" applyBorder="0" applyAlignment="0" applyProtection="0"/>
    <xf numFmtId="9" fontId="5" fillId="0" borderId="0" applyFont="0" applyFill="0" applyBorder="0" applyAlignment="0" applyProtection="0"/>
    <xf numFmtId="0" fontId="6" fillId="0" borderId="0"/>
  </cellStyleXfs>
  <cellXfs count="659">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8" fillId="0" borderId="0" xfId="0" applyFont="1" applyAlignment="1">
      <alignment vertical="center"/>
    </xf>
    <xf numFmtId="0" fontId="8" fillId="0" borderId="0" xfId="0" applyFont="1" applyAlignment="1">
      <alignment horizontal="right"/>
    </xf>
    <xf numFmtId="0" fontId="8" fillId="0" borderId="0" xfId="0" applyFont="1" applyAlignment="1">
      <alignment horizontal="left"/>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xf numFmtId="0" fontId="0" fillId="0" borderId="0" xfId="0" applyAlignment="1">
      <alignment horizontal="right" vertical="center"/>
    </xf>
    <xf numFmtId="0" fontId="10" fillId="0" borderId="0" xfId="0" applyFont="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xf numFmtId="0" fontId="12" fillId="0" borderId="0" xfId="0" applyFont="1"/>
    <xf numFmtId="10" fontId="12" fillId="0" borderId="0" xfId="0" applyNumberFormat="1" applyFont="1"/>
    <xf numFmtId="0" fontId="12" fillId="0" borderId="0" xfId="0" applyFont="1" applyAlignment="1">
      <alignment horizontal="center"/>
    </xf>
    <xf numFmtId="10" fontId="12" fillId="0" borderId="0" xfId="0" applyNumberFormat="1" applyFont="1" applyAlignment="1">
      <alignment horizontal="center"/>
    </xf>
    <xf numFmtId="10" fontId="12" fillId="0" borderId="0" xfId="0" applyNumberFormat="1" applyFont="1" applyAlignment="1">
      <alignment horizontal="right"/>
    </xf>
    <xf numFmtId="14" fontId="10" fillId="0" borderId="0" xfId="0" applyNumberFormat="1" applyFont="1"/>
    <xf numFmtId="168" fontId="19" fillId="0" borderId="27" xfId="2" applyNumberFormat="1" applyFont="1" applyBorder="1" applyAlignment="1">
      <alignment horizontal="center"/>
    </xf>
    <xf numFmtId="0" fontId="19" fillId="0" borderId="27" xfId="2" applyFont="1" applyBorder="1"/>
    <xf numFmtId="0" fontId="0" fillId="0" borderId="27" xfId="0" applyBorder="1"/>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Font="1" applyBorder="1" applyAlignment="1">
      <alignment horizontal="center"/>
    </xf>
    <xf numFmtId="166" fontId="10" fillId="0" borderId="0" xfId="0" applyNumberFormat="1" applyFont="1" applyAlignment="1">
      <alignment horizontal="left"/>
    </xf>
    <xf numFmtId="14" fontId="10" fillId="0" borderId="0" xfId="0" applyNumberFormat="1" applyFont="1" applyAlignment="1">
      <alignment horizontal="left"/>
    </xf>
    <xf numFmtId="168" fontId="18" fillId="0" borderId="0" xfId="0" applyNumberFormat="1" applyFont="1" applyAlignment="1">
      <alignment vertical="center"/>
    </xf>
    <xf numFmtId="0" fontId="12" fillId="0" borderId="0" xfId="0" applyFont="1" applyAlignment="1">
      <alignment vertical="center"/>
    </xf>
    <xf numFmtId="14" fontId="10" fillId="0" borderId="0" xfId="0" applyNumberFormat="1" applyFont="1" applyAlignment="1">
      <alignment horizontal="left" vertical="center"/>
    </xf>
    <xf numFmtId="14" fontId="10" fillId="0" borderId="0" xfId="0" applyNumberFormat="1" applyFont="1" applyAlignment="1">
      <alignment vertical="center"/>
    </xf>
    <xf numFmtId="0" fontId="18" fillId="0" borderId="27" xfId="0"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Border="1" applyAlignment="1">
      <alignment vertical="center"/>
    </xf>
    <xf numFmtId="168" fontId="12" fillId="0" borderId="27" xfId="2" applyNumberFormat="1" applyFont="1" applyBorder="1" applyAlignment="1">
      <alignment horizontal="center" vertical="center"/>
    </xf>
    <xf numFmtId="10" fontId="12" fillId="0" borderId="0" xfId="0" applyNumberFormat="1" applyFont="1" applyAlignment="1">
      <alignment vertical="center"/>
    </xf>
    <xf numFmtId="168" fontId="20" fillId="0" borderId="0" xfId="0" applyNumberFormat="1" applyFont="1"/>
    <xf numFmtId="168" fontId="20" fillId="0" borderId="0" xfId="0" applyNumberFormat="1" applyFont="1" applyAlignment="1">
      <alignment vertical="center"/>
    </xf>
    <xf numFmtId="0" fontId="18" fillId="0" borderId="27" xfId="0"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lignment horizontal="right"/>
    </xf>
    <xf numFmtId="0" fontId="8" fillId="2" borderId="0" xfId="0" applyFont="1" applyFill="1" applyAlignment="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0" fillId="2" borderId="0" xfId="0" applyFill="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8" fillId="0" borderId="0" xfId="0" applyFont="1" applyAlignment="1">
      <alignment horizontal="left" vertical="center"/>
    </xf>
    <xf numFmtId="0" fontId="8" fillId="0" borderId="0" xfId="0" applyFont="1" applyAlignment="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Alignment="1">
      <alignment vertical="center"/>
    </xf>
    <xf numFmtId="37" fontId="0" fillId="0" borderId="6" xfId="0" applyNumberFormat="1" applyBorder="1" applyAlignment="1">
      <alignment vertical="center"/>
    </xf>
    <xf numFmtId="167" fontId="0" fillId="0" borderId="0" xfId="0" applyNumberFormat="1" applyAlignment="1">
      <alignment vertical="center"/>
    </xf>
    <xf numFmtId="0" fontId="0" fillId="2" borderId="6" xfId="0" applyFill="1" applyBorder="1" applyAlignment="1">
      <alignment vertical="center"/>
    </xf>
    <xf numFmtId="37" fontId="0" fillId="2" borderId="0" xfId="0" applyNumberFormat="1" applyFill="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165" fontId="6" fillId="0" borderId="4" xfId="3" applyNumberFormat="1" applyFont="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vertical="center"/>
    </xf>
    <xf numFmtId="0" fontId="0" fillId="0" borderId="8" xfId="0" applyBorder="1" applyAlignment="1">
      <alignment vertical="center"/>
    </xf>
    <xf numFmtId="37" fontId="0" fillId="0" borderId="8" xfId="0" applyNumberFormat="1" applyBorder="1" applyAlignment="1">
      <alignment horizontal="center" vertical="center"/>
    </xf>
    <xf numFmtId="0" fontId="0" fillId="0" borderId="9" xfId="0"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1" xfId="0" applyBorder="1" applyAlignment="1">
      <alignment horizontal="left" vertical="center" wrapText="1"/>
    </xf>
    <xf numFmtId="0" fontId="0" fillId="0" borderId="23" xfId="0"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lignment horizontal="lef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lignment horizontal="left"/>
    </xf>
    <xf numFmtId="14" fontId="0" fillId="0" borderId="0" xfId="0" applyNumberFormat="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14" fontId="0" fillId="2" borderId="0" xfId="0" applyNumberFormat="1" applyFill="1" applyAlignment="1" applyProtection="1">
      <alignment horizontal="left"/>
      <protection locked="0"/>
    </xf>
    <xf numFmtId="0" fontId="8" fillId="2" borderId="22" xfId="0" applyFont="1" applyFill="1" applyBorder="1" applyAlignment="1">
      <alignment horizontal="center" vertical="center"/>
    </xf>
    <xf numFmtId="168" fontId="12" fillId="0" borderId="0" xfId="0" applyNumberFormat="1" applyFont="1" applyAlignment="1">
      <alignment horizontal="center" vertical="center"/>
    </xf>
    <xf numFmtId="0" fontId="18" fillId="0" borderId="28" xfId="0" applyFont="1" applyBorder="1" applyAlignment="1">
      <alignment horizontal="center" vertical="center"/>
    </xf>
    <xf numFmtId="0" fontId="25" fillId="0" borderId="8" xfId="0" applyFont="1" applyBorder="1" applyAlignment="1">
      <alignment horizontal="left" vertical="center"/>
    </xf>
    <xf numFmtId="0" fontId="25" fillId="0" borderId="0" xfId="0" applyFont="1" applyAlignment="1">
      <alignment horizontal="left" vertical="center"/>
    </xf>
    <xf numFmtId="0" fontId="13" fillId="0" borderId="0" xfId="0" applyFont="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lignment vertical="center"/>
    </xf>
    <xf numFmtId="0" fontId="0" fillId="0" borderId="16" xfId="0" applyBorder="1" applyAlignment="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horizontal="left" vertical="center"/>
    </xf>
    <xf numFmtId="14" fontId="0" fillId="0" borderId="16" xfId="0" applyNumberFormat="1" applyBorder="1" applyAlignment="1">
      <alignment horizontal="left" vertical="center"/>
    </xf>
    <xf numFmtId="0" fontId="18" fillId="0" borderId="0" xfId="0" applyFont="1" applyAlignment="1">
      <alignment horizontal="center"/>
    </xf>
    <xf numFmtId="168" fontId="19" fillId="0" borderId="0" xfId="2" applyNumberFormat="1" applyFont="1" applyAlignment="1">
      <alignment horizontal="center"/>
    </xf>
    <xf numFmtId="0" fontId="19" fillId="0" borderId="0" xfId="2" applyFont="1"/>
    <xf numFmtId="168" fontId="12" fillId="0" borderId="0" xfId="2" applyNumberFormat="1" applyFont="1" applyAlignment="1">
      <alignment horizontal="center"/>
    </xf>
    <xf numFmtId="0" fontId="18" fillId="0" borderId="1" xfId="0" applyFont="1" applyBorder="1" applyAlignment="1">
      <alignment horizontal="center" vertical="center"/>
    </xf>
    <xf numFmtId="0" fontId="18" fillId="0" borderId="1" xfId="0"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6" xfId="0" applyFont="1" applyFill="1" applyBorder="1" applyAlignment="1">
      <alignment horizontal="center" vertical="center"/>
    </xf>
    <xf numFmtId="0" fontId="17" fillId="2" borderId="16" xfId="0" applyFont="1" applyFill="1" applyBorder="1" applyAlignment="1">
      <alignment vertical="center"/>
    </xf>
    <xf numFmtId="0" fontId="17" fillId="2" borderId="16" xfId="0" applyFont="1" applyFill="1" applyBorder="1" applyAlignment="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8" fillId="0" borderId="0" xfId="0" applyFont="1" applyAlignment="1">
      <alignment horizontal="centerContinuous" vertical="center"/>
    </xf>
    <xf numFmtId="0" fontId="10" fillId="0" borderId="0" xfId="0" applyFont="1" applyAlignment="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lignment horizontal="center" vertical="center"/>
    </xf>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8" fillId="2" borderId="0" xfId="0" applyFont="1" applyFill="1" applyAlignment="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Alignment="1">
      <alignment horizontal="left" vertical="center" wrapText="1"/>
    </xf>
    <xf numFmtId="0" fontId="0" fillId="0" borderId="37" xfId="0"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Border="1" applyAlignment="1">
      <alignment horizontal="center"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Border="1" applyAlignment="1">
      <alignment horizontal="center" vertical="center"/>
    </xf>
    <xf numFmtId="37" fontId="12" fillId="0" borderId="41" xfId="0" applyNumberFormat="1" applyFont="1" applyBorder="1" applyAlignment="1">
      <alignment horizontal="left" vertical="center" wrapText="1"/>
    </xf>
    <xf numFmtId="37" fontId="12" fillId="2" borderId="41" xfId="0" applyNumberFormat="1" applyFont="1" applyFill="1" applyBorder="1" applyAlignment="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49" fontId="0" fillId="0" borderId="45" xfId="0" applyNumberFormat="1" applyBorder="1" applyAlignment="1">
      <alignment horizontal="center" vertical="center"/>
    </xf>
    <xf numFmtId="37" fontId="12" fillId="0" borderId="10" xfId="0" applyNumberFormat="1" applyFont="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lignment vertical="center"/>
    </xf>
    <xf numFmtId="49" fontId="0" fillId="0" borderId="46" xfId="0" applyNumberFormat="1" applyBorder="1" applyAlignment="1">
      <alignment horizontal="center" vertical="center"/>
    </xf>
    <xf numFmtId="37" fontId="12" fillId="0" borderId="12" xfId="0" applyNumberFormat="1" applyFont="1" applyBorder="1" applyAlignment="1">
      <alignment horizontal="left" vertical="center" wrapText="1"/>
    </xf>
    <xf numFmtId="37" fontId="12" fillId="2" borderId="12" xfId="0" applyNumberFormat="1" applyFont="1" applyFill="1" applyBorder="1" applyAlignment="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lignment vertical="center"/>
    </xf>
    <xf numFmtId="10" fontId="12" fillId="2" borderId="12" xfId="3" applyNumberFormat="1" applyFont="1" applyFill="1" applyBorder="1" applyAlignment="1" applyProtection="1">
      <alignment vertical="center"/>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lignment horizontal="center" vertical="center" wrapText="1"/>
    </xf>
    <xf numFmtId="165" fontId="0" fillId="0" borderId="0" xfId="3" applyNumberFormat="1" applyFont="1" applyBorder="1" applyAlignment="1">
      <alignment horizontal="center"/>
    </xf>
    <xf numFmtId="0" fontId="0" fillId="0" borderId="5" xfId="0" applyBorder="1"/>
    <xf numFmtId="0" fontId="0" fillId="0" borderId="0" xfId="0"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horizontal="center" vertical="center"/>
    </xf>
    <xf numFmtId="0" fontId="18" fillId="0" borderId="8" xfId="0" applyFont="1" applyBorder="1" applyAlignment="1">
      <alignment horizontal="center" vertical="center" wrapText="1"/>
    </xf>
    <xf numFmtId="0" fontId="18" fillId="0" borderId="9" xfId="0" applyFont="1" applyBorder="1" applyAlignment="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ill="1" applyAlignment="1" applyProtection="1">
      <alignment horizontal="left"/>
      <protection locked="0"/>
    </xf>
    <xf numFmtId="0" fontId="30" fillId="0" borderId="0" xfId="0" applyFont="1" applyAlignment="1">
      <alignment vertical="center"/>
    </xf>
    <xf numFmtId="166" fontId="18" fillId="0" borderId="12" xfId="0" applyNumberFormat="1" applyFont="1" applyBorder="1" applyAlignment="1" applyProtection="1">
      <alignment horizontal="center" vertical="center"/>
      <protection locked="0"/>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lignment vertical="center"/>
    </xf>
    <xf numFmtId="0" fontId="0" fillId="0" borderId="19" xfId="0" applyBorder="1" applyAlignment="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lignment horizontal="center" vertical="center"/>
    </xf>
    <xf numFmtId="169" fontId="0" fillId="0" borderId="0" xfId="0" applyNumberFormat="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Alignment="1">
      <alignment vertical="center"/>
    </xf>
    <xf numFmtId="39" fontId="0" fillId="0" borderId="2" xfId="0" applyNumberForma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7" xfId="0" applyNumberFormat="1" applyBorder="1"/>
    <xf numFmtId="169" fontId="0" fillId="0" borderId="9" xfId="0" applyNumberFormat="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6" fillId="0" borderId="0" xfId="0" applyFont="1" applyAlignment="1">
      <alignment horizontal="center"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Alignment="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lignment vertical="center"/>
    </xf>
    <xf numFmtId="0" fontId="0" fillId="0" borderId="0" xfId="0" applyAlignment="1" applyProtection="1">
      <alignment horizontal="center"/>
      <protection locked="0"/>
    </xf>
    <xf numFmtId="0" fontId="30" fillId="0" borderId="0" xfId="0" applyFont="1" applyAlignment="1">
      <alignment horizontal="left" vertical="center" wrapText="1"/>
    </xf>
    <xf numFmtId="169" fontId="0" fillId="0" borderId="8" xfId="0" applyNumberFormat="1" applyBorder="1"/>
    <xf numFmtId="37" fontId="0" fillId="0" borderId="22" xfId="0" applyNumberForma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Alignment="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0" fontId="0" fillId="0" borderId="5" xfId="0" quotePrefix="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Alignment="1">
      <alignment horizontal="left" vertical="center"/>
    </xf>
    <xf numFmtId="166" fontId="10" fillId="0" borderId="0" xfId="0" applyNumberFormat="1" applyFont="1" applyAlignment="1">
      <alignment horizontal="left" vertical="center"/>
    </xf>
    <xf numFmtId="14" fontId="16" fillId="0" borderId="0" xfId="0" applyNumberFormat="1" applyFont="1" applyAlignment="1">
      <alignment horizontal="left" vertical="center"/>
    </xf>
    <xf numFmtId="10" fontId="10" fillId="0" borderId="0" xfId="0" applyNumberFormat="1" applyFont="1" applyAlignment="1">
      <alignment horizontal="left"/>
    </xf>
    <xf numFmtId="49" fontId="10" fillId="0" borderId="0" xfId="0" applyNumberFormat="1" applyFont="1" applyAlignment="1">
      <alignment horizontal="left"/>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Border="1" applyAlignment="1">
      <alignment horizontal="center" vertical="center"/>
    </xf>
    <xf numFmtId="0" fontId="0" fillId="0" borderId="45" xfId="0"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0" fontId="0" fillId="0" borderId="12" xfId="0" applyBorder="1" applyAlignment="1">
      <alignment vertical="center" wrapText="1"/>
    </xf>
    <xf numFmtId="37" fontId="0" fillId="2" borderId="12" xfId="0" applyNumberFormat="1" applyFill="1" applyBorder="1" applyAlignment="1">
      <alignment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Border="1" applyAlignment="1">
      <alignment horizontal="left" vertical="center"/>
    </xf>
    <xf numFmtId="0" fontId="15" fillId="0" borderId="0" xfId="0" applyFont="1"/>
    <xf numFmtId="7" fontId="0" fillId="0" borderId="6" xfId="0" applyNumberFormat="1" applyBorder="1" applyAlignment="1">
      <alignment vertical="center"/>
    </xf>
    <xf numFmtId="7" fontId="0" fillId="0" borderId="0" xfId="0" applyNumberFormat="1" applyAlignment="1">
      <alignment vertical="center"/>
    </xf>
    <xf numFmtId="0" fontId="0" fillId="0" borderId="3" xfId="0"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Border="1" applyAlignment="1">
      <alignment horizontal="center" vertical="center" wrapText="1"/>
    </xf>
    <xf numFmtId="49" fontId="12" fillId="0" borderId="65" xfId="0" applyNumberFormat="1" applyFont="1" applyBorder="1" applyAlignment="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Border="1" applyAlignment="1">
      <alignment horizontal="center" vertical="center"/>
    </xf>
    <xf numFmtId="10" fontId="19" fillId="0" borderId="0" xfId="3" applyNumberFormat="1" applyFont="1" applyBorder="1" applyAlignment="1" applyProtection="1">
      <alignment vertical="center"/>
    </xf>
    <xf numFmtId="0" fontId="49"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lignment vertical="center"/>
    </xf>
    <xf numFmtId="49" fontId="16" fillId="0" borderId="71" xfId="0" applyNumberFormat="1" applyFont="1" applyBorder="1" applyAlignment="1" applyProtection="1">
      <alignment horizontal="center" vertical="center"/>
      <protection locked="0"/>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37" fontId="10" fillId="0" borderId="0" xfId="4" applyNumberFormat="1" applyFont="1" applyFill="1" applyBorder="1" applyAlignment="1">
      <alignment horizontal="center"/>
    </xf>
    <xf numFmtId="0" fontId="0" fillId="0" borderId="85" xfId="0" applyBorder="1" applyAlignment="1">
      <alignment horizontal="left" vertical="center" wrapText="1"/>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lignment vertical="center"/>
    </xf>
    <xf numFmtId="37" fontId="10" fillId="2" borderId="59" xfId="0" applyNumberFormat="1" applyFont="1" applyFill="1" applyBorder="1" applyAlignment="1">
      <alignment vertical="center"/>
    </xf>
    <xf numFmtId="37" fontId="10" fillId="2" borderId="63" xfId="0" applyNumberFormat="1" applyFont="1" applyFill="1" applyBorder="1" applyAlignment="1">
      <alignment vertical="center"/>
    </xf>
    <xf numFmtId="37" fontId="10" fillId="2" borderId="57" xfId="0" applyNumberFormat="1" applyFont="1" applyFill="1" applyBorder="1" applyAlignment="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Alignment="1">
      <alignment vertical="center" wrapText="1"/>
    </xf>
    <xf numFmtId="10" fontId="0" fillId="2" borderId="0" xfId="3" applyNumberFormat="1" applyFont="1" applyFill="1" applyAlignment="1" applyProtection="1">
      <alignment horizontal="left"/>
      <protection locked="0"/>
    </xf>
    <xf numFmtId="0" fontId="0" fillId="0" borderId="74" xfId="0" applyBorder="1" applyAlignment="1">
      <alignment horizontal="left" vertical="center" wrapText="1"/>
    </xf>
    <xf numFmtId="0" fontId="8" fillId="0" borderId="87" xfId="0" applyFont="1" applyBorder="1" applyAlignment="1">
      <alignment horizontal="center" vertical="center" wrapText="1"/>
    </xf>
    <xf numFmtId="166" fontId="12" fillId="0" borderId="45" xfId="0" applyNumberFormat="1" applyFont="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Border="1" applyAlignment="1">
      <alignment horizontal="left" vertical="center" wrapText="1"/>
    </xf>
    <xf numFmtId="37" fontId="12" fillId="0" borderId="39" xfId="0" applyNumberFormat="1" applyFont="1" applyBorder="1" applyAlignment="1">
      <alignment horizontal="left" vertical="center" wrapText="1"/>
    </xf>
    <xf numFmtId="37" fontId="12" fillId="0" borderId="69" xfId="0" applyNumberFormat="1" applyFont="1" applyBorder="1" applyAlignment="1">
      <alignment horizontal="left" vertical="center" wrapText="1"/>
    </xf>
    <xf numFmtId="37" fontId="12" fillId="0" borderId="40" xfId="0" applyNumberFormat="1" applyFont="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Alignment="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0" fontId="11" fillId="2" borderId="0" xfId="0" applyFont="1" applyFill="1" applyAlignment="1">
      <alignment horizontal="right" vertical="center"/>
    </xf>
    <xf numFmtId="0" fontId="82" fillId="2" borderId="0" xfId="0" applyFont="1" applyFill="1" applyAlignment="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Alignment="1">
      <alignment horizontal="right" vertical="center"/>
    </xf>
    <xf numFmtId="1" fontId="83" fillId="2" borderId="0" xfId="0" applyNumberFormat="1" applyFont="1" applyFill="1" applyAlignment="1">
      <alignment horizontal="right" vertical="center"/>
    </xf>
    <xf numFmtId="0" fontId="12" fillId="2" borderId="0" xfId="0" applyFont="1" applyFill="1" applyAlignment="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lignment horizontal="center" vertical="center" wrapText="1"/>
    </xf>
    <xf numFmtId="37" fontId="12" fillId="2" borderId="1" xfId="0" applyNumberFormat="1" applyFont="1" applyFill="1" applyBorder="1" applyAlignment="1">
      <alignment vertical="center"/>
    </xf>
    <xf numFmtId="37" fontId="12" fillId="2" borderId="96" xfId="0" applyNumberFormat="1" applyFont="1" applyFill="1" applyBorder="1" applyAlignment="1">
      <alignment vertical="center"/>
    </xf>
    <xf numFmtId="0" fontId="15" fillId="0" borderId="19" xfId="0" applyFont="1" applyBorder="1" applyAlignment="1">
      <alignment vertical="center"/>
    </xf>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Alignment="1" applyProtection="1">
      <alignment horizontal="center" vertical="center" wrapText="1"/>
      <protection locked="0"/>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Border="1" applyAlignment="1" applyProtection="1">
      <alignment horizontal="center" vertical="center"/>
      <protection locked="0"/>
    </xf>
    <xf numFmtId="176" fontId="10" fillId="0" borderId="89" xfId="0" applyNumberFormat="1" applyFont="1" applyBorder="1" applyAlignment="1">
      <alignment horizontal="center"/>
    </xf>
    <xf numFmtId="176" fontId="10" fillId="0" borderId="89" xfId="82" applyNumberFormat="1" applyFont="1" applyBorder="1" applyAlignment="1">
      <alignment horizontal="center"/>
    </xf>
    <xf numFmtId="176" fontId="10" fillId="0" borderId="90" xfId="0" applyNumberFormat="1" applyFont="1" applyBorder="1" applyAlignment="1">
      <alignment horizontal="center"/>
    </xf>
    <xf numFmtId="176" fontId="10" fillId="0" borderId="90" xfId="82" applyNumberFormat="1" applyFont="1" applyBorder="1" applyAlignment="1">
      <alignment horizontal="center"/>
    </xf>
    <xf numFmtId="176" fontId="10" fillId="0" borderId="91" xfId="0" applyNumberFormat="1" applyFont="1" applyBorder="1" applyAlignment="1">
      <alignment horizontal="center"/>
    </xf>
    <xf numFmtId="176" fontId="10" fillId="0" borderId="91" xfId="82" applyNumberFormat="1" applyFont="1" applyBorder="1" applyAlignment="1">
      <alignment horizontal="center"/>
    </xf>
    <xf numFmtId="176" fontId="10" fillId="0" borderId="16" xfId="0" applyNumberFormat="1" applyFont="1" applyBorder="1" applyAlignment="1">
      <alignment horizontal="center"/>
    </xf>
    <xf numFmtId="176" fontId="10" fillId="0" borderId="16" xfId="82" applyNumberFormat="1" applyFont="1" applyBorder="1" applyAlignment="1">
      <alignment horizontal="center"/>
    </xf>
    <xf numFmtId="2" fontId="10" fillId="0" borderId="11" xfId="52" applyNumberFormat="1" applyFont="1" applyFill="1" applyBorder="1" applyAlignment="1">
      <alignment horizontal="center"/>
    </xf>
    <xf numFmtId="0" fontId="18" fillId="0" borderId="0" xfId="0" applyFont="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49" fontId="16" fillId="0" borderId="30" xfId="0" applyNumberFormat="1" applyFont="1" applyBorder="1" applyAlignment="1" applyProtection="1">
      <alignment horizontal="left"/>
      <protection locked="0"/>
    </xf>
    <xf numFmtId="49" fontId="16" fillId="0" borderId="31" xfId="0" applyNumberFormat="1" applyFont="1" applyBorder="1" applyAlignment="1" applyProtection="1">
      <alignment horizontal="left"/>
      <protection locked="0"/>
    </xf>
    <xf numFmtId="49" fontId="16" fillId="0" borderId="32" xfId="0" applyNumberFormat="1" applyFont="1" applyBorder="1" applyAlignment="1" applyProtection="1">
      <alignment horizontal="left"/>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7">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2 2" xfId="112" xr:uid="{10E6D6C6-35BA-414F-9ABD-70D3E0636D8E}"/>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omma 6" xfId="114" xr:uid="{2DD10B6D-A97B-4DF9-9B04-75BBB216573A}"/>
    <cellStyle name="Currency 2" xfId="52" xr:uid="{00000000-0005-0000-0000-000034000000}"/>
    <cellStyle name="Currency 2 2" xfId="86" xr:uid="{00000000-0005-0000-0000-000035000000}"/>
    <cellStyle name="Currency 3" xfId="53" xr:uid="{00000000-0005-0000-0000-000036000000}"/>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17" xfId="116" xr:uid="{33B1832A-A83C-45A1-807B-AEEF41B6D503}"/>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3 2 3" xfId="113" xr:uid="{72E2C539-9F2A-44A6-B253-86A78B6D8D5E}"/>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6 2" xfId="111" xr:uid="{3361C618-41DE-4329-97B6-ED07528ACCC9}"/>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Percent 5 3" xfId="115" xr:uid="{764E499C-C1D7-4D9C-8313-F9BDB4E328C9}"/>
    <cellStyle name="Title 2" xfId="79" xr:uid="{00000000-0005-0000-0000-00006C000000}"/>
    <cellStyle name="Total 2" xfId="80" xr:uid="{00000000-0005-0000-0000-00006D000000}"/>
    <cellStyle name="Warning Text 2" xfId="81" xr:uid="{00000000-0005-0000-0000-00006E00000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5" dropStyle="combo" dx="16" fmlaLink="References!$F$5" fmlaRange="List_GeneralLine" sel="5"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CheckBox" fmlaLink="Settings!$E$24" lockText="1"/>
</file>

<file path=xl/ctrlProps/ctrlProp9.xml><?xml version="1.0" encoding="utf-8"?>
<formControlPr xmlns="http://schemas.microsoft.com/office/spreadsheetml/2009/9/main" objectType="Drop" dropLines="29" dropStyle="combo" dx="16" fmlaLink="'1.General'!$A$34" fmlaRange="List_DetailLine" sel="2" val="0"/>
</file>

<file path=xl/ctrlProps/ctrlProp10.xml><?xml version="1.0" encoding="utf-8"?>
<formControlPr xmlns="http://schemas.microsoft.com/office/spreadsheetml/2009/9/main" objectType="Drop" dropLines="29" dropStyle="combo" dx="16" fmlaLink="'1.General'!$A$35" fmlaRange="List_DetailLine" sel="2" val="0"/>
</file>

<file path=xl/ctrlProps/ctrlProp11.xml><?xml version="1.0" encoding="utf-8"?>
<formControlPr xmlns="http://schemas.microsoft.com/office/spreadsheetml/2009/9/main" objectType="Drop" dropLines="29" dropStyle="combo" dx="16" fmlaLink="'1.General'!$A$36" fmlaRange="List_DetailLine" sel="2" val="0"/>
</file>

<file path=xl/ctrlProps/ctrlProp12.xml><?xml version="1.0" encoding="utf-8"?>
<formControlPr xmlns="http://schemas.microsoft.com/office/spreadsheetml/2009/9/main" objectType="Drop" dropLines="29" dropStyle="combo" dx="16" fmlaLink="'1.General'!$A$37" fmlaRange="List_DetailLine" sel="3" val="0"/>
</file>

<file path=xl/ctrlProps/ctrlProp13.xml><?xml version="1.0" encoding="utf-8"?>
<formControlPr xmlns="http://schemas.microsoft.com/office/spreadsheetml/2009/9/main" objectType="Drop" dropLines="29" dropStyle="combo" dx="16" fmlaLink="'1.General'!$A$38" fmlaRange="List_DetailLine" sel="3" val="0"/>
</file>

<file path=xl/ctrlProps/ctrlProp14.xml><?xml version="1.0" encoding="utf-8"?>
<formControlPr xmlns="http://schemas.microsoft.com/office/spreadsheetml/2009/9/main" objectType="Drop" dropLines="29" dropStyle="combo" dx="16" fmlaLink="'1.General'!$A$39" fmlaRange="List_DetailLine" sel="3" val="0"/>
</file>

<file path=xl/ctrlProps/ctrlProp15.xml><?xml version="1.0" encoding="utf-8"?>
<formControlPr xmlns="http://schemas.microsoft.com/office/spreadsheetml/2009/9/main" objectType="Drop" dropLines="29" dropStyle="combo" dx="16" fmlaLink="'1.General'!$A$40" fmlaRange="List_DetailLine" sel="2" val="0"/>
</file>

<file path=xl/ctrlProps/ctrlProp16.xml><?xml version="1.0" encoding="utf-8"?>
<formControlPr xmlns="http://schemas.microsoft.com/office/spreadsheetml/2009/9/main" objectType="Drop" dropLines="29" dropStyle="combo" dx="16" fmlaLink="'1.General'!$A$41" fmlaRange="List_DetailLine" sel="1" val="0"/>
</file>

<file path=xl/ctrlProps/ctrlProp17.xml><?xml version="1.0" encoding="utf-8"?>
<formControlPr xmlns="http://schemas.microsoft.com/office/spreadsheetml/2009/9/main" objectType="Drop" dropLines="29" dropStyle="combo" dx="16" fmlaLink="'1.General'!$A$42" fmlaRange="List_DetailLine" sel="1" val="0"/>
</file>

<file path=xl/ctrlProps/ctrlProp18.xml><?xml version="1.0" encoding="utf-8"?>
<formControlPr xmlns="http://schemas.microsoft.com/office/spreadsheetml/2009/9/main" objectType="Drop" dropLines="29" dropStyle="combo" dx="16" fmlaLink="'1.General'!$A$43" fmlaRange="List_DetailLine" sel="1" val="0"/>
</file>

<file path=xl/ctrlProps/ctrlProp19.xml><?xml version="1.0" encoding="utf-8"?>
<formControlPr xmlns="http://schemas.microsoft.com/office/spreadsheetml/2009/9/main" objectType="Drop" dropLines="2" dropStyle="combo" dx="16" fmlaLink="$I$47" fmlaRange="List_YNIndicator" sel="1" val="0"/>
</file>

<file path=xl/ctrlProps/ctrlProp20.xml><?xml version="1.0" encoding="utf-8"?>
<formControlPr xmlns="http://schemas.microsoft.com/office/spreadsheetml/2009/9/main" objectType="Drop" dropLines="2" dropStyle="combo" dx="16" fmlaLink="$I$48" fmlaRange="List_YNIndicator" sel="2"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Drop" dropLines="7" dropStyle="combo" dx="15" fmlaLink="References!$S$5" fmlaRange="References!$S$6:$S$14" noThreeD="1" sel="9" val="2"/>
</file>

<file path=xl/ctrlProps/ctrlProp23.xml><?xml version="1.0" encoding="utf-8"?>
<formControlPr xmlns="http://schemas.microsoft.com/office/spreadsheetml/2009/9/main" objectType="CheckBox" fmlaLink="Settings!$B$26" lockText="1"/>
</file>

<file path=xl/ctrlProps/ctrlProp24.xml><?xml version="1.0" encoding="utf-8"?>
<formControlPr xmlns="http://schemas.microsoft.com/office/spreadsheetml/2009/9/main" objectType="CheckBox"/>
</file>

<file path=xl/ctrlProps/ctrlProp25.xml><?xml version="1.0" encoding="utf-8"?>
<formControlPr xmlns="http://schemas.microsoft.com/office/spreadsheetml/2009/9/main" objectType="CheckBox"/>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28575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19050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1</xdr:col>
          <xdr:colOff>9525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17</xdr:row>
          <xdr:rowOff>9525</xdr:rowOff>
        </xdr:from>
        <xdr:to>
          <xdr:col>2</xdr:col>
          <xdr:colOff>1333500</xdr:colOff>
          <xdr:row>18</xdr:row>
          <xdr:rowOff>19050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9525</xdr:rowOff>
        </xdr:from>
        <xdr:to>
          <xdr:col>5</xdr:col>
          <xdr:colOff>152400</xdr:colOff>
          <xdr:row>20</xdr:row>
          <xdr:rowOff>19050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23</xdr:row>
          <xdr:rowOff>104775</xdr:rowOff>
        </xdr:from>
        <xdr:to>
          <xdr:col>0</xdr:col>
          <xdr:colOff>1543050</xdr:colOff>
          <xdr:row>27</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23</xdr:row>
          <xdr:rowOff>95250</xdr:rowOff>
        </xdr:from>
        <xdr:to>
          <xdr:col>3</xdr:col>
          <xdr:colOff>466725</xdr:colOff>
          <xdr:row>27</xdr:row>
          <xdr:rowOff>104775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xdr:row>
          <xdr:rowOff>9525</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34</xdr:row>
          <xdr:rowOff>9525</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35</xdr:row>
          <xdr:rowOff>9525</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36</xdr:row>
          <xdr:rowOff>0</xdr:rowOff>
        </xdr:from>
        <xdr:to>
          <xdr:col>0</xdr:col>
          <xdr:colOff>2971800</xdr:colOff>
          <xdr:row>36</xdr:row>
          <xdr:rowOff>238125</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37</xdr:row>
          <xdr:rowOff>0</xdr:rowOff>
        </xdr:from>
        <xdr:to>
          <xdr:col>0</xdr:col>
          <xdr:colOff>2971800</xdr:colOff>
          <xdr:row>37</xdr:row>
          <xdr:rowOff>238125</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38</xdr:row>
          <xdr:rowOff>0</xdr:rowOff>
        </xdr:from>
        <xdr:to>
          <xdr:col>0</xdr:col>
          <xdr:colOff>2971800</xdr:colOff>
          <xdr:row>38</xdr:row>
          <xdr:rowOff>238125</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39</xdr:row>
          <xdr:rowOff>0</xdr:rowOff>
        </xdr:from>
        <xdr:to>
          <xdr:col>0</xdr:col>
          <xdr:colOff>2971800</xdr:colOff>
          <xdr:row>39</xdr:row>
          <xdr:rowOff>238125</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40</xdr:row>
          <xdr:rowOff>0</xdr:rowOff>
        </xdr:from>
        <xdr:to>
          <xdr:col>0</xdr:col>
          <xdr:colOff>2971800</xdr:colOff>
          <xdr:row>40</xdr:row>
          <xdr:rowOff>238125</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0</xdr:rowOff>
        </xdr:from>
        <xdr:to>
          <xdr:col>0</xdr:col>
          <xdr:colOff>2971800</xdr:colOff>
          <xdr:row>41</xdr:row>
          <xdr:rowOff>238125</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238125</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45</xdr:row>
          <xdr:rowOff>171450</xdr:rowOff>
        </xdr:from>
        <xdr:to>
          <xdr:col>2</xdr:col>
          <xdr:colOff>1152525</xdr:colOff>
          <xdr:row>46</xdr:row>
          <xdr:rowOff>219075</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47</xdr:row>
          <xdr:rowOff>28575</xdr:rowOff>
        </xdr:from>
        <xdr:to>
          <xdr:col>2</xdr:col>
          <xdr:colOff>1152525</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504825</xdr:colOff>
          <xdr:row>47</xdr:row>
          <xdr:rowOff>19050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180975</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49</xdr:row>
          <xdr:rowOff>171450</xdr:rowOff>
        </xdr:from>
        <xdr:to>
          <xdr:col>2</xdr:col>
          <xdr:colOff>1581150</xdr:colOff>
          <xdr:row>51</xdr:row>
          <xdr:rowOff>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26</xdr:row>
          <xdr:rowOff>0</xdr:rowOff>
        </xdr:from>
        <xdr:to>
          <xdr:col>2</xdr:col>
          <xdr:colOff>219075</xdr:colOff>
          <xdr:row>26</xdr:row>
          <xdr:rowOff>219075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3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13</xdr:row>
          <xdr:rowOff>38100</xdr:rowOff>
        </xdr:from>
        <xdr:to>
          <xdr:col>0</xdr:col>
          <xdr:colOff>295275</xdr:colOff>
          <xdr:row>13</xdr:row>
          <xdr:rowOff>171450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7</xdr:row>
          <xdr:rowOff>9525</xdr:rowOff>
        </xdr:from>
        <xdr:to>
          <xdr:col>0</xdr:col>
          <xdr:colOff>352425</xdr:colOff>
          <xdr:row>7</xdr:row>
          <xdr:rowOff>171450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test"/>
      <sheetName val="Nov2023"/>
      <sheetName val="Oct2023"/>
      <sheetName val="Sep2023"/>
      <sheetName val="Aug2023"/>
      <sheetName val="Jul2023"/>
      <sheetName val="Jun2023"/>
      <sheetName val="May2023"/>
      <sheetName val="Apr2023"/>
      <sheetName val="Mar2023"/>
      <sheetName val="Feb2023"/>
      <sheetName val="Jan2023"/>
      <sheetName val="Dec2022"/>
      <sheetName val="Nov2022"/>
      <sheetName val="Oct2022"/>
      <sheetName val="Sep2022"/>
      <sheetName val="Aug2022"/>
      <sheetName val="Jul2022"/>
      <sheetName val="Jun2022"/>
      <sheetName val="May2022"/>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LinksHistory"/>
      <sheetName val="federal reserve"/>
      <sheetName val="corporate_municipal"/>
      <sheetName val="gms_tdameritrade"/>
      <sheetName val="gms_vs_tdameritrad"/>
      <sheetName val="ibbotson_morningstar_duffphelps"/>
      <sheetName val="fed_reserve"/>
      <sheetName val="Analyst Use Only"/>
      <sheetName val="source"/>
      <sheetName val="federal reserve_1"/>
      <sheetName val="federal reserve (2)"/>
      <sheetName val="new_tax"/>
      <sheetName val="ibbotson_morning star"/>
      <sheetName val="valu_bond"/>
      <sheetName val="valu_bond (2)"/>
      <sheetName val="valu_bond_test"/>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s>
    <sheetDataSet>
      <sheetData sheetId="0">
        <row r="1">
          <cell r="A1" t="str">
            <v>November 2023</v>
          </cell>
        </row>
      </sheetData>
      <sheetData sheetId="1"/>
      <sheetData sheetId="2"/>
      <sheetData sheetId="3"/>
      <sheetData sheetId="4"/>
      <sheetData sheetId="5"/>
      <sheetData sheetId="6"/>
      <sheetData sheetId="7"/>
      <sheetData sheetId="8"/>
      <sheetData sheetId="9"/>
      <sheetData sheetId="10"/>
      <sheetData sheetId="11">
        <row r="6">
          <cell r="E6">
            <v>3.9611111111111104E-2</v>
          </cell>
        </row>
        <row r="10">
          <cell r="E10">
            <v>4.4566666666666664E-2</v>
          </cell>
        </row>
        <row r="11">
          <cell r="E11">
            <v>3.6799999999999999E-2</v>
          </cell>
        </row>
        <row r="12">
          <cell r="E12">
            <v>3.9666666666666663E-2</v>
          </cell>
        </row>
        <row r="14">
          <cell r="E14">
            <v>4.526666666666667E-2</v>
          </cell>
        </row>
        <row r="15">
          <cell r="E15">
            <v>4.6193015873015865E-2</v>
          </cell>
        </row>
        <row r="16">
          <cell r="E16">
            <v>4.9627579365079368E-2</v>
          </cell>
        </row>
        <row r="19">
          <cell r="E19">
            <v>3.2508928571428571E-2</v>
          </cell>
        </row>
        <row r="20">
          <cell r="E20">
            <v>4.0988928571428572E-2</v>
          </cell>
        </row>
        <row r="23">
          <cell r="E23">
            <v>2.1459999999999996E-2</v>
          </cell>
        </row>
        <row r="24">
          <cell r="E24">
            <v>9.815111111111112E-2</v>
          </cell>
        </row>
        <row r="25">
          <cell r="E25">
            <v>5.5464074074074103E-2</v>
          </cell>
        </row>
        <row r="26">
          <cell r="E26">
            <v>4.9627579365079368E-2</v>
          </cell>
        </row>
        <row r="27">
          <cell r="E27">
            <v>5.9611111111111101E-2</v>
          </cell>
        </row>
        <row r="28">
          <cell r="E28">
            <v>4.4566666666666664E-2</v>
          </cell>
        </row>
        <row r="30">
          <cell r="E30">
            <v>2.1459999999999996E-2</v>
          </cell>
        </row>
        <row r="31">
          <cell r="E31">
            <v>9.815111111111112E-2</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7"/>
  <sheetViews>
    <sheetView showGridLines="0" view="pageBreakPreview" zoomScaleNormal="100" zoomScaleSheetLayoutView="100" workbookViewId="0">
      <selection activeCell="B11" sqref="B11"/>
    </sheetView>
  </sheetViews>
  <sheetFormatPr defaultRowHeight="15" x14ac:dyDescent="0.25"/>
  <cols>
    <col min="1" max="1" width="23.7109375" customWidth="1"/>
    <col min="2" max="2" width="71.42578125" customWidth="1"/>
    <col min="3" max="3" width="3.7109375" customWidth="1"/>
    <col min="4" max="4" width="20.7109375" customWidth="1"/>
    <col min="5" max="5" width="50.7109375" customWidth="1"/>
  </cols>
  <sheetData>
    <row r="1" spans="1:5" x14ac:dyDescent="0.25">
      <c r="A1" s="185" t="s">
        <v>129</v>
      </c>
      <c r="B1" s="72"/>
      <c r="C1" s="72"/>
      <c r="D1" s="72"/>
      <c r="E1" s="72"/>
    </row>
    <row r="2" spans="1:5" x14ac:dyDescent="0.25">
      <c r="A2" s="72"/>
      <c r="B2" s="72"/>
      <c r="C2" s="72"/>
      <c r="D2" s="72"/>
      <c r="E2" s="72"/>
    </row>
    <row r="3" spans="1:5" x14ac:dyDescent="0.25">
      <c r="A3" s="72" t="s">
        <v>283</v>
      </c>
      <c r="B3" s="72"/>
      <c r="C3" s="72"/>
      <c r="D3" s="72"/>
      <c r="E3" s="72"/>
    </row>
    <row r="4" spans="1:5" x14ac:dyDescent="0.25">
      <c r="A4" s="186"/>
      <c r="B4" s="72"/>
      <c r="C4" s="72"/>
      <c r="D4" s="72"/>
      <c r="E4" s="72"/>
    </row>
    <row r="5" spans="1:5" x14ac:dyDescent="0.25">
      <c r="A5" s="186" t="s">
        <v>340</v>
      </c>
      <c r="B5" s="72" t="s">
        <v>762</v>
      </c>
      <c r="C5" s="72"/>
      <c r="D5" s="72"/>
      <c r="E5" s="72"/>
    </row>
    <row r="6" spans="1:5" x14ac:dyDescent="0.25">
      <c r="A6" s="186"/>
      <c r="B6" s="72"/>
      <c r="C6" s="72"/>
      <c r="D6" s="72"/>
      <c r="E6" s="72"/>
    </row>
    <row r="7" spans="1:5" x14ac:dyDescent="0.25">
      <c r="A7" s="72" t="s">
        <v>284</v>
      </c>
      <c r="B7" s="72"/>
      <c r="C7" s="72"/>
      <c r="D7" s="72"/>
      <c r="E7" s="72"/>
    </row>
    <row r="8" spans="1:5" x14ac:dyDescent="0.25">
      <c r="A8" s="186"/>
      <c r="B8" s="72"/>
      <c r="C8" s="72"/>
      <c r="D8" s="72"/>
      <c r="E8" s="72"/>
    </row>
    <row r="9" spans="1:5" x14ac:dyDescent="0.25">
      <c r="A9" s="186"/>
      <c r="B9" s="72"/>
      <c r="C9" s="72"/>
      <c r="D9" s="72"/>
      <c r="E9" s="72"/>
    </row>
    <row r="10" spans="1:5" x14ac:dyDescent="0.25">
      <c r="A10" s="72" t="s">
        <v>35</v>
      </c>
      <c r="B10" s="187" t="s">
        <v>750</v>
      </c>
      <c r="C10" s="72"/>
      <c r="D10" s="72"/>
      <c r="E10" s="72"/>
    </row>
    <row r="11" spans="1:5" x14ac:dyDescent="0.25">
      <c r="A11" s="72" t="s">
        <v>279</v>
      </c>
      <c r="B11" s="188"/>
      <c r="C11" s="72"/>
      <c r="D11" s="72"/>
      <c r="E11" s="72"/>
    </row>
    <row r="12" spans="1:5" x14ac:dyDescent="0.25">
      <c r="A12" s="72"/>
      <c r="B12" s="188"/>
      <c r="C12" s="72"/>
      <c r="D12" s="72"/>
      <c r="E12" s="72"/>
    </row>
    <row r="13" spans="1:5" x14ac:dyDescent="0.25">
      <c r="A13" s="72" t="s">
        <v>161</v>
      </c>
      <c r="B13" s="188"/>
      <c r="C13" s="72"/>
      <c r="D13" s="72"/>
      <c r="E13" s="72"/>
    </row>
    <row r="14" spans="1:5" x14ac:dyDescent="0.25">
      <c r="A14" s="72"/>
      <c r="B14" s="188"/>
      <c r="C14" s="72"/>
      <c r="D14" s="72"/>
      <c r="E14" s="72"/>
    </row>
    <row r="15" spans="1:5" x14ac:dyDescent="0.25">
      <c r="A15" s="72" t="s">
        <v>286</v>
      </c>
      <c r="B15" s="188"/>
      <c r="C15" s="72"/>
      <c r="D15" s="72"/>
      <c r="E15" s="72"/>
    </row>
    <row r="16" spans="1:5" x14ac:dyDescent="0.25">
      <c r="A16" s="72" t="s">
        <v>287</v>
      </c>
      <c r="B16" s="188"/>
      <c r="C16" s="72"/>
      <c r="D16" s="72"/>
      <c r="E16" s="72"/>
    </row>
    <row r="17" spans="1:5" x14ac:dyDescent="0.25">
      <c r="A17" s="72"/>
      <c r="B17" s="188"/>
      <c r="C17" s="72"/>
      <c r="D17" s="72"/>
      <c r="E17" s="72"/>
    </row>
    <row r="18" spans="1:5" x14ac:dyDescent="0.25">
      <c r="A18" s="72"/>
      <c r="B18" s="188"/>
      <c r="C18" s="72"/>
      <c r="D18" s="72"/>
      <c r="E18" s="72"/>
    </row>
    <row r="19" spans="1:5" x14ac:dyDescent="0.25">
      <c r="A19" s="324" t="s">
        <v>288</v>
      </c>
      <c r="B19" s="325"/>
      <c r="C19" s="326"/>
      <c r="D19" s="326"/>
      <c r="E19" s="326"/>
    </row>
    <row r="20" spans="1:5" x14ac:dyDescent="0.25">
      <c r="A20" s="72" t="s">
        <v>30</v>
      </c>
      <c r="B20" s="173" t="str">
        <f>B10&amp;" Edition"</f>
        <v>1/3/2023 Edition</v>
      </c>
      <c r="C20" s="72"/>
      <c r="D20" s="72" t="s">
        <v>141</v>
      </c>
      <c r="E20" s="174" t="str">
        <f>IF(ISBLANK('1.General'!$C$10),"",'1.General'!$C$10)</f>
        <v/>
      </c>
    </row>
    <row r="21" spans="1:5" x14ac:dyDescent="0.25">
      <c r="A21" s="72" t="s">
        <v>28</v>
      </c>
      <c r="B21" s="174" t="str">
        <f>IF(ISBLANK('1.General'!$C$13),"",'1.General'!$C$13)</f>
        <v>State Farm Mutual Automobile Insurance Company</v>
      </c>
      <c r="C21" s="72"/>
      <c r="D21" s="72" t="s">
        <v>186</v>
      </c>
      <c r="E21" s="174" t="str">
        <f>IF(ISBLANK('1.General'!$C$8),"",'1.General'!$C$8)</f>
        <v>Laura Campbell</v>
      </c>
    </row>
    <row r="22" spans="1:5" x14ac:dyDescent="0.25">
      <c r="A22" s="72" t="s">
        <v>29</v>
      </c>
      <c r="B22" s="174" t="str">
        <f>INDEX(List_GeneralLine,References!$F$5,1)</f>
        <v>Auto Liability and Physical Damage</v>
      </c>
      <c r="C22" s="72"/>
      <c r="D22" s="72" t="s">
        <v>187</v>
      </c>
      <c r="E22" s="175">
        <f>IF(ISBLANK('1.General'!$F$8),"",'1.General'!$F$8)</f>
        <v>44979</v>
      </c>
    </row>
    <row r="23" spans="1:5" x14ac:dyDescent="0.25">
      <c r="A23" s="72" t="s">
        <v>165</v>
      </c>
      <c r="B23" s="333">
        <f>IFERROR('3.2YieldFIT'!$D$42,"")</f>
        <v>0.10317106949646478</v>
      </c>
      <c r="C23" s="72"/>
      <c r="D23" s="72" t="s">
        <v>168</v>
      </c>
      <c r="E23" s="175">
        <f>IF(ISBLANK('1.General'!$D$23),"",'1.General'!$D$23)</f>
        <v>45348</v>
      </c>
    </row>
    <row r="24" spans="1:5" x14ac:dyDescent="0.25">
      <c r="A24" s="72" t="s">
        <v>166</v>
      </c>
      <c r="B24" s="333">
        <f>IFERROR('3.2YieldFIT'!$F$34,"")</f>
        <v>0.18957755323144132</v>
      </c>
      <c r="C24" s="72"/>
      <c r="D24" s="72" t="s">
        <v>379</v>
      </c>
      <c r="E24" s="174" t="b">
        <v>0</v>
      </c>
    </row>
    <row r="25" spans="1:5" x14ac:dyDescent="0.25">
      <c r="A25" s="72" t="s">
        <v>281</v>
      </c>
      <c r="B25" s="174" t="b">
        <v>0</v>
      </c>
      <c r="C25" s="72"/>
      <c r="D25" s="72" t="s">
        <v>613</v>
      </c>
      <c r="E25" s="174"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25">
      <c r="A26" s="72" t="s">
        <v>743</v>
      </c>
      <c r="B26" s="174" t="b">
        <v>0</v>
      </c>
      <c r="C26" s="72"/>
      <c r="D26" s="72" t="s">
        <v>741</v>
      </c>
      <c r="E26" s="174">
        <f>IF(ISBLANK('1.General'!$F$10),"",'1.General'!$F$10)</f>
        <v>45016</v>
      </c>
    </row>
    <row r="27" spans="1:5" x14ac:dyDescent="0.25">
      <c r="A27" s="72" t="s">
        <v>185</v>
      </c>
      <c r="B27" s="333">
        <f>IFERROR('4.2Excluded Exp'!$E$20,0)</f>
        <v>1.3597266477453115E-2</v>
      </c>
      <c r="C27" s="72"/>
      <c r="D27" s="72"/>
      <c r="E27" s="174"/>
    </row>
    <row r="28" spans="1:5" x14ac:dyDescent="0.25">
      <c r="A28" s="446"/>
      <c r="B28" s="447"/>
      <c r="C28" s="72"/>
      <c r="D28" s="72"/>
      <c r="E28" s="72"/>
    </row>
    <row r="29" spans="1:5" x14ac:dyDescent="0.25">
      <c r="A29" s="72"/>
      <c r="B29" s="174"/>
      <c r="C29" s="72"/>
      <c r="D29" s="338" t="s">
        <v>588</v>
      </c>
      <c r="E29" s="72"/>
    </row>
    <row r="30" spans="1:5" x14ac:dyDescent="0.25">
      <c r="A30" s="338" t="s">
        <v>589</v>
      </c>
      <c r="B30" s="174"/>
      <c r="C30" s="72"/>
      <c r="D30" s="72" t="s">
        <v>347</v>
      </c>
      <c r="E30" s="174">
        <f ca="1">IF(OR(Covg01="",ISERR(Detailed_LineDesc01)),"",VLOOKUP($B31,List_DetailLine,2,FALSE))</f>
        <v>19.2</v>
      </c>
    </row>
    <row r="31" spans="1:5" x14ac:dyDescent="0.25">
      <c r="A31" s="72" t="s">
        <v>346</v>
      </c>
      <c r="B31" s="174" t="str">
        <f>IF(Covg01="","",INDEX(List_DetailLine,'1.General'!$A34,1))</f>
        <v>Private Passenger Auto Liability</v>
      </c>
      <c r="C31" s="72"/>
      <c r="D31" s="72" t="s">
        <v>349</v>
      </c>
      <c r="E31" s="174">
        <f ca="1">IF(OR(Covg02="",ISERR(Detailed_LineDesc02)),"",VLOOKUP($B32,List_DetailLine,2,FALSE))</f>
        <v>19.2</v>
      </c>
    </row>
    <row r="32" spans="1:5" x14ac:dyDescent="0.25">
      <c r="A32" s="72" t="s">
        <v>348</v>
      </c>
      <c r="B32" s="174" t="str">
        <f>IF(Covg02="","",INDEX(List_DetailLine,'1.General'!$A35,1))</f>
        <v>Private Passenger Auto Liability</v>
      </c>
      <c r="C32" s="72"/>
      <c r="D32" s="72" t="s">
        <v>350</v>
      </c>
      <c r="E32" s="174">
        <f ca="1">IF(OR(Covg03="",ISERR(Detailed_LineDesc03)),"",VLOOKUP($B33,List_DetailLine,2,FALSE))</f>
        <v>19.2</v>
      </c>
    </row>
    <row r="33" spans="1:5" x14ac:dyDescent="0.25">
      <c r="A33" s="72" t="s">
        <v>357</v>
      </c>
      <c r="B33" s="174" t="str">
        <f>IF(Covg03="","",INDEX(List_DetailLine,'1.General'!$A36,1))</f>
        <v>Private Passenger Auto Liability</v>
      </c>
      <c r="C33" s="72"/>
      <c r="D33" s="72" t="s">
        <v>351</v>
      </c>
      <c r="E33" s="174">
        <f ca="1">IF(OR(Covg04="",ISERR(Detailed_LineDesc03)),"",VLOOKUP($B34,List_DetailLine,2,FALSE))</f>
        <v>21.1</v>
      </c>
    </row>
    <row r="34" spans="1:5" x14ac:dyDescent="0.25">
      <c r="A34" s="72" t="s">
        <v>358</v>
      </c>
      <c r="B34" s="174" t="str">
        <f>IF(Covg04="","",INDEX(List_DetailLine,'1.General'!$A37,1))</f>
        <v>Private Passenger Auto Physical Damage</v>
      </c>
      <c r="C34" s="72"/>
      <c r="D34" s="72" t="s">
        <v>352</v>
      </c>
      <c r="E34" s="174">
        <f ca="1">IF(OR(Covg05="",ISERR(Detailed_LineDesc05)),"",VLOOKUP($B35,List_DetailLine,2,FALSE))</f>
        <v>21.1</v>
      </c>
    </row>
    <row r="35" spans="1:5" x14ac:dyDescent="0.25">
      <c r="A35" s="72" t="s">
        <v>359</v>
      </c>
      <c r="B35" s="174" t="str">
        <f>IF(Covg05="","",INDEX(List_DetailLine,'1.General'!$A38,1))</f>
        <v>Private Passenger Auto Physical Damage</v>
      </c>
      <c r="C35" s="72"/>
      <c r="D35" s="72" t="s">
        <v>353</v>
      </c>
      <c r="E35" s="174">
        <f ca="1">IF(OR(Covg06="",ISERR(Detailed_LineDesc06)),"",VLOOKUP($B36,List_DetailLine,2,FALSE))</f>
        <v>21.1</v>
      </c>
    </row>
    <row r="36" spans="1:5" x14ac:dyDescent="0.25">
      <c r="A36" s="72" t="s">
        <v>360</v>
      </c>
      <c r="B36" s="174" t="str">
        <f>IF(Covg06="","",INDEX(List_DetailLine,'1.General'!$A39,1))</f>
        <v>Private Passenger Auto Physical Damage</v>
      </c>
      <c r="C36" s="72"/>
      <c r="D36" s="72" t="s">
        <v>354</v>
      </c>
      <c r="E36" s="174">
        <f ca="1">IF(OR(Covg07="",ISERR(Detailed_LineDesc07)),"",VLOOKUP($B37,List_DetailLine,2,FALSE))</f>
        <v>19.2</v>
      </c>
    </row>
    <row r="37" spans="1:5" x14ac:dyDescent="0.25">
      <c r="A37" s="72" t="s">
        <v>361</v>
      </c>
      <c r="B37" s="174" t="str">
        <f>IF(Covg07="","",INDEX(List_DetailLine,'1.General'!$A40,1))</f>
        <v>Private Passenger Auto Liability</v>
      </c>
      <c r="C37" s="72"/>
      <c r="D37" s="72" t="s">
        <v>355</v>
      </c>
      <c r="E37" s="174" t="str">
        <f>IF(OR(Covg08="",ISERR(Detailed_LineDesc08)),"",VLOOKUP($B38,List_DetailLine,2,FALSE))</f>
        <v/>
      </c>
    </row>
    <row r="38" spans="1:5" x14ac:dyDescent="0.25">
      <c r="A38" s="72" t="s">
        <v>362</v>
      </c>
      <c r="B38" s="174" t="str">
        <f>IF(Covg08="","",INDEX(List_DetailLine,'1.General'!$A41,1))</f>
        <v/>
      </c>
      <c r="C38" s="72"/>
      <c r="D38" s="72" t="s">
        <v>356</v>
      </c>
      <c r="E38" s="174" t="str">
        <f>IF(OR(Covg09="",ISERR(Detailed_LineDesc09)),"",VLOOKUP($B39,List_DetailLine,2,FALSE))</f>
        <v/>
      </c>
    </row>
    <row r="39" spans="1:5" x14ac:dyDescent="0.25">
      <c r="A39" s="72" t="s">
        <v>363</v>
      </c>
      <c r="B39" s="174" t="str">
        <f>IF(Covg09="","",INDEX(List_DetailLine,'1.General'!$A42,1))</f>
        <v/>
      </c>
      <c r="C39" s="72"/>
      <c r="D39" s="72" t="s">
        <v>345</v>
      </c>
      <c r="E39" s="174" t="str">
        <f>IF(OR(Covg10="",ISERR(Detailed_LineDesc10)),"",VLOOKUP($B40,List_DetailLine,2,FALSE))</f>
        <v/>
      </c>
    </row>
    <row r="40" spans="1:5" x14ac:dyDescent="0.25">
      <c r="A40" s="72" t="s">
        <v>344</v>
      </c>
      <c r="B40" s="174" t="str">
        <f>IF(Covg10="","",INDEX(List_DetailLine,'1.General'!$A43,1))</f>
        <v/>
      </c>
      <c r="C40" s="72"/>
      <c r="D40" s="72"/>
      <c r="E40" s="72"/>
    </row>
    <row r="41" spans="1:5" x14ac:dyDescent="0.25">
      <c r="A41" s="72"/>
      <c r="B41" s="174"/>
      <c r="C41" s="72"/>
      <c r="D41" s="338" t="s">
        <v>557</v>
      </c>
      <c r="E41" s="72"/>
    </row>
    <row r="42" spans="1:5" x14ac:dyDescent="0.25">
      <c r="A42" s="338" t="s">
        <v>559</v>
      </c>
      <c r="B42" s="174"/>
      <c r="C42" s="336"/>
      <c r="D42" s="336" t="s">
        <v>537</v>
      </c>
      <c r="E42" s="335">
        <f ca="1">IF(ISBLANK('5.CDI Parameters'!$J11),"",'5.CDI Parameters'!$J11)</f>
        <v>0.29732485720293622</v>
      </c>
    </row>
    <row r="43" spans="1:5" x14ac:dyDescent="0.25">
      <c r="A43" s="336" t="s">
        <v>368</v>
      </c>
      <c r="B43" s="340" t="str">
        <f>IF(ISBLANK('1.General'!$C34),"",'1.General'!$C34)</f>
        <v>BIPD</v>
      </c>
      <c r="C43" s="336"/>
      <c r="D43" s="336" t="s">
        <v>538</v>
      </c>
      <c r="E43" s="335">
        <f ca="1">IF(ISBLANK('5.CDI Parameters'!$J12),"",'5.CDI Parameters'!$J12)</f>
        <v>0.29732485720293622</v>
      </c>
    </row>
    <row r="44" spans="1:5" x14ac:dyDescent="0.25">
      <c r="A44" s="336" t="s">
        <v>369</v>
      </c>
      <c r="B44" s="340" t="str">
        <f>IF(ISBLANK('1.General'!$C35),"",'1.General'!$C35)</f>
        <v>MPC</v>
      </c>
      <c r="C44" s="336"/>
      <c r="D44" s="336" t="s">
        <v>539</v>
      </c>
      <c r="E44" s="335">
        <f ca="1">IF(ISBLANK('5.CDI Parameters'!$J13),"",'5.CDI Parameters'!$J13)</f>
        <v>0.29732485720293622</v>
      </c>
    </row>
    <row r="45" spans="1:5" x14ac:dyDescent="0.25">
      <c r="A45" s="336" t="s">
        <v>370</v>
      </c>
      <c r="B45" s="340" t="str">
        <f>IF(ISBLANK('1.General'!$C36),"",'1.General'!$C36)</f>
        <v>UM</v>
      </c>
      <c r="C45" s="336"/>
      <c r="D45" s="336" t="s">
        <v>540</v>
      </c>
      <c r="E45" s="335">
        <f ca="1">IF(ISBLANK('5.CDI Parameters'!$J14),"",'5.CDI Parameters'!$J14)</f>
        <v>0.29866055104631506</v>
      </c>
    </row>
    <row r="46" spans="1:5" x14ac:dyDescent="0.25">
      <c r="A46" s="336" t="s">
        <v>371</v>
      </c>
      <c r="B46" s="340" t="str">
        <f>IF(ISBLANK('1.General'!$C37),"",'1.General'!$C37)</f>
        <v>COMP</v>
      </c>
      <c r="C46" s="336"/>
      <c r="D46" s="336" t="s">
        <v>541</v>
      </c>
      <c r="E46" s="335">
        <f ca="1">IF(ISBLANK('5.CDI Parameters'!$J15),"",'5.CDI Parameters'!$J15)</f>
        <v>0.29866055104631506</v>
      </c>
    </row>
    <row r="47" spans="1:5" x14ac:dyDescent="0.25">
      <c r="A47" s="336" t="s">
        <v>372</v>
      </c>
      <c r="B47" s="340" t="str">
        <f>IF(ISBLANK('1.General'!$C38),"",'1.General'!$C38)</f>
        <v>COLL</v>
      </c>
      <c r="C47" s="336"/>
      <c r="D47" s="336" t="s">
        <v>542</v>
      </c>
      <c r="E47" s="335">
        <f ca="1">IF(ISBLANK('5.CDI Parameters'!$J16),"",'5.CDI Parameters'!$J16)</f>
        <v>0.29866055104631506</v>
      </c>
    </row>
    <row r="48" spans="1:5" x14ac:dyDescent="0.25">
      <c r="A48" s="336" t="s">
        <v>373</v>
      </c>
      <c r="B48" s="340" t="str">
        <f>IF(ISBLANK('1.General'!$C39),"",'1.General'!$C39)</f>
        <v>Misc. Damage</v>
      </c>
      <c r="C48" s="336"/>
      <c r="D48" s="336" t="s">
        <v>543</v>
      </c>
      <c r="E48" s="335">
        <f ca="1">IF(ISBLANK('5.CDI Parameters'!$J17),"",'5.CDI Parameters'!$J17)</f>
        <v>0.29732485720293622</v>
      </c>
    </row>
    <row r="49" spans="1:5" x14ac:dyDescent="0.25">
      <c r="A49" s="336" t="s">
        <v>374</v>
      </c>
      <c r="B49" s="340" t="str">
        <f>IF(ISBLANK('1.General'!$C40),"",'1.General'!$C40)</f>
        <v>Misc. Liability</v>
      </c>
      <c r="C49" s="336"/>
      <c r="D49" s="336" t="s">
        <v>544</v>
      </c>
      <c r="E49" s="335" t="str">
        <f>IF(ISBLANK('5.CDI Parameters'!$J18),"",'5.CDI Parameters'!$J18)</f>
        <v/>
      </c>
    </row>
    <row r="50" spans="1:5" x14ac:dyDescent="0.25">
      <c r="A50" s="336" t="s">
        <v>375</v>
      </c>
      <c r="B50" s="340" t="str">
        <f>IF(ISBLANK('1.General'!$C41),"",'1.General'!$C41)</f>
        <v/>
      </c>
      <c r="C50" s="336"/>
      <c r="D50" s="336" t="s">
        <v>545</v>
      </c>
      <c r="E50" s="335" t="str">
        <f>IF(ISBLANK('5.CDI Parameters'!$J19),"",'5.CDI Parameters'!$J19)</f>
        <v/>
      </c>
    </row>
    <row r="51" spans="1:5" x14ac:dyDescent="0.25">
      <c r="A51" s="336" t="s">
        <v>376</v>
      </c>
      <c r="B51" s="340" t="str">
        <f>IF(ISBLANK('1.General'!$C42),"",'1.General'!$C42)</f>
        <v/>
      </c>
      <c r="C51" s="336"/>
      <c r="D51" s="336" t="s">
        <v>546</v>
      </c>
      <c r="E51" s="335" t="str">
        <f>IF(ISBLANK('5.CDI Parameters'!$J20),"",'5.CDI Parameters'!$J20)</f>
        <v/>
      </c>
    </row>
    <row r="52" spans="1:5" x14ac:dyDescent="0.25">
      <c r="A52" s="336" t="s">
        <v>377</v>
      </c>
      <c r="B52" s="340" t="str">
        <f>IF(ISBLANK('1.General'!$C43),"",'1.General'!$C43)</f>
        <v/>
      </c>
      <c r="C52" s="336"/>
      <c r="D52" s="336"/>
      <c r="E52" s="72"/>
    </row>
    <row r="53" spans="1:5" x14ac:dyDescent="0.25">
      <c r="A53" s="336"/>
      <c r="B53" s="340"/>
      <c r="C53" s="336"/>
      <c r="D53" s="339" t="s">
        <v>586</v>
      </c>
      <c r="E53" s="72"/>
    </row>
    <row r="54" spans="1:5" x14ac:dyDescent="0.25">
      <c r="A54" s="339" t="s">
        <v>587</v>
      </c>
      <c r="B54" s="340"/>
      <c r="C54" s="336"/>
      <c r="D54" s="336" t="s">
        <v>517</v>
      </c>
      <c r="E54" s="337">
        <f>IF(ISBLANK('6.1Ratemaking Data'!$J$39),0,'6.1Ratemaking Data'!$J$39)</f>
        <v>0</v>
      </c>
    </row>
    <row r="55" spans="1:5" x14ac:dyDescent="0.25">
      <c r="A55" s="336" t="s">
        <v>507</v>
      </c>
      <c r="B55" s="337">
        <f ca="1">IF(ISBLANK('5.CDI Parameters'!$G11),"",'5.CDI Parameters'!$G11)</f>
        <v>0.31092212368038935</v>
      </c>
      <c r="C55" s="336"/>
      <c r="D55" s="336" t="s">
        <v>518</v>
      </c>
      <c r="E55" s="337">
        <f>IF(ISBLANK('6.2Ratemaking Data'!$J$39),0,'6.2Ratemaking Data'!$J$39)</f>
        <v>0</v>
      </c>
    </row>
    <row r="56" spans="1:5" x14ac:dyDescent="0.25">
      <c r="A56" s="336" t="s">
        <v>508</v>
      </c>
      <c r="B56" s="337">
        <f ca="1">IF(ISBLANK('5.CDI Parameters'!$G12),"",'5.CDI Parameters'!$G12)</f>
        <v>0.31092212368038935</v>
      </c>
      <c r="C56" s="72"/>
      <c r="D56" s="336" t="s">
        <v>519</v>
      </c>
      <c r="E56" s="337">
        <f>IF(ISBLANK('6.3Ratemaking Data'!$J$39),0,'6.3Ratemaking Data'!$J$39)</f>
        <v>0</v>
      </c>
    </row>
    <row r="57" spans="1:5" x14ac:dyDescent="0.25">
      <c r="A57" s="72" t="s">
        <v>509</v>
      </c>
      <c r="B57" s="333">
        <f ca="1">IF(ISBLANK('5.CDI Parameters'!$G13),"",'5.CDI Parameters'!$G13)</f>
        <v>0.31092212368038935</v>
      </c>
      <c r="C57" s="72"/>
      <c r="D57" s="336" t="s">
        <v>520</v>
      </c>
      <c r="E57" s="337">
        <f>IF(ISBLANK('6.4Ratemaking Data'!$J$39),0,'6.4Ratemaking Data'!$J$39)</f>
        <v>0</v>
      </c>
    </row>
    <row r="58" spans="1:5" x14ac:dyDescent="0.25">
      <c r="A58" s="72" t="s">
        <v>510</v>
      </c>
      <c r="B58" s="333">
        <f ca="1">IF(ISBLANK('5.CDI Parameters'!$G14),"",'5.CDI Parameters'!$G14)</f>
        <v>0.31225781752376819</v>
      </c>
      <c r="C58" s="72"/>
      <c r="D58" s="336" t="s">
        <v>521</v>
      </c>
      <c r="E58" s="337">
        <f>IF(ISBLANK('6.5Ratemaking Data'!$J$39),0,'6.5Ratemaking Data'!$J$39)</f>
        <v>0</v>
      </c>
    </row>
    <row r="59" spans="1:5" x14ac:dyDescent="0.25">
      <c r="A59" s="72" t="s">
        <v>511</v>
      </c>
      <c r="B59" s="333">
        <f ca="1">IF(ISBLANK('5.CDI Parameters'!$G15),"",'5.CDI Parameters'!$G15)</f>
        <v>0.31225781752376819</v>
      </c>
      <c r="C59" s="72"/>
      <c r="D59" s="336" t="s">
        <v>522</v>
      </c>
      <c r="E59" s="337">
        <f>IF(ISBLANK('6.6Ratemaking Data'!$J$39),0,'6.6Ratemaking Data'!$J$39)</f>
        <v>0</v>
      </c>
    </row>
    <row r="60" spans="1:5" x14ac:dyDescent="0.25">
      <c r="A60" s="72" t="s">
        <v>512</v>
      </c>
      <c r="B60" s="333">
        <f ca="1">IF(ISBLANK('5.CDI Parameters'!$G16),"",'5.CDI Parameters'!$G16)</f>
        <v>0.31225781752376819</v>
      </c>
      <c r="C60" s="72"/>
      <c r="D60" s="336" t="s">
        <v>523</v>
      </c>
      <c r="E60" s="337">
        <f>IF(ISBLANK('6.7Ratemaking Data'!$J$39),0,'6.7Ratemaking Data'!$J$39)</f>
        <v>0</v>
      </c>
    </row>
    <row r="61" spans="1:5" x14ac:dyDescent="0.25">
      <c r="A61" s="72" t="s">
        <v>513</v>
      </c>
      <c r="B61" s="333">
        <f ca="1">IF(ISBLANK('5.CDI Parameters'!$G17),"",'5.CDI Parameters'!$G17)</f>
        <v>0.31092212368038935</v>
      </c>
      <c r="C61" s="72"/>
      <c r="D61" s="336" t="s">
        <v>524</v>
      </c>
      <c r="E61" s="337">
        <f>IF(ISBLANK('6.8Ratemaking Data'!$J$39),0,'6.8Ratemaking Data'!$J$39)</f>
        <v>0</v>
      </c>
    </row>
    <row r="62" spans="1:5" x14ac:dyDescent="0.25">
      <c r="A62" s="72" t="s">
        <v>514</v>
      </c>
      <c r="B62" s="333" t="str">
        <f>IF(ISBLANK('5.CDI Parameters'!$G18),"",'5.CDI Parameters'!$G18)</f>
        <v/>
      </c>
      <c r="C62" s="72"/>
      <c r="D62" s="336" t="s">
        <v>525</v>
      </c>
      <c r="E62" s="337">
        <f>IF(ISBLANK('6.9Ratemaking Data'!$J$39),0,'6.9Ratemaking Data'!$J$39)</f>
        <v>0</v>
      </c>
    </row>
    <row r="63" spans="1:5" x14ac:dyDescent="0.25">
      <c r="A63" s="72" t="s">
        <v>515</v>
      </c>
      <c r="B63" s="333" t="str">
        <f>IF(ISBLANK('5.CDI Parameters'!$G19),"",'5.CDI Parameters'!$G19)</f>
        <v/>
      </c>
      <c r="C63" s="72"/>
      <c r="D63" s="336" t="s">
        <v>526</v>
      </c>
      <c r="E63" s="337">
        <f>IF(ISBLANK('6.10Ratemaking Data'!$J$39),0,'6.10Ratemaking Data'!$J$39)</f>
        <v>0</v>
      </c>
    </row>
    <row r="64" spans="1:5" x14ac:dyDescent="0.25">
      <c r="A64" s="72" t="s">
        <v>516</v>
      </c>
      <c r="B64" s="333" t="str">
        <f>IF(ISBLANK('5.CDI Parameters'!$G20),"",'5.CDI Parameters'!$G20)</f>
        <v/>
      </c>
      <c r="C64" s="72"/>
      <c r="D64" s="336"/>
      <c r="E64" s="334"/>
    </row>
    <row r="65" spans="1:5" x14ac:dyDescent="0.25">
      <c r="A65" s="72"/>
      <c r="B65" s="174"/>
      <c r="C65" s="72"/>
      <c r="D65" s="339"/>
      <c r="E65" s="334"/>
    </row>
    <row r="66" spans="1:5" x14ac:dyDescent="0.25">
      <c r="A66" s="338" t="s">
        <v>584</v>
      </c>
      <c r="B66" s="174"/>
      <c r="C66" s="72"/>
      <c r="D66" s="339" t="s">
        <v>558</v>
      </c>
      <c r="E66" s="334"/>
    </row>
    <row r="67" spans="1:5" x14ac:dyDescent="0.25">
      <c r="A67" s="338" t="s">
        <v>560</v>
      </c>
      <c r="B67" s="174"/>
      <c r="C67" s="72"/>
      <c r="D67" s="336" t="s">
        <v>547</v>
      </c>
      <c r="E67" s="337">
        <f>IF(ISBLANK('6.1Ratemaking Data'!$J$40),0,'6.1Ratemaking Data'!$J$40)</f>
        <v>0</v>
      </c>
    </row>
    <row r="68" spans="1:5" x14ac:dyDescent="0.25">
      <c r="A68" s="336" t="s">
        <v>527</v>
      </c>
      <c r="B68" s="337">
        <f ca="1">IF(ExpRatio_Actual01&gt;EffStd_Wtd01,MIN(ExpRatio_Actual01-EffStd_Wtd01,EffStd_VarReq01),0)</f>
        <v>0</v>
      </c>
      <c r="C68" s="72"/>
      <c r="D68" s="336" t="s">
        <v>548</v>
      </c>
      <c r="E68" s="337">
        <f>IF(ISBLANK('6.2Ratemaking Data'!$J$40),0,'6.2Ratemaking Data'!$J$40)</f>
        <v>0</v>
      </c>
    </row>
    <row r="69" spans="1:5" x14ac:dyDescent="0.25">
      <c r="A69" s="336" t="s">
        <v>528</v>
      </c>
      <c r="B69" s="337">
        <f ca="1">IF(ExpRatio_Actual02&gt;EffStd_Wtd02,MIN(ExpRatio_Actual02-EffStd_Wtd02,EffStd_VarReq02),0)</f>
        <v>0</v>
      </c>
      <c r="C69" s="72"/>
      <c r="D69" s="336" t="s">
        <v>549</v>
      </c>
      <c r="E69" s="337">
        <f>IF(ISBLANK('6.3Ratemaking Data'!$J$40),0,'6.3Ratemaking Data'!$J$40)</f>
        <v>0</v>
      </c>
    </row>
    <row r="70" spans="1:5" x14ac:dyDescent="0.25">
      <c r="A70" s="336" t="s">
        <v>529</v>
      </c>
      <c r="B70" s="337">
        <f ca="1">IF(ExpRatio_Actual03&gt;EffStd_Wtd03,MIN(ExpRatio_Actual03-EffStd_Wtd03,EffStd_VarReq03),0)</f>
        <v>0</v>
      </c>
      <c r="C70" s="72"/>
      <c r="D70" s="336" t="s">
        <v>550</v>
      </c>
      <c r="E70" s="337">
        <f>IF(ISBLANK('6.4Ratemaking Data'!$J$40),0,'6.4Ratemaking Data'!$J$40)</f>
        <v>0</v>
      </c>
    </row>
    <row r="71" spans="1:5" x14ac:dyDescent="0.25">
      <c r="A71" s="336" t="s">
        <v>530</v>
      </c>
      <c r="B71" s="337">
        <f ca="1">IF(ExpRatio_Actual04&gt;EffStd_Wtd04,MIN(ExpRatio_Actual04-EffStd_Wtd04,EffStd_VarReq04),0)</f>
        <v>0</v>
      </c>
      <c r="C71" s="72"/>
      <c r="D71" s="336" t="s">
        <v>551</v>
      </c>
      <c r="E71" s="337">
        <f>IF(ISBLANK('6.5Ratemaking Data'!$J$40),0,'6.5Ratemaking Data'!$J$40)</f>
        <v>0</v>
      </c>
    </row>
    <row r="72" spans="1:5" x14ac:dyDescent="0.25">
      <c r="A72" s="336" t="s">
        <v>531</v>
      </c>
      <c r="B72" s="337">
        <f ca="1">IF(ExpRatio_Actual05&gt;EffStd_Wtd05,MIN(ExpRatio_Actual05-EffStd_Wtd05,EffStd_VarReq05),0)</f>
        <v>0</v>
      </c>
      <c r="C72" s="72"/>
      <c r="D72" s="336" t="s">
        <v>552</v>
      </c>
      <c r="E72" s="337">
        <f>IF(ISBLANK('6.6Ratemaking Data'!$J$40),0,'6.6Ratemaking Data'!$J$40)</f>
        <v>0</v>
      </c>
    </row>
    <row r="73" spans="1:5" x14ac:dyDescent="0.25">
      <c r="A73" s="336" t="s">
        <v>532</v>
      </c>
      <c r="B73" s="337">
        <f ca="1">IF(ExpRatio_Actual06&gt;EffStd_Wtd06,MIN(ExpRatio_Actual06-EffStd_Wtd06,EffStd_VarReq06),0)</f>
        <v>0</v>
      </c>
      <c r="C73" s="72"/>
      <c r="D73" s="336" t="s">
        <v>553</v>
      </c>
      <c r="E73" s="337">
        <f>IF(ISBLANK('6.7Ratemaking Data'!$J$40),0,'6.7Ratemaking Data'!$J$40)</f>
        <v>0</v>
      </c>
    </row>
    <row r="74" spans="1:5" x14ac:dyDescent="0.25">
      <c r="A74" s="336" t="s">
        <v>533</v>
      </c>
      <c r="B74" s="337">
        <f ca="1">IF(ExpRatio_Actual07&gt;EffStd_Wtd07,MIN(ExpRatio_Actual07-EffStd_Wtd07,EffStd_VarReq07),0)</f>
        <v>0</v>
      </c>
      <c r="C74" s="72"/>
      <c r="D74" s="336" t="s">
        <v>554</v>
      </c>
      <c r="E74" s="337">
        <f>IF(ISBLANK('6.8Ratemaking Data'!$J$40),0,'6.8Ratemaking Data'!$J$40)</f>
        <v>0</v>
      </c>
    </row>
    <row r="75" spans="1:5" x14ac:dyDescent="0.25">
      <c r="A75" s="336" t="s">
        <v>534</v>
      </c>
      <c r="B75" s="337">
        <f>IF(ExpRatio_Actual08&gt;EffStd_Wtd08,MIN(ExpRatio_Actual08-EffStd_Wtd08,EffStd_VarReq08),0)</f>
        <v>0</v>
      </c>
      <c r="C75" s="72"/>
      <c r="D75" s="336" t="s">
        <v>555</v>
      </c>
      <c r="E75" s="337">
        <f>IF(ISBLANK('6.9Ratemaking Data'!$J$40),0,'6.9Ratemaking Data'!$J$40)</f>
        <v>0</v>
      </c>
    </row>
    <row r="76" spans="1:5" x14ac:dyDescent="0.25">
      <c r="A76" s="336" t="s">
        <v>535</v>
      </c>
      <c r="B76" s="337">
        <f>IF(ExpRatio_Actual09&gt;EffStd_Wtd09,MIN(ExpRatio_Actual09-EffStd_Wtd09,EffStd_VarReq09),0)</f>
        <v>0</v>
      </c>
      <c r="C76" s="72"/>
      <c r="D76" s="336" t="s">
        <v>556</v>
      </c>
      <c r="E76" s="337">
        <f>IF(ISBLANK('6.10Ratemaking Data'!$J$40),0,'6.10Ratemaking Data'!$J$40)</f>
        <v>0</v>
      </c>
    </row>
    <row r="77" spans="1:5" x14ac:dyDescent="0.25">
      <c r="A77" s="336" t="s">
        <v>536</v>
      </c>
      <c r="B77" s="337">
        <f>IF(ExpRatio_Actual10&gt;EffStd_Wtd10,MIN(ExpRatio_Actual10-EffStd_Wtd10,EffStd_VarReq10),0)</f>
        <v>0</v>
      </c>
      <c r="C77" s="72"/>
      <c r="D77" s="336"/>
      <c r="E77" s="337"/>
    </row>
    <row r="78" spans="1:5" x14ac:dyDescent="0.25">
      <c r="A78" s="336"/>
      <c r="B78" s="337"/>
      <c r="C78" s="72"/>
      <c r="D78" s="338" t="s">
        <v>583</v>
      </c>
      <c r="E78" s="72"/>
    </row>
    <row r="79" spans="1:5" x14ac:dyDescent="0.25">
      <c r="A79" s="338" t="s">
        <v>585</v>
      </c>
      <c r="B79" s="174"/>
      <c r="C79" s="72"/>
      <c r="D79" s="72" t="s">
        <v>573</v>
      </c>
      <c r="E79" s="393">
        <f ca="1">IF(ISBLANK('5.CDI Parameters'!$E26),"",'5.CDI Parameters'!$E26)</f>
        <v>1.3266740292453059</v>
      </c>
    </row>
    <row r="80" spans="1:5" x14ac:dyDescent="0.25">
      <c r="A80" s="72" t="s">
        <v>563</v>
      </c>
      <c r="B80" s="393">
        <f ca="1">IF(ISBLANK('5.CDI Parameters'!$D26),"",'5.CDI Parameters'!$D26)</f>
        <v>0.32027023269708416</v>
      </c>
      <c r="C80" s="72"/>
      <c r="D80" s="72" t="s">
        <v>574</v>
      </c>
      <c r="E80" s="393">
        <f ca="1">IF(ISBLANK('5.CDI Parameters'!$E27),"",'5.CDI Parameters'!$E27)</f>
        <v>1.3266740292453059</v>
      </c>
    </row>
    <row r="81" spans="1:5" x14ac:dyDescent="0.25">
      <c r="A81" s="72" t="s">
        <v>564</v>
      </c>
      <c r="B81" s="393">
        <f ca="1">IF(ISBLANK('5.CDI Parameters'!$D27),"",'5.CDI Parameters'!$D27)</f>
        <v>0.32027023269708416</v>
      </c>
      <c r="C81" s="72"/>
      <c r="D81" s="72" t="s">
        <v>575</v>
      </c>
      <c r="E81" s="393">
        <f ca="1">IF(ISBLANK('5.CDI Parameters'!$E28),"",'5.CDI Parameters'!$E28)</f>
        <v>1.3266740292453059</v>
      </c>
    </row>
    <row r="82" spans="1:5" x14ac:dyDescent="0.25">
      <c r="A82" s="72" t="s">
        <v>565</v>
      </c>
      <c r="B82" s="393">
        <f ca="1">IF(ISBLANK('5.CDI Parameters'!$D28),"",'5.CDI Parameters'!$D28)</f>
        <v>0.32027023269708416</v>
      </c>
      <c r="C82" s="72"/>
      <c r="D82" s="72" t="s">
        <v>576</v>
      </c>
      <c r="E82" s="393">
        <f ca="1">IF(ISBLANK('5.CDI Parameters'!$E29),"",'5.CDI Parameters'!$E29)</f>
        <v>9.1896214076458593E-2</v>
      </c>
    </row>
    <row r="83" spans="1:5" x14ac:dyDescent="0.25">
      <c r="A83" s="72" t="s">
        <v>566</v>
      </c>
      <c r="B83" s="393">
        <f ca="1">IF(ISBLANK('5.CDI Parameters'!$D29),"",'5.CDI Parameters'!$D29)</f>
        <v>0.32682025394820319</v>
      </c>
      <c r="C83" s="72"/>
      <c r="D83" s="72" t="s">
        <v>577</v>
      </c>
      <c r="E83" s="393">
        <f ca="1">IF(ISBLANK('5.CDI Parameters'!$E30),"",'5.CDI Parameters'!$E30)</f>
        <v>9.1896214076458593E-2</v>
      </c>
    </row>
    <row r="84" spans="1:5" x14ac:dyDescent="0.25">
      <c r="A84" s="72" t="s">
        <v>567</v>
      </c>
      <c r="B84" s="393">
        <f ca="1">IF(ISBLANK('5.CDI Parameters'!$D30),"",'5.CDI Parameters'!$D30)</f>
        <v>0.32682025394820319</v>
      </c>
      <c r="C84" s="72"/>
      <c r="D84" s="72" t="s">
        <v>578</v>
      </c>
      <c r="E84" s="393">
        <f ca="1">IF(ISBLANK('5.CDI Parameters'!$E31),"",'5.CDI Parameters'!$E31)</f>
        <v>9.1896214076458593E-2</v>
      </c>
    </row>
    <row r="85" spans="1:5" x14ac:dyDescent="0.25">
      <c r="A85" s="72" t="s">
        <v>568</v>
      </c>
      <c r="B85" s="393">
        <f ca="1">IF(ISBLANK('5.CDI Parameters'!$D31),"",'5.CDI Parameters'!$D31)</f>
        <v>0.32682025394820319</v>
      </c>
      <c r="C85" s="72"/>
      <c r="D85" s="72" t="s">
        <v>579</v>
      </c>
      <c r="E85" s="393">
        <f ca="1">IF(ISBLANK('5.CDI Parameters'!$E32),"",'5.CDI Parameters'!$E32)</f>
        <v>1.3266740292453059</v>
      </c>
    </row>
    <row r="86" spans="1:5" x14ac:dyDescent="0.25">
      <c r="A86" s="72" t="s">
        <v>569</v>
      </c>
      <c r="B86" s="393">
        <f ca="1">IF(ISBLANK('5.CDI Parameters'!$D32),"",'5.CDI Parameters'!$D32)</f>
        <v>0.32027023269708416</v>
      </c>
      <c r="C86" s="72"/>
      <c r="D86" s="72" t="s">
        <v>580</v>
      </c>
      <c r="E86" s="393" t="str">
        <f>IF(ISBLANK('5.CDI Parameters'!$E33),"",'5.CDI Parameters'!$E33)</f>
        <v/>
      </c>
    </row>
    <row r="87" spans="1:5" x14ac:dyDescent="0.25">
      <c r="A87" s="72" t="s">
        <v>570</v>
      </c>
      <c r="B87" s="393" t="str">
        <f>IF(ISBLANK('5.CDI Parameters'!$D33),"",'5.CDI Parameters'!$D33)</f>
        <v/>
      </c>
      <c r="C87" s="72"/>
      <c r="D87" s="72" t="s">
        <v>581</v>
      </c>
      <c r="E87" s="393" t="str">
        <f>IF(ISBLANK('5.CDI Parameters'!$E34),"",'5.CDI Parameters'!$E34)</f>
        <v/>
      </c>
    </row>
    <row r="88" spans="1:5" x14ac:dyDescent="0.25">
      <c r="A88" s="72" t="s">
        <v>571</v>
      </c>
      <c r="B88" s="393" t="str">
        <f>IF(ISBLANK('5.CDI Parameters'!$D34),"",'5.CDI Parameters'!$D34)</f>
        <v/>
      </c>
      <c r="C88" s="72"/>
      <c r="D88" s="72" t="s">
        <v>582</v>
      </c>
      <c r="E88" s="393" t="str">
        <f>IF(ISBLANK('5.CDI Parameters'!$E35),"",'5.CDI Parameters'!$E35)</f>
        <v/>
      </c>
    </row>
    <row r="89" spans="1:5" x14ac:dyDescent="0.25">
      <c r="A89" s="72" t="s">
        <v>572</v>
      </c>
      <c r="B89" s="393" t="str">
        <f>IF(ISBLANK('5.CDI Parameters'!$D35),"",'5.CDI Parameters'!$D35)</f>
        <v/>
      </c>
      <c r="C89" s="72"/>
      <c r="D89" s="72"/>
      <c r="E89" s="72"/>
    </row>
    <row r="90" spans="1:5" x14ac:dyDescent="0.25">
      <c r="A90" s="72"/>
      <c r="B90" s="174"/>
      <c r="C90" s="72"/>
      <c r="D90" s="338" t="s">
        <v>691</v>
      </c>
      <c r="E90" s="72"/>
    </row>
    <row r="91" spans="1:5" x14ac:dyDescent="0.25">
      <c r="A91" s="338" t="s">
        <v>603</v>
      </c>
      <c r="B91" s="174"/>
      <c r="C91" s="72"/>
      <c r="D91" s="72" t="s">
        <v>681</v>
      </c>
      <c r="E91" s="175">
        <f>IF(ISBLANK('1.General'!$E$34),"",'1.General'!$E$34)</f>
        <v>45061</v>
      </c>
    </row>
    <row r="92" spans="1:5" x14ac:dyDescent="0.25">
      <c r="A92" s="72" t="s">
        <v>590</v>
      </c>
      <c r="B92" s="393">
        <f ca="1">IF(ISBLANK('5.CDI Parameters'!$H26),"",'5.CDI Parameters'!$H26)</f>
        <v>0.7746748896822202</v>
      </c>
      <c r="C92" s="72"/>
      <c r="D92" s="72" t="s">
        <v>682</v>
      </c>
      <c r="E92" s="175">
        <f>IF(ISBLANK('1.General'!$E$35),"",'1.General'!$E$35)</f>
        <v>45061</v>
      </c>
    </row>
    <row r="93" spans="1:5" x14ac:dyDescent="0.25">
      <c r="A93" s="72" t="s">
        <v>591</v>
      </c>
      <c r="B93" s="393">
        <f ca="1">IF(ISBLANK('5.CDI Parameters'!$H27),"",'5.CDI Parameters'!$H27)</f>
        <v>0.7746748896822202</v>
      </c>
      <c r="C93" s="72"/>
      <c r="D93" s="72" t="s">
        <v>683</v>
      </c>
      <c r="E93" s="175">
        <f>IF(ISBLANK('1.General'!$E$36),"",'1.General'!$E$36)</f>
        <v>45061</v>
      </c>
    </row>
    <row r="94" spans="1:5" x14ac:dyDescent="0.25">
      <c r="A94" s="72" t="s">
        <v>592</v>
      </c>
      <c r="B94" s="393">
        <f ca="1">IF(ISBLANK('5.CDI Parameters'!$H28),"",'5.CDI Parameters'!$H28)</f>
        <v>0.7746748896822202</v>
      </c>
      <c r="C94" s="72"/>
      <c r="D94" s="72" t="s">
        <v>684</v>
      </c>
      <c r="E94" s="175">
        <f>IF(ISBLANK('1.General'!$E$37),"",'1.General'!$E$37)</f>
        <v>45061</v>
      </c>
    </row>
    <row r="95" spans="1:5" x14ac:dyDescent="0.25">
      <c r="A95" s="72" t="s">
        <v>593</v>
      </c>
      <c r="B95" s="393">
        <f ca="1">IF(ISBLANK('5.CDI Parameters'!$H29),"",'5.CDI Parameters'!$H29)</f>
        <v>1.2507122087328104</v>
      </c>
      <c r="C95" s="72"/>
      <c r="D95" s="72" t="s">
        <v>685</v>
      </c>
      <c r="E95" s="175">
        <f>IF(ISBLANK('1.General'!$E$38),"",'1.General'!$E$38)</f>
        <v>45061</v>
      </c>
    </row>
    <row r="96" spans="1:5" x14ac:dyDescent="0.25">
      <c r="A96" s="72" t="s">
        <v>594</v>
      </c>
      <c r="B96" s="393">
        <f ca="1">IF(ISBLANK('5.CDI Parameters'!$H30),"",'5.CDI Parameters'!$H30)</f>
        <v>1.2507122087328104</v>
      </c>
      <c r="C96" s="72"/>
      <c r="D96" s="72" t="s">
        <v>686</v>
      </c>
      <c r="E96" s="175">
        <f>IF(ISBLANK('1.General'!$E$39),"",'1.General'!$E$39)</f>
        <v>45061</v>
      </c>
    </row>
    <row r="97" spans="1:5" x14ac:dyDescent="0.25">
      <c r="A97" s="72" t="s">
        <v>595</v>
      </c>
      <c r="B97" s="393">
        <f ca="1">IF(ISBLANK('5.CDI Parameters'!$H31),"",'5.CDI Parameters'!$H31)</f>
        <v>1.2507122087328104</v>
      </c>
      <c r="C97" s="72"/>
      <c r="D97" s="72" t="s">
        <v>687</v>
      </c>
      <c r="E97" s="175">
        <f>IF(ISBLANK('1.General'!$E$40),"",'1.General'!$E$40)</f>
        <v>45061</v>
      </c>
    </row>
    <row r="98" spans="1:5" x14ac:dyDescent="0.25">
      <c r="A98" s="72" t="s">
        <v>596</v>
      </c>
      <c r="B98" s="393">
        <f ca="1">IF(ISBLANK('5.CDI Parameters'!$H32),"",'5.CDI Parameters'!$H32)</f>
        <v>0.7746748896822202</v>
      </c>
      <c r="C98" s="72"/>
      <c r="D98" s="72" t="s">
        <v>688</v>
      </c>
      <c r="E98" s="175" t="str">
        <f>IF(ISBLANK('1.General'!$E$41),"",'1.General'!$E$41)</f>
        <v/>
      </c>
    </row>
    <row r="99" spans="1:5" x14ac:dyDescent="0.25">
      <c r="A99" s="72" t="s">
        <v>597</v>
      </c>
      <c r="B99" s="393" t="str">
        <f>IF(ISBLANK('5.CDI Parameters'!$H33),"",'5.CDI Parameters'!$H33)</f>
        <v/>
      </c>
      <c r="C99" s="72"/>
      <c r="D99" s="72" t="s">
        <v>689</v>
      </c>
      <c r="E99" s="175" t="str">
        <f>IF(ISBLANK('1.General'!$E$42),"",'1.General'!$E$42)</f>
        <v/>
      </c>
    </row>
    <row r="100" spans="1:5" x14ac:dyDescent="0.25">
      <c r="A100" s="72" t="s">
        <v>598</v>
      </c>
      <c r="B100" s="393" t="str">
        <f>IF(ISBLANK('5.CDI Parameters'!$H34),"",'5.CDI Parameters'!$H34)</f>
        <v/>
      </c>
      <c r="C100" s="72"/>
      <c r="D100" s="72" t="s">
        <v>690</v>
      </c>
      <c r="E100" s="175" t="str">
        <f>IF(ISBLANK('1.General'!$E$43),"",'1.General'!$E$43)</f>
        <v/>
      </c>
    </row>
    <row r="101" spans="1:5" x14ac:dyDescent="0.25">
      <c r="A101" s="72" t="s">
        <v>599</v>
      </c>
      <c r="B101" s="393" t="str">
        <f>IF(ISBLANK('5.CDI Parameters'!$H35),"",'5.CDI Parameters'!$H35)</f>
        <v/>
      </c>
      <c r="C101" s="72"/>
      <c r="D101" s="72"/>
      <c r="E101" s="175"/>
    </row>
    <row r="102" spans="1:5" x14ac:dyDescent="0.25">
      <c r="A102" s="72"/>
      <c r="B102" s="393"/>
      <c r="C102" s="72"/>
      <c r="D102" s="72"/>
      <c r="E102" s="175"/>
    </row>
    <row r="103" spans="1:5" x14ac:dyDescent="0.25">
      <c r="A103" s="72" t="s">
        <v>167</v>
      </c>
      <c r="B103" s="555">
        <f>'Federal Income Tax Rate'!B9</f>
        <v>0.21</v>
      </c>
      <c r="C103" s="72"/>
      <c r="D103" s="72"/>
      <c r="E103" s="175"/>
    </row>
    <row r="104" spans="1:5" x14ac:dyDescent="0.25">
      <c r="A104" s="72" t="s">
        <v>192</v>
      </c>
      <c r="B104" s="555">
        <f>'5.CDI Parameters'!$J$28</f>
        <v>2.35E-2</v>
      </c>
      <c r="C104" s="72"/>
      <c r="D104" s="72" t="s">
        <v>729</v>
      </c>
      <c r="E104" s="175" t="str">
        <f>'3.2YieldFIT'!$G$48</f>
        <v>January 2023</v>
      </c>
    </row>
    <row r="105" spans="1:5" x14ac:dyDescent="0.25">
      <c r="A105" s="72" t="s">
        <v>195</v>
      </c>
      <c r="B105" s="555">
        <f>'5.CDI Parameters'!$J$31</f>
        <v>3.9611111111111104E-2</v>
      </c>
      <c r="C105" s="72"/>
      <c r="D105" s="72"/>
      <c r="E105" s="175"/>
    </row>
    <row r="106" spans="1:5" x14ac:dyDescent="0.25">
      <c r="A106" s="72" t="s">
        <v>197</v>
      </c>
      <c r="B106" s="555">
        <v>-0.06</v>
      </c>
      <c r="C106" s="72"/>
      <c r="D106" s="72"/>
      <c r="E106" s="175"/>
    </row>
    <row r="107" spans="1:5" x14ac:dyDescent="0.25">
      <c r="A107" s="72" t="s">
        <v>196</v>
      </c>
      <c r="B107" s="555">
        <f>ROR_RiskFree+0.06</f>
        <v>9.9611111111111095E-2</v>
      </c>
    </row>
  </sheetData>
  <sheetProtection formatColumns="0" formatRows="0" sort="0"/>
  <pageMargins left="0.7" right="0.7" top="0.75" bottom="0.75" header="0.3" footer="0.3"/>
  <pageSetup scale="44"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28575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19050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1</xdr:col>
                    <xdr:colOff>9525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election activeCell="H5" sqref="H5"/>
    </sheetView>
  </sheetViews>
  <sheetFormatPr defaultColWidth="9.140625" defaultRowHeight="15" x14ac:dyDescent="0.25"/>
  <cols>
    <col min="1" max="1" width="29" style="6" customWidth="1"/>
    <col min="2" max="2" width="15.85546875" style="6" bestFit="1" customWidth="1"/>
    <col min="3" max="3" width="5.7109375" style="6" customWidth="1"/>
    <col min="4" max="4" width="11.5703125" style="6" bestFit="1" customWidth="1"/>
    <col min="5" max="5" width="5.7109375" style="6" customWidth="1"/>
    <col min="6" max="6" width="32.28515625" style="6" bestFit="1" customWidth="1"/>
    <col min="7" max="7" width="7.5703125" style="6" bestFit="1" customWidth="1"/>
    <col min="8" max="8" width="54.7109375" style="6" bestFit="1" customWidth="1"/>
    <col min="9" max="9" width="5.7109375" style="6" bestFit="1" customWidth="1"/>
    <col min="10" max="10" width="5.7109375" style="6" customWidth="1"/>
    <col min="11" max="11" width="41.42578125" style="6" customWidth="1"/>
    <col min="12" max="12" width="5.7109375" style="6" customWidth="1"/>
    <col min="13" max="13" width="18.7109375" style="6" customWidth="1"/>
    <col min="14" max="14" width="117.85546875" style="6" customWidth="1"/>
    <col min="15" max="15" width="5.7109375" style="6" customWidth="1"/>
    <col min="16" max="16" width="34" style="6" bestFit="1" customWidth="1"/>
    <col min="17" max="17" width="5.7109375" style="6" customWidth="1"/>
    <col min="18" max="18" width="9.140625" style="6"/>
    <col min="19" max="19" width="41.42578125" style="6" customWidth="1"/>
    <col min="20" max="20" width="9.140625" style="6"/>
    <col min="21" max="21" width="14.5703125" style="6" bestFit="1" customWidth="1"/>
    <col min="22" max="22" width="18" style="6" bestFit="1" customWidth="1"/>
    <col min="23" max="16384" width="9.140625" style="6"/>
  </cols>
  <sheetData>
    <row r="1" spans="1:22" ht="15.75" thickBot="1" x14ac:dyDescent="0.3">
      <c r="A1" s="185" t="s">
        <v>129</v>
      </c>
    </row>
    <row r="2" spans="1:22" x14ac:dyDescent="0.25">
      <c r="B2" s="90" t="s">
        <v>105</v>
      </c>
      <c r="C2" s="91"/>
      <c r="D2" s="92" t="s">
        <v>106</v>
      </c>
      <c r="E2" s="91"/>
      <c r="F2" s="90" t="s">
        <v>158</v>
      </c>
      <c r="G2" s="91"/>
      <c r="H2" s="106" t="s">
        <v>503</v>
      </c>
      <c r="I2" s="107"/>
      <c r="J2" s="91"/>
      <c r="K2" s="92" t="s">
        <v>504</v>
      </c>
      <c r="L2" s="91"/>
      <c r="M2" s="93" t="s">
        <v>107</v>
      </c>
      <c r="N2" s="94" t="s">
        <v>506</v>
      </c>
      <c r="P2" s="92" t="s">
        <v>505</v>
      </c>
      <c r="S2" s="92" t="s">
        <v>625</v>
      </c>
    </row>
    <row r="3" spans="1:22" ht="15.75" thickBot="1" x14ac:dyDescent="0.3">
      <c r="B3" s="95" t="s">
        <v>108</v>
      </c>
      <c r="C3" s="91"/>
      <c r="D3" s="108" t="s">
        <v>160</v>
      </c>
      <c r="F3" s="97"/>
      <c r="H3" s="98"/>
      <c r="I3" s="99"/>
      <c r="K3" s="96"/>
      <c r="M3" s="100"/>
      <c r="N3" s="101"/>
      <c r="P3" s="96"/>
      <c r="S3" s="96"/>
    </row>
    <row r="4" spans="1:22" ht="30" x14ac:dyDescent="0.25">
      <c r="B4" s="95" t="s">
        <v>159</v>
      </c>
      <c r="C4" s="155"/>
      <c r="D4" s="96"/>
      <c r="F4" s="97"/>
      <c r="H4" s="98"/>
      <c r="I4" s="99"/>
      <c r="K4" s="96"/>
      <c r="M4" s="100"/>
      <c r="N4" s="101"/>
      <c r="P4" s="96"/>
      <c r="S4" s="96"/>
      <c r="U4" s="599" t="s">
        <v>736</v>
      </c>
      <c r="V4" s="600" t="s">
        <v>737</v>
      </c>
    </row>
    <row r="5" spans="1:22" ht="90" x14ac:dyDescent="0.25">
      <c r="A5" s="193" t="s">
        <v>502</v>
      </c>
      <c r="B5" s="194"/>
      <c r="C5" s="7"/>
      <c r="D5" s="195">
        <v>2</v>
      </c>
      <c r="E5" s="109"/>
      <c r="F5" s="196">
        <v>5</v>
      </c>
      <c r="G5" s="109"/>
      <c r="H5" s="197"/>
      <c r="I5" s="198"/>
      <c r="J5" s="7"/>
      <c r="K5" s="195">
        <v>1</v>
      </c>
      <c r="L5" s="7"/>
      <c r="M5" s="199"/>
      <c r="N5" s="200"/>
      <c r="O5" s="109"/>
      <c r="P5" s="195">
        <v>3</v>
      </c>
      <c r="S5" s="196">
        <v>9</v>
      </c>
      <c r="U5" s="603" t="s">
        <v>735</v>
      </c>
      <c r="V5" s="604" t="s">
        <v>738</v>
      </c>
    </row>
    <row r="6" spans="1:22" ht="30" x14ac:dyDescent="0.25">
      <c r="B6" s="102" t="s">
        <v>2</v>
      </c>
      <c r="C6" s="11"/>
      <c r="D6" s="96" t="s">
        <v>5</v>
      </c>
      <c r="F6" s="97"/>
      <c r="H6" s="98"/>
      <c r="I6" s="99"/>
      <c r="K6" s="96" t="s">
        <v>38</v>
      </c>
      <c r="M6" s="86" t="s">
        <v>84</v>
      </c>
      <c r="N6" s="87" t="s">
        <v>257</v>
      </c>
      <c r="P6" s="96"/>
      <c r="S6" s="96" t="s">
        <v>626</v>
      </c>
      <c r="U6" s="100" t="str">
        <f>TEXT(V6,"mmm")&amp;YEAR(V6)</f>
        <v>Jan2023</v>
      </c>
      <c r="V6" s="101" t="str">
        <f>'3.2YieldFIT'!G48</f>
        <v>January 2023</v>
      </c>
    </row>
    <row r="7" spans="1:22" ht="30" x14ac:dyDescent="0.25">
      <c r="B7" s="102" t="s">
        <v>3</v>
      </c>
      <c r="C7" s="11"/>
      <c r="D7" s="96" t="s">
        <v>6</v>
      </c>
      <c r="F7" s="97" t="s">
        <v>8</v>
      </c>
      <c r="H7" s="98" t="s">
        <v>8</v>
      </c>
      <c r="I7" s="99">
        <v>22</v>
      </c>
      <c r="K7" s="96" t="s">
        <v>74</v>
      </c>
      <c r="M7" s="86" t="s">
        <v>85</v>
      </c>
      <c r="N7" s="87" t="s">
        <v>258</v>
      </c>
      <c r="P7" s="96" t="s">
        <v>240</v>
      </c>
      <c r="S7" s="96" t="s">
        <v>627</v>
      </c>
      <c r="U7" s="100" t="str">
        <f>TEXT(V7,"mmm")&amp;YEAR(V7)</f>
        <v>Nov2023</v>
      </c>
      <c r="V7" s="101" t="str">
        <f>[1]Latest!$A$1</f>
        <v>November 2023</v>
      </c>
    </row>
    <row r="8" spans="1:22" ht="30.75" thickBot="1" x14ac:dyDescent="0.3">
      <c r="B8" s="104" t="s">
        <v>26</v>
      </c>
      <c r="C8" s="11"/>
      <c r="D8" s="103"/>
      <c r="F8" s="97" t="s">
        <v>9</v>
      </c>
      <c r="H8" s="98" t="s">
        <v>9</v>
      </c>
      <c r="I8" s="99">
        <v>2.1</v>
      </c>
      <c r="K8" s="103" t="s">
        <v>75</v>
      </c>
      <c r="M8" s="86" t="s">
        <v>86</v>
      </c>
      <c r="N8" s="87" t="s">
        <v>259</v>
      </c>
      <c r="P8" s="96" t="s">
        <v>241</v>
      </c>
      <c r="S8" s="96" t="s">
        <v>628</v>
      </c>
      <c r="U8" s="100" t="str">
        <f t="shared" ref="U8:U30" si="0">TEXT(EOMONTH(U7,-1),"mmm")&amp;YEAR(EOMONTH(U7,-1))</f>
        <v>Oct2023</v>
      </c>
      <c r="V8" s="101" t="str">
        <f t="shared" ref="V8:V30" si="1">TEXT(U8,"mmmm ")&amp;YEAR(U8)</f>
        <v>October 2023</v>
      </c>
    </row>
    <row r="9" spans="1:22" ht="30.75" thickBot="1" x14ac:dyDescent="0.3">
      <c r="F9" s="97" t="s">
        <v>745</v>
      </c>
      <c r="H9" s="98" t="s">
        <v>11</v>
      </c>
      <c r="I9" s="99">
        <v>17</v>
      </c>
      <c r="M9" s="86" t="s">
        <v>87</v>
      </c>
      <c r="N9" s="87" t="s">
        <v>260</v>
      </c>
      <c r="P9" s="103" t="s">
        <v>242</v>
      </c>
      <c r="S9" s="96" t="s">
        <v>629</v>
      </c>
      <c r="U9" s="100" t="str">
        <f t="shared" si="0"/>
        <v>Sep2023</v>
      </c>
      <c r="V9" s="101" t="str">
        <f t="shared" si="1"/>
        <v>September 2023</v>
      </c>
    </row>
    <row r="10" spans="1:22" ht="30" x14ac:dyDescent="0.25">
      <c r="F10" s="97" t="s">
        <v>10</v>
      </c>
      <c r="H10" s="98" t="s">
        <v>12</v>
      </c>
      <c r="I10" s="99">
        <v>27</v>
      </c>
      <c r="M10" s="86" t="s">
        <v>88</v>
      </c>
      <c r="N10" s="87" t="s">
        <v>261</v>
      </c>
      <c r="P10" s="327" t="s">
        <v>623</v>
      </c>
      <c r="Q10" s="328"/>
      <c r="S10" s="96" t="s">
        <v>630</v>
      </c>
      <c r="U10" s="100" t="str">
        <f t="shared" si="0"/>
        <v>Aug2023</v>
      </c>
      <c r="V10" s="101" t="str">
        <f t="shared" si="1"/>
        <v>August 2023</v>
      </c>
    </row>
    <row r="11" spans="1:22" ht="45" x14ac:dyDescent="0.25">
      <c r="F11" s="97" t="s">
        <v>11</v>
      </c>
      <c r="H11" s="98" t="s">
        <v>13</v>
      </c>
      <c r="I11" s="99">
        <v>26</v>
      </c>
      <c r="M11" s="86" t="s">
        <v>91</v>
      </c>
      <c r="N11" s="87" t="s">
        <v>262</v>
      </c>
      <c r="P11" s="329" t="s">
        <v>346</v>
      </c>
      <c r="Q11" s="330">
        <v>1</v>
      </c>
      <c r="S11" s="96" t="s">
        <v>631</v>
      </c>
      <c r="U11" s="100" t="str">
        <f t="shared" si="0"/>
        <v>Jul2023</v>
      </c>
      <c r="V11" s="101" t="str">
        <f t="shared" si="1"/>
        <v>July 2023</v>
      </c>
    </row>
    <row r="12" spans="1:22" ht="30" x14ac:dyDescent="0.25">
      <c r="F12" s="97" t="s">
        <v>12</v>
      </c>
      <c r="H12" s="98" t="s">
        <v>39</v>
      </c>
      <c r="I12" s="99">
        <v>19.399999999999999</v>
      </c>
      <c r="M12" s="86" t="s">
        <v>89</v>
      </c>
      <c r="N12" s="87" t="s">
        <v>263</v>
      </c>
      <c r="P12" s="329" t="s">
        <v>348</v>
      </c>
      <c r="Q12" s="330">
        <v>2</v>
      </c>
      <c r="S12" s="96" t="s">
        <v>695</v>
      </c>
      <c r="U12" s="100" t="str">
        <f t="shared" si="0"/>
        <v>Jun2023</v>
      </c>
      <c r="V12" s="101" t="str">
        <f t="shared" si="1"/>
        <v>June 2023</v>
      </c>
    </row>
    <row r="13" spans="1:22" ht="30" x14ac:dyDescent="0.25">
      <c r="F13" s="97" t="s">
        <v>13</v>
      </c>
      <c r="H13" s="98" t="s">
        <v>40</v>
      </c>
      <c r="I13" s="99">
        <v>21.2</v>
      </c>
      <c r="M13" s="86" t="s">
        <v>90</v>
      </c>
      <c r="N13" s="87" t="s">
        <v>264</v>
      </c>
      <c r="P13" s="329" t="s">
        <v>357</v>
      </c>
      <c r="Q13" s="330">
        <v>1</v>
      </c>
      <c r="S13" s="96" t="s">
        <v>694</v>
      </c>
      <c r="U13" s="100" t="str">
        <f t="shared" si="0"/>
        <v>May2023</v>
      </c>
      <c r="V13" s="101" t="str">
        <f t="shared" si="1"/>
        <v>May 2023</v>
      </c>
    </row>
    <row r="14" spans="1:22" ht="30.75" thickBot="1" x14ac:dyDescent="0.3">
      <c r="F14" s="97" t="s">
        <v>14</v>
      </c>
      <c r="H14" s="98" t="s">
        <v>41</v>
      </c>
      <c r="I14" s="99">
        <v>5</v>
      </c>
      <c r="M14" s="86" t="s">
        <v>116</v>
      </c>
      <c r="N14" s="87" t="s">
        <v>265</v>
      </c>
      <c r="P14" s="329" t="s">
        <v>358</v>
      </c>
      <c r="Q14" s="330">
        <v>1</v>
      </c>
      <c r="S14" s="103" t="s">
        <v>632</v>
      </c>
      <c r="U14" s="100" t="str">
        <f t="shared" si="0"/>
        <v>Apr2023</v>
      </c>
      <c r="V14" s="101" t="str">
        <f t="shared" si="1"/>
        <v>April 2023</v>
      </c>
    </row>
    <row r="15" spans="1:22" ht="30" x14ac:dyDescent="0.25">
      <c r="F15" s="97" t="s">
        <v>15</v>
      </c>
      <c r="H15" s="98" t="s">
        <v>42</v>
      </c>
      <c r="I15" s="99">
        <v>5.2</v>
      </c>
      <c r="M15" s="86" t="s">
        <v>92</v>
      </c>
      <c r="N15" s="87" t="s">
        <v>266</v>
      </c>
      <c r="P15" s="329" t="s">
        <v>359</v>
      </c>
      <c r="Q15" s="330">
        <v>1</v>
      </c>
      <c r="U15" s="100" t="str">
        <f t="shared" si="0"/>
        <v>Mar2023</v>
      </c>
      <c r="V15" s="101" t="str">
        <f t="shared" si="1"/>
        <v>March 2023</v>
      </c>
    </row>
    <row r="16" spans="1:22" ht="30" x14ac:dyDescent="0.25">
      <c r="F16" s="97" t="s">
        <v>16</v>
      </c>
      <c r="H16" s="98" t="s">
        <v>43</v>
      </c>
      <c r="I16" s="99">
        <v>5.0999999999999996</v>
      </c>
      <c r="M16" s="86" t="s">
        <v>93</v>
      </c>
      <c r="N16" s="87" t="s">
        <v>267</v>
      </c>
      <c r="P16" s="329" t="s">
        <v>360</v>
      </c>
      <c r="Q16" s="330">
        <v>1</v>
      </c>
      <c r="U16" s="100" t="str">
        <f t="shared" si="0"/>
        <v>Feb2023</v>
      </c>
      <c r="V16" s="101" t="str">
        <f t="shared" si="1"/>
        <v>February 2023</v>
      </c>
    </row>
    <row r="17" spans="6:22" ht="30" x14ac:dyDescent="0.25">
      <c r="F17" s="97" t="s">
        <v>17</v>
      </c>
      <c r="H17" s="98" t="s">
        <v>14</v>
      </c>
      <c r="I17" s="99">
        <v>12</v>
      </c>
      <c r="M17" s="86" t="s">
        <v>94</v>
      </c>
      <c r="N17" s="87" t="s">
        <v>268</v>
      </c>
      <c r="P17" s="329" t="s">
        <v>361</v>
      </c>
      <c r="Q17" s="330">
        <v>1</v>
      </c>
      <c r="U17" s="100" t="str">
        <f t="shared" si="0"/>
        <v>Jan2023</v>
      </c>
      <c r="V17" s="101" t="str">
        <f t="shared" si="1"/>
        <v>January 2023</v>
      </c>
    </row>
    <row r="18" spans="6:22" ht="30" x14ac:dyDescent="0.25">
      <c r="F18" s="97" t="s">
        <v>712</v>
      </c>
      <c r="H18" s="98" t="s">
        <v>325</v>
      </c>
      <c r="I18" s="99" t="s">
        <v>331</v>
      </c>
      <c r="M18" s="86" t="s">
        <v>95</v>
      </c>
      <c r="N18" s="87" t="s">
        <v>269</v>
      </c>
      <c r="P18" s="329" t="s">
        <v>362</v>
      </c>
      <c r="Q18" s="330">
        <v>1</v>
      </c>
      <c r="U18" s="100" t="str">
        <f t="shared" si="0"/>
        <v>Dec2022</v>
      </c>
      <c r="V18" s="101" t="str">
        <f t="shared" si="1"/>
        <v>December 2022</v>
      </c>
    </row>
    <row r="19" spans="6:22" ht="30" x14ac:dyDescent="0.25">
      <c r="F19" s="97" t="s">
        <v>744</v>
      </c>
      <c r="H19" s="98" t="s">
        <v>44</v>
      </c>
      <c r="I19" s="99">
        <v>3</v>
      </c>
      <c r="M19" s="86" t="s">
        <v>96</v>
      </c>
      <c r="N19" s="87" t="s">
        <v>270</v>
      </c>
      <c r="P19" s="329" t="s">
        <v>363</v>
      </c>
      <c r="Q19" s="330">
        <v>1</v>
      </c>
      <c r="U19" s="100" t="str">
        <f t="shared" si="0"/>
        <v>Nov2022</v>
      </c>
      <c r="V19" s="101" t="str">
        <f t="shared" si="1"/>
        <v>November 2022</v>
      </c>
    </row>
    <row r="20" spans="6:22" ht="30" x14ac:dyDescent="0.25">
      <c r="F20" s="97" t="s">
        <v>746</v>
      </c>
      <c r="H20" s="98" t="s">
        <v>16</v>
      </c>
      <c r="I20" s="99">
        <v>23</v>
      </c>
      <c r="M20" s="86" t="s">
        <v>97</v>
      </c>
      <c r="N20" s="87" t="s">
        <v>271</v>
      </c>
      <c r="P20" s="331" t="s">
        <v>344</v>
      </c>
      <c r="Q20" s="332">
        <v>1</v>
      </c>
      <c r="U20" s="100" t="str">
        <f t="shared" si="0"/>
        <v>Oct2022</v>
      </c>
      <c r="V20" s="101" t="str">
        <f t="shared" si="1"/>
        <v>October 2022</v>
      </c>
    </row>
    <row r="21" spans="6:22" ht="30" x14ac:dyDescent="0.25">
      <c r="F21" s="97" t="s">
        <v>18</v>
      </c>
      <c r="H21" s="98" t="s">
        <v>17</v>
      </c>
      <c r="I21" s="99">
        <v>1</v>
      </c>
      <c r="M21" s="86" t="s">
        <v>98</v>
      </c>
      <c r="N21" s="87" t="s">
        <v>272</v>
      </c>
      <c r="U21" s="100" t="str">
        <f t="shared" si="0"/>
        <v>Sep2022</v>
      </c>
      <c r="V21" s="101" t="str">
        <f t="shared" si="1"/>
        <v>September 2022</v>
      </c>
    </row>
    <row r="22" spans="6:22" ht="30" x14ac:dyDescent="0.25">
      <c r="F22" s="97" t="s">
        <v>45</v>
      </c>
      <c r="H22" s="98" t="s">
        <v>19</v>
      </c>
      <c r="I22" s="99">
        <v>9</v>
      </c>
      <c r="M22" s="86" t="s">
        <v>99</v>
      </c>
      <c r="N22" s="87" t="s">
        <v>273</v>
      </c>
      <c r="U22" s="100" t="str">
        <f t="shared" si="0"/>
        <v>Aug2022</v>
      </c>
      <c r="V22" s="101" t="str">
        <f t="shared" si="1"/>
        <v>August 2022</v>
      </c>
    </row>
    <row r="23" spans="6:22" ht="30" x14ac:dyDescent="0.25">
      <c r="F23" s="97" t="s">
        <v>19</v>
      </c>
      <c r="H23" s="98" t="s">
        <v>45</v>
      </c>
      <c r="I23" s="99">
        <v>4</v>
      </c>
      <c r="M23" s="86" t="s">
        <v>100</v>
      </c>
      <c r="N23" s="87" t="s">
        <v>274</v>
      </c>
      <c r="U23" s="100" t="str">
        <f t="shared" si="0"/>
        <v>Jul2022</v>
      </c>
      <c r="V23" s="101" t="str">
        <f t="shared" si="1"/>
        <v>July 2022</v>
      </c>
    </row>
    <row r="24" spans="6:22" ht="45" x14ac:dyDescent="0.25">
      <c r="F24" s="97" t="s">
        <v>20</v>
      </c>
      <c r="H24" s="98" t="s">
        <v>20</v>
      </c>
      <c r="I24" s="99">
        <v>9</v>
      </c>
      <c r="M24" s="86" t="s">
        <v>101</v>
      </c>
      <c r="N24" s="87" t="s">
        <v>275</v>
      </c>
      <c r="U24" s="100" t="str">
        <f t="shared" si="0"/>
        <v>Jun2022</v>
      </c>
      <c r="V24" s="101" t="str">
        <f t="shared" si="1"/>
        <v>June 2022</v>
      </c>
    </row>
    <row r="25" spans="6:22" ht="30" x14ac:dyDescent="0.25">
      <c r="F25" s="97" t="s">
        <v>21</v>
      </c>
      <c r="H25" s="98" t="s">
        <v>21</v>
      </c>
      <c r="I25" s="99">
        <v>11</v>
      </c>
      <c r="M25" s="86" t="s">
        <v>102</v>
      </c>
      <c r="N25" s="87" t="s">
        <v>276</v>
      </c>
      <c r="U25" s="100" t="str">
        <f t="shared" si="0"/>
        <v>May2022</v>
      </c>
      <c r="V25" s="101" t="str">
        <f t="shared" si="1"/>
        <v>May 2022</v>
      </c>
    </row>
    <row r="26" spans="6:22" ht="30" x14ac:dyDescent="0.25">
      <c r="F26" s="97" t="s">
        <v>22</v>
      </c>
      <c r="H26" s="98" t="s">
        <v>46</v>
      </c>
      <c r="I26" s="99">
        <v>11.2</v>
      </c>
      <c r="M26" s="86" t="s">
        <v>103</v>
      </c>
      <c r="N26" s="87" t="s">
        <v>277</v>
      </c>
      <c r="U26" s="100" t="str">
        <f t="shared" si="0"/>
        <v>Apr2022</v>
      </c>
      <c r="V26" s="101" t="str">
        <f t="shared" si="1"/>
        <v>April 2022</v>
      </c>
    </row>
    <row r="27" spans="6:22" ht="30.75" customHeight="1" x14ac:dyDescent="0.25">
      <c r="F27" s="97" t="s">
        <v>23</v>
      </c>
      <c r="H27" s="98" t="s">
        <v>47</v>
      </c>
      <c r="I27" s="99">
        <v>11.1</v>
      </c>
      <c r="M27" s="86" t="s">
        <v>104</v>
      </c>
      <c r="N27" s="87" t="s">
        <v>278</v>
      </c>
      <c r="U27" s="100" t="str">
        <f t="shared" si="0"/>
        <v>Mar2022</v>
      </c>
      <c r="V27" s="101" t="str">
        <f t="shared" si="1"/>
        <v>March 2022</v>
      </c>
    </row>
    <row r="28" spans="6:22" ht="30.75" customHeight="1" x14ac:dyDescent="0.25">
      <c r="F28" s="97" t="s">
        <v>24</v>
      </c>
      <c r="H28" s="98" t="s">
        <v>326</v>
      </c>
      <c r="I28" s="99" t="s">
        <v>328</v>
      </c>
      <c r="M28" s="453" t="s">
        <v>26</v>
      </c>
      <c r="N28" s="454" t="str">
        <f>""</f>
        <v/>
      </c>
      <c r="U28" s="100" t="str">
        <f t="shared" si="0"/>
        <v>Feb2022</v>
      </c>
      <c r="V28" s="101" t="str">
        <f t="shared" si="1"/>
        <v>February 2022</v>
      </c>
    </row>
    <row r="29" spans="6:22" ht="30.75" customHeight="1" thickBot="1" x14ac:dyDescent="0.3">
      <c r="F29" s="97" t="s">
        <v>747</v>
      </c>
      <c r="H29" s="98" t="s">
        <v>324</v>
      </c>
      <c r="I29" s="99" t="s">
        <v>330</v>
      </c>
      <c r="M29" s="88" t="s">
        <v>378</v>
      </c>
      <c r="N29" s="89" t="str">
        <f>""</f>
        <v/>
      </c>
      <c r="U29" s="100" t="str">
        <f t="shared" si="0"/>
        <v>Jan2022</v>
      </c>
      <c r="V29" s="101" t="str">
        <f t="shared" si="1"/>
        <v>January 2022</v>
      </c>
    </row>
    <row r="30" spans="6:22" ht="30.75" customHeight="1" thickBot="1" x14ac:dyDescent="0.3">
      <c r="F30" s="105" t="s">
        <v>25</v>
      </c>
      <c r="H30" s="98" t="s">
        <v>327</v>
      </c>
      <c r="I30" s="99" t="s">
        <v>329</v>
      </c>
      <c r="N30" s="13"/>
      <c r="U30" s="601" t="str">
        <f t="shared" si="0"/>
        <v>Dec2021</v>
      </c>
      <c r="V30" s="602" t="str">
        <f t="shared" si="1"/>
        <v>December 2021</v>
      </c>
    </row>
    <row r="31" spans="6:22" ht="30.75" customHeight="1" x14ac:dyDescent="0.25">
      <c r="H31" s="98" t="s">
        <v>23</v>
      </c>
      <c r="I31" s="99">
        <v>17</v>
      </c>
      <c r="N31" s="13"/>
    </row>
    <row r="32" spans="6:22" ht="30.75" customHeight="1" x14ac:dyDescent="0.25">
      <c r="H32" s="98" t="s">
        <v>48</v>
      </c>
      <c r="I32" s="99">
        <v>17.2</v>
      </c>
      <c r="N32" s="13"/>
    </row>
    <row r="33" spans="8:14" ht="30.75" customHeight="1" x14ac:dyDescent="0.25">
      <c r="H33" s="98" t="s">
        <v>49</v>
      </c>
      <c r="I33" s="99">
        <v>17.100000000000001</v>
      </c>
      <c r="N33" s="13"/>
    </row>
    <row r="34" spans="8:14" ht="30.75" customHeight="1" x14ac:dyDescent="0.25">
      <c r="H34" s="98" t="s">
        <v>50</v>
      </c>
      <c r="I34" s="99">
        <v>19.2</v>
      </c>
      <c r="N34" s="13"/>
    </row>
    <row r="35" spans="8:14" ht="30.75" customHeight="1" x14ac:dyDescent="0.25">
      <c r="H35" s="98" t="s">
        <v>51</v>
      </c>
      <c r="I35" s="99">
        <v>21.1</v>
      </c>
      <c r="N35" s="13"/>
    </row>
    <row r="36" spans="8:14" ht="30.75" customHeight="1" x14ac:dyDescent="0.25">
      <c r="H36" s="98" t="s">
        <v>24</v>
      </c>
      <c r="I36" s="99">
        <v>18</v>
      </c>
      <c r="N36" s="13"/>
    </row>
    <row r="37" spans="8:14" ht="30.75" customHeight="1" x14ac:dyDescent="0.25">
      <c r="H37" s="98" t="s">
        <v>52</v>
      </c>
      <c r="I37" s="99">
        <v>18.2</v>
      </c>
      <c r="N37" s="13"/>
    </row>
    <row r="38" spans="8:14" ht="30.75" customHeight="1" x14ac:dyDescent="0.25">
      <c r="H38" s="98" t="s">
        <v>53</v>
      </c>
      <c r="I38" s="99">
        <v>18.100000000000001</v>
      </c>
      <c r="N38" s="13"/>
    </row>
    <row r="39" spans="8:14" ht="30.75" customHeight="1" x14ac:dyDescent="0.25">
      <c r="H39" s="98" t="s">
        <v>25</v>
      </c>
      <c r="I39" s="99">
        <v>24</v>
      </c>
      <c r="N39" s="13"/>
    </row>
    <row r="40" spans="8:14" ht="30" customHeight="1" x14ac:dyDescent="0.25">
      <c r="H40" s="327" t="s">
        <v>679</v>
      </c>
      <c r="I40" s="328"/>
      <c r="N40" s="13"/>
    </row>
    <row r="41" spans="8:14" ht="30" customHeight="1" x14ac:dyDescent="0.25">
      <c r="H41" s="329"/>
      <c r="I41" s="426"/>
      <c r="N41" s="13"/>
    </row>
    <row r="42" spans="8:14" ht="30" customHeight="1" x14ac:dyDescent="0.25">
      <c r="H42" s="329" t="s">
        <v>50</v>
      </c>
      <c r="I42" s="426">
        <f ca="1">IF(ISNA(OFFSET($I$6,MATCH($H42,$H$7:$H$39),0)),"",OFFSET($I$6,MATCH($H42,$H$7:$H$39),0))</f>
        <v>19.2</v>
      </c>
      <c r="N42" s="13"/>
    </row>
    <row r="43" spans="8:14" ht="30" customHeight="1" x14ac:dyDescent="0.25">
      <c r="H43" s="329" t="s">
        <v>51</v>
      </c>
      <c r="I43" s="426">
        <f ca="1">IF(ISNA(OFFSET($I$6,MATCH($H43,$H$7:$H$39),0)),"",OFFSET($I$6,MATCH($H43,$H$7:$H$39),0))</f>
        <v>21.1</v>
      </c>
      <c r="N43" s="13"/>
    </row>
    <row r="44" spans="8:14" ht="30" customHeight="1" x14ac:dyDescent="0.25">
      <c r="H44" s="329"/>
      <c r="I44" s="426" t="str">
        <f ca="1">IF(ISNA(OFFSET($I$6,MATCH($H44,$H$7:$H$39),0)),"",OFFSET($I$6,MATCH($H44,$H$7:$H$39),0))</f>
        <v/>
      </c>
      <c r="N44" s="13"/>
    </row>
    <row r="45" spans="8:14" ht="30" customHeight="1" x14ac:dyDescent="0.25">
      <c r="H45" s="329"/>
      <c r="I45" s="426" t="str">
        <f t="shared" ref="I45:I50" ca="1" si="2">IF(ISNA(OFFSET($I$6,MATCH($H45,$H$7:$H$39),0)),"",OFFSET($I$6,MATCH($H45,$H$7:$H$39),0))</f>
        <v/>
      </c>
      <c r="N45" s="13"/>
    </row>
    <row r="46" spans="8:14" ht="30" customHeight="1" x14ac:dyDescent="0.25">
      <c r="H46" s="329"/>
      <c r="I46" s="426" t="str">
        <f t="shared" ca="1" si="2"/>
        <v/>
      </c>
      <c r="N46" s="13"/>
    </row>
    <row r="47" spans="8:14" ht="30" customHeight="1" x14ac:dyDescent="0.25">
      <c r="H47" s="329"/>
      <c r="I47" s="426" t="str">
        <f t="shared" ca="1" si="2"/>
        <v/>
      </c>
      <c r="N47" s="13"/>
    </row>
    <row r="48" spans="8:14" ht="30" customHeight="1" x14ac:dyDescent="0.25">
      <c r="H48" s="329"/>
      <c r="I48" s="426" t="str">
        <f t="shared" ca="1" si="2"/>
        <v/>
      </c>
      <c r="N48" s="13"/>
    </row>
    <row r="49" spans="8:14" ht="30" customHeight="1" x14ac:dyDescent="0.25">
      <c r="H49" s="329"/>
      <c r="I49" s="426" t="str">
        <f t="shared" ca="1" si="2"/>
        <v/>
      </c>
      <c r="N49" s="13"/>
    </row>
    <row r="50" spans="8:14" ht="30" customHeight="1" x14ac:dyDescent="0.25">
      <c r="H50" s="331"/>
      <c r="I50" s="456" t="str">
        <f t="shared" ca="1" si="2"/>
        <v/>
      </c>
      <c r="N50" s="13"/>
    </row>
    <row r="51" spans="8:14" ht="30" customHeight="1" x14ac:dyDescent="0.25">
      <c r="N51" s="13"/>
    </row>
    <row r="52" spans="8:14" ht="30" customHeight="1" x14ac:dyDescent="0.25"/>
    <row r="53" spans="8:14" ht="30" customHeight="1" x14ac:dyDescent="0.25"/>
    <row r="54" spans="8:14" ht="30" customHeight="1" x14ac:dyDescent="0.25"/>
    <row r="55" spans="8:14" ht="30" customHeight="1" x14ac:dyDescent="0.25"/>
    <row r="56" spans="8:14" ht="30" customHeight="1" x14ac:dyDescent="0.25"/>
    <row r="57" spans="8:14" ht="30" customHeight="1" x14ac:dyDescent="0.25"/>
    <row r="58" spans="8:14" ht="30" customHeight="1" x14ac:dyDescent="0.25"/>
    <row r="59" spans="8:14" ht="30" customHeight="1" x14ac:dyDescent="0.25"/>
    <row r="60" spans="8:14" ht="30" customHeight="1" x14ac:dyDescent="0.25"/>
    <row r="61" spans="8:14" ht="30" customHeight="1" x14ac:dyDescent="0.25"/>
    <row r="62" spans="8:14" ht="30" customHeight="1" x14ac:dyDescent="0.25"/>
    <row r="63" spans="8:14" ht="30" customHeight="1" x14ac:dyDescent="0.25"/>
    <row r="64" spans="8:1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r2XWIVKIHr2/H0X5U8a8hY3dJx07ED0l2RQ+GnwuWha0hvOcQDxujG8qAwuqrTvmZW+JjlCFWEURkqB+LRKK6w==" saltValue="ELHec+Y2SMkgTv286/F4Cw==" spinCount="100000" sheet="1" objects="1" scenarios="1" formatColumns="0" formatRows="0" sort="0"/>
  <printOptions horizontalCentered="1"/>
  <pageMargins left="0.2" right="0.45" top="0.5" bottom="0.5" header="0.3" footer="0.3"/>
  <pageSetup scale="26" orientation="landscape" r:id="rId1"/>
  <headerFooter>
    <oddFooter>&amp;L1/3/2023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heetViews>
  <sheetFormatPr defaultRowHeight="15" x14ac:dyDescent="0.25"/>
  <cols>
    <col min="1" max="1" width="3.140625" customWidth="1"/>
    <col min="2" max="2" width="100.7109375" customWidth="1"/>
    <col min="3" max="3" width="2.28515625" customWidth="1"/>
    <col min="4" max="4" width="100.7109375" customWidth="1"/>
  </cols>
  <sheetData>
    <row r="1" spans="1:4" ht="26.25" x14ac:dyDescent="0.25">
      <c r="A1" s="183" t="s">
        <v>285</v>
      </c>
      <c r="B1" s="183"/>
      <c r="C1" s="183" t="s">
        <v>704</v>
      </c>
      <c r="D1" s="5"/>
    </row>
    <row r="2" spans="1:4" ht="26.25" x14ac:dyDescent="0.25">
      <c r="A2" s="183" t="s">
        <v>380</v>
      </c>
      <c r="B2" s="3"/>
      <c r="C2" s="183" t="s">
        <v>500</v>
      </c>
      <c r="D2" s="5"/>
    </row>
    <row r="3" spans="1:4" ht="26.25" customHeight="1" x14ac:dyDescent="0.25">
      <c r="A3" s="183"/>
      <c r="B3" s="3"/>
      <c r="C3" s="3"/>
    </row>
    <row r="4" spans="1:4" ht="47.25" x14ac:dyDescent="0.25">
      <c r="A4" s="180"/>
      <c r="B4" s="181" t="s">
        <v>651</v>
      </c>
      <c r="C4" s="181"/>
    </row>
    <row r="5" spans="1:4" ht="27" thickBot="1" x14ac:dyDescent="0.3">
      <c r="A5" s="179"/>
      <c r="B5" s="182" t="s">
        <v>27</v>
      </c>
      <c r="C5" s="182"/>
      <c r="D5" s="84"/>
    </row>
    <row r="6" spans="1:4" ht="15" customHeight="1" x14ac:dyDescent="0.25">
      <c r="A6" s="180"/>
      <c r="B6" s="184"/>
      <c r="C6" s="184"/>
    </row>
    <row r="7" spans="1:4" ht="75" customHeight="1" x14ac:dyDescent="0.25">
      <c r="A7" s="7" t="s">
        <v>641</v>
      </c>
      <c r="B7" s="164" t="s">
        <v>657</v>
      </c>
      <c r="C7" s="7" t="s">
        <v>641</v>
      </c>
      <c r="D7" s="164" t="s">
        <v>693</v>
      </c>
    </row>
    <row r="8" spans="1:4" ht="32.25" x14ac:dyDescent="0.25">
      <c r="A8" s="7" t="s">
        <v>642</v>
      </c>
      <c r="B8" s="164" t="s">
        <v>635</v>
      </c>
      <c r="C8" s="7" t="s">
        <v>642</v>
      </c>
      <c r="D8" s="10" t="s">
        <v>659</v>
      </c>
    </row>
    <row r="9" spans="1:4" ht="99.95" customHeight="1" x14ac:dyDescent="0.25">
      <c r="A9" s="7" t="s">
        <v>643</v>
      </c>
      <c r="B9" s="164" t="s">
        <v>653</v>
      </c>
      <c r="C9" s="7" t="s">
        <v>643</v>
      </c>
      <c r="D9" s="10" t="s">
        <v>307</v>
      </c>
    </row>
    <row r="10" spans="1:4" ht="75" x14ac:dyDescent="0.25">
      <c r="A10" s="7" t="s">
        <v>644</v>
      </c>
      <c r="B10" s="164" t="s">
        <v>636</v>
      </c>
      <c r="C10" s="7" t="s">
        <v>644</v>
      </c>
      <c r="D10" s="10" t="s">
        <v>308</v>
      </c>
    </row>
    <row r="11" spans="1:4" ht="69.95" customHeight="1" x14ac:dyDescent="0.25">
      <c r="A11" s="7" t="s">
        <v>645</v>
      </c>
      <c r="B11" s="164" t="s">
        <v>637</v>
      </c>
      <c r="C11" s="7" t="s">
        <v>645</v>
      </c>
      <c r="D11" s="10" t="s">
        <v>309</v>
      </c>
    </row>
    <row r="12" spans="1:4" ht="60" x14ac:dyDescent="0.25">
      <c r="A12" s="7" t="s">
        <v>646</v>
      </c>
      <c r="B12" s="164" t="s">
        <v>638</v>
      </c>
      <c r="C12" s="7"/>
    </row>
    <row r="13" spans="1:4" ht="54.95" customHeight="1" x14ac:dyDescent="0.25">
      <c r="A13" s="7" t="s">
        <v>647</v>
      </c>
      <c r="B13" s="164" t="s">
        <v>639</v>
      </c>
      <c r="C13" s="7"/>
    </row>
    <row r="14" spans="1:4" ht="54.95" customHeight="1" x14ac:dyDescent="0.25">
      <c r="A14" s="7" t="s">
        <v>648</v>
      </c>
      <c r="B14" s="164" t="s">
        <v>658</v>
      </c>
      <c r="C14" s="7"/>
    </row>
    <row r="15" spans="1:4" ht="39.950000000000003" customHeight="1" x14ac:dyDescent="0.25">
      <c r="A15" s="7" t="s">
        <v>649</v>
      </c>
      <c r="B15" s="164" t="s">
        <v>640</v>
      </c>
      <c r="C15" s="7"/>
      <c r="D15" s="237"/>
    </row>
    <row r="16" spans="1:4" ht="24.95" customHeight="1" x14ac:dyDescent="0.25">
      <c r="A16" s="7" t="s">
        <v>650</v>
      </c>
      <c r="B16" s="10" t="s">
        <v>309</v>
      </c>
      <c r="C16" s="164"/>
      <c r="D16" s="23" t="str">
        <f>Edition_Date</f>
        <v>1/3/2023 Edition</v>
      </c>
    </row>
    <row r="17" spans="1:3" ht="90" customHeight="1" x14ac:dyDescent="0.25">
      <c r="A17" s="7"/>
      <c r="B17" s="164"/>
      <c r="C17" s="164"/>
    </row>
    <row r="19" spans="1:3" x14ac:dyDescent="0.25">
      <c r="B19" s="164"/>
    </row>
    <row r="22" spans="1:3" x14ac:dyDescent="0.25">
      <c r="B22" s="164"/>
    </row>
  </sheetData>
  <sheetProtection algorithmName="SHA-512" hashValue="fXc3+Gd+P7m3QQYVwV3sKKiO/5nlkYHOxQMX6+KEWUNwFt2Ul9Laqz+blsH6a46gYrCnthF6r45mfQLSuPNgoQ==" saltValue="X2uVorXuS3/3e/VFLAU98A=="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Template&amp;L1/3/2023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1"/>
  <sheetViews>
    <sheetView showGridLines="0" view="pageBreakPreview" zoomScaleNormal="100" zoomScaleSheetLayoutView="100" workbookViewId="0">
      <selection activeCell="D24" sqref="D24"/>
    </sheetView>
  </sheetViews>
  <sheetFormatPr defaultColWidth="9.140625" defaultRowHeight="15" x14ac:dyDescent="0.25"/>
  <cols>
    <col min="1" max="1" width="44.7109375" customWidth="1"/>
    <col min="2" max="2" width="5.7109375" customWidth="1"/>
    <col min="3" max="3" width="23.85546875" customWidth="1"/>
    <col min="4" max="6" width="12.7109375" customWidth="1"/>
    <col min="7" max="7" width="23.140625" customWidth="1"/>
    <col min="8" max="8" width="0.85546875" customWidth="1"/>
    <col min="9" max="9" width="5.28515625" hidden="1" customWidth="1"/>
    <col min="10" max="10" width="195.42578125" style="6" bestFit="1" customWidth="1"/>
  </cols>
  <sheetData>
    <row r="1" spans="1:10" ht="15.75" thickBot="1" x14ac:dyDescent="0.3">
      <c r="A1" s="1" t="s">
        <v>31</v>
      </c>
      <c r="B1" s="1"/>
      <c r="E1" s="1" t="s">
        <v>33</v>
      </c>
      <c r="G1" s="8" t="str">
        <f>Co_Name</f>
        <v>State Farm Mutual Automobile Insurance Company</v>
      </c>
      <c r="H1" s="8"/>
      <c r="J1" s="74" t="s">
        <v>661</v>
      </c>
    </row>
    <row r="2" spans="1:10" x14ac:dyDescent="0.25">
      <c r="A2" s="1" t="s">
        <v>32</v>
      </c>
      <c r="B2" s="1"/>
      <c r="E2" s="1" t="s">
        <v>34</v>
      </c>
      <c r="G2" s="8" t="str">
        <f>General_Line</f>
        <v>Auto Liability and Physical Damage</v>
      </c>
      <c r="H2" s="8"/>
      <c r="J2" s="176" t="s">
        <v>113</v>
      </c>
    </row>
    <row r="3" spans="1:10" ht="18" customHeight="1" x14ac:dyDescent="0.25">
      <c r="A3" s="1"/>
      <c r="B3" s="1"/>
      <c r="C3" s="158"/>
      <c r="I3" s="8"/>
      <c r="J3" s="213"/>
    </row>
    <row r="4" spans="1:10" ht="23.25" x14ac:dyDescent="0.25">
      <c r="A4" s="4" t="s">
        <v>655</v>
      </c>
      <c r="B4" s="4"/>
      <c r="C4" s="5"/>
      <c r="D4" s="5"/>
      <c r="E4" s="5"/>
      <c r="F4" s="5"/>
      <c r="G4" s="5"/>
      <c r="H4" s="5"/>
      <c r="I4" s="5"/>
      <c r="J4" s="213"/>
    </row>
    <row r="5" spans="1:10" ht="23.25" x14ac:dyDescent="0.25">
      <c r="A5" s="4" t="s">
        <v>656</v>
      </c>
      <c r="B5" s="4"/>
      <c r="C5" s="5"/>
      <c r="D5" s="5"/>
      <c r="E5" s="5"/>
      <c r="F5" s="5"/>
      <c r="G5" s="5"/>
      <c r="H5" s="5"/>
      <c r="I5" s="5"/>
      <c r="J5" s="214"/>
    </row>
    <row r="6" spans="1:10" ht="18" customHeight="1" x14ac:dyDescent="0.25">
      <c r="A6" s="7"/>
      <c r="B6" s="4"/>
      <c r="C6" s="5"/>
      <c r="D6" s="5"/>
      <c r="E6" s="5"/>
      <c r="F6" s="5"/>
      <c r="G6" s="5"/>
      <c r="H6" s="5"/>
      <c r="I6" s="5"/>
      <c r="J6" s="213"/>
    </row>
    <row r="7" spans="1:10" ht="18" customHeight="1" x14ac:dyDescent="0.25">
      <c r="A7" s="4"/>
      <c r="B7" s="4"/>
      <c r="C7" s="5"/>
      <c r="D7" s="5"/>
      <c r="E7" s="5"/>
      <c r="F7" s="5"/>
      <c r="G7" s="5"/>
      <c r="H7" s="5"/>
      <c r="I7" s="5"/>
      <c r="J7" s="213"/>
    </row>
    <row r="8" spans="1:10" ht="18" customHeight="1" x14ac:dyDescent="0.25">
      <c r="A8" s="7" t="s">
        <v>1</v>
      </c>
      <c r="B8" s="7"/>
      <c r="C8" s="235" t="s">
        <v>760</v>
      </c>
      <c r="D8" s="6"/>
      <c r="E8" s="23" t="s">
        <v>740</v>
      </c>
      <c r="F8" s="241">
        <v>44979</v>
      </c>
      <c r="G8" s="6"/>
      <c r="H8" s="6"/>
      <c r="I8" s="6"/>
      <c r="J8" s="226" t="str">
        <f>IF(ISBLANK(F8),"← Warning! Enter the last modified date of this Excel file.",
IF(ISERROR(VALUE(F8)),"← Warning! Date is not being read as a date value; re-enter date information according to your system date format.",""))</f>
        <v/>
      </c>
    </row>
    <row r="9" spans="1:10" ht="9.9499999999999993" customHeight="1" x14ac:dyDescent="0.25">
      <c r="A9" s="6"/>
      <c r="B9" s="6"/>
      <c r="C9" s="6"/>
      <c r="D9" s="6"/>
      <c r="E9" s="6"/>
      <c r="F9" s="6"/>
      <c r="G9" s="6"/>
      <c r="H9" s="6"/>
      <c r="I9" s="6"/>
      <c r="J9" s="214"/>
    </row>
    <row r="10" spans="1:10" ht="18" customHeight="1" x14ac:dyDescent="0.25">
      <c r="A10" s="7" t="s">
        <v>365</v>
      </c>
      <c r="B10" s="7"/>
      <c r="C10" s="403"/>
      <c r="D10" s="6"/>
      <c r="E10" s="23" t="s">
        <v>739</v>
      </c>
      <c r="F10" s="241">
        <v>45016</v>
      </c>
      <c r="G10" s="6"/>
      <c r="H10" s="6"/>
      <c r="I10" s="6"/>
      <c r="J10" s="226" t="str">
        <f>IF(ISBLANK(F10),"← ERROR! Enter the original SERFF submission date of this filing.",
IF(ISERROR(VALUE(F10)),"← ERROR! Date is not being read as a date value; re-enter date information according to your system date format.",""))</f>
        <v/>
      </c>
    </row>
    <row r="11" spans="1:10" ht="18" customHeight="1" x14ac:dyDescent="0.25">
      <c r="A11" s="6"/>
      <c r="B11" s="6"/>
      <c r="C11" s="236"/>
      <c r="D11" s="6"/>
      <c r="E11" s="6"/>
      <c r="F11" s="6"/>
      <c r="J11" s="214"/>
    </row>
    <row r="12" spans="1:10" ht="15" customHeight="1" x14ac:dyDescent="0.25">
      <c r="A12" s="6"/>
      <c r="B12" s="6"/>
      <c r="C12" s="6"/>
      <c r="D12" s="6"/>
      <c r="E12" s="6"/>
      <c r="F12" s="6"/>
      <c r="G12" s="6"/>
      <c r="H12" s="6"/>
      <c r="I12" s="6"/>
      <c r="J12" s="214"/>
    </row>
    <row r="13" spans="1:10" ht="15" customHeight="1" x14ac:dyDescent="0.25">
      <c r="A13" s="7" t="s">
        <v>0</v>
      </c>
      <c r="B13" s="7"/>
      <c r="C13" s="618" t="s">
        <v>759</v>
      </c>
      <c r="D13" s="619"/>
      <c r="E13" s="619"/>
      <c r="F13" s="620"/>
      <c r="G13" s="6"/>
      <c r="H13" s="6"/>
      <c r="I13" s="6"/>
      <c r="J13" s="214"/>
    </row>
    <row r="14" spans="1:10" ht="15" customHeight="1" x14ac:dyDescent="0.25">
      <c r="A14" s="7"/>
      <c r="B14" s="7"/>
      <c r="C14" s="7"/>
      <c r="D14" s="7"/>
      <c r="E14" s="7"/>
      <c r="F14" s="7"/>
      <c r="G14" s="6"/>
      <c r="H14" s="6"/>
      <c r="I14" s="6"/>
      <c r="J14" s="214"/>
    </row>
    <row r="15" spans="1:10" ht="15" customHeight="1" x14ac:dyDescent="0.25">
      <c r="A15" s="7" t="s">
        <v>155</v>
      </c>
      <c r="B15" s="7"/>
      <c r="C15" s="1"/>
      <c r="D15" s="239" t="s">
        <v>79</v>
      </c>
      <c r="E15" s="239" t="s">
        <v>80</v>
      </c>
      <c r="F15" s="239" t="s">
        <v>81</v>
      </c>
      <c r="G15" s="6"/>
      <c r="H15" s="6"/>
      <c r="I15" s="6"/>
      <c r="J15" s="214"/>
    </row>
    <row r="16" spans="1:10" ht="15" customHeight="1" x14ac:dyDescent="0.25">
      <c r="A16" s="7"/>
      <c r="B16" s="7"/>
      <c r="C16" s="7"/>
      <c r="D16" s="240">
        <v>1</v>
      </c>
      <c r="E16" s="240"/>
      <c r="F16" s="240"/>
      <c r="G16" s="233"/>
      <c r="H16" s="233"/>
      <c r="I16" s="7"/>
      <c r="J16" s="226" t="str">
        <f>IF(SUM($D$16:$F$16)&lt;&gt;1,"← ERROR! Sum of all marketing systems must add to 100%.","")</f>
        <v/>
      </c>
    </row>
    <row r="17" spans="1:10" ht="15" customHeight="1" x14ac:dyDescent="0.25">
      <c r="A17" s="7"/>
      <c r="B17" s="7"/>
      <c r="C17" s="7"/>
      <c r="D17" s="7"/>
      <c r="E17" s="7"/>
      <c r="F17" s="7"/>
      <c r="G17" s="234"/>
      <c r="H17" s="234"/>
      <c r="I17" s="6"/>
      <c r="J17" s="214"/>
    </row>
    <row r="18" spans="1:10" ht="15" customHeight="1" x14ac:dyDescent="0.25">
      <c r="A18" s="7" t="s">
        <v>4</v>
      </c>
      <c r="B18" s="7"/>
      <c r="C18" s="7"/>
      <c r="D18" s="7"/>
      <c r="E18" s="7"/>
      <c r="F18" s="7"/>
      <c r="G18" s="234"/>
      <c r="H18" s="234"/>
      <c r="I18" s="6"/>
      <c r="J18" s="226" t="str">
        <f>IF(INDEX(List_LineType,References!$D$5,1)="","← ERROR! Select a Line Type from the pull-down menu.","")</f>
        <v/>
      </c>
    </row>
    <row r="19" spans="1:10" ht="15" customHeight="1" x14ac:dyDescent="0.25">
      <c r="A19" s="7"/>
      <c r="B19" s="7"/>
      <c r="C19" s="7"/>
      <c r="D19" s="7"/>
      <c r="E19" s="7"/>
      <c r="F19" s="7"/>
      <c r="G19" s="234"/>
      <c r="H19" s="234"/>
      <c r="I19" s="6"/>
      <c r="J19" s="214"/>
    </row>
    <row r="20" spans="1:10" ht="15" customHeight="1" x14ac:dyDescent="0.25">
      <c r="A20" s="7" t="s">
        <v>7</v>
      </c>
      <c r="B20" s="7"/>
      <c r="C20" s="7"/>
      <c r="D20" s="7"/>
      <c r="E20" s="7"/>
      <c r="F20" s="7"/>
      <c r="G20" s="6"/>
      <c r="H20" s="6"/>
      <c r="I20" s="6"/>
      <c r="J20" s="226" t="str">
        <f>IF(INDEX(List_GeneralLine,References!$F$5,1)="","← ERROR! Select a General Line from the pull-down menu.","")</f>
        <v/>
      </c>
    </row>
    <row r="21" spans="1:10" ht="15" customHeight="1" x14ac:dyDescent="0.25">
      <c r="A21" s="7"/>
      <c r="B21" s="7"/>
      <c r="C21" s="7"/>
      <c r="D21" s="7"/>
      <c r="E21" s="7"/>
      <c r="F21" s="7"/>
      <c r="G21" s="234"/>
      <c r="H21" s="234"/>
      <c r="I21" s="6"/>
      <c r="J21" s="214"/>
    </row>
    <row r="22" spans="1:10" ht="15" customHeight="1" x14ac:dyDescent="0.25">
      <c r="A22" s="7"/>
      <c r="B22" s="7"/>
      <c r="C22" s="7"/>
      <c r="D22" s="7"/>
      <c r="E22" s="7"/>
      <c r="F22" s="7"/>
      <c r="G22" s="234"/>
      <c r="H22" s="234"/>
      <c r="I22" s="6"/>
      <c r="J22" s="226"/>
    </row>
    <row r="23" spans="1:10" ht="15" customHeight="1" x14ac:dyDescent="0.25">
      <c r="A23" s="7" t="s">
        <v>82</v>
      </c>
      <c r="B23" s="7"/>
      <c r="C23" s="7"/>
      <c r="D23" s="241">
        <v>45348</v>
      </c>
      <c r="E23" s="7"/>
      <c r="F23" s="7"/>
      <c r="G23" s="234"/>
      <c r="H23" s="234"/>
      <c r="I23" s="6"/>
      <c r="J23" s="400" t="str">
        <f>IF(ISBLANK($D$23),"← ERROR! Enter a proposed effective date.",IF($D$23&lt;=$D$22,"← ERROR! Proposed effective date must be after prior effective date.",""))</f>
        <v/>
      </c>
    </row>
    <row r="24" spans="1:10" ht="15" customHeight="1" x14ac:dyDescent="0.25">
      <c r="A24" s="7"/>
      <c r="B24" s="7"/>
      <c r="C24" s="7"/>
      <c r="D24" s="7"/>
      <c r="E24" s="7"/>
      <c r="F24" s="7"/>
      <c r="G24" s="234"/>
      <c r="H24" s="234"/>
      <c r="I24" s="6"/>
      <c r="J24" s="214"/>
    </row>
    <row r="25" spans="1:10" ht="15" customHeight="1" x14ac:dyDescent="0.25">
      <c r="A25" s="7" t="s">
        <v>364</v>
      </c>
      <c r="B25" s="7"/>
      <c r="C25" s="7" t="s">
        <v>702</v>
      </c>
      <c r="D25" s="7"/>
      <c r="E25" s="266" t="str">
        <f>IF(Settings!$E$24=FALSE,"(LCM Calculation(s) is(are) hidden unless this box is checked.)","")</f>
        <v>(LCM Calculation(s) is(are) hidden unless this box is checked.)</v>
      </c>
      <c r="F25" s="7"/>
      <c r="G25" s="234"/>
      <c r="H25" s="234"/>
      <c r="I25" s="6"/>
      <c r="J25" s="214"/>
    </row>
    <row r="26" spans="1:10" ht="4.9000000000000004" hidden="1" customHeight="1" x14ac:dyDescent="0.25">
      <c r="A26" s="6"/>
      <c r="B26" s="6"/>
      <c r="C26" s="6"/>
      <c r="D26" s="6"/>
      <c r="E26" s="6"/>
      <c r="F26" s="6"/>
      <c r="G26" s="234"/>
      <c r="H26" s="234"/>
      <c r="I26" s="6"/>
      <c r="J26" s="214"/>
    </row>
    <row r="27" spans="1:10" ht="18" hidden="1" customHeight="1" x14ac:dyDescent="0.25">
      <c r="A27" s="7" t="s">
        <v>748</v>
      </c>
      <c r="B27" s="6"/>
      <c r="C27" s="6"/>
      <c r="D27" s="6"/>
      <c r="E27" s="6"/>
      <c r="F27" s="6"/>
      <c r="G27" s="234"/>
      <c r="H27" s="234"/>
      <c r="I27" s="6"/>
      <c r="J27" s="214"/>
    </row>
    <row r="28" spans="1:10" ht="15" customHeight="1" x14ac:dyDescent="0.25">
      <c r="A28" s="7"/>
      <c r="B28" s="7"/>
      <c r="C28" s="6"/>
      <c r="D28" s="6"/>
      <c r="E28" s="6"/>
      <c r="F28" s="6"/>
      <c r="G28" s="234"/>
      <c r="H28" s="234"/>
      <c r="I28" s="6"/>
      <c r="J28" s="214"/>
    </row>
    <row r="29" spans="1:10" ht="15" customHeight="1" x14ac:dyDescent="0.25">
      <c r="A29" s="7" t="s">
        <v>386</v>
      </c>
      <c r="B29" s="7"/>
      <c r="C29" s="341">
        <v>20223</v>
      </c>
      <c r="D29" s="6"/>
      <c r="E29" s="6"/>
      <c r="F29" s="6"/>
      <c r="G29" s="234"/>
      <c r="H29" s="234"/>
      <c r="I29" s="6"/>
      <c r="J29" s="40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25">
      <c r="A30" s="394" t="s">
        <v>601</v>
      </c>
      <c r="B30" s="7"/>
      <c r="C30" s="437"/>
      <c r="D30" s="6"/>
      <c r="E30" s="6"/>
      <c r="F30" s="6"/>
      <c r="G30" s="234"/>
      <c r="H30" s="234"/>
      <c r="I30" s="6"/>
      <c r="J30" s="400"/>
    </row>
    <row r="31" spans="1:10" ht="30" customHeight="1" x14ac:dyDescent="0.25">
      <c r="A31" s="7"/>
      <c r="B31" s="7"/>
      <c r="C31" s="621" t="s">
        <v>660</v>
      </c>
      <c r="D31" s="621"/>
      <c r="E31" s="621"/>
      <c r="F31" s="6"/>
      <c r="G31" s="234"/>
      <c r="H31" s="234"/>
      <c r="I31" s="6"/>
      <c r="J31" s="214"/>
    </row>
    <row r="32" spans="1:10" ht="60" x14ac:dyDescent="0.25">
      <c r="A32" s="237" t="s">
        <v>382</v>
      </c>
      <c r="B32" s="237"/>
      <c r="C32" s="342" t="s">
        <v>634</v>
      </c>
      <c r="D32" s="342" t="s">
        <v>561</v>
      </c>
      <c r="E32" s="342" t="s">
        <v>680</v>
      </c>
      <c r="G32" s="234"/>
      <c r="J32" s="214"/>
    </row>
    <row r="33" spans="1:10" ht="5.0999999999999996" customHeight="1" x14ac:dyDescent="0.25">
      <c r="G33" s="234"/>
      <c r="J33" s="429"/>
    </row>
    <row r="34" spans="1:10" ht="20.100000000000001" customHeight="1" x14ac:dyDescent="0.25">
      <c r="A34" s="238">
        <v>2</v>
      </c>
      <c r="C34" s="512" t="s">
        <v>751</v>
      </c>
      <c r="D34" s="240">
        <v>0.222</v>
      </c>
      <c r="E34" s="241">
        <v>45061</v>
      </c>
      <c r="G34" s="234"/>
      <c r="J34" s="42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25">
      <c r="A35" s="238">
        <v>2</v>
      </c>
      <c r="C35" s="512" t="s">
        <v>752</v>
      </c>
      <c r="D35" s="240">
        <v>0.222</v>
      </c>
      <c r="E35" s="241">
        <v>45061</v>
      </c>
      <c r="G35" s="234"/>
      <c r="J35" s="429" t="str">
        <f t="shared" si="0"/>
        <v/>
      </c>
    </row>
    <row r="36" spans="1:10" ht="20.100000000000001" customHeight="1" x14ac:dyDescent="0.25">
      <c r="A36" s="238">
        <v>2</v>
      </c>
      <c r="C36" s="512" t="s">
        <v>753</v>
      </c>
      <c r="D36" s="240">
        <v>0.15</v>
      </c>
      <c r="E36" s="241">
        <v>45061</v>
      </c>
      <c r="G36" s="234"/>
      <c r="J36" s="429" t="str">
        <f t="shared" si="0"/>
        <v/>
      </c>
    </row>
    <row r="37" spans="1:10" ht="20.100000000000001" customHeight="1" x14ac:dyDescent="0.25">
      <c r="A37" s="238">
        <v>3</v>
      </c>
      <c r="C37" s="512" t="s">
        <v>754</v>
      </c>
      <c r="D37" s="240">
        <v>0.26600000000000001</v>
      </c>
      <c r="E37" s="241">
        <v>45061</v>
      </c>
      <c r="G37" s="234"/>
      <c r="J37" s="429" t="str">
        <f t="shared" si="0"/>
        <v/>
      </c>
    </row>
    <row r="38" spans="1:10" ht="20.100000000000001" customHeight="1" x14ac:dyDescent="0.25">
      <c r="A38" s="238">
        <v>3</v>
      </c>
      <c r="C38" s="512" t="s">
        <v>755</v>
      </c>
      <c r="D38" s="240">
        <v>0.19</v>
      </c>
      <c r="E38" s="241">
        <v>45061</v>
      </c>
      <c r="G38" s="234"/>
      <c r="J38" s="429" t="str">
        <f t="shared" si="0"/>
        <v/>
      </c>
    </row>
    <row r="39" spans="1:10" ht="20.100000000000001" customHeight="1" x14ac:dyDescent="0.25">
      <c r="A39" s="238">
        <v>3</v>
      </c>
      <c r="C39" s="512" t="s">
        <v>756</v>
      </c>
      <c r="D39" s="240">
        <v>0.21299999999999999</v>
      </c>
      <c r="E39" s="241">
        <v>45061</v>
      </c>
      <c r="G39" s="234"/>
      <c r="J39" s="429" t="str">
        <f t="shared" si="0"/>
        <v/>
      </c>
    </row>
    <row r="40" spans="1:10" ht="20.100000000000001" customHeight="1" x14ac:dyDescent="0.25">
      <c r="A40" s="238">
        <v>2</v>
      </c>
      <c r="C40" s="512" t="s">
        <v>757</v>
      </c>
      <c r="D40" s="240">
        <v>-9.6000000000000002E-2</v>
      </c>
      <c r="E40" s="241">
        <v>45061</v>
      </c>
      <c r="G40" s="234"/>
      <c r="J40" s="429" t="str">
        <f t="shared" si="0"/>
        <v/>
      </c>
    </row>
    <row r="41" spans="1:10" ht="20.100000000000001" customHeight="1" x14ac:dyDescent="0.25">
      <c r="A41" s="238">
        <v>1</v>
      </c>
      <c r="C41" s="512"/>
      <c r="D41" s="240"/>
      <c r="E41" s="241"/>
      <c r="G41" s="234"/>
      <c r="J41" s="429" t="str">
        <f t="shared" si="0"/>
        <v/>
      </c>
    </row>
    <row r="42" spans="1:10" ht="20.100000000000001" customHeight="1" x14ac:dyDescent="0.25">
      <c r="A42" s="238">
        <v>1</v>
      </c>
      <c r="C42" s="512"/>
      <c r="D42" s="240"/>
      <c r="E42" s="241"/>
      <c r="G42" s="234"/>
      <c r="J42" s="429" t="str">
        <f t="shared" si="0"/>
        <v/>
      </c>
    </row>
    <row r="43" spans="1:10" ht="20.100000000000001" customHeight="1" x14ac:dyDescent="0.25">
      <c r="A43" s="238">
        <v>1</v>
      </c>
      <c r="C43" s="512"/>
      <c r="D43" s="240"/>
      <c r="E43" s="241"/>
      <c r="G43" s="234"/>
      <c r="J43" s="429" t="str">
        <f t="shared" si="0"/>
        <v/>
      </c>
    </row>
    <row r="44" spans="1:10" ht="20.100000000000001" customHeight="1" x14ac:dyDescent="0.25">
      <c r="A44" s="266"/>
      <c r="B44" s="266"/>
      <c r="C44" s="266"/>
      <c r="G44" s="234"/>
      <c r="J44" s="400"/>
    </row>
    <row r="45" spans="1:10" ht="20.100000000000001" customHeight="1" x14ac:dyDescent="0.25">
      <c r="A45" s="431"/>
      <c r="B45" s="431"/>
      <c r="C45" s="431"/>
      <c r="J45" s="400"/>
    </row>
    <row r="46" spans="1:10" x14ac:dyDescent="0.25">
      <c r="A46" s="1" t="s">
        <v>602</v>
      </c>
      <c r="J46" s="214"/>
    </row>
    <row r="47" spans="1:10" ht="18" customHeight="1" x14ac:dyDescent="0.25">
      <c r="A47" t="s">
        <v>604</v>
      </c>
      <c r="D47" s="23" t="s">
        <v>83</v>
      </c>
      <c r="E47" s="424" t="s">
        <v>98</v>
      </c>
      <c r="I47" s="430">
        <v>1</v>
      </c>
      <c r="J47" s="400"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25">
      <c r="A48" s="12" t="s">
        <v>610</v>
      </c>
      <c r="E48" s="425"/>
      <c r="I48" s="430">
        <v>2</v>
      </c>
      <c r="J48" s="400"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75" thickBot="1" x14ac:dyDescent="0.3">
      <c r="D49" s="23"/>
      <c r="E49" s="425"/>
      <c r="J49" s="401"/>
    </row>
    <row r="51" spans="1:10" x14ac:dyDescent="0.25">
      <c r="A51" s="1" t="s">
        <v>624</v>
      </c>
      <c r="B51" s="1"/>
      <c r="C51" s="427"/>
    </row>
  </sheetData>
  <sheetProtection algorithmName="SHA-512" hashValue="lS14EJ4JX2ctJ1dSetGfLiVUpaYGCuutT4Dv5NGiFkMyoYSiMQMZP6Vp7dDdkJL+yUUEaLirOabpSoAiMS9fPw==" saltValue="m0HMAKVq+xAoKlZulHed+Q==" spinCount="100000" sheet="1" objects="1" scenarios="1" formatColumns="0" formatRows="0" sort="0"/>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3"/>
  <pageSetup scale="70" orientation="portrait" r:id="rId1"/>
  <headerFooter>
    <oddFooter>&amp;CPrior Approval Rate Template&amp;RPage 1&amp;L1/3/2023 Edition</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542925</xdr:colOff>
                <xdr:row>47</xdr:row>
                <xdr:rowOff>19050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9525</xdr:colOff>
                <xdr:row>17</xdr:row>
                <xdr:rowOff>9525</xdr:rowOff>
              </from>
              <to>
                <xdr:col>2</xdr:col>
                <xdr:colOff>1333500</xdr:colOff>
                <xdr:row>18</xdr:row>
                <xdr:rowOff>19050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9525</xdr:colOff>
                <xdr:row>19</xdr:row>
                <xdr:rowOff>9525</xdr:rowOff>
              </from>
              <to>
                <xdr:col>5</xdr:col>
                <xdr:colOff>152400</xdr:colOff>
                <xdr:row>20</xdr:row>
                <xdr:rowOff>19050</xdr:rowOff>
              </to>
            </anchor>
          </controlPr>
        </control>
      </mc:Choice>
    </mc:AlternateContent>
    <mc:AlternateContent xmlns:mc="http://schemas.openxmlformats.org/markup-compatibility/2006">
      <mc:Choice Requires="x14">
        <control shapeId="1073" r:id="rId8" name="Check Box 49">
          <controlPr defaultSize="0" autoFill="0" autoLine="0" autoPict="0" macro="[0]!NewProgram_Click">
            <anchor moveWithCells="1">
              <from>
                <xdr:col>0</xdr:col>
                <xdr:colOff>1238250</xdr:colOff>
                <xdr:row>23</xdr:row>
                <xdr:rowOff>104775</xdr:rowOff>
              </from>
              <to>
                <xdr:col>0</xdr:col>
                <xdr:colOff>1543050</xdr:colOff>
                <xdr:row>27</xdr:row>
                <xdr:rowOff>114300</xdr:rowOff>
              </to>
            </anchor>
          </controlPr>
        </control>
      </mc:Choice>
    </mc:AlternateContent>
    <mc:AlternateContent xmlns:mc="http://schemas.openxmlformats.org/markup-compatibility/2006">
      <mc:Choice Requires="x14">
        <control shapeId="1076" r:id="rId9" name="Check Box 52">
          <controlPr defaultSize="0" autoFill="0" autoLine="0" autoPict="0" macro="[0]!LCMVisible">
            <anchor moveWithCells="1">
              <from>
                <xdr:col>3</xdr:col>
                <xdr:colOff>161925</xdr:colOff>
                <xdr:row>23</xdr:row>
                <xdr:rowOff>95250</xdr:rowOff>
              </from>
              <to>
                <xdr:col>3</xdr:col>
                <xdr:colOff>466725</xdr:colOff>
                <xdr:row>27</xdr:row>
                <xdr:rowOff>104775</xdr:rowOff>
              </to>
            </anchor>
          </controlPr>
        </control>
      </mc:Choice>
    </mc:AlternateContent>
    <mc:AlternateContent xmlns:mc="http://schemas.openxmlformats.org/markup-compatibility/2006">
      <mc:Choice Requires="x14">
        <control shapeId="1077" r:id="rId10" name="cvg1DropDown">
          <controlPr defaultSize="0" autoLine="0" autoPict="0" macro="[0]!cvg1DropDown_Change">
            <anchor moveWithCells="1">
              <from>
                <xdr:col>0</xdr:col>
                <xdr:colOff>28575</xdr:colOff>
                <xdr:row>33</xdr:row>
                <xdr:rowOff>9525</xdr:rowOff>
              </from>
              <to>
                <xdr:col>0</xdr:col>
                <xdr:colOff>2971800</xdr:colOff>
                <xdr:row>34</xdr:row>
                <xdr:rowOff>0</xdr:rowOff>
              </to>
            </anchor>
          </controlPr>
        </control>
      </mc:Choice>
    </mc:AlternateContent>
    <mc:AlternateContent xmlns:mc="http://schemas.openxmlformats.org/markup-compatibility/2006">
      <mc:Choice Requires="x14">
        <control shapeId="1078" r:id="rId11" name="cvg2DropDown">
          <controlPr defaultSize="0" autoLine="0" autoPict="0" macro="[0]!cvg2DropDown_Change">
            <anchor moveWithCells="1">
              <from>
                <xdr:col>0</xdr:col>
                <xdr:colOff>28575</xdr:colOff>
                <xdr:row>34</xdr:row>
                <xdr:rowOff>9525</xdr:rowOff>
              </from>
              <to>
                <xdr:col>0</xdr:col>
                <xdr:colOff>2971800</xdr:colOff>
                <xdr:row>35</xdr:row>
                <xdr:rowOff>0</xdr:rowOff>
              </to>
            </anchor>
          </controlPr>
        </control>
      </mc:Choice>
    </mc:AlternateContent>
    <mc:AlternateContent xmlns:mc="http://schemas.openxmlformats.org/markup-compatibility/2006">
      <mc:Choice Requires="x14">
        <control shapeId="1079" r:id="rId12" name="cvg3DropDown">
          <controlPr defaultSize="0" autoLine="0" autoPict="0" macro="[0]!cvg3DropDown_Change">
            <anchor moveWithCells="1">
              <from>
                <xdr:col>0</xdr:col>
                <xdr:colOff>28575</xdr:colOff>
                <xdr:row>35</xdr:row>
                <xdr:rowOff>9525</xdr:rowOff>
              </from>
              <to>
                <xdr:col>0</xdr:col>
                <xdr:colOff>2971800</xdr:colOff>
                <xdr:row>36</xdr:row>
                <xdr:rowOff>0</xdr:rowOff>
              </to>
            </anchor>
          </controlPr>
        </control>
      </mc:Choice>
    </mc:AlternateContent>
    <mc:AlternateContent xmlns:mc="http://schemas.openxmlformats.org/markup-compatibility/2006">
      <mc:Choice Requires="x14">
        <control shapeId="1080" r:id="rId13" name="cvg4DropDown">
          <controlPr defaultSize="0" autoLine="0" autoPict="0" macro="[0]!cvg4DropDown_Change">
            <anchor moveWithCells="1">
              <from>
                <xdr:col>0</xdr:col>
                <xdr:colOff>28575</xdr:colOff>
                <xdr:row>36</xdr:row>
                <xdr:rowOff>0</xdr:rowOff>
              </from>
              <to>
                <xdr:col>0</xdr:col>
                <xdr:colOff>2971800</xdr:colOff>
                <xdr:row>36</xdr:row>
                <xdr:rowOff>238125</xdr:rowOff>
              </to>
            </anchor>
          </controlPr>
        </control>
      </mc:Choice>
    </mc:AlternateContent>
    <mc:AlternateContent xmlns:mc="http://schemas.openxmlformats.org/markup-compatibility/2006">
      <mc:Choice Requires="x14">
        <control shapeId="1081" r:id="rId14" name="cvg5DropDown">
          <controlPr defaultSize="0" autoLine="0" autoPict="0" macro="[0]!cvg5DropDown_Change">
            <anchor moveWithCells="1">
              <from>
                <xdr:col>0</xdr:col>
                <xdr:colOff>28575</xdr:colOff>
                <xdr:row>37</xdr:row>
                <xdr:rowOff>0</xdr:rowOff>
              </from>
              <to>
                <xdr:col>0</xdr:col>
                <xdr:colOff>2971800</xdr:colOff>
                <xdr:row>37</xdr:row>
                <xdr:rowOff>238125</xdr:rowOff>
              </to>
            </anchor>
          </controlPr>
        </control>
      </mc:Choice>
    </mc:AlternateContent>
    <mc:AlternateContent xmlns:mc="http://schemas.openxmlformats.org/markup-compatibility/2006">
      <mc:Choice Requires="x14">
        <control shapeId="1082" r:id="rId15" name="cvg6DropDown">
          <controlPr defaultSize="0" autoLine="0" autoPict="0" macro="[0]!cvg6DropDown_Change">
            <anchor moveWithCells="1">
              <from>
                <xdr:col>0</xdr:col>
                <xdr:colOff>28575</xdr:colOff>
                <xdr:row>38</xdr:row>
                <xdr:rowOff>0</xdr:rowOff>
              </from>
              <to>
                <xdr:col>0</xdr:col>
                <xdr:colOff>2971800</xdr:colOff>
                <xdr:row>38</xdr:row>
                <xdr:rowOff>238125</xdr:rowOff>
              </to>
            </anchor>
          </controlPr>
        </control>
      </mc:Choice>
    </mc:AlternateContent>
    <mc:AlternateContent xmlns:mc="http://schemas.openxmlformats.org/markup-compatibility/2006">
      <mc:Choice Requires="x14">
        <control shapeId="1083" r:id="rId16" name="cvg7DropDown">
          <controlPr defaultSize="0" autoLine="0" autoPict="0" macro="[0]!cvg7DropDown_Change">
            <anchor moveWithCells="1">
              <from>
                <xdr:col>0</xdr:col>
                <xdr:colOff>28575</xdr:colOff>
                <xdr:row>39</xdr:row>
                <xdr:rowOff>0</xdr:rowOff>
              </from>
              <to>
                <xdr:col>0</xdr:col>
                <xdr:colOff>2971800</xdr:colOff>
                <xdr:row>39</xdr:row>
                <xdr:rowOff>238125</xdr:rowOff>
              </to>
            </anchor>
          </controlPr>
        </control>
      </mc:Choice>
    </mc:AlternateContent>
    <mc:AlternateContent xmlns:mc="http://schemas.openxmlformats.org/markup-compatibility/2006">
      <mc:Choice Requires="x14">
        <control shapeId="1084" r:id="rId17" name="cvg8DropDown">
          <controlPr defaultSize="0" autoLine="0" autoPict="0" macro="[0]!cvg8DropDown_Change">
            <anchor moveWithCells="1">
              <from>
                <xdr:col>0</xdr:col>
                <xdr:colOff>28575</xdr:colOff>
                <xdr:row>40</xdr:row>
                <xdr:rowOff>0</xdr:rowOff>
              </from>
              <to>
                <xdr:col>0</xdr:col>
                <xdr:colOff>2971800</xdr:colOff>
                <xdr:row>40</xdr:row>
                <xdr:rowOff>238125</xdr:rowOff>
              </to>
            </anchor>
          </controlPr>
        </control>
      </mc:Choice>
    </mc:AlternateContent>
    <mc:AlternateContent xmlns:mc="http://schemas.openxmlformats.org/markup-compatibility/2006">
      <mc:Choice Requires="x14">
        <control shapeId="1085" r:id="rId18" name="cvg9DropDown">
          <controlPr defaultSize="0" autoLine="0" autoPict="0" macro="[0]!cvg9DropDown_Change">
            <anchor moveWithCells="1">
              <from>
                <xdr:col>0</xdr:col>
                <xdr:colOff>28575</xdr:colOff>
                <xdr:row>41</xdr:row>
                <xdr:rowOff>0</xdr:rowOff>
              </from>
              <to>
                <xdr:col>0</xdr:col>
                <xdr:colOff>2971800</xdr:colOff>
                <xdr:row>41</xdr:row>
                <xdr:rowOff>238125</xdr:rowOff>
              </to>
            </anchor>
          </controlPr>
        </control>
      </mc:Choice>
    </mc:AlternateContent>
    <mc:AlternateContent xmlns:mc="http://schemas.openxmlformats.org/markup-compatibility/2006">
      <mc:Choice Requires="x14">
        <control shapeId="1086" r:id="rId19" name="cvg10DropDown">
          <controlPr defaultSize="0" autoLine="0" autoPict="0" macro="[0]!cvg10DropDown_Change">
            <anchor moveWithCells="1">
              <from>
                <xdr:col>0</xdr:col>
                <xdr:colOff>28575</xdr:colOff>
                <xdr:row>41</xdr:row>
                <xdr:rowOff>238125</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0" name="Drop Down 63">
          <controlPr defaultSize="0" autoLine="0" autoPict="0">
            <anchor moveWithCells="1">
              <from>
                <xdr:col>2</xdr:col>
                <xdr:colOff>695325</xdr:colOff>
                <xdr:row>45</xdr:row>
                <xdr:rowOff>171450</xdr:rowOff>
              </from>
              <to>
                <xdr:col>2</xdr:col>
                <xdr:colOff>1152525</xdr:colOff>
                <xdr:row>46</xdr:row>
                <xdr:rowOff>219075</xdr:rowOff>
              </to>
            </anchor>
          </controlPr>
        </control>
      </mc:Choice>
    </mc:AlternateContent>
    <mc:AlternateContent xmlns:mc="http://schemas.openxmlformats.org/markup-compatibility/2006">
      <mc:Choice Requires="x14">
        <control shapeId="1089" r:id="rId21" name="Drop Down 65">
          <controlPr defaultSize="0" autoLine="0" autoPict="0">
            <anchor moveWithCells="1">
              <from>
                <xdr:col>2</xdr:col>
                <xdr:colOff>695325</xdr:colOff>
                <xdr:row>47</xdr:row>
                <xdr:rowOff>28575</xdr:rowOff>
              </from>
              <to>
                <xdr:col>2</xdr:col>
                <xdr:colOff>1152525</xdr:colOff>
                <xdr:row>48</xdr:row>
                <xdr:rowOff>38100</xdr:rowOff>
              </to>
            </anchor>
          </controlPr>
        </control>
      </mc:Choice>
    </mc:AlternateContent>
    <mc:AlternateContent xmlns:mc="http://schemas.openxmlformats.org/markup-compatibility/2006">
      <mc:Choice Requires="x14">
        <control shapeId="1091" r:id="rId22" name="Button 67">
          <controlPr defaultSize="0" print="0" autoFill="0" autoPict="0" macro="[0]!PrintSelection">
            <anchor moveWithCells="1" sizeWithCells="1">
              <from>
                <xdr:col>2</xdr:col>
                <xdr:colOff>0</xdr:colOff>
                <xdr:row>51</xdr:row>
                <xdr:rowOff>180975</xdr:rowOff>
              </from>
              <to>
                <xdr:col>3</xdr:col>
                <xdr:colOff>0</xdr:colOff>
                <xdr:row>53</xdr:row>
                <xdr:rowOff>0</xdr:rowOff>
              </to>
            </anchor>
          </controlPr>
        </control>
      </mc:Choice>
    </mc:AlternateContent>
    <mc:AlternateContent xmlns:mc="http://schemas.openxmlformats.org/markup-compatibility/2006">
      <mc:Choice Requires="x14">
        <control shapeId="1093" r:id="rId23" name="Drop Down 69">
          <controlPr defaultSize="0" autoLine="0" autoPict="0">
            <anchor moveWithCells="1">
              <from>
                <xdr:col>2</xdr:col>
                <xdr:colOff>9525</xdr:colOff>
                <xdr:row>49</xdr:row>
                <xdr:rowOff>171450</xdr:rowOff>
              </from>
              <to>
                <xdr:col>2</xdr:col>
                <xdr:colOff>1581150</xdr:colOff>
                <xdr:row>51</xdr:row>
                <xdr:rowOff>0</xdr:rowOff>
              </to>
            </anchor>
          </controlPr>
        </control>
      </mc:Choice>
    </mc:AlternateContent>
    <mc:AlternateContent xmlns:mc="http://schemas.openxmlformats.org/markup-compatibility/2006">
      <mc:Choice Requires="x14">
        <control shapeId="1095" r:id="rId24" name="Check Box 71">
          <controlPr defaultSize="0" autoFill="0" autoLine="0" autoPict="0">
            <anchor moveWithCells="1" sizeWithCells="1">
              <from>
                <xdr:col>2</xdr:col>
                <xdr:colOff>9525</xdr:colOff>
                <xdr:row>26</xdr:row>
                <xdr:rowOff>0</xdr:rowOff>
              </from>
              <to>
                <xdr:col>2</xdr:col>
                <xdr:colOff>219075</xdr:colOff>
                <xdr:row>26</xdr:row>
                <xdr:rowOff>219075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tabSelected="1" view="pageBreakPreview" zoomScaleNormal="100" zoomScaleSheetLayoutView="100" workbookViewId="0">
      <selection activeCell="E25" sqref="E25"/>
    </sheetView>
  </sheetViews>
  <sheetFormatPr defaultColWidth="9.140625" defaultRowHeight="15" x14ac:dyDescent="0.25"/>
  <cols>
    <col min="1" max="1" width="30" style="6" customWidth="1"/>
    <col min="2" max="4" width="18.7109375" style="6" customWidth="1"/>
    <col min="5" max="6" width="17.7109375" style="6" customWidth="1"/>
    <col min="7" max="7" width="15.7109375" style="6" customWidth="1"/>
    <col min="8" max="8" width="18.7109375" style="6" hidden="1" customWidth="1"/>
    <col min="9" max="9" width="102.42578125" style="6" bestFit="1" customWidth="1"/>
    <col min="10" max="16384" width="9.140625" style="6"/>
  </cols>
  <sheetData>
    <row r="1" spans="1:9" ht="15.75" thickBot="1" x14ac:dyDescent="0.3">
      <c r="A1" s="7" t="s">
        <v>31</v>
      </c>
      <c r="D1" s="7" t="s">
        <v>33</v>
      </c>
      <c r="G1" s="23" t="str">
        <f>Co_Name</f>
        <v>State Farm Mutual Automobile Insurance Company</v>
      </c>
      <c r="I1" s="74" t="s">
        <v>662</v>
      </c>
    </row>
    <row r="2" spans="1:9" x14ac:dyDescent="0.25">
      <c r="A2" s="7" t="s">
        <v>32</v>
      </c>
      <c r="B2" s="573"/>
      <c r="D2" s="7" t="s">
        <v>34</v>
      </c>
      <c r="G2" s="23" t="str">
        <f>General_Line</f>
        <v>Auto Liability and Physical Damage</v>
      </c>
      <c r="I2" s="176" t="s">
        <v>113</v>
      </c>
    </row>
    <row r="3" spans="1:9" x14ac:dyDescent="0.25">
      <c r="B3" s="573"/>
      <c r="D3" s="154" t="s">
        <v>142</v>
      </c>
      <c r="E3" s="77"/>
      <c r="F3" s="77"/>
      <c r="G3" s="249" t="str">
        <f>CDI_FileNo</f>
        <v/>
      </c>
      <c r="I3" s="214"/>
    </row>
    <row r="4" spans="1:9" ht="18" customHeight="1" x14ac:dyDescent="0.25">
      <c r="D4" s="7"/>
      <c r="G4" s="23"/>
      <c r="I4" s="214"/>
    </row>
    <row r="5" spans="1:9" ht="23.25" x14ac:dyDescent="0.25">
      <c r="A5" s="4" t="s">
        <v>655</v>
      </c>
      <c r="B5" s="4"/>
      <c r="C5" s="5"/>
      <c r="D5" s="5"/>
      <c r="E5" s="5"/>
      <c r="F5" s="5"/>
      <c r="G5" s="5"/>
      <c r="I5" s="214"/>
    </row>
    <row r="6" spans="1:9" ht="23.25" x14ac:dyDescent="0.25">
      <c r="A6" s="4" t="s">
        <v>381</v>
      </c>
      <c r="B6" s="4"/>
      <c r="C6" s="5"/>
      <c r="D6" s="5"/>
      <c r="E6" s="5"/>
      <c r="F6" s="5"/>
      <c r="G6" s="5"/>
      <c r="I6" s="214"/>
    </row>
    <row r="7" spans="1:9" ht="15.75" thickBot="1" x14ac:dyDescent="0.3">
      <c r="I7" s="214"/>
    </row>
    <row r="8" spans="1:9" ht="45.75" thickBot="1" x14ac:dyDescent="0.3">
      <c r="A8" s="244" t="s">
        <v>634</v>
      </c>
      <c r="B8" s="245" t="str">
        <f>IF(New_Program=TRUE,"Projected ","Latest Year Adjusted ")&amp;"Annual Premium ($)"</f>
        <v>Latest Year Adjusted Annual Premium ($)</v>
      </c>
      <c r="C8" s="246" t="s">
        <v>383</v>
      </c>
      <c r="D8" s="247" t="s">
        <v>384</v>
      </c>
      <c r="E8" s="246" t="s">
        <v>696</v>
      </c>
      <c r="F8" s="247" t="s">
        <v>697</v>
      </c>
      <c r="G8" s="247" t="s">
        <v>367</v>
      </c>
      <c r="H8" s="246" t="s">
        <v>612</v>
      </c>
      <c r="I8" s="523"/>
    </row>
    <row r="9" spans="1:9" x14ac:dyDescent="0.25">
      <c r="A9" s="515" t="str">
        <f>IF(Covg01="","",Covg01)</f>
        <v>BIPD</v>
      </c>
      <c r="B9" s="250">
        <f>IF(Covg01="","",IF(New_Program=TRUE,'7.1Rate Change Calculation'!$H$48,'7.1Rate Change Calculation'!$G$48))</f>
        <v>1554178903.785404</v>
      </c>
      <c r="C9" s="418">
        <f ca="1">IF(Covg01="","",IF(Rein_Indicator=TRUE,"NA",(1+E9)*$B9))</f>
        <v>1541692738.0010371</v>
      </c>
      <c r="D9" s="419">
        <f ca="1">IF(Covg01="","",(1+F9)*$B9)</f>
        <v>2107662653.1669807</v>
      </c>
      <c r="E9" s="410">
        <f ca="1">IF(Covg01="","",IF(Rein_Indicator=TRUE,"NA",'7.1Rate Change Calculation'!CHANGE_AT_MIN))</f>
        <v>-8.0339308132127765E-3</v>
      </c>
      <c r="F9" s="411">
        <f ca="1">IF(Covg01="","",IF(Rein_Indicator=TRUE,'7.1Rate Change Calculation'!Rein_CHANGE_AT_MAX,'7.1Rate Change Calculation'!CHANGE_AT_MAX))</f>
        <v>0.35612614997764752</v>
      </c>
      <c r="G9" s="411">
        <f t="array" ref="G9:G18">IF('1.General'!$C$34:$C$43="","",'1.General'!$D$34:$D$43)</f>
        <v>0.222</v>
      </c>
      <c r="H9" s="251">
        <f>IF(Covg01="","",IF(New_Program=TRUE,$B9,(1+$G9)*$B9))</f>
        <v>1899206620.4257636</v>
      </c>
      <c r="I9" s="521" t="str">
        <f ca="1">IF(Covg01="","",IF(AND(ROUND($G9,3)&gt;=ROUND($E9,3),ROUND($G9,3)&lt;=ROUND($F9,3)),"","← WARNING! Proposed % is outside of range of permitted rate changes."))</f>
        <v/>
      </c>
    </row>
    <row r="10" spans="1:9" x14ac:dyDescent="0.25">
      <c r="A10" s="515" t="str">
        <f>IF(Covg02="","",Covg02)</f>
        <v>MPC</v>
      </c>
      <c r="B10" s="250">
        <f>IF(Covg02="","",IF(New_Program=TRUE,'7.2Rate Change Calculation'!$H$48,'7.2Rate Change Calculation'!$G$48))</f>
        <v>68079582.351222083</v>
      </c>
      <c r="C10" s="418">
        <f ca="1">IF(Covg02="","",IF(Rein_Indicator=TRUE,"NA",(1+E10)*$B10))</f>
        <v>63676783.28450489</v>
      </c>
      <c r="D10" s="419">
        <f ca="1">IF(Covg02="","",(1+F10)*$B10)</f>
        <v>87053129.780305237</v>
      </c>
      <c r="E10" s="410">
        <f ca="1">IF(Covg02="","",IF(Rein_Indicator=TRUE,"NA",'7.2Rate Change Calculation'!CHANGE_AT_MIN))</f>
        <v>-6.4671358352393959E-2</v>
      </c>
      <c r="F10" s="411">
        <f ca="1">IF(Covg02="","",IF(Rein_Indicator=TRUE,'7.2Rate Change Calculation'!Rein_CHANGE_AT_MAX,'7.2Rate Change Calculation'!CHANGE_AT_MAX))</f>
        <v>0.27869658969408412</v>
      </c>
      <c r="G10" s="411">
        <v>0.222</v>
      </c>
      <c r="H10" s="251">
        <f>IF(Covg02="","",IF(New_Program=TRUE,$B10,(1+$G10)*$B10))</f>
        <v>83193249.633193389</v>
      </c>
      <c r="I10" s="521" t="str">
        <f ca="1">IF(Covg02="","",IF(AND(ROUND($G10,3)&gt;=ROUND($E10,3),ROUND($G10,3)&lt;=ROUND($F10,3)),"","← WARNING! Proposed % is outside of range of permitted rate changes."))</f>
        <v/>
      </c>
    </row>
    <row r="11" spans="1:9" x14ac:dyDescent="0.25">
      <c r="A11" s="515" t="str">
        <f>IF(Covg03="","",Covg03)</f>
        <v>UM</v>
      </c>
      <c r="B11" s="250">
        <f>IF(Covg03="","",IF(New_Program=TRUE,'7.3Rate Change Calculation'!$H$48,'7.3Rate Change Calculation'!$G$48))</f>
        <v>340267336.36942482</v>
      </c>
      <c r="C11" s="418">
        <f ca="1">IF(Covg03="","",IF(Rein_Indicator=TRUE,"NA",(1+E11)*$B11))</f>
        <v>339664388.90955323</v>
      </c>
      <c r="D11" s="419">
        <f ca="1">IF(Covg03="","",(1+F11)*$B11)</f>
        <v>464358383.13909763</v>
      </c>
      <c r="E11" s="410">
        <f ca="1">IF(Covg03="","",IF(Rein_Indicator=TRUE,"NA",'7.3Rate Change Calculation'!CHANGE_AT_MIN))</f>
        <v>-1.7719816021863418E-3</v>
      </c>
      <c r="F11" s="411">
        <f ca="1">IF(Covg03="","",IF(Rein_Indicator=TRUE,'7.3Rate Change Calculation'!Rein_CHANGE_AT_MAX,'7.3Rate Change Calculation'!CHANGE_AT_MAX))</f>
        <v>0.36468691968408168</v>
      </c>
      <c r="G11" s="411">
        <v>0.15</v>
      </c>
      <c r="H11" s="251">
        <f>IF(Covg03="","",IF(New_Program=TRUE,$B11,(1+$G11)*$B11))</f>
        <v>391307436.82483852</v>
      </c>
      <c r="I11" s="521" t="str">
        <f ca="1">IF(Covg03="","",IF(AND(ROUND($G11,3)&gt;=ROUND($E11,3),ROUND($G11,3)&lt;=ROUND($F11,3)),"","← WARNING! Proposed % is outside of range of permitted rate changes."))</f>
        <v/>
      </c>
    </row>
    <row r="12" spans="1:9" x14ac:dyDescent="0.25">
      <c r="A12" s="515" t="str">
        <f>IF(Covg04="","",Covg04)</f>
        <v>COMP</v>
      </c>
      <c r="B12" s="250">
        <f>IF(Covg04="","",IF(New_Program=TRUE,'7.4Rate Change Calculation'!$H$48,'7.4Rate Change Calculation'!$G$48))</f>
        <v>557205924.16074884</v>
      </c>
      <c r="C12" s="418">
        <f ca="1">IF(Covg04="","",IF(Rein_Indicator=TRUE,"NA",(1+E12)*$B12))</f>
        <v>575766830.76131201</v>
      </c>
      <c r="D12" s="419">
        <f ca="1">IF(Covg04="","",(1+F12)*$B12)</f>
        <v>704993247.22477663</v>
      </c>
      <c r="E12" s="410">
        <f ca="1">IF(Covg04="","",IF(Rein_Indicator=TRUE,"NA",'7.4Rate Change Calculation'!CHANGE_AT_MIN))</f>
        <v>3.3310677068839924E-2</v>
      </c>
      <c r="F12" s="411">
        <f ca="1">IF(Covg04="","",IF(Rein_Indicator=TRUE,'7.4Rate Change Calculation'!Rein_CHANGE_AT_MAX,'7.4Rate Change Calculation'!CHANGE_AT_MAX))</f>
        <v>0.26522927459291057</v>
      </c>
      <c r="G12" s="411">
        <v>0.26600000000000001</v>
      </c>
      <c r="H12" s="251">
        <f>IF(Covg04="","",IF(New_Program=TRUE,$B12,(1+$G12)*$B12))</f>
        <v>705422699.98750806</v>
      </c>
      <c r="I12" s="521" t="str">
        <f ca="1">IF(Covg04="","",IF(AND(ROUND($G12,3)&gt;=ROUND($E12,3),ROUND($G12,3)&lt;=ROUND($F12,3)),"","← WARNING! Proposed % is outside of range of permitted rate changes."))</f>
        <v>← WARNING! Proposed % is outside of range of permitted rate changes.</v>
      </c>
    </row>
    <row r="13" spans="1:9" x14ac:dyDescent="0.25">
      <c r="A13" s="515" t="str">
        <f>IF(Covg05="","",Covg05)</f>
        <v>COLL</v>
      </c>
      <c r="B13" s="250">
        <f>IF(Covg05="","",IF(New_Program=TRUE,'7.5Rate Change Calculation'!$H$48,'7.5Rate Change Calculation'!$G$48))</f>
        <v>1598433199.9224367</v>
      </c>
      <c r="C13" s="418">
        <f ca="1">IF(Covg05="","",IF(Rein_Indicator=TRUE,"NA",(1+E13)*$B13))</f>
        <v>1795211893.3810611</v>
      </c>
      <c r="D13" s="419">
        <f ca="1">IF(Covg05="","",(1+F13)*$B13)</f>
        <v>2198133332.025723</v>
      </c>
      <c r="E13" s="410">
        <f ca="1">IF(Covg05="","",IF(Rein_Indicator=TRUE,"NA",'7.5Rate Change Calculation'!CHANGE_AT_MIN))</f>
        <v>0.12310723617863605</v>
      </c>
      <c r="F13" s="411">
        <f ca="1">IF(Covg05="","",IF(Rein_Indicator=TRUE,'7.5Rate Change Calculation'!Rein_CHANGE_AT_MAX,'7.5Rate Change Calculation'!CHANGE_AT_MAX))</f>
        <v>0.3751799775757827</v>
      </c>
      <c r="G13" s="411">
        <v>0.19</v>
      </c>
      <c r="H13" s="251">
        <f>IF(Covg05="","",IF(New_Program=TRUE,$B13,(1+$G13)*$B13))</f>
        <v>1902135507.9076996</v>
      </c>
      <c r="I13" s="521" t="str">
        <f ca="1">IF(Covg05="","",IF(AND(ROUND($G13,3)&gt;=ROUND($E13,3),ROUND($G13,3)&lt;=ROUND($F13,3)),"","← WARNING! Proposed % is outside of range of permitted rate changes."))</f>
        <v/>
      </c>
    </row>
    <row r="14" spans="1:9" x14ac:dyDescent="0.25">
      <c r="A14" s="515" t="str">
        <f>IF(Covg06="","",Covg06)</f>
        <v>Misc. Damage</v>
      </c>
      <c r="B14" s="250">
        <f>IF(Covg06="","",IF(New_Program=TRUE,'7.6Rate Change Calculation'!$H$48,'7.6Rate Change Calculation'!$G$48))</f>
        <v>95409057.762391597</v>
      </c>
      <c r="C14" s="418">
        <f ca="1">IF(Covg06="","",IF(Rein_Indicator=TRUE,"NA",(1+E14)*$B14))</f>
        <v>103136186.91545615</v>
      </c>
      <c r="D14" s="419">
        <f ca="1">IF(Covg06="","",(1+F14)*$B14)</f>
        <v>126284307.1799867</v>
      </c>
      <c r="E14" s="410">
        <f ca="1">IF(Covg06="","",IF(Rein_Indicator=TRUE,"NA",'7.6Rate Change Calculation'!CHANGE_AT_MIN))</f>
        <v>8.0989471380257486E-2</v>
      </c>
      <c r="F14" s="411">
        <f ca="1">IF(Covg06="","",IF(Rein_Indicator=TRUE,'7.6Rate Change Calculation'!Rein_CHANGE_AT_MAX,'7.6Rate Change Calculation'!CHANGE_AT_MAX))</f>
        <v>0.32360920589413394</v>
      </c>
      <c r="G14" s="411">
        <v>0.21299999999999999</v>
      </c>
      <c r="H14" s="251">
        <f>IF(Covg06="","",IF(New_Program=TRUE,$B14,(1+$G14)*$B14))</f>
        <v>115731187.06578101</v>
      </c>
      <c r="I14" s="521" t="str">
        <f ca="1">IF(Covg06="","",IF(AND(ROUND($G14,3)&gt;=ROUND($E14,3),ROUND($G14,3)&lt;=ROUND($F14,3)),"","← WARNING! Proposed % is outside of range of permitted rate changes."))</f>
        <v/>
      </c>
    </row>
    <row r="15" spans="1:9" x14ac:dyDescent="0.25">
      <c r="A15" s="515" t="str">
        <f>IF(Covg07="","",Covg07)</f>
        <v>Misc. Liability</v>
      </c>
      <c r="B15" s="250">
        <f>IF(Covg07="","",IF(New_Program=TRUE,'7.7Rate Change Calculation'!$H$48,'7.7Rate Change Calculation'!$G$48))</f>
        <v>583288.15713056736</v>
      </c>
      <c r="C15" s="418">
        <f ca="1">IF(Covg07="","",IF(Rein_Indicator=TRUE,"NA",(1+E15)*$B15))</f>
        <v>391797.23799908435</v>
      </c>
      <c r="D15" s="419">
        <f ca="1">IF(Covg07="","",(1+F15)*$B15)</f>
        <v>535629.69182520045</v>
      </c>
      <c r="E15" s="410">
        <f ca="1">IF(Covg07="","",IF(Rein_Indicator=TRUE,"NA",'7.7Rate Change Calculation'!CHANGE_AT_MIN))</f>
        <v>-0.32829557190652564</v>
      </c>
      <c r="F15" s="411">
        <f ca="1">IF(Covg07="","",IF(Rein_Indicator=TRUE,'7.7Rate Change Calculation'!Rein_CHANGE_AT_MAX,'7.7Rate Change Calculation'!CHANGE_AT_MAX))</f>
        <v>-8.1706553995229997E-2</v>
      </c>
      <c r="G15" s="411">
        <v>-9.6000000000000002E-2</v>
      </c>
      <c r="H15" s="251">
        <f>IF(Covg07="","",IF(New_Program=TRUE,$B15,(1+$G15)*$B15))</f>
        <v>527292.49404603289</v>
      </c>
      <c r="I15" s="521" t="str">
        <f ca="1">IF(Covg07="","",IF(AND(ROUND($G15,3)&gt;=ROUND($E15,3),ROUND($G15,3)&lt;=ROUND($F15,3)),"","← WARNING! Proposed % is outside of range of permitted rate changes."))</f>
        <v/>
      </c>
    </row>
    <row r="16" spans="1:9" x14ac:dyDescent="0.25">
      <c r="A16" s="515" t="str">
        <f>IF(Covg08="","",Covg08)</f>
        <v/>
      </c>
      <c r="B16" s="250" t="str">
        <f>IF(Covg08="","",IF(New_Program=TRUE,'7.8Rate Change Calculation'!$H$48,'7.8Rate Change Calculation'!$G$48))</f>
        <v/>
      </c>
      <c r="C16" s="418" t="str">
        <f>IF(Covg08="","",IF(Rein_Indicator=TRUE,"NA",(1+E16)*$B16))</f>
        <v/>
      </c>
      <c r="D16" s="419" t="str">
        <f>IF(Covg08="","",(1+F16)*$B16)</f>
        <v/>
      </c>
      <c r="E16" s="410" t="str">
        <f>IF(Covg08="","",IF(Rein_Indicator=TRUE,"NA",'7.8Rate Change Calculation'!CHANGE_AT_MIN))</f>
        <v/>
      </c>
      <c r="F16" s="411" t="str">
        <f>IF(Covg08="","",IF(Rein_Indicator=TRUE,'7.8Rate Change Calculation'!Rein_CHANGE_AT_MAX,'7.8Rate Change Calculation'!CHANGE_AT_MAX))</f>
        <v/>
      </c>
      <c r="G16" s="411" t="str">
        <v/>
      </c>
      <c r="H16" s="251" t="str">
        <f>IF(Covg08="","",IF(New_Program=TRUE,$B16,(1+$G16)*$B16))</f>
        <v/>
      </c>
      <c r="I16" s="521" t="str">
        <f>IF(Covg08="","",IF(AND(ROUND($G16,3)&gt;=ROUND($E16,3),ROUND($G16,3)&lt;=ROUND($F16,3)),"","← WARNING! Proposed % is outside of range of permitted rate changes."))</f>
        <v/>
      </c>
    </row>
    <row r="17" spans="1:9" x14ac:dyDescent="0.25">
      <c r="A17" s="515" t="str">
        <f>IF(Covg09="","",Covg09)</f>
        <v/>
      </c>
      <c r="B17" s="250" t="str">
        <f>IF(Covg09="","",IF(New_Program=TRUE,'7.9Rate Change Calculation'!$H$48,'7.9Rate Change Calculation'!$G$48))</f>
        <v/>
      </c>
      <c r="C17" s="418" t="str">
        <f>IF(Covg09="","",IF(Rein_Indicator=TRUE,"NA",(1+E17)*$B17))</f>
        <v/>
      </c>
      <c r="D17" s="419" t="str">
        <f>IF(Covg09="","",(1+F17)*$B17)</f>
        <v/>
      </c>
      <c r="E17" s="410" t="str">
        <f>IF(Covg09="","",IF(Rein_Indicator=TRUE,"NA",'7.9Rate Change Calculation'!CHANGE_AT_MIN))</f>
        <v/>
      </c>
      <c r="F17" s="411" t="str">
        <f>IF(Covg09="","",IF(Rein_Indicator=TRUE,'7.9Rate Change Calculation'!Rein_CHANGE_AT_MAX,'7.9Rate Change Calculation'!CHANGE_AT_MAX))</f>
        <v/>
      </c>
      <c r="G17" s="411" t="str">
        <v/>
      </c>
      <c r="H17" s="251" t="str">
        <f>IF(Covg09="","",IF(New_Program=TRUE,$B17,(1+$G17)*$B17))</f>
        <v/>
      </c>
      <c r="I17" s="521" t="str">
        <f>IF(Covg09="","",IF(AND(ROUND($G17,3)&gt;=ROUND($E17,3),ROUND($G17,3)&lt;=ROUND($F17,3)),"","← WARNING! Proposed % is outside of range of permitted rate changes."))</f>
        <v/>
      </c>
    </row>
    <row r="18" spans="1:9" ht="15.75" thickBot="1" x14ac:dyDescent="0.3">
      <c r="A18" s="516" t="str">
        <f>IF(Covg10="","",Covg10)</f>
        <v/>
      </c>
      <c r="B18" s="253" t="str">
        <f>IF(Covg10="","",IF(New_Program=TRUE,'7.10Rate Change Calculation'!$H$48,'7.10Rate Change Calculation'!$G$48))</f>
        <v/>
      </c>
      <c r="C18" s="420" t="str">
        <f>IF(Covg10="","",IF(Rein_Indicator=TRUE,"NA",(1+E18)*$B18))</f>
        <v/>
      </c>
      <c r="D18" s="421" t="str">
        <f>IF(Covg10="","",(1+F18)*$B18)</f>
        <v/>
      </c>
      <c r="E18" s="412" t="str">
        <f>IF(Covg10="","",IF(Rein_Indicator=TRUE,"NA",'7.10Rate Change Calculation'!CHANGE_AT_MIN))</f>
        <v/>
      </c>
      <c r="F18" s="413" t="str">
        <f>IF(Covg10="","",IF(Rein_Indicator=TRUE,'7.10Rate Change Calculation'!Rein_CHANGE_AT_MAX,'7.10Rate Change Calculation'!CHANGE_AT_MAX))</f>
        <v/>
      </c>
      <c r="G18" s="413" t="str">
        <v/>
      </c>
      <c r="H18" s="434" t="str">
        <f>IF(Covg10="","",IF(New_Program=TRUE,$B18,(1+$G18)*$B18))</f>
        <v/>
      </c>
      <c r="I18" s="521" t="str">
        <f>IF(Covg10="","",IF(AND(ROUND($G18,3)&gt;=ROUND($E18,3),ROUND($G18,3)&lt;=ROUND($F18,3)),"","← WARNING! Proposed % is outside of range of permitted rate changes."))</f>
        <v/>
      </c>
    </row>
    <row r="19" spans="1:9" ht="21.75" thickBot="1" x14ac:dyDescent="0.3">
      <c r="A19" s="255" t="s">
        <v>378</v>
      </c>
      <c r="B19" s="256">
        <f>IF(AND(Covg01="",Covg02="",Covg03="",Covg04="",Covg05="",Covg06="",Covg07="",Covg08="",Covg09="",Covg10=""),"",SUM(B9:B18))</f>
        <v>4214157292.5087585</v>
      </c>
      <c r="C19" s="257">
        <f ca="1">IF(AND(Covg01="",Covg02="",Covg03="",Covg04="",Covg05="",Covg06="",Covg07="",Covg08="",Covg09="",Covg10=""),"",SUM(C9:C18))</f>
        <v>4419540618.4909239</v>
      </c>
      <c r="D19" s="258">
        <f ca="1">IF(AND(Covg01="",Covg02="",Covg03="",Covg04="",Covg05="",Covg06="",Covg07="",Covg08="",Covg09="",Covg10=""),"",SUM(D9:D18))</f>
        <v>5689020682.2086954</v>
      </c>
      <c r="E19" s="414">
        <f ca="1">IF(AND(Covg01="",Covg02="",Covg03="",Covg04="",Covg05="",Covg06="",Covg07="",Covg08="",Covg09="",Covg10=""),"",IF(Rein_Indicator=TRUE,"NA",SUMPRODUCT(E9:E18,$B$9:$B$18)/$B$19))</f>
        <v>4.8736511650208703E-2</v>
      </c>
      <c r="F19" s="415">
        <f ca="1">IF(AND(Covg01="",Covg02="",Covg03="",Covg04="",Covg05="",Covg06="",Covg07="",Covg08="",Covg09="",Covg10=""),"",SUMPRODUCT(F9:F18,$B$9:$B$18)/$B$19)</f>
        <v>0.34997824887118195</v>
      </c>
      <c r="G19" s="415">
        <f>IF(AND(Covg01="",Covg02="",Covg03="",Covg04="",Covg05="",Covg06="",Covg07="",Covg08="",Covg09="",Covg10=""),"",SUMPRODUCT(G9:G18,$B$9:$B$18)/$B$19)</f>
        <v>0.20961882542931584</v>
      </c>
      <c r="H19" s="257">
        <f>IF(AND(Covg01="",Covg02="",Covg03="",Covg04="",Covg05="",Covg06="",Covg07="",Covg08="",Covg09="",Covg10=""),"",SUM(H9:H18))</f>
        <v>5097523994.33883</v>
      </c>
      <c r="I19" s="521" t="str">
        <f ca="1">IF(AND(Covg01="",Covg02="",Covg03="",Covg04="",Covg05="",Covg06="",Covg07="",Covg08="",Covg09="",Covg10=""),"",IF(AND(ROUND($G19,3)&gt;=ROUND($E19,3),ROUND($G19,3)&lt;=ROUND($F19,3)),"","← WARNING! Proposed % is outside of range of permitted rate changes."))</f>
        <v/>
      </c>
    </row>
    <row r="20" spans="1:9" ht="30" customHeight="1" x14ac:dyDescent="0.25">
      <c r="I20" s="214"/>
    </row>
    <row r="21" spans="1:9" x14ac:dyDescent="0.25">
      <c r="A21" s="7" t="s">
        <v>652</v>
      </c>
      <c r="C21" s="436">
        <v>3675597.9133333336</v>
      </c>
      <c r="I21" s="226"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
      <c r="I22" s="214"/>
    </row>
    <row r="23" spans="1:9" ht="15.75" thickBot="1" x14ac:dyDescent="0.3">
      <c r="A23" s="622" t="s">
        <v>634</v>
      </c>
      <c r="B23" s="402" t="s">
        <v>385</v>
      </c>
      <c r="C23" s="242"/>
      <c r="D23" s="242"/>
      <c r="E23" s="243"/>
      <c r="F23" s="625" t="str">
        <f>IF(New_Program=TRUE,"Projected ","Latest Year ")&amp;"Earned Exposures"</f>
        <v>Latest Year Earned Exposures</v>
      </c>
      <c r="G23" s="624"/>
      <c r="I23" s="214"/>
    </row>
    <row r="24" spans="1:9" ht="52.5" customHeight="1" thickBot="1" x14ac:dyDescent="0.3">
      <c r="A24" s="623"/>
      <c r="B24" s="246" t="str">
        <f>IF(New_Program=TRUE,"Projected ","Latest Year Adjusted ")</f>
        <v xml:space="preserve">Latest Year Adjusted </v>
      </c>
      <c r="C24" s="248" t="s">
        <v>707</v>
      </c>
      <c r="D24" s="248" t="s">
        <v>708</v>
      </c>
      <c r="E24" s="247" t="s">
        <v>609</v>
      </c>
      <c r="F24" s="626"/>
      <c r="G24" s="624"/>
      <c r="I24" s="214"/>
    </row>
    <row r="25" spans="1:9" x14ac:dyDescent="0.25">
      <c r="A25" s="515" t="str">
        <f>IF(Covg01="","",Covg01)</f>
        <v>BIPD</v>
      </c>
      <c r="B25" s="254">
        <f>IF(Covg01="","",$B9/$F25)</f>
        <v>422.83701965922387</v>
      </c>
      <c r="C25" s="407">
        <f ca="1">IF(Covg01="","",'7.1Rate Change Calculation'!H66)</f>
        <v>419.43997629801657</v>
      </c>
      <c r="D25" s="408">
        <f ca="1">IF(Covg01="","",'7.1Rate Change Calculation'!H67)</f>
        <v>573.42033953848613</v>
      </c>
      <c r="E25" s="130">
        <f>IF(Covg01="","",$H9/$F25)</f>
        <v>516.70683802357155</v>
      </c>
      <c r="F25" s="433">
        <f>IF(Covg01="","",IF(New_Program=TRUE,'7.1Rate Change Calculation'!$H$21,'7.1Rate Change Calculation'!$G$21))</f>
        <v>3675598</v>
      </c>
      <c r="G25" s="422"/>
      <c r="I25" s="214"/>
    </row>
    <row r="26" spans="1:9" x14ac:dyDescent="0.25">
      <c r="A26" s="515" t="str">
        <f>IF(Covg02="","",Covg02)</f>
        <v>MPC</v>
      </c>
      <c r="B26" s="254">
        <f>IF(Covg02="","",$B10/$F26)</f>
        <v>32.806053906354755</v>
      </c>
      <c r="C26" s="407">
        <f ca="1">IF(Covg02="","",'7.2Rate Change Calculation'!H66)</f>
        <v>30.684441838048933</v>
      </c>
      <c r="D26" s="407">
        <f ca="1">IF(Covg02="","",'7.2Rate Change Calculation'!H67)</f>
        <v>41.948989251376112</v>
      </c>
      <c r="E26" s="130">
        <f>IF(Covg02="","",$H10/$F26)</f>
        <v>40.088997873565518</v>
      </c>
      <c r="F26" s="250">
        <f>IF(Covg02="","",IF(New_Program=TRUE,'7.2Rate Change Calculation'!$H$21,'7.2Rate Change Calculation'!$G$21))</f>
        <v>2075214</v>
      </c>
      <c r="G26" s="422"/>
      <c r="I26" s="214"/>
    </row>
    <row r="27" spans="1:9" x14ac:dyDescent="0.25">
      <c r="A27" s="515" t="str">
        <f>IF(Covg03="","",Covg03)</f>
        <v>UM</v>
      </c>
      <c r="B27" s="254">
        <f>IF(Covg03="","",$B11/$F27)</f>
        <v>94.180648342096731</v>
      </c>
      <c r="C27" s="407">
        <f ca="1">IF(Covg03="","",'7.3Rate Change Calculation'!H66)</f>
        <v>94.013761965952554</v>
      </c>
      <c r="D27" s="407">
        <f ca="1">IF(Covg03="","",'7.3Rate Change Calculation'!H67)</f>
        <v>128.5270988798257</v>
      </c>
      <c r="E27" s="130">
        <f>IF(Covg03="","",$H11/$F27)</f>
        <v>108.30774559341124</v>
      </c>
      <c r="F27" s="250">
        <f>IF(Covg03="","",IF(New_Program=TRUE,'7.3Rate Change Calculation'!$H$21,'7.3Rate Change Calculation'!$G$21))</f>
        <v>3612922</v>
      </c>
      <c r="G27" s="422"/>
      <c r="I27" s="214"/>
    </row>
    <row r="28" spans="1:9" x14ac:dyDescent="0.25">
      <c r="A28" s="515" t="str">
        <f>IF(Covg04="","",Covg04)</f>
        <v>COMP</v>
      </c>
      <c r="B28" s="254">
        <f>IF(Covg04="","",$B12/$F28)</f>
        <v>166.36811814063475</v>
      </c>
      <c r="C28" s="407">
        <f ca="1">IF(Covg04="","",'7.4Rate Change Calculation'!H66)</f>
        <v>171.90995279856804</v>
      </c>
      <c r="D28" s="407">
        <f ca="1">IF(Covg04="","",'7.4Rate Change Calculation'!H67)</f>
        <v>210.49381343046295</v>
      </c>
      <c r="E28" s="130">
        <f>IF(Covg04="","",$H12/$F28)</f>
        <v>210.62203756604362</v>
      </c>
      <c r="F28" s="250">
        <f>IF(Covg04="","",IF(New_Program=TRUE,'7.4Rate Change Calculation'!$H$21,'7.4Rate Change Calculation'!$G$21))</f>
        <v>3349235</v>
      </c>
      <c r="G28" s="422"/>
      <c r="I28" s="214"/>
    </row>
    <row r="29" spans="1:9" x14ac:dyDescent="0.25">
      <c r="A29" s="515" t="str">
        <f>IF(Covg05="","",Covg05)</f>
        <v>COLL</v>
      </c>
      <c r="B29" s="254">
        <f>IF(Covg05="","",$B13/$F29)</f>
        <v>494.6132401978897</v>
      </c>
      <c r="C29" s="407">
        <f ca="1">IF(Covg05="","",'7.5Rate Change Calculation'!H66)</f>
        <v>555.50370917601174</v>
      </c>
      <c r="D29" s="407">
        <f ca="1">IF(Covg05="","",'7.5Rate Change Calculation'!H67)</f>
        <v>680.18222456401918</v>
      </c>
      <c r="E29" s="130">
        <f>IF(Covg05="","",$H13/$F29)</f>
        <v>588.58975583548863</v>
      </c>
      <c r="F29" s="250">
        <f>IF(Covg05="","",IF(New_Program=TRUE,'7.5Rate Change Calculation'!$H$21,'7.5Rate Change Calculation'!$G$21))</f>
        <v>3231683</v>
      </c>
      <c r="G29" s="422"/>
      <c r="I29" s="214"/>
    </row>
    <row r="30" spans="1:9" x14ac:dyDescent="0.25">
      <c r="A30" s="515" t="str">
        <f>IF(Covg06="","",Covg06)</f>
        <v>Misc. Damage</v>
      </c>
      <c r="B30" s="254">
        <f>IF(Covg06="","",$B14/$F30)</f>
        <v>23.207677013468079</v>
      </c>
      <c r="C30" s="407">
        <f ca="1">IF(Covg06="","",'7.6Rate Change Calculation'!H66)</f>
        <v>25.087254506752611</v>
      </c>
      <c r="D30" s="407">
        <f ca="1">IF(Covg06="","",'7.6Rate Change Calculation'!H67)</f>
        <v>30.71789494244403</v>
      </c>
      <c r="E30" s="130">
        <f>IF(Covg06="","",$H14/$F30)</f>
        <v>28.150912217336778</v>
      </c>
      <c r="F30" s="250">
        <f>IF(Covg06="","",IF(New_Program=TRUE,'7.6Rate Change Calculation'!$H$21,'7.6Rate Change Calculation'!$G$21))</f>
        <v>4111099</v>
      </c>
      <c r="G30" s="422"/>
      <c r="I30" s="214"/>
    </row>
    <row r="31" spans="1:9" x14ac:dyDescent="0.25">
      <c r="A31" s="515" t="str">
        <f>IF(Covg07="","",Covg07)</f>
        <v>Misc. Liability</v>
      </c>
      <c r="B31" s="254">
        <f>IF(Covg07="","",$B15/$F31)</f>
        <v>2.5956912214217511</v>
      </c>
      <c r="C31" s="407">
        <f ca="1">IF(Covg07="","",'7.7Rate Change Calculation'!H66)</f>
        <v>1.7510428276163521</v>
      </c>
      <c r="D31" s="407">
        <f ca="1">IF(Covg07="","",'7.7Rate Change Calculation'!H67)</f>
        <v>2.3938671311691744</v>
      </c>
      <c r="E31" s="130">
        <f>IF(Covg07="","",$H15/$F31)</f>
        <v>2.3465048641652628</v>
      </c>
      <c r="F31" s="250">
        <f>IF(Covg07="","",IF(New_Program=TRUE,'7.7Rate Change Calculation'!$H$21,'7.7Rate Change Calculation'!$G$21))</f>
        <v>224714</v>
      </c>
      <c r="G31" s="422"/>
      <c r="I31" s="214"/>
    </row>
    <row r="32" spans="1:9" x14ac:dyDescent="0.25">
      <c r="A32" s="515" t="str">
        <f>IF(Covg08="","",Covg08)</f>
        <v/>
      </c>
      <c r="B32" s="254" t="str">
        <f>IF(Covg08="","",$B16/$F32)</f>
        <v/>
      </c>
      <c r="C32" s="407" t="str">
        <f>IF(Covg08="","",'7.8Rate Change Calculation'!H66)</f>
        <v/>
      </c>
      <c r="D32" s="407" t="str">
        <f>IF(Covg08="","",'7.8Rate Change Calculation'!H67)</f>
        <v/>
      </c>
      <c r="E32" s="130" t="str">
        <f>IF(Covg08="","",$H16/$F32)</f>
        <v/>
      </c>
      <c r="F32" s="250" t="str">
        <f>IF(Covg08="","",IF(New_Program=TRUE,'7.8Rate Change Calculation'!$H$21,'7.8Rate Change Calculation'!$G$21))</f>
        <v/>
      </c>
      <c r="G32" s="422"/>
      <c r="I32" s="214"/>
    </row>
    <row r="33" spans="1:9" x14ac:dyDescent="0.25">
      <c r="A33" s="515" t="str">
        <f>IF(Covg09="","",Covg09)</f>
        <v/>
      </c>
      <c r="B33" s="254" t="str">
        <f>IF(Covg09="","",$B17/$F33)</f>
        <v/>
      </c>
      <c r="C33" s="407" t="str">
        <f>IF(Covg09="","",'7.9Rate Change Calculation'!H66)</f>
        <v/>
      </c>
      <c r="D33" s="407" t="str">
        <f>IF(Covg09="","",'7.9Rate Change Calculation'!H67)</f>
        <v/>
      </c>
      <c r="E33" s="130" t="str">
        <f>IF(Covg09="","",$H17/$F33)</f>
        <v/>
      </c>
      <c r="F33" s="250" t="str">
        <f>IF(Covg09="","",IF(New_Program=TRUE,'7.9Rate Change Calculation'!$H$21,'7.9Rate Change Calculation'!$G$21))</f>
        <v/>
      </c>
      <c r="G33" s="422"/>
      <c r="I33" s="214"/>
    </row>
    <row r="34" spans="1:9" ht="15.75" thickBot="1" x14ac:dyDescent="0.3">
      <c r="A34" s="516" t="str">
        <f>IF(Covg10="","",Covg10)</f>
        <v/>
      </c>
      <c r="B34" s="254" t="str">
        <f>IF(Covg10="","",$B18/$F34)</f>
        <v/>
      </c>
      <c r="C34" s="407" t="str">
        <f>IF(Covg10="","",'7.10Rate Change Calculation'!H66)</f>
        <v/>
      </c>
      <c r="D34" s="407" t="str">
        <f>IF(Covg10="","",'7.10Rate Change Calculation'!H67)</f>
        <v/>
      </c>
      <c r="E34" s="130" t="str">
        <f>IF(Covg10="","",$H18/$F34)</f>
        <v/>
      </c>
      <c r="F34" s="253" t="str">
        <f>IF(Covg10="","",IF(New_Program=TRUE,'7.10Rate Change Calculation'!$H$21,'7.10Rate Change Calculation'!$G$21))</f>
        <v/>
      </c>
      <c r="G34" s="422"/>
      <c r="I34" s="214"/>
    </row>
    <row r="35" spans="1:9" ht="21.75" thickBot="1" x14ac:dyDescent="0.3">
      <c r="A35" s="259" t="s">
        <v>378</v>
      </c>
      <c r="B35" s="423">
        <f>IF(AND(Covg01="",Covg02="",Covg03="",Covg04="",Covg05="",Covg06="",Covg07="",Covg08="",Covg09="",Covg10=""),"",$B19/$F35)</f>
        <v>1146.5229309282677</v>
      </c>
      <c r="C35" s="260">
        <f ca="1">IF(AND(Covg01="",Covg02="",Covg03="",Covg04="",Covg05="",Covg06="",Covg07="",Covg08="",Covg09="",Covg10=""),"",$C19/$F35)</f>
        <v>1202.4004591086848</v>
      </c>
      <c r="D35" s="260">
        <f ca="1">IF(AND(Covg01="",Covg02="",Covg03="",Covg04="",Covg05="",Covg06="",Covg07="",Covg08="",Covg09="",Covg10=""),"",$D19/$F35)</f>
        <v>1547.7810185851981</v>
      </c>
      <c r="E35" s="261">
        <f>IF(AND(Covg01="",Covg02="",Covg03="",Covg04="",Covg05="",Covg06="",Covg07="",Covg08="",Covg09="",Covg10=""),"",$H19/$F35)</f>
        <v>1386.8557210372278</v>
      </c>
      <c r="F35" s="518">
        <f>IF(ISBLANK($C$21),"",$C$21)</f>
        <v>3675597.9133333336</v>
      </c>
      <c r="I35" s="435"/>
    </row>
    <row r="36" spans="1:9" ht="30" customHeight="1" thickBot="1" x14ac:dyDescent="0.3">
      <c r="I36" s="214"/>
    </row>
    <row r="37" spans="1:9" ht="45.75" thickBot="1" x14ac:dyDescent="0.3">
      <c r="A37" s="244" t="s">
        <v>634</v>
      </c>
      <c r="B37" s="246" t="str">
        <f>IF(New_Program=TRUE,"Projected ","Latest Year Adjusted ")&amp;"Annual Premium ($)"</f>
        <v>Latest Year Adjusted Annual Premium ($)</v>
      </c>
      <c r="C37" s="248" t="str">
        <f>IF(New_Program=TRUE,"Projected Annual ","Latest Year Projected ")&amp;"Ultimate Loss &amp; DCCE ($)"</f>
        <v>Latest Year Projected Ultimate Loss &amp; DCCE ($)</v>
      </c>
      <c r="D37" s="247" t="str">
        <f>IF(New_Program=TRUE,"Projected Annual ","Latest Year Projected ")&amp;"Ultimate Loss &amp; DCCE Ratio"</f>
        <v>Latest Year Projected Ultimate Loss &amp; DCCE Ratio</v>
      </c>
      <c r="H37" s="57"/>
      <c r="I37" s="214"/>
    </row>
    <row r="38" spans="1:9" x14ac:dyDescent="0.25">
      <c r="A38" s="515" t="str">
        <f>IF(Covg01="","",Covg01)</f>
        <v>BIPD</v>
      </c>
      <c r="B38" s="251">
        <f>$B9</f>
        <v>1554178903.785404</v>
      </c>
      <c r="C38" s="118">
        <f>IF(Covg01="","",IF(New_Program=TRUE,'7.1Rate Change Calculation'!$H$49+'7.1Rate Change Calculation'!$H$50,'7.1Rate Change Calculation'!$G$49+'7.1Rate Change Calculation'!$G$50))</f>
        <v>1741935875.1856058</v>
      </c>
      <c r="D38" s="252">
        <f>IF(Covg01="","",C38/B38)</f>
        <v>1.1208078239531469</v>
      </c>
      <c r="H38" s="57"/>
      <c r="I38" s="214"/>
    </row>
    <row r="39" spans="1:9" x14ac:dyDescent="0.25">
      <c r="A39" s="515" t="str">
        <f>IF(Covg02="","",Covg02)</f>
        <v>MPC</v>
      </c>
      <c r="B39" s="251">
        <f t="shared" ref="B39:B47" si="0">$B10</f>
        <v>68079582.351222083</v>
      </c>
      <c r="C39" s="118">
        <f>IF(Covg02="","",IF(New_Program=TRUE,'7.2Rate Change Calculation'!$H$49+'7.2Rate Change Calculation'!$H$50,'7.2Rate Change Calculation'!$G$49+'7.2Rate Change Calculation'!$G$50))</f>
        <v>71947457.807655275</v>
      </c>
      <c r="D39" s="252">
        <f>IF(Covg02="","",C39/B39)</f>
        <v>1.0568140303281952</v>
      </c>
      <c r="H39" s="57"/>
      <c r="I39" s="214"/>
    </row>
    <row r="40" spans="1:9" x14ac:dyDescent="0.25">
      <c r="A40" s="515" t="str">
        <f>IF(Covg03="","",Covg03)</f>
        <v>UM</v>
      </c>
      <c r="B40" s="251">
        <f t="shared" si="0"/>
        <v>340267336.36942482</v>
      </c>
      <c r="C40" s="118">
        <f>IF(Covg03="","",IF(New_Program=TRUE,'7.3Rate Change Calculation'!$H$49+'7.3Rate Change Calculation'!$H$50,'7.3Rate Change Calculation'!$G$49+'7.3Rate Change Calculation'!$G$50))</f>
        <v>383781780.88307804</v>
      </c>
      <c r="D40" s="252">
        <f>IF(Covg03="","",C40/B40)</f>
        <v>1.1278831079642919</v>
      </c>
      <c r="H40" s="57"/>
      <c r="I40" s="214"/>
    </row>
    <row r="41" spans="1:9" x14ac:dyDescent="0.25">
      <c r="A41" s="515" t="str">
        <f>IF(Covg04="","",Covg04)</f>
        <v>COMP</v>
      </c>
      <c r="B41" s="251">
        <f t="shared" si="0"/>
        <v>557205924.16074884</v>
      </c>
      <c r="C41" s="118">
        <f>IF(Covg04="","",IF(New_Program=TRUE,'7.4Rate Change Calculation'!$H$49+'7.4Rate Change Calculation'!$H$50,'7.4Rate Change Calculation'!$G$49+'7.4Rate Change Calculation'!$G$50))</f>
        <v>512393506.45632678</v>
      </c>
      <c r="D41" s="252">
        <f>IF(Covg04="","",C41/B41)</f>
        <v>0.91957655911157532</v>
      </c>
      <c r="H41" s="57"/>
      <c r="I41" s="214"/>
    </row>
    <row r="42" spans="1:9" x14ac:dyDescent="0.25">
      <c r="A42" s="515" t="str">
        <f>IF(Covg05="","",Covg05)</f>
        <v>COLL</v>
      </c>
      <c r="B42" s="251">
        <f t="shared" si="0"/>
        <v>1598433199.9224367</v>
      </c>
      <c r="C42" s="118">
        <f>IF(Covg05="","",IF(New_Program=TRUE,'7.5Rate Change Calculation'!$H$49+'7.5Rate Change Calculation'!$H$50,'7.5Rate Change Calculation'!$G$49+'7.5Rate Change Calculation'!$G$50))</f>
        <v>1597617069.5094368</v>
      </c>
      <c r="D42" s="252">
        <f>IF(Covg05="","",C42/B42)</f>
        <v>0.99948941850492123</v>
      </c>
      <c r="H42" s="57"/>
      <c r="I42" s="214"/>
    </row>
    <row r="43" spans="1:9" x14ac:dyDescent="0.25">
      <c r="A43" s="515" t="str">
        <f>IF(Covg06="","",Covg06)</f>
        <v>Misc. Damage</v>
      </c>
      <c r="B43" s="251">
        <f t="shared" si="0"/>
        <v>95409057.762391597</v>
      </c>
      <c r="C43" s="118">
        <f>IF(Covg06="","",IF(New_Program=TRUE,'7.6Rate Change Calculation'!$H$49+'7.6Rate Change Calculation'!$H$50,'7.6Rate Change Calculation'!$G$49+'7.6Rate Change Calculation'!$G$50))</f>
        <v>91784225.198018551</v>
      </c>
      <c r="D43" s="252">
        <f>IF(Covg06="","",C43/B43)</f>
        <v>0.96200745873205884</v>
      </c>
      <c r="I43" s="214"/>
    </row>
    <row r="44" spans="1:9" x14ac:dyDescent="0.25">
      <c r="A44" s="515" t="str">
        <f>IF(Covg07="","",Covg07)</f>
        <v>Misc. Liability</v>
      </c>
      <c r="B44" s="251">
        <f t="shared" si="0"/>
        <v>583288.15713056736</v>
      </c>
      <c r="C44" s="118">
        <f>IF(Covg07="","",IF(New_Program=TRUE,'7.7Rate Change Calculation'!$H$49+'7.7Rate Change Calculation'!$H$50,'7.7Rate Change Calculation'!$G$49+'7.7Rate Change Calculation'!$G$50))</f>
        <v>344832.24625785463</v>
      </c>
      <c r="D44" s="252">
        <f>IF(Covg07="","",C44/B44)</f>
        <v>0.59118677799704566</v>
      </c>
      <c r="I44" s="214"/>
    </row>
    <row r="45" spans="1:9" x14ac:dyDescent="0.25">
      <c r="A45" s="515" t="str">
        <f>IF(Covg08="","",Covg08)</f>
        <v/>
      </c>
      <c r="B45" s="251" t="str">
        <f t="shared" si="0"/>
        <v/>
      </c>
      <c r="C45" s="118" t="str">
        <f>IF(Covg08="","",IF(New_Program=TRUE,'7.8Rate Change Calculation'!$H$49+'7.8Rate Change Calculation'!$H$50,'7.8Rate Change Calculation'!$G$49+'7.8Rate Change Calculation'!$G$50))</f>
        <v/>
      </c>
      <c r="D45" s="252" t="str">
        <f>IF(Covg08="","",C45/B45)</f>
        <v/>
      </c>
      <c r="I45" s="214"/>
    </row>
    <row r="46" spans="1:9" x14ac:dyDescent="0.25">
      <c r="A46" s="515" t="str">
        <f>IF(Covg09="","",Covg09)</f>
        <v/>
      </c>
      <c r="B46" s="251" t="str">
        <f t="shared" si="0"/>
        <v/>
      </c>
      <c r="C46" s="118" t="str">
        <f>IF(Covg09="","",IF(New_Program=TRUE,'7.9Rate Change Calculation'!$H$49+'7.9Rate Change Calculation'!$H$50,'7.9Rate Change Calculation'!$G$49+'7.9Rate Change Calculation'!$G$50))</f>
        <v/>
      </c>
      <c r="D46" s="252" t="str">
        <f>IF(Covg09="","",C46/B46)</f>
        <v/>
      </c>
      <c r="I46" s="214"/>
    </row>
    <row r="47" spans="1:9" ht="15.75" thickBot="1" x14ac:dyDescent="0.3">
      <c r="A47" s="516" t="str">
        <f>IF(Covg10="","",Covg10)</f>
        <v/>
      </c>
      <c r="B47" s="251" t="str">
        <f t="shared" si="0"/>
        <v/>
      </c>
      <c r="C47" s="118" t="str">
        <f>IF(Covg10="","",IF(New_Program=TRUE,'7.10Rate Change Calculation'!$H$49+'7.10Rate Change Calculation'!$H$50,'7.10Rate Change Calculation'!$G$49+'7.10Rate Change Calculation'!$G$50))</f>
        <v/>
      </c>
      <c r="D47" s="252" t="str">
        <f>IF(Covg10="","",C47/B47)</f>
        <v/>
      </c>
      <c r="I47" s="214"/>
    </row>
    <row r="48" spans="1:9" ht="21.75" thickBot="1" x14ac:dyDescent="0.3">
      <c r="A48" s="259" t="s">
        <v>378</v>
      </c>
      <c r="B48" s="262">
        <f>IF(AND(Covg01="",Covg02="",Covg03="",Covg04="",Covg05="",Covg06="",Covg07="",Covg08="",Covg09="",Covg10=""),"",SUM(B38:B47))</f>
        <v>4214157292.5087585</v>
      </c>
      <c r="C48" s="263">
        <f>IF(AND(Covg01="",Covg02="",Covg03="",Covg04="",Covg05="",Covg06="",Covg07="",Covg08="",Covg09="",Covg10=""),"",SUM(C38:C47))</f>
        <v>4399804747.2863789</v>
      </c>
      <c r="D48" s="397">
        <f>IF(AND(Covg01="",Covg02="",Covg03="",Covg04="",Covg05="",Covg06="",Covg07="",Covg08="",Covg09="",Covg10=""),"",C48/B48)</f>
        <v>1.0440532808558509</v>
      </c>
      <c r="I48" s="401"/>
    </row>
  </sheetData>
  <sheetProtection algorithmName="SHA-512" hashValue="SbFK+zTR/IWwRq7gO41gdtxOmsPYx8ObzjWrUnDeFUF4Wx5yvjLLku0DfeyCKYkiLrFhYeZweRs83y4yhH4ZmA==" saltValue="PXKdNRDvePNcbKtwimkEeg=="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3"/>
  <pageSetup scale="69" orientation="portrait" r:id="rId1"/>
  <headerFooter>
    <oddFooter>&amp;CPrior Approval Rate Template&amp;RPage 2&amp;L1/3/2023 Edition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topLeftCell="A14" zoomScaleNormal="100" zoomScaleSheetLayoutView="100" workbookViewId="0">
      <selection activeCell="F24" sqref="F24:G24"/>
    </sheetView>
  </sheetViews>
  <sheetFormatPr defaultRowHeight="15" x14ac:dyDescent="0.25"/>
  <cols>
    <col min="1" max="1" width="5.85546875" customWidth="1"/>
    <col min="2" max="2" width="25.7109375" customWidth="1"/>
    <col min="3" max="3" width="17" bestFit="1" customWidth="1"/>
    <col min="4" max="8" width="15.7109375" customWidth="1"/>
  </cols>
  <sheetData>
    <row r="1" spans="1:8" x14ac:dyDescent="0.25">
      <c r="A1" s="7" t="s">
        <v>31</v>
      </c>
      <c r="D1" s="109" t="s">
        <v>33</v>
      </c>
      <c r="G1" s="110" t="str">
        <f>Co_Name</f>
        <v>State Farm Mutual Automobile Insurance Company</v>
      </c>
      <c r="H1" s="110"/>
    </row>
    <row r="2" spans="1:8" x14ac:dyDescent="0.25">
      <c r="A2" s="7" t="s">
        <v>32</v>
      </c>
      <c r="D2" s="109" t="s">
        <v>34</v>
      </c>
      <c r="G2" s="110" t="str">
        <f>General_Line</f>
        <v>Auto Liability and Physical Damage</v>
      </c>
      <c r="H2" s="110"/>
    </row>
    <row r="3" spans="1:8" x14ac:dyDescent="0.25">
      <c r="B3" s="158"/>
      <c r="D3" s="154" t="s">
        <v>142</v>
      </c>
      <c r="E3" s="77"/>
      <c r="F3" s="77"/>
      <c r="G3" s="249" t="str">
        <f>CDI_FileNo</f>
        <v/>
      </c>
      <c r="H3" s="249"/>
    </row>
    <row r="4" spans="1:8" ht="18" customHeight="1" x14ac:dyDescent="0.25">
      <c r="A4" s="6"/>
    </row>
    <row r="5" spans="1:8" ht="23.25" x14ac:dyDescent="0.25">
      <c r="A5" s="4" t="s">
        <v>417</v>
      </c>
      <c r="B5" s="3"/>
      <c r="C5" s="3"/>
      <c r="D5" s="3"/>
      <c r="E5" s="3"/>
      <c r="F5" s="3"/>
      <c r="G5" s="3"/>
      <c r="H5" s="3"/>
    </row>
    <row r="6" spans="1:8" ht="15.75" thickBot="1" x14ac:dyDescent="0.3"/>
    <row r="7" spans="1:8" ht="30" customHeight="1" x14ac:dyDescent="0.25">
      <c r="A7" s="286"/>
      <c r="B7" s="287"/>
      <c r="C7" s="460" t="s">
        <v>418</v>
      </c>
      <c r="D7" s="461" t="s">
        <v>419</v>
      </c>
      <c r="E7" s="461"/>
      <c r="F7" s="461" t="s">
        <v>420</v>
      </c>
      <c r="G7" s="461"/>
      <c r="H7" s="547" t="s">
        <v>722</v>
      </c>
    </row>
    <row r="8" spans="1:8" ht="30" customHeight="1" thickBot="1" x14ac:dyDescent="0.3">
      <c r="A8" s="464" t="s">
        <v>59</v>
      </c>
      <c r="B8" s="469" t="s">
        <v>64</v>
      </c>
      <c r="C8" s="470" t="s">
        <v>421</v>
      </c>
      <c r="D8" s="471" t="s">
        <v>422</v>
      </c>
      <c r="E8" s="470" t="s">
        <v>423</v>
      </c>
      <c r="F8" s="471" t="s">
        <v>424</v>
      </c>
      <c r="G8" s="471" t="s">
        <v>425</v>
      </c>
      <c r="H8" s="548" t="s">
        <v>723</v>
      </c>
    </row>
    <row r="9" spans="1:8" ht="30" customHeight="1" x14ac:dyDescent="0.25">
      <c r="A9" s="465">
        <v>1.7</v>
      </c>
      <c r="B9" s="466" t="s">
        <v>426</v>
      </c>
      <c r="C9" s="467">
        <v>454493365</v>
      </c>
      <c r="D9" s="468">
        <v>4035718518</v>
      </c>
      <c r="E9" s="468">
        <v>2549806199</v>
      </c>
      <c r="F9" s="468">
        <v>241166305</v>
      </c>
      <c r="G9" s="468">
        <v>23656173</v>
      </c>
      <c r="H9" s="551"/>
    </row>
    <row r="10" spans="1:8" ht="30" customHeight="1" x14ac:dyDescent="0.25">
      <c r="A10" s="289">
        <v>2.7</v>
      </c>
      <c r="B10" s="283" t="s">
        <v>427</v>
      </c>
      <c r="C10" s="438">
        <v>1919195</v>
      </c>
      <c r="D10" s="439">
        <v>23600034</v>
      </c>
      <c r="E10" s="439">
        <v>72679653</v>
      </c>
      <c r="F10" s="439">
        <v>0</v>
      </c>
      <c r="G10" s="439">
        <v>0</v>
      </c>
      <c r="H10" s="552"/>
    </row>
    <row r="11" spans="1:8" ht="30" customHeight="1" x14ac:dyDescent="0.25">
      <c r="A11" s="289">
        <v>3.7</v>
      </c>
      <c r="B11" s="284" t="s">
        <v>428</v>
      </c>
      <c r="C11" s="438">
        <v>282232150</v>
      </c>
      <c r="D11" s="439">
        <v>1624266563</v>
      </c>
      <c r="E11" s="439">
        <v>797017582</v>
      </c>
      <c r="F11" s="439">
        <v>77731256</v>
      </c>
      <c r="G11" s="439">
        <v>0</v>
      </c>
      <c r="H11" s="552"/>
    </row>
    <row r="12" spans="1:8" ht="30" customHeight="1" x14ac:dyDescent="0.25">
      <c r="A12" s="289">
        <v>4.7</v>
      </c>
      <c r="B12" s="284" t="s">
        <v>429</v>
      </c>
      <c r="C12" s="438">
        <v>1114700140</v>
      </c>
      <c r="D12" s="439">
        <v>8403385910</v>
      </c>
      <c r="E12" s="439">
        <v>7427108905</v>
      </c>
      <c r="F12" s="439">
        <v>979357868</v>
      </c>
      <c r="G12" s="439">
        <v>24656067</v>
      </c>
      <c r="H12" s="552"/>
    </row>
    <row r="13" spans="1:8" ht="30" customHeight="1" x14ac:dyDescent="0.25">
      <c r="A13" s="289">
        <v>5.7</v>
      </c>
      <c r="B13" s="284" t="s">
        <v>430</v>
      </c>
      <c r="C13" s="438">
        <v>776973445</v>
      </c>
      <c r="D13" s="439">
        <v>6397062779</v>
      </c>
      <c r="E13" s="439">
        <v>8317525728</v>
      </c>
      <c r="F13" s="439">
        <v>644987813</v>
      </c>
      <c r="G13" s="439">
        <v>66933534</v>
      </c>
      <c r="H13" s="552"/>
    </row>
    <row r="14" spans="1:8" ht="30" customHeight="1" x14ac:dyDescent="0.25">
      <c r="A14" s="289">
        <v>6.7</v>
      </c>
      <c r="B14" s="284" t="s">
        <v>431</v>
      </c>
      <c r="C14" s="438">
        <v>591519356</v>
      </c>
      <c r="D14" s="439">
        <v>4930215713</v>
      </c>
      <c r="E14" s="439">
        <v>10631419612</v>
      </c>
      <c r="F14" s="439">
        <v>262394492</v>
      </c>
      <c r="G14" s="439">
        <v>0</v>
      </c>
      <c r="H14" s="552"/>
    </row>
    <row r="15" spans="1:8" ht="30" customHeight="1" x14ac:dyDescent="0.25">
      <c r="A15" s="289">
        <v>7.7</v>
      </c>
      <c r="B15" s="284" t="s">
        <v>698</v>
      </c>
      <c r="C15" s="438">
        <v>0</v>
      </c>
      <c r="D15" s="439">
        <v>0</v>
      </c>
      <c r="E15" s="439">
        <v>0</v>
      </c>
      <c r="F15" s="439">
        <v>0</v>
      </c>
      <c r="G15" s="439">
        <v>0</v>
      </c>
      <c r="H15" s="552"/>
    </row>
    <row r="16" spans="1:8" ht="30" customHeight="1" x14ac:dyDescent="0.25">
      <c r="A16" s="289">
        <v>8.6999999999999993</v>
      </c>
      <c r="B16" s="284" t="s">
        <v>432</v>
      </c>
      <c r="C16" s="438">
        <v>0</v>
      </c>
      <c r="D16" s="439">
        <v>0</v>
      </c>
      <c r="E16" s="439">
        <v>0</v>
      </c>
      <c r="F16" s="439">
        <v>0</v>
      </c>
      <c r="G16" s="439">
        <v>0</v>
      </c>
      <c r="H16" s="552"/>
    </row>
    <row r="17" spans="1:8" ht="30" customHeight="1" thickBot="1" x14ac:dyDescent="0.3">
      <c r="A17" s="464">
        <v>9.6999999999999993</v>
      </c>
      <c r="B17" s="314" t="s">
        <v>726</v>
      </c>
      <c r="C17" s="549"/>
      <c r="D17" s="550"/>
      <c r="E17" s="550"/>
      <c r="F17" s="550"/>
      <c r="G17" s="550"/>
      <c r="H17" s="546">
        <v>0</v>
      </c>
    </row>
    <row r="18" spans="1:8" ht="15" customHeight="1" x14ac:dyDescent="0.25">
      <c r="A18" s="13" t="s">
        <v>120</v>
      </c>
      <c r="B18" s="285"/>
      <c r="C18" s="37"/>
      <c r="D18" s="37"/>
      <c r="E18" s="37"/>
      <c r="F18" s="37"/>
      <c r="G18" s="37"/>
      <c r="H18" s="37"/>
    </row>
    <row r="19" spans="1:8" ht="15" customHeight="1" x14ac:dyDescent="0.25">
      <c r="A19" s="6" t="s">
        <v>703</v>
      </c>
      <c r="B19" s="285"/>
      <c r="C19" s="37"/>
      <c r="D19" s="37"/>
      <c r="E19" s="37"/>
      <c r="F19" s="37"/>
      <c r="G19" s="37"/>
      <c r="H19" s="37"/>
    </row>
    <row r="20" spans="1:8" ht="30" customHeight="1" thickBot="1" x14ac:dyDescent="0.3"/>
    <row r="21" spans="1:8" ht="30" customHeight="1" x14ac:dyDescent="0.25">
      <c r="A21" s="286"/>
      <c r="B21" s="287"/>
      <c r="C21" s="460" t="s">
        <v>418</v>
      </c>
      <c r="D21" s="461" t="s">
        <v>419</v>
      </c>
      <c r="E21" s="461"/>
      <c r="F21" s="461" t="s">
        <v>420</v>
      </c>
      <c r="G21" s="462"/>
    </row>
    <row r="22" spans="1:8" ht="30" customHeight="1" thickBot="1" x14ac:dyDescent="0.3">
      <c r="A22" s="477"/>
      <c r="B22" s="36"/>
      <c r="C22" s="470" t="s">
        <v>421</v>
      </c>
      <c r="D22" s="478" t="s">
        <v>433</v>
      </c>
      <c r="E22" s="478"/>
      <c r="F22" s="478" t="s">
        <v>434</v>
      </c>
      <c r="G22" s="479"/>
    </row>
    <row r="23" spans="1:8" ht="45" customHeight="1" x14ac:dyDescent="0.25">
      <c r="A23" s="309" t="s">
        <v>163</v>
      </c>
      <c r="B23" s="475" t="s">
        <v>435</v>
      </c>
      <c r="C23" s="476">
        <f>SUM(C9:C10)</f>
        <v>456412560</v>
      </c>
      <c r="D23" s="627">
        <f>SUM(D9:E10)</f>
        <v>6681804404</v>
      </c>
      <c r="E23" s="628"/>
      <c r="F23" s="629">
        <f>SUM(F9:G10)</f>
        <v>264822478</v>
      </c>
      <c r="G23" s="630"/>
    </row>
    <row r="24" spans="1:8" ht="45" customHeight="1" x14ac:dyDescent="0.25">
      <c r="A24" s="291" t="s">
        <v>164</v>
      </c>
      <c r="B24" s="281" t="s">
        <v>725</v>
      </c>
      <c r="C24" s="18">
        <f>SUM(C14:C16)+C13/2</f>
        <v>980006078.5</v>
      </c>
      <c r="D24" s="631">
        <f>SUM(D14:E16)+SUM(D13:E13)/2</f>
        <v>22918929578.5</v>
      </c>
      <c r="E24" s="632"/>
      <c r="F24" s="631">
        <f>H17+SUM(F14:G16)+SUM(F13:G13)/2</f>
        <v>618355165.5</v>
      </c>
      <c r="G24" s="633"/>
    </row>
    <row r="25" spans="1:8" ht="45" customHeight="1" thickBot="1" x14ac:dyDescent="0.3">
      <c r="A25" s="313" t="s">
        <v>436</v>
      </c>
      <c r="B25" s="473" t="s">
        <v>437</v>
      </c>
      <c r="C25" s="474">
        <f>SUM(C11:C12)+C13/2</f>
        <v>1785419012.5</v>
      </c>
      <c r="D25" s="634">
        <f>SUM(D11:E12)+SUM(D13:E13)/2</f>
        <v>25609073213.5</v>
      </c>
      <c r="E25" s="635"/>
      <c r="F25" s="634">
        <f>SUM(F11:G12)+SUM(F13:G13)/2</f>
        <v>1437705864.5</v>
      </c>
      <c r="G25" s="636"/>
    </row>
    <row r="26" spans="1:8" x14ac:dyDescent="0.25">
      <c r="A26" s="480" t="s">
        <v>701</v>
      </c>
    </row>
    <row r="27" spans="1:8" x14ac:dyDescent="0.25">
      <c r="A27" s="481" t="s">
        <v>700</v>
      </c>
    </row>
    <row r="28" spans="1:8" x14ac:dyDescent="0.25">
      <c r="A28" s="481" t="s">
        <v>699</v>
      </c>
    </row>
    <row r="29" spans="1:8" ht="17.25" x14ac:dyDescent="0.25">
      <c r="A29" s="319" t="s">
        <v>724</v>
      </c>
    </row>
  </sheetData>
  <sheetProtection algorithmName="SHA-512" hashValue="Yf6QRt4+z84ifL15ENwqktXLuMT+AwHRxHJ8JP+ZEL6ClFJCU/EluXD903f/N7kbxg8Z0YuxuPgdPGObiTF67g==" saltValue="MG2iUUlJYWCHgWkm1ZCGnQ=="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3"/>
  <pageSetup scale="76" orientation="portrait" r:id="rId1"/>
  <headerFooter>
    <oddFooter>&amp;CPrior Approval Rate Template&amp;RPage 3.1&amp;L1/3/2023 Edition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J73"/>
  <sheetViews>
    <sheetView showGridLines="0" view="pageBreakPreview" topLeftCell="A27" zoomScaleNormal="100" zoomScaleSheetLayoutView="100" workbookViewId="0">
      <selection activeCell="F46" sqref="F46"/>
    </sheetView>
  </sheetViews>
  <sheetFormatPr defaultRowHeight="15" x14ac:dyDescent="0.25"/>
  <cols>
    <col min="1" max="1" width="8" customWidth="1"/>
    <col min="2" max="2" width="51" customWidth="1"/>
    <col min="3" max="3" width="17" bestFit="1" customWidth="1"/>
    <col min="4" max="7" width="15.7109375" customWidth="1"/>
    <col min="8" max="8" width="69" style="6" bestFit="1" customWidth="1"/>
  </cols>
  <sheetData>
    <row r="1" spans="1:8" ht="15.75" thickBot="1" x14ac:dyDescent="0.3">
      <c r="A1" s="7" t="s">
        <v>31</v>
      </c>
      <c r="D1" s="109" t="s">
        <v>33</v>
      </c>
      <c r="G1" s="110" t="str">
        <f>Co_Name</f>
        <v>State Farm Mutual Automobile Insurance Company</v>
      </c>
      <c r="H1" s="74" t="s">
        <v>663</v>
      </c>
    </row>
    <row r="2" spans="1:8" x14ac:dyDescent="0.25">
      <c r="A2" s="7" t="s">
        <v>32</v>
      </c>
      <c r="D2" s="109" t="s">
        <v>34</v>
      </c>
      <c r="G2" s="110" t="str">
        <f>General_Line</f>
        <v>Auto Liability and Physical Damage</v>
      </c>
      <c r="H2" s="176" t="s">
        <v>113</v>
      </c>
    </row>
    <row r="3" spans="1:8" x14ac:dyDescent="0.25">
      <c r="B3" s="158"/>
      <c r="D3" s="154" t="s">
        <v>142</v>
      </c>
      <c r="E3" s="77"/>
      <c r="F3" s="77"/>
      <c r="G3" s="249" t="str">
        <f>CDI_FileNo</f>
        <v/>
      </c>
      <c r="H3" s="214"/>
    </row>
    <row r="4" spans="1:8" ht="18" customHeight="1" x14ac:dyDescent="0.25">
      <c r="A4" s="6"/>
      <c r="H4" s="214"/>
    </row>
    <row r="5" spans="1:8" ht="23.25" x14ac:dyDescent="0.25">
      <c r="A5" s="4" t="s">
        <v>417</v>
      </c>
      <c r="B5" s="3"/>
      <c r="C5" s="3"/>
      <c r="D5" s="3"/>
      <c r="E5" s="3"/>
      <c r="F5" s="3"/>
      <c r="G5" s="3"/>
      <c r="H5" s="214"/>
    </row>
    <row r="6" spans="1:8" ht="19.5" thickBot="1" x14ac:dyDescent="0.35">
      <c r="A6" s="428" t="s">
        <v>633</v>
      </c>
      <c r="B6" s="428"/>
      <c r="C6" s="428"/>
      <c r="D6" s="428"/>
      <c r="E6" s="428"/>
      <c r="F6" s="428"/>
      <c r="G6" s="428"/>
      <c r="H6" s="214"/>
    </row>
    <row r="7" spans="1:8" ht="32.25" x14ac:dyDescent="0.25">
      <c r="A7" s="286"/>
      <c r="B7" s="287"/>
      <c r="C7" s="288" t="s">
        <v>438</v>
      </c>
      <c r="D7" s="288" t="s">
        <v>439</v>
      </c>
      <c r="E7" s="288" t="s">
        <v>440</v>
      </c>
      <c r="F7" s="288" t="s">
        <v>441</v>
      </c>
      <c r="G7" s="580" t="s">
        <v>442</v>
      </c>
      <c r="H7" s="214"/>
    </row>
    <row r="8" spans="1:8" ht="18" customHeight="1" x14ac:dyDescent="0.25">
      <c r="A8" s="289"/>
      <c r="B8" s="281"/>
      <c r="C8" s="290" t="s">
        <v>443</v>
      </c>
      <c r="D8" s="290" t="s">
        <v>444</v>
      </c>
      <c r="E8" s="290" t="s">
        <v>445</v>
      </c>
      <c r="F8" s="290" t="s">
        <v>446</v>
      </c>
      <c r="G8" s="581" t="s">
        <v>447</v>
      </c>
      <c r="H8" s="214"/>
    </row>
    <row r="9" spans="1:8" ht="18" customHeight="1" x14ac:dyDescent="0.25">
      <c r="A9" s="291" t="s">
        <v>163</v>
      </c>
      <c r="B9" s="282" t="s">
        <v>448</v>
      </c>
      <c r="C9" s="73"/>
      <c r="D9" s="292"/>
      <c r="E9" s="73"/>
      <c r="F9" s="293"/>
      <c r="G9" s="582"/>
      <c r="H9" s="214"/>
    </row>
    <row r="10" spans="1:8" ht="18" customHeight="1" x14ac:dyDescent="0.25">
      <c r="A10" s="291"/>
      <c r="B10" s="294" t="s">
        <v>449</v>
      </c>
      <c r="C10" s="73">
        <f>'3.1YieldFIT'!C23</f>
        <v>456412560</v>
      </c>
      <c r="D10" s="590">
        <f>[1]Jan2023!$E$10</f>
        <v>4.4566666666666664E-2</v>
      </c>
      <c r="E10" s="73">
        <f>C10*D10</f>
        <v>20340786.423999999</v>
      </c>
      <c r="F10" s="293">
        <f>INDEX(INV_TAX_RATE,COUNTA($B$9:$B10)+1,1)</f>
        <v>0.21</v>
      </c>
      <c r="G10" s="302">
        <f>E10*F10</f>
        <v>4271565.1490399996</v>
      </c>
      <c r="H10" s="214"/>
    </row>
    <row r="11" spans="1:8" ht="18" customHeight="1" x14ac:dyDescent="0.25">
      <c r="A11" s="291"/>
      <c r="B11" s="294" t="s">
        <v>450</v>
      </c>
      <c r="C11" s="73">
        <f>'3.1YieldFIT'!D23</f>
        <v>6681804404</v>
      </c>
      <c r="D11" s="590">
        <f>[1]Jan2023!$E$11</f>
        <v>3.6799999999999999E-2</v>
      </c>
      <c r="E11" s="73">
        <f>C11*D11</f>
        <v>245890402.06720001</v>
      </c>
      <c r="F11" s="293">
        <f>INDEX(INV_TAX_RATE,COUNTA($B$9:$B11)+1,1)</f>
        <v>0.21</v>
      </c>
      <c r="G11" s="302">
        <f>E11*F11</f>
        <v>51636984.434111997</v>
      </c>
      <c r="H11" s="214"/>
    </row>
    <row r="12" spans="1:8" ht="18" customHeight="1" x14ac:dyDescent="0.25">
      <c r="A12" s="291"/>
      <c r="B12" s="294" t="s">
        <v>451</v>
      </c>
      <c r="C12" s="73">
        <f>'3.1YieldFIT'!F23</f>
        <v>264822478</v>
      </c>
      <c r="D12" s="590">
        <f>[1]Jan2023!$E$12</f>
        <v>3.9666666666666663E-2</v>
      </c>
      <c r="E12" s="73">
        <f>C12*D12</f>
        <v>10504624.960666666</v>
      </c>
      <c r="F12" s="293">
        <f>INDEX(INV_TAX_RATE,COUNTA($B$9:$B12)+1,1)</f>
        <v>0.21</v>
      </c>
      <c r="G12" s="302">
        <f>E12*F12</f>
        <v>2205971.24174</v>
      </c>
      <c r="H12" s="214"/>
    </row>
    <row r="13" spans="1:8" ht="18" customHeight="1" x14ac:dyDescent="0.25">
      <c r="A13" s="291" t="s">
        <v>164</v>
      </c>
      <c r="B13" s="283" t="s">
        <v>452</v>
      </c>
      <c r="C13" s="73"/>
      <c r="D13" s="591"/>
      <c r="E13" s="73"/>
      <c r="F13" s="293"/>
      <c r="G13" s="582"/>
      <c r="H13" s="214"/>
    </row>
    <row r="14" spans="1:8" ht="18" customHeight="1" x14ac:dyDescent="0.25">
      <c r="A14" s="291"/>
      <c r="B14" s="294" t="s">
        <v>449</v>
      </c>
      <c r="C14" s="73">
        <f>'3.1YieldFIT'!C24</f>
        <v>980006078.5</v>
      </c>
      <c r="D14" s="590">
        <f>[1]Jan2023!$E$14</f>
        <v>4.526666666666667E-2</v>
      </c>
      <c r="E14" s="73">
        <f>C14*D14</f>
        <v>44361608.486766674</v>
      </c>
      <c r="F14" s="293">
        <f>INDEX(INV_TAX_RATE,COUNTA($B$9:$B14)+1,1)</f>
        <v>0.21</v>
      </c>
      <c r="G14" s="302">
        <f>E14*F14</f>
        <v>9315937.7822210006</v>
      </c>
      <c r="H14" s="214"/>
    </row>
    <row r="15" spans="1:8" ht="18" customHeight="1" x14ac:dyDescent="0.25">
      <c r="A15" s="291"/>
      <c r="B15" s="294" t="s">
        <v>450</v>
      </c>
      <c r="C15" s="73">
        <f>'3.1YieldFIT'!D24</f>
        <v>22918929578.5</v>
      </c>
      <c r="D15" s="590">
        <f>[1]Jan2023!$E$15</f>
        <v>4.6193015873015865E-2</v>
      </c>
      <c r="E15" s="73">
        <f>C15*D15</f>
        <v>1058694477.8121833</v>
      </c>
      <c r="F15" s="293">
        <f>INDEX(INV_TAX_RATE,COUNTA($B$9:$B15)+1,1)</f>
        <v>0.21</v>
      </c>
      <c r="G15" s="302">
        <f>E15*F15</f>
        <v>222325840.34055847</v>
      </c>
      <c r="H15" s="214"/>
    </row>
    <row r="16" spans="1:8" ht="18" customHeight="1" x14ac:dyDescent="0.25">
      <c r="A16" s="291"/>
      <c r="B16" s="294" t="s">
        <v>451</v>
      </c>
      <c r="C16" s="73">
        <f>'3.1YieldFIT'!F24</f>
        <v>618355165.5</v>
      </c>
      <c r="D16" s="590">
        <f>[1]Jan2023!$E$16</f>
        <v>4.9627579365079368E-2</v>
      </c>
      <c r="E16" s="73">
        <f>C16*D16</f>
        <v>30687470.051658038</v>
      </c>
      <c r="F16" s="293">
        <f>INDEX(INV_TAX_RATE,COUNTA($B$9:$B16)+1,1)</f>
        <v>0.21</v>
      </c>
      <c r="G16" s="302">
        <f>E16*F16</f>
        <v>6444368.710848188</v>
      </c>
      <c r="H16" s="214"/>
    </row>
    <row r="17" spans="1:8" ht="18" customHeight="1" x14ac:dyDescent="0.25">
      <c r="A17" s="291" t="s">
        <v>436</v>
      </c>
      <c r="B17" s="284" t="s">
        <v>453</v>
      </c>
      <c r="C17" s="73"/>
      <c r="D17" s="591"/>
      <c r="E17" s="73"/>
      <c r="F17" s="293"/>
      <c r="G17" s="583"/>
      <c r="H17" s="214"/>
    </row>
    <row r="18" spans="1:8" ht="18" customHeight="1" x14ac:dyDescent="0.25">
      <c r="A18" s="291"/>
      <c r="B18" s="294" t="s">
        <v>449</v>
      </c>
      <c r="C18" s="73">
        <f>'3.1YieldFIT'!C25</f>
        <v>1785419012.5</v>
      </c>
      <c r="D18" s="590">
        <f>D14*(1-INDEX(INV_TAX_RATE,1,1))</f>
        <v>3.576066666666667E-2</v>
      </c>
      <c r="E18" s="73">
        <f>C18*D18</f>
        <v>63847774.16634167</v>
      </c>
      <c r="F18" s="293">
        <f>INDEX(INV_TAX_RATE,COUNTA($B$9:$B18)+1,1)</f>
        <v>5.2499999999999998E-2</v>
      </c>
      <c r="G18" s="302">
        <f>E18*F18</f>
        <v>3352008.1437329375</v>
      </c>
      <c r="H18" s="214"/>
    </row>
    <row r="19" spans="1:8" ht="18" customHeight="1" x14ac:dyDescent="0.25">
      <c r="A19" s="291"/>
      <c r="B19" s="294" t="s">
        <v>450</v>
      </c>
      <c r="C19" s="73">
        <f>'3.1YieldFIT'!D25</f>
        <v>25609073213.5</v>
      </c>
      <c r="D19" s="590">
        <f>[1]Jan2023!$E$19</f>
        <v>3.2508928571428571E-2</v>
      </c>
      <c r="E19" s="73">
        <f>C19*D19</f>
        <v>832523531.87815619</v>
      </c>
      <c r="F19" s="293">
        <f>INDEX(INV_TAX_RATE,COUNTA($B$9:$B19)+1,1)</f>
        <v>5.2499999999999998E-2</v>
      </c>
      <c r="G19" s="302">
        <f>E19*F19</f>
        <v>43707485.423603199</v>
      </c>
      <c r="H19" s="214"/>
    </row>
    <row r="20" spans="1:8" ht="18" customHeight="1" x14ac:dyDescent="0.25">
      <c r="A20" s="291"/>
      <c r="B20" s="294" t="s">
        <v>451</v>
      </c>
      <c r="C20" s="441">
        <f>'3.1YieldFIT'!F25</f>
        <v>1437705864.5</v>
      </c>
      <c r="D20" s="590">
        <f>[1]Jan2023!$E$20</f>
        <v>4.0988928571428572E-2</v>
      </c>
      <c r="E20" s="73">
        <f>C20*D20</f>
        <v>58930022.986714467</v>
      </c>
      <c r="F20" s="293">
        <f>INDEX(INV_TAX_RATE,COUNTA($B$9:$B20)+1,1)</f>
        <v>5.2499999999999998E-2</v>
      </c>
      <c r="G20" s="302">
        <f>E20*F20</f>
        <v>3093826.2068025093</v>
      </c>
      <c r="H20" s="214"/>
    </row>
    <row r="21" spans="1:8" ht="18" customHeight="1" x14ac:dyDescent="0.25">
      <c r="A21" s="291" t="s">
        <v>454</v>
      </c>
      <c r="B21" s="443" t="s">
        <v>455</v>
      </c>
      <c r="C21" s="112">
        <v>131067302214</v>
      </c>
      <c r="D21" s="592"/>
      <c r="E21" s="73"/>
      <c r="F21" s="293"/>
      <c r="G21" s="583"/>
      <c r="H21" s="399"/>
    </row>
    <row r="22" spans="1:8" ht="18" customHeight="1" x14ac:dyDescent="0.25">
      <c r="A22" s="291"/>
      <c r="B22" s="294" t="s">
        <v>456</v>
      </c>
      <c r="C22" s="442"/>
      <c r="D22" s="590">
        <f>[1]Jan2023!$E$23</f>
        <v>2.1459999999999996E-2</v>
      </c>
      <c r="E22" s="73">
        <f>C21*D22</f>
        <v>2812704305.5124397</v>
      </c>
      <c r="F22" s="293">
        <f>INDEX(INV_TAX_RATE,COUNTA($B$9:$B22)+1,1)</f>
        <v>0.13125000000000001</v>
      </c>
      <c r="G22" s="302">
        <f t="shared" ref="G22:G27" si="0">E22*F22</f>
        <v>369167440.0985077</v>
      </c>
      <c r="H22" s="214"/>
    </row>
    <row r="23" spans="1:8" ht="18" customHeight="1" x14ac:dyDescent="0.25">
      <c r="A23" s="291"/>
      <c r="B23" s="294" t="s">
        <v>457</v>
      </c>
      <c r="C23" s="73"/>
      <c r="D23" s="590">
        <f>[1]Jan2023!$E$24</f>
        <v>9.815111111111112E-2</v>
      </c>
      <c r="E23" s="73">
        <f>C21*D23</f>
        <v>12864401342.639894</v>
      </c>
      <c r="F23" s="293">
        <f>INDEX(INV_TAX_RATE,COUNTA($B$9:$B23)+1,1)</f>
        <v>0.21</v>
      </c>
      <c r="G23" s="302">
        <f t="shared" si="0"/>
        <v>2701524281.9543777</v>
      </c>
      <c r="H23" s="214"/>
    </row>
    <row r="24" spans="1:8" ht="18" customHeight="1" x14ac:dyDescent="0.25">
      <c r="A24" s="291" t="s">
        <v>458</v>
      </c>
      <c r="B24" s="284" t="s">
        <v>459</v>
      </c>
      <c r="C24" s="112">
        <v>277167135</v>
      </c>
      <c r="D24" s="590">
        <f>[1]Jan2023!$E$25</f>
        <v>5.5464074074074103E-2</v>
      </c>
      <c r="E24" s="73">
        <f t="shared" ref="E24:E27" si="1">C24*D24</f>
        <v>15372818.506538898</v>
      </c>
      <c r="F24" s="293">
        <f>INDEX(INV_TAX_RATE,COUNTA($B$9:$B24)+1,1)</f>
        <v>0.13125000000000001</v>
      </c>
      <c r="G24" s="302">
        <f t="shared" si="0"/>
        <v>2017682.4289832304</v>
      </c>
      <c r="H24" s="214"/>
    </row>
    <row r="25" spans="1:8" ht="18" customHeight="1" x14ac:dyDescent="0.25">
      <c r="A25" s="291" t="s">
        <v>460</v>
      </c>
      <c r="B25" s="284" t="s">
        <v>461</v>
      </c>
      <c r="C25" s="112">
        <v>978237224</v>
      </c>
      <c r="D25" s="590">
        <f>[1]Jan2023!$E$26</f>
        <v>4.9627579365079368E-2</v>
      </c>
      <c r="E25" s="73">
        <f t="shared" si="1"/>
        <v>48547545.471934922</v>
      </c>
      <c r="F25" s="293">
        <f>INDEX(INV_TAX_RATE,COUNTA($B$9:$B25)+1,1)</f>
        <v>0.21</v>
      </c>
      <c r="G25" s="302">
        <f t="shared" si="0"/>
        <v>10194984.549106333</v>
      </c>
      <c r="H25" s="214"/>
    </row>
    <row r="26" spans="1:8" ht="18" customHeight="1" x14ac:dyDescent="0.25">
      <c r="A26" s="291" t="s">
        <v>462</v>
      </c>
      <c r="B26" s="284" t="s">
        <v>463</v>
      </c>
      <c r="C26" s="112">
        <v>368567702</v>
      </c>
      <c r="D26" s="590">
        <f>[1]Jan2023!$E$27</f>
        <v>5.9611111111111101E-2</v>
      </c>
      <c r="E26" s="73">
        <f t="shared" si="1"/>
        <v>21970730.235888883</v>
      </c>
      <c r="F26" s="293">
        <f>INDEX(INV_TAX_RATE,COUNTA($B$9:$B26)+1,1)</f>
        <v>0.21</v>
      </c>
      <c r="G26" s="302">
        <f t="shared" si="0"/>
        <v>4613853.3495366657</v>
      </c>
      <c r="H26" s="214"/>
    </row>
    <row r="27" spans="1:8" ht="18" customHeight="1" x14ac:dyDescent="0.25">
      <c r="A27" s="291" t="s">
        <v>464</v>
      </c>
      <c r="B27" s="284" t="s">
        <v>465</v>
      </c>
      <c r="C27" s="112">
        <v>-168202189</v>
      </c>
      <c r="D27" s="590">
        <f>[1]Jan2023!$E$28</f>
        <v>4.4566666666666664E-2</v>
      </c>
      <c r="E27" s="73">
        <f t="shared" si="1"/>
        <v>-7496210.8897666661</v>
      </c>
      <c r="F27" s="293">
        <f>INDEX(INV_TAX_RATE,COUNTA($B$9:$B27)+1,1)</f>
        <v>0.21</v>
      </c>
      <c r="G27" s="302">
        <f t="shared" si="0"/>
        <v>-1574204.2868509998</v>
      </c>
      <c r="H27" s="214"/>
    </row>
    <row r="28" spans="1:8" ht="18" customHeight="1" x14ac:dyDescent="0.25">
      <c r="A28" s="291" t="s">
        <v>466</v>
      </c>
      <c r="B28" s="284" t="s">
        <v>467</v>
      </c>
      <c r="C28" s="112">
        <v>9957432895</v>
      </c>
      <c r="D28" s="591"/>
      <c r="E28" s="73"/>
      <c r="F28" s="293"/>
      <c r="G28" s="583"/>
      <c r="H28" s="214"/>
    </row>
    <row r="29" spans="1:8" ht="18" customHeight="1" x14ac:dyDescent="0.25">
      <c r="A29" s="291"/>
      <c r="B29" s="294" t="s">
        <v>456</v>
      </c>
      <c r="C29" s="73"/>
      <c r="D29" s="590">
        <f>[1]Jan2023!$E$30</f>
        <v>2.1459999999999996E-2</v>
      </c>
      <c r="E29" s="73">
        <f>C28*D29</f>
        <v>213686509.92669997</v>
      </c>
      <c r="F29" s="293">
        <f>INDEX(INV_TAX_RATE,COUNTA($B$9:$B29)+1,1)</f>
        <v>0.13125000000000001</v>
      </c>
      <c r="G29" s="302">
        <f>E29*F29</f>
        <v>28046354.427879371</v>
      </c>
      <c r="H29" s="214"/>
    </row>
    <row r="30" spans="1:8" ht="18" customHeight="1" x14ac:dyDescent="0.25">
      <c r="A30" s="291"/>
      <c r="B30" s="294" t="s">
        <v>457</v>
      </c>
      <c r="C30" s="73"/>
      <c r="D30" s="590">
        <f>[1]Jan2023!$E$31</f>
        <v>9.815111111111112E-2</v>
      </c>
      <c r="E30" s="73">
        <f>C28*D30</f>
        <v>977333102.45857787</v>
      </c>
      <c r="F30" s="293">
        <f>INDEX(INV_TAX_RATE,COUNTA($B$9:$B30)+1,1)</f>
        <v>0.21</v>
      </c>
      <c r="G30" s="302">
        <f>E30*F30</f>
        <v>205239951.51630133</v>
      </c>
      <c r="H30" s="214"/>
    </row>
    <row r="31" spans="1:8" ht="18" customHeight="1" thickBot="1" x14ac:dyDescent="0.3">
      <c r="A31" s="295" t="s">
        <v>468</v>
      </c>
      <c r="B31" s="296" t="s">
        <v>469</v>
      </c>
      <c r="C31" s="297">
        <f>SUM(C9:C30)</f>
        <v>203233033336</v>
      </c>
      <c r="D31" s="298"/>
      <c r="E31" s="297">
        <f>SUM(E9:E30)</f>
        <v>19312300842.695896</v>
      </c>
      <c r="F31" s="299"/>
      <c r="G31" s="305">
        <f>SUM(G9:G30)</f>
        <v>3665584331.4704995</v>
      </c>
      <c r="H31" s="214"/>
    </row>
    <row r="32" spans="1:8" ht="18" customHeight="1" thickTop="1" x14ac:dyDescent="0.25">
      <c r="A32" s="291" t="s">
        <v>470</v>
      </c>
      <c r="B32" s="284" t="s">
        <v>471</v>
      </c>
      <c r="C32" s="20"/>
      <c r="D32" s="440"/>
      <c r="E32" s="167">
        <v>215722949</v>
      </c>
      <c r="F32" s="293">
        <f>INDEX(INV_TAX_RATE,COUNTA($B$9:$B32)+1,1)</f>
        <v>0.21</v>
      </c>
      <c r="G32" s="302">
        <f>E32*F32</f>
        <v>45301819.289999999</v>
      </c>
      <c r="H32" s="214"/>
    </row>
    <row r="33" spans="1:8" ht="15.75" thickBot="1" x14ac:dyDescent="0.3">
      <c r="A33" s="291" t="s">
        <v>472</v>
      </c>
      <c r="B33" s="284" t="s">
        <v>473</v>
      </c>
      <c r="C33" s="73">
        <f>C31</f>
        <v>203233033336</v>
      </c>
      <c r="D33" s="300"/>
      <c r="E33" s="442">
        <f>E31-E32</f>
        <v>19096577893.695896</v>
      </c>
      <c r="F33" s="301"/>
      <c r="G33" s="302">
        <f>G31-G32</f>
        <v>3620282512.1804996</v>
      </c>
      <c r="H33" s="214"/>
    </row>
    <row r="34" spans="1:8" ht="19.5" thickBot="1" x14ac:dyDescent="0.3">
      <c r="A34" s="291" t="s">
        <v>474</v>
      </c>
      <c r="B34" s="284" t="s">
        <v>475</v>
      </c>
      <c r="C34" s="73"/>
      <c r="D34" s="300"/>
      <c r="E34" s="302"/>
      <c r="F34" s="303">
        <f>G33/E33</f>
        <v>0.18957755323144132</v>
      </c>
      <c r="G34" s="584"/>
      <c r="H34" s="399" t="str">
        <f>IF(ISERROR($F$34),"← ERROR! Correct issues with input of source data on either Page 3.1 or 3.2.","")</f>
        <v/>
      </c>
    </row>
    <row r="35" spans="1:8" ht="30.75" thickBot="1" x14ac:dyDescent="0.3">
      <c r="A35" s="295" t="s">
        <v>476</v>
      </c>
      <c r="B35" s="296" t="s">
        <v>477</v>
      </c>
      <c r="C35" s="297"/>
      <c r="D35" s="304">
        <f>E33/C33</f>
        <v>9.3963946609624288E-2</v>
      </c>
      <c r="E35" s="305"/>
      <c r="F35" s="306"/>
      <c r="G35" s="585"/>
      <c r="H35" s="435"/>
    </row>
    <row r="36" spans="1:8" ht="30.75" thickTop="1" x14ac:dyDescent="0.25">
      <c r="A36" s="307"/>
      <c r="B36" s="308"/>
      <c r="C36" s="308" t="s">
        <v>394</v>
      </c>
      <c r="D36" s="308"/>
      <c r="E36" s="308"/>
      <c r="F36" s="308"/>
      <c r="G36" s="586"/>
      <c r="H36" s="214"/>
    </row>
    <row r="37" spans="1:8" ht="18" customHeight="1" x14ac:dyDescent="0.25">
      <c r="A37" s="309" t="s">
        <v>478</v>
      </c>
      <c r="B37" s="310" t="s">
        <v>479</v>
      </c>
      <c r="C37" s="112">
        <v>21709769011</v>
      </c>
      <c r="D37" s="311"/>
      <c r="E37" s="312"/>
      <c r="F37" s="311"/>
      <c r="G37" s="587"/>
      <c r="H37" s="214"/>
    </row>
    <row r="38" spans="1:8" ht="17.25" x14ac:dyDescent="0.25">
      <c r="A38" s="309" t="s">
        <v>480</v>
      </c>
      <c r="B38" s="310" t="s">
        <v>481</v>
      </c>
      <c r="C38" s="112">
        <v>8748868449</v>
      </c>
      <c r="D38" s="311"/>
      <c r="E38" s="312"/>
      <c r="F38" s="311"/>
      <c r="G38" s="587"/>
      <c r="H38" s="214"/>
    </row>
    <row r="39" spans="1:8" ht="17.25" x14ac:dyDescent="0.25">
      <c r="A39" s="309" t="s">
        <v>482</v>
      </c>
      <c r="B39" s="310" t="s">
        <v>483</v>
      </c>
      <c r="C39" s="112">
        <v>11458027448</v>
      </c>
      <c r="D39" s="311"/>
      <c r="E39" s="312"/>
      <c r="F39" s="311"/>
      <c r="G39" s="587"/>
      <c r="H39" s="214"/>
    </row>
    <row r="40" spans="1:8" ht="17.25" x14ac:dyDescent="0.25">
      <c r="A40" s="309" t="s">
        <v>484</v>
      </c>
      <c r="B40" s="310" t="s">
        <v>485</v>
      </c>
      <c r="C40" s="112">
        <v>143179583361</v>
      </c>
      <c r="D40" s="311"/>
      <c r="E40" s="312"/>
      <c r="F40" s="311"/>
      <c r="G40" s="587"/>
      <c r="H40" s="214"/>
    </row>
    <row r="41" spans="1:8" ht="15.75" thickBot="1" x14ac:dyDescent="0.3">
      <c r="A41" s="309" t="s">
        <v>486</v>
      </c>
      <c r="B41" s="310" t="s">
        <v>487</v>
      </c>
      <c r="C41" s="73">
        <f>SUM(C37:C40)</f>
        <v>185096248269</v>
      </c>
      <c r="D41" s="311"/>
      <c r="E41" s="312"/>
      <c r="F41" s="311"/>
      <c r="G41" s="587"/>
      <c r="H41" s="214"/>
    </row>
    <row r="42" spans="1:8" ht="45.75" thickBot="1" x14ac:dyDescent="0.3">
      <c r="A42" s="313" t="s">
        <v>488</v>
      </c>
      <c r="B42" s="314" t="s">
        <v>713</v>
      </c>
      <c r="C42" s="315"/>
      <c r="D42" s="316">
        <f>D35*C33/C41</f>
        <v>0.10317106949646478</v>
      </c>
      <c r="E42" s="317"/>
      <c r="F42" s="318"/>
      <c r="G42" s="588"/>
      <c r="H42" s="399" t="str">
        <f>IF(ISERROR($D$42),"← ERROR! Correct issues with input of source data on either Page 3.1 or 3.2.","")</f>
        <v/>
      </c>
    </row>
    <row r="43" spans="1:8" ht="5.0999999999999996" customHeight="1" x14ac:dyDescent="0.25">
      <c r="A43" s="81"/>
      <c r="B43" s="285"/>
      <c r="C43" s="285"/>
      <c r="D43" s="285"/>
      <c r="E43" s="285"/>
      <c r="F43" s="285"/>
      <c r="G43" s="285"/>
      <c r="H43" s="214"/>
    </row>
    <row r="44" spans="1:8" ht="17.25" x14ac:dyDescent="0.25">
      <c r="A44" s="319" t="s">
        <v>692</v>
      </c>
      <c r="H44" s="214"/>
    </row>
    <row r="45" spans="1:8" x14ac:dyDescent="0.25">
      <c r="A45" s="320" t="s">
        <v>489</v>
      </c>
      <c r="H45" s="214"/>
    </row>
    <row r="46" spans="1:8" x14ac:dyDescent="0.25">
      <c r="A46" s="321" t="s">
        <v>490</v>
      </c>
      <c r="H46" s="214"/>
    </row>
    <row r="47" spans="1:8" ht="17.25" x14ac:dyDescent="0.25">
      <c r="A47" s="322" t="s">
        <v>491</v>
      </c>
      <c r="H47" s="445"/>
    </row>
    <row r="48" spans="1:8" x14ac:dyDescent="0.25">
      <c r="A48" s="323" t="s">
        <v>492</v>
      </c>
      <c r="F48" s="159" t="s">
        <v>493</v>
      </c>
      <c r="G48" s="605" t="s">
        <v>761</v>
      </c>
      <c r="H48" s="445" t="s">
        <v>622</v>
      </c>
    </row>
    <row r="49" spans="1:10" ht="17.25" x14ac:dyDescent="0.25">
      <c r="A49" s="322" t="s">
        <v>494</v>
      </c>
      <c r="H49" s="445" t="s">
        <v>339</v>
      </c>
    </row>
    <row r="50" spans="1:10" ht="17.25" x14ac:dyDescent="0.25">
      <c r="A50" s="319" t="s">
        <v>495</v>
      </c>
      <c r="H50" s="445"/>
    </row>
    <row r="51" spans="1:10" ht="15.75" thickBot="1" x14ac:dyDescent="0.3">
      <c r="A51" s="321" t="s">
        <v>496</v>
      </c>
      <c r="H51" s="589"/>
    </row>
    <row r="52" spans="1:10" x14ac:dyDescent="0.25">
      <c r="H52" s="15"/>
    </row>
    <row r="57" spans="1:10" x14ac:dyDescent="0.25">
      <c r="J57" s="595"/>
    </row>
    <row r="73" spans="9:10" x14ac:dyDescent="0.25">
      <c r="I73" s="594"/>
      <c r="J73" s="594"/>
    </row>
  </sheetData>
  <sheetProtection algorithmName="SHA-512" hashValue="ustoUond76aD0c7/VtWEfKkZ/5UPaRtgih19wyP2U324pF5IJWd9OGx2tGzizH8P0oip5ayPrlCdGCTlp1EqxA==" saltValue="MwiUb/hn8CkFuJSUW5mf4g==" spinCount="100000" sheet="1" objects="1" scenarios="1" formatColumns="0" formatRows="0" sort="0"/>
  <hyperlinks>
    <hyperlink ref="A48" r:id="rId1" xr:uid="{00000000-0004-0000-0600-000000000000}"/>
  </hyperlinks>
  <printOptions horizontalCentered="1"/>
  <pageMargins left="0.45" right="0.45" top="0.5" bottom="0.5" header="0.3" footer="0.3"/>
  <pageSetup scale="69" orientation="portrait" r:id="rId2"/>
  <headerFooter>
    <oddFooter>&amp;CPrior Approval Rate Template&amp;RPage 3.2&amp;L1/3/2023 Edition</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zoomScaleNormal="100" zoomScaleSheetLayoutView="100" workbookViewId="0">
      <selection activeCell="H39" sqref="H39"/>
    </sheetView>
  </sheetViews>
  <sheetFormatPr defaultRowHeight="15" x14ac:dyDescent="0.25"/>
  <cols>
    <col min="1" max="1" width="16.7109375" customWidth="1"/>
    <col min="2" max="2" width="16" customWidth="1"/>
    <col min="3" max="3" width="16.140625" customWidth="1"/>
    <col min="4" max="4" width="16" customWidth="1"/>
    <col min="5" max="5" width="16.140625" customWidth="1"/>
    <col min="6" max="6" width="16" customWidth="1"/>
    <col min="7" max="7" width="16.140625" customWidth="1"/>
  </cols>
  <sheetData>
    <row r="1" spans="1:7" x14ac:dyDescent="0.25">
      <c r="A1" s="7" t="s">
        <v>31</v>
      </c>
      <c r="B1" s="7"/>
      <c r="D1" s="109" t="s">
        <v>33</v>
      </c>
      <c r="G1" s="110" t="str">
        <f>Co_Name</f>
        <v>State Farm Mutual Automobile Insurance Company</v>
      </c>
    </row>
    <row r="2" spans="1:7" x14ac:dyDescent="0.25">
      <c r="A2" s="7" t="s">
        <v>32</v>
      </c>
      <c r="B2" s="7"/>
      <c r="D2" s="109" t="s">
        <v>34</v>
      </c>
      <c r="G2" s="110" t="str">
        <f>General_Line</f>
        <v>Auto Liability and Physical Damage</v>
      </c>
    </row>
    <row r="3" spans="1:7" x14ac:dyDescent="0.25">
      <c r="A3" s="6"/>
      <c r="B3" s="156"/>
      <c r="C3" s="6"/>
      <c r="D3" s="154" t="s">
        <v>142</v>
      </c>
      <c r="E3" s="77"/>
      <c r="F3" s="77"/>
      <c r="G3" s="249" t="str">
        <f>CDI_FileNo</f>
        <v/>
      </c>
    </row>
    <row r="4" spans="1:7" ht="18" customHeight="1" x14ac:dyDescent="0.25">
      <c r="A4" s="6"/>
      <c r="B4" s="156"/>
      <c r="C4" s="6"/>
      <c r="D4" s="6"/>
      <c r="E4" s="6"/>
      <c r="F4" s="6"/>
      <c r="G4" s="6"/>
    </row>
    <row r="5" spans="1:7" ht="23.25" x14ac:dyDescent="0.25">
      <c r="A5" s="4" t="s">
        <v>390</v>
      </c>
      <c r="B5" s="4"/>
      <c r="C5" s="5"/>
      <c r="D5" s="5"/>
      <c r="E5" s="5"/>
      <c r="F5" s="5"/>
      <c r="G5" s="5"/>
    </row>
    <row r="6" spans="1:7" ht="23.25" x14ac:dyDescent="0.25">
      <c r="A6" s="4" t="s">
        <v>391</v>
      </c>
      <c r="B6" s="4"/>
      <c r="C6" s="4"/>
      <c r="D6" s="4"/>
      <c r="E6" s="4"/>
      <c r="F6" s="4"/>
      <c r="G6" s="4"/>
    </row>
    <row r="7" spans="1:7" ht="15.75" thickBot="1" x14ac:dyDescent="0.3"/>
    <row r="8" spans="1:7" ht="30" x14ac:dyDescent="0.25">
      <c r="E8" s="501" t="s">
        <v>392</v>
      </c>
      <c r="F8" s="288" t="s">
        <v>393</v>
      </c>
      <c r="G8" s="457" t="s">
        <v>394</v>
      </c>
    </row>
    <row r="9" spans="1:7" x14ac:dyDescent="0.25">
      <c r="D9" s="264"/>
      <c r="E9" s="502">
        <f>F9-1</f>
        <v>2019</v>
      </c>
      <c r="F9" s="459">
        <f>G9-1</f>
        <v>2020</v>
      </c>
      <c r="G9" s="522" t="s">
        <v>758</v>
      </c>
    </row>
    <row r="10" spans="1:7" ht="30" customHeight="1" x14ac:dyDescent="0.25">
      <c r="A10" s="637" t="s">
        <v>497</v>
      </c>
      <c r="B10" s="637"/>
      <c r="C10" s="637"/>
      <c r="D10" s="637"/>
      <c r="E10" s="503">
        <v>64021449909</v>
      </c>
      <c r="F10" s="265">
        <v>64816402364</v>
      </c>
      <c r="G10" s="504">
        <v>66531873255</v>
      </c>
    </row>
    <row r="11" spans="1:7" ht="30" customHeight="1" x14ac:dyDescent="0.25">
      <c r="A11" s="637" t="s">
        <v>498</v>
      </c>
      <c r="B11" s="637"/>
      <c r="C11" s="637"/>
      <c r="D11" s="637"/>
      <c r="E11" s="503">
        <v>1158953310</v>
      </c>
      <c r="F11" s="265">
        <v>1134252131</v>
      </c>
      <c r="G11" s="504">
        <v>1332212105</v>
      </c>
    </row>
    <row r="12" spans="1:7" ht="15.75" thickBot="1" x14ac:dyDescent="0.3">
      <c r="A12" s="6" t="s">
        <v>499</v>
      </c>
      <c r="B12" s="6"/>
      <c r="C12" s="6"/>
      <c r="D12" s="6"/>
      <c r="E12" s="505">
        <f>SUM(E10:E11)</f>
        <v>65180403219</v>
      </c>
      <c r="F12" s="506">
        <f>SUM(F10:F11)</f>
        <v>65950654495</v>
      </c>
      <c r="G12" s="507">
        <f>SUM(G10:G11)</f>
        <v>67864085360</v>
      </c>
    </row>
    <row r="13" spans="1:7" x14ac:dyDescent="0.25">
      <c r="A13" s="266" t="s">
        <v>675</v>
      </c>
      <c r="B13" s="6"/>
      <c r="C13" s="6"/>
      <c r="D13" s="6"/>
    </row>
    <row r="14" spans="1:7" ht="15.75" x14ac:dyDescent="0.25">
      <c r="A14" s="531" t="s">
        <v>717</v>
      </c>
      <c r="B14" s="1"/>
    </row>
    <row r="15" spans="1:7" ht="30" customHeight="1" x14ac:dyDescent="0.25">
      <c r="A15" s="267" t="s">
        <v>395</v>
      </c>
    </row>
    <row r="16" spans="1:7" ht="5.25" customHeight="1" thickBot="1" x14ac:dyDescent="0.3">
      <c r="A16" s="268"/>
    </row>
    <row r="17" spans="1:7" ht="15" customHeight="1" x14ac:dyDescent="0.25">
      <c r="A17" s="493"/>
      <c r="B17" s="461" t="s">
        <v>392</v>
      </c>
      <c r="C17" s="461"/>
      <c r="D17" s="461" t="s">
        <v>393</v>
      </c>
      <c r="E17" s="461"/>
      <c r="F17" s="461" t="s">
        <v>394</v>
      </c>
      <c r="G17" s="462"/>
    </row>
    <row r="18" spans="1:7" ht="15" customHeight="1" x14ac:dyDescent="0.25">
      <c r="A18" s="494"/>
      <c r="B18" s="270">
        <f>E$9</f>
        <v>2019</v>
      </c>
      <c r="C18" s="269"/>
      <c r="D18" s="270">
        <f>F$9</f>
        <v>2020</v>
      </c>
      <c r="E18" s="269"/>
      <c r="F18" s="270" t="str">
        <f>G$9</f>
        <v>2021</v>
      </c>
      <c r="G18" s="472"/>
    </row>
    <row r="19" spans="1:7" ht="15" customHeight="1" x14ac:dyDescent="0.25">
      <c r="A19" s="495"/>
      <c r="B19" s="32" t="s">
        <v>396</v>
      </c>
      <c r="C19" s="32" t="s">
        <v>397</v>
      </c>
      <c r="D19" s="32" t="s">
        <v>396</v>
      </c>
      <c r="E19" s="32" t="s">
        <v>397</v>
      </c>
      <c r="F19" s="32" t="s">
        <v>396</v>
      </c>
      <c r="G19" s="496" t="s">
        <v>397</v>
      </c>
    </row>
    <row r="20" spans="1:7" ht="15" customHeight="1" x14ac:dyDescent="0.25">
      <c r="A20" s="497" t="s">
        <v>398</v>
      </c>
      <c r="B20" s="112">
        <v>1988548.9400000002</v>
      </c>
      <c r="C20" s="112">
        <v>8283342.8799999999</v>
      </c>
      <c r="D20" s="112">
        <v>2184605.62</v>
      </c>
      <c r="E20" s="112">
        <v>18081900</v>
      </c>
      <c r="F20" s="112">
        <v>2130873.84</v>
      </c>
      <c r="G20" s="498">
        <v>22376700</v>
      </c>
    </row>
    <row r="21" spans="1:7" ht="15" customHeight="1" x14ac:dyDescent="0.25">
      <c r="A21" s="497" t="s">
        <v>399</v>
      </c>
      <c r="B21" s="112">
        <v>936307.37</v>
      </c>
      <c r="C21" s="112">
        <v>2625838.4</v>
      </c>
      <c r="D21" s="112">
        <v>1010750.1</v>
      </c>
      <c r="E21" s="112">
        <v>5801460</v>
      </c>
      <c r="F21" s="112">
        <v>1019146.0700000001</v>
      </c>
      <c r="G21" s="498">
        <v>7616868</v>
      </c>
    </row>
    <row r="22" spans="1:7" ht="15" customHeight="1" x14ac:dyDescent="0.25">
      <c r="A22" s="497" t="s">
        <v>400</v>
      </c>
      <c r="B22" s="112">
        <v>898152.89</v>
      </c>
      <c r="C22" s="112">
        <v>2625838.4</v>
      </c>
      <c r="D22" s="112">
        <v>1004986.77</v>
      </c>
      <c r="E22" s="112">
        <v>5801460</v>
      </c>
      <c r="F22" s="112">
        <v>1006088.25</v>
      </c>
      <c r="G22" s="498">
        <v>7253322</v>
      </c>
    </row>
    <row r="23" spans="1:7" ht="15" customHeight="1" x14ac:dyDescent="0.25">
      <c r="A23" s="497" t="s">
        <v>401</v>
      </c>
      <c r="B23" s="112">
        <v>797125.02999999991</v>
      </c>
      <c r="C23" s="112">
        <v>2160793.6000000001</v>
      </c>
      <c r="D23" s="112">
        <v>1086416.3799999999</v>
      </c>
      <c r="E23" s="112">
        <v>4962100</v>
      </c>
      <c r="F23" s="112">
        <v>979601.7</v>
      </c>
      <c r="G23" s="498">
        <v>6616284</v>
      </c>
    </row>
    <row r="24" spans="1:7" ht="15" customHeight="1" x14ac:dyDescent="0.25">
      <c r="A24" s="497" t="s">
        <v>402</v>
      </c>
      <c r="B24" s="112">
        <v>769940.92</v>
      </c>
      <c r="C24" s="112">
        <v>1780609.12</v>
      </c>
      <c r="D24" s="112">
        <v>790204.24</v>
      </c>
      <c r="E24" s="112">
        <v>2475562.5</v>
      </c>
      <c r="F24" s="112">
        <v>819194.11</v>
      </c>
      <c r="G24" s="498">
        <v>3881730</v>
      </c>
    </row>
    <row r="25" spans="1:7" ht="15" customHeight="1" x14ac:dyDescent="0.25">
      <c r="A25" s="117"/>
      <c r="B25" s="6"/>
      <c r="C25" s="6"/>
      <c r="D25" s="6"/>
      <c r="E25" s="6"/>
      <c r="F25" s="6"/>
      <c r="G25" s="144"/>
    </row>
    <row r="26" spans="1:7" ht="15" customHeight="1" x14ac:dyDescent="0.25">
      <c r="A26" s="495"/>
      <c r="B26" s="269" t="s">
        <v>392</v>
      </c>
      <c r="C26" s="269"/>
      <c r="D26" s="269" t="s">
        <v>393</v>
      </c>
      <c r="E26" s="269"/>
      <c r="F26" s="269" t="s">
        <v>394</v>
      </c>
      <c r="G26" s="472"/>
    </row>
    <row r="27" spans="1:7" ht="15" customHeight="1" x14ac:dyDescent="0.25">
      <c r="A27" s="495"/>
      <c r="B27" s="638">
        <f>E$9</f>
        <v>2019</v>
      </c>
      <c r="C27" s="639"/>
      <c r="D27" s="638">
        <f>F$9</f>
        <v>2020</v>
      </c>
      <c r="E27" s="639"/>
      <c r="F27" s="638" t="str">
        <f>G$9</f>
        <v>2021</v>
      </c>
      <c r="G27" s="640"/>
    </row>
    <row r="28" spans="1:7" ht="30" customHeight="1" x14ac:dyDescent="0.25">
      <c r="A28" s="495"/>
      <c r="B28" s="271" t="s">
        <v>403</v>
      </c>
      <c r="C28" s="271" t="s">
        <v>404</v>
      </c>
      <c r="D28" s="271" t="s">
        <v>403</v>
      </c>
      <c r="E28" s="271" t="s">
        <v>404</v>
      </c>
      <c r="F28" s="271" t="s">
        <v>403</v>
      </c>
      <c r="G28" s="463" t="s">
        <v>404</v>
      </c>
    </row>
    <row r="29" spans="1:7" ht="15" customHeight="1" x14ac:dyDescent="0.25">
      <c r="A29" s="497" t="s">
        <v>398</v>
      </c>
      <c r="B29" s="73">
        <f>1077*10^(1.46+0.406*(IF($E$10/1000000&lt;70,LOG10(70),LOG10($E$10/1000000))))</f>
        <v>2777051.0189908776</v>
      </c>
      <c r="C29" s="73">
        <f>IF(SUM(B20:C20)&lt;B29,0,SUM(B20:C20)-B29)</f>
        <v>7494840.8010091223</v>
      </c>
      <c r="D29" s="73">
        <f>1077*10^(1.46+0.406*(IF($F$10/1000000&lt;70,LOG10(70),LOG10($F$10/1000000))))</f>
        <v>2790999.6470308122</v>
      </c>
      <c r="E29" s="73">
        <f>IF(SUM(D20:E20)&lt;D29,0,SUM(D20:E20)-D29)</f>
        <v>17475505.972969189</v>
      </c>
      <c r="F29" s="73">
        <f>1077*10^(1.46+0.406*(IF($G$10/1000000&lt;70,LOG10(70),LOG10($G$10/1000000))))</f>
        <v>2820757.7004732592</v>
      </c>
      <c r="G29" s="458">
        <f>IF(SUM(F20:G20)&lt;F29,0,SUM(F20:G20)-F29)</f>
        <v>21686816.13952674</v>
      </c>
    </row>
    <row r="30" spans="1:7" ht="15" customHeight="1" x14ac:dyDescent="0.25">
      <c r="A30" s="497" t="s">
        <v>399</v>
      </c>
      <c r="B30" s="73">
        <f>1077*10^(1.414+0.349*(IF($E$10/1000000&lt;70,LOG10(70),LOG10($E$10/1000000))))</f>
        <v>1329300.9181339967</v>
      </c>
      <c r="C30" s="73">
        <f t="shared" ref="C30:E33" si="0">IF(SUM(B21:C21)&lt;B30,0,SUM(B21:C21)-B30)</f>
        <v>2232844.8518660031</v>
      </c>
      <c r="D30" s="73">
        <f>1077*10^(1.414+0.349*(IF($F$10/1000000&lt;70,LOG10(70),LOG10($F$10/1000000))))</f>
        <v>1335038.3490722852</v>
      </c>
      <c r="E30" s="73">
        <f t="shared" si="0"/>
        <v>5477171.7509277146</v>
      </c>
      <c r="F30" s="73">
        <f>1077*10^(1.414+0.349*(IF($G$10/1000000&lt;70,LOG10(70),LOG10($G$10/1000000))))</f>
        <v>1347265.1829938681</v>
      </c>
      <c r="G30" s="458">
        <f t="shared" ref="G30" si="1">IF(SUM(F21:G21)&lt;F30,0,SUM(F21:G21)-F30)</f>
        <v>7288748.8870061319</v>
      </c>
    </row>
    <row r="31" spans="1:7" ht="15" customHeight="1" x14ac:dyDescent="0.25">
      <c r="A31" s="497" t="s">
        <v>400</v>
      </c>
      <c r="B31" s="73">
        <f>1077*10^(1.231+0.382*(IF($E$10/1000000&lt;70,LOG10(70),LOG10($E$10/1000000))))</f>
        <v>1256701.2480768154</v>
      </c>
      <c r="C31" s="73">
        <f t="shared" si="0"/>
        <v>2267290.0419231849</v>
      </c>
      <c r="D31" s="73">
        <f>1077*10^(1.231+0.382*(IF($F$10/1000000&lt;70,LOG10(70),LOG10($F$10/1000000))))</f>
        <v>1262639.4183347356</v>
      </c>
      <c r="E31" s="73">
        <f t="shared" si="0"/>
        <v>5543807.351665264</v>
      </c>
      <c r="F31" s="73">
        <f>1077*10^(1.231+0.382*(IF($G$10/1000000&lt;70,LOG10(70),LOG10($G$10/1000000))))</f>
        <v>1275302.0810506688</v>
      </c>
      <c r="G31" s="458">
        <f t="shared" ref="G31" si="2">IF(SUM(F22:G22)&lt;F31,0,SUM(F22:G22)-F31)</f>
        <v>6984108.1689493312</v>
      </c>
    </row>
    <row r="32" spans="1:7" ht="15" customHeight="1" x14ac:dyDescent="0.25">
      <c r="A32" s="497" t="s">
        <v>401</v>
      </c>
      <c r="B32" s="73">
        <f>1077*10^(1.247+0.358*(IF($E$10/1000000&lt;70,LOG10(70),LOG10($E$10/1000000))))</f>
        <v>999724.26722144184</v>
      </c>
      <c r="C32" s="73">
        <f t="shared" si="0"/>
        <v>1958194.3627785579</v>
      </c>
      <c r="D32" s="73">
        <f>1077*10^(1.247+0.358*(IF($F$10/1000000&lt;70,LOG10(70),LOG10($F$10/1000000))))</f>
        <v>1004150.7230533524</v>
      </c>
      <c r="E32" s="73">
        <f t="shared" si="0"/>
        <v>5044365.6569466479</v>
      </c>
      <c r="F32" s="73">
        <f>1077*10^(1.247+0.358*(IF($G$10/1000000&lt;70,LOG10(70),LOG10($G$10/1000000))))</f>
        <v>1013585.4189741334</v>
      </c>
      <c r="G32" s="458">
        <f t="shared" ref="G32" si="3">IF(SUM(F23:G23)&lt;F32,0,SUM(F23:G23)-F32)</f>
        <v>6582300.281025867</v>
      </c>
    </row>
    <row r="33" spans="1:7" ht="15" customHeight="1" x14ac:dyDescent="0.25">
      <c r="A33" s="497" t="s">
        <v>402</v>
      </c>
      <c r="B33" s="73">
        <f>1077*10^(1.246+0.342*(IF($E$10/1000000&lt;70,LOG10(70),LOG10($E$10/1000000))))</f>
        <v>835562.66458049649</v>
      </c>
      <c r="C33" s="73">
        <f t="shared" si="0"/>
        <v>1714987.3754195035</v>
      </c>
      <c r="D33" s="73">
        <f>1077*10^(1.246+0.342*(IF($F$10/1000000&lt;70,LOG10(70),LOG10($F$10/1000000))))</f>
        <v>839096.57145037025</v>
      </c>
      <c r="E33" s="73">
        <f t="shared" si="0"/>
        <v>2426670.1685496299</v>
      </c>
      <c r="F33" s="73">
        <f>1077*10^(1.246+0.342*(IF($G$10/1000000&lt;70,LOG10(70),LOG10($G$10/1000000))))</f>
        <v>846626.53946077835</v>
      </c>
      <c r="G33" s="458">
        <f t="shared" ref="G33" si="4">IF(SUM(F24:G24)&lt;F33,0,SUM(F24:G24)-F33)</f>
        <v>3854297.5705392221</v>
      </c>
    </row>
    <row r="34" spans="1:7" ht="15" customHeight="1" thickBot="1" x14ac:dyDescent="0.3">
      <c r="A34" s="499" t="s">
        <v>405</v>
      </c>
      <c r="B34" s="17"/>
      <c r="C34" s="474">
        <f>SUM(C29:C33)</f>
        <v>15668157.43299637</v>
      </c>
      <c r="D34" s="17"/>
      <c r="E34" s="474">
        <f>SUM(E29:E33)</f>
        <v>35967520.90105845</v>
      </c>
      <c r="F34" s="17"/>
      <c r="G34" s="500">
        <f>SUM(G29:G33)</f>
        <v>46396271.047047287</v>
      </c>
    </row>
    <row r="35" spans="1:7" ht="15" customHeight="1" x14ac:dyDescent="0.25"/>
    <row r="36" spans="1:7" ht="15" customHeight="1" x14ac:dyDescent="0.25">
      <c r="A36" s="267" t="s">
        <v>406</v>
      </c>
    </row>
    <row r="37" spans="1:7" ht="15" customHeight="1" thickBot="1" x14ac:dyDescent="0.3"/>
    <row r="38" spans="1:7" ht="15" customHeight="1" x14ac:dyDescent="0.25">
      <c r="A38" s="508"/>
      <c r="B38" s="461" t="s">
        <v>392</v>
      </c>
      <c r="C38" s="461"/>
      <c r="D38" s="461" t="s">
        <v>393</v>
      </c>
      <c r="E38" s="461"/>
      <c r="F38" s="461" t="s">
        <v>394</v>
      </c>
      <c r="G38" s="462"/>
    </row>
    <row r="39" spans="1:7" ht="15" customHeight="1" x14ac:dyDescent="0.25">
      <c r="A39" s="465"/>
      <c r="B39" s="270">
        <f>E$9</f>
        <v>2019</v>
      </c>
      <c r="C39" s="269"/>
      <c r="D39" s="270">
        <f>F$9</f>
        <v>2020</v>
      </c>
      <c r="E39" s="269"/>
      <c r="F39" s="270" t="str">
        <f>G$9</f>
        <v>2021</v>
      </c>
      <c r="G39" s="472"/>
    </row>
    <row r="40" spans="1:7" ht="30" x14ac:dyDescent="0.25">
      <c r="A40" s="495"/>
      <c r="B40" s="271" t="s">
        <v>407</v>
      </c>
      <c r="C40" s="271" t="s">
        <v>719</v>
      </c>
      <c r="D40" s="271" t="s">
        <v>407</v>
      </c>
      <c r="E40" s="271" t="s">
        <v>719</v>
      </c>
      <c r="F40" s="271" t="s">
        <v>407</v>
      </c>
      <c r="G40" s="463" t="s">
        <v>719</v>
      </c>
    </row>
    <row r="41" spans="1:7" ht="18" thickBot="1" x14ac:dyDescent="0.3">
      <c r="A41" s="499" t="s">
        <v>408</v>
      </c>
      <c r="B41" s="532">
        <v>906791014.5</v>
      </c>
      <c r="C41" s="533">
        <v>302263671.5</v>
      </c>
      <c r="D41" s="532">
        <v>875227273.5</v>
      </c>
      <c r="E41" s="532">
        <v>291742424.5</v>
      </c>
      <c r="F41" s="532">
        <v>801167938.5</v>
      </c>
      <c r="G41" s="534">
        <v>267055979.5</v>
      </c>
    </row>
    <row r="42" spans="1:7" ht="15.75" x14ac:dyDescent="0.25">
      <c r="A42" s="272" t="s">
        <v>720</v>
      </c>
    </row>
    <row r="43" spans="1:7" x14ac:dyDescent="0.25">
      <c r="A43" s="272" t="s">
        <v>718</v>
      </c>
    </row>
  </sheetData>
  <sheetProtection algorithmName="SHA-512" hashValue="M1BMRweQ0NHVoK9Go53Q9yWS+1XUhjmqAJ6BYn3Tm/1IdlENbu/H2AWsA7OJl7kh076PGckF9KxPEgwBWcpyaA==" saltValue="b2Sy90NuiucRqkQOU9/PXw=="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3"/>
  <pageSetup scale="83" orientation="portrait" r:id="rId1"/>
  <headerFooter>
    <oddFooter>&amp;CPrior Approval Rate Template&amp;RPage 4.1&amp;L1/3/2023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66675</xdr:colOff>
                    <xdr:row>13</xdr:row>
                    <xdr:rowOff>38100</xdr:rowOff>
                  </from>
                  <to>
                    <xdr:col>0</xdr:col>
                    <xdr:colOff>295275</xdr:colOff>
                    <xdr:row>13</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election activeCell="E20" sqref="E20"/>
    </sheetView>
  </sheetViews>
  <sheetFormatPr defaultRowHeight="15" x14ac:dyDescent="0.25"/>
  <cols>
    <col min="1" max="1" width="51.85546875" customWidth="1"/>
    <col min="2" max="2" width="15.7109375" customWidth="1"/>
    <col min="3" max="5" width="14.7109375" customWidth="1"/>
    <col min="6" max="6" width="69.28515625" bestFit="1" customWidth="1"/>
  </cols>
  <sheetData>
    <row r="1" spans="1:6" ht="15.75" thickBot="1" x14ac:dyDescent="0.3">
      <c r="A1" s="7" t="s">
        <v>31</v>
      </c>
      <c r="B1" s="109" t="s">
        <v>33</v>
      </c>
      <c r="E1" s="110" t="str">
        <f>Co_Name</f>
        <v>State Farm Mutual Automobile Insurance Company</v>
      </c>
      <c r="F1" s="74" t="s">
        <v>709</v>
      </c>
    </row>
    <row r="2" spans="1:6" x14ac:dyDescent="0.25">
      <c r="A2" s="7" t="s">
        <v>32</v>
      </c>
      <c r="B2" s="109" t="s">
        <v>34</v>
      </c>
      <c r="E2" s="110" t="str">
        <f>General_Line</f>
        <v>Auto Liability and Physical Damage</v>
      </c>
      <c r="F2" s="176" t="s">
        <v>113</v>
      </c>
    </row>
    <row r="3" spans="1:6" x14ac:dyDescent="0.25">
      <c r="A3" s="6"/>
      <c r="B3" s="154" t="s">
        <v>142</v>
      </c>
      <c r="C3" s="77"/>
      <c r="D3" s="77"/>
      <c r="E3" s="249" t="str">
        <f>CDI_FileNo</f>
        <v/>
      </c>
      <c r="F3" s="214"/>
    </row>
    <row r="4" spans="1:6" ht="18" customHeight="1" x14ac:dyDescent="0.25">
      <c r="A4" s="6"/>
      <c r="B4" s="156"/>
      <c r="F4" s="214"/>
    </row>
    <row r="5" spans="1:6" ht="23.25" x14ac:dyDescent="0.25">
      <c r="A5" s="4" t="s">
        <v>409</v>
      </c>
      <c r="B5" s="5"/>
      <c r="C5" s="5"/>
      <c r="D5" s="5"/>
      <c r="E5" s="5"/>
      <c r="F5" s="214"/>
    </row>
    <row r="6" spans="1:6" ht="23.25" x14ac:dyDescent="0.25">
      <c r="A6" s="4" t="s">
        <v>391</v>
      </c>
      <c r="B6" s="4"/>
      <c r="C6" s="4"/>
      <c r="D6" s="4"/>
      <c r="E6" s="4"/>
      <c r="F6" s="214"/>
    </row>
    <row r="7" spans="1:6" x14ac:dyDescent="0.25">
      <c r="A7" s="1"/>
      <c r="F7" s="214"/>
    </row>
    <row r="8" spans="1:6" ht="16.5" thickBot="1" x14ac:dyDescent="0.3">
      <c r="A8" s="530" t="s">
        <v>717</v>
      </c>
      <c r="F8" s="214"/>
    </row>
    <row r="9" spans="1:6" ht="30" x14ac:dyDescent="0.25">
      <c r="A9" s="484"/>
      <c r="B9" s="485"/>
      <c r="C9" s="486" t="s">
        <v>392</v>
      </c>
      <c r="D9" s="288" t="s">
        <v>393</v>
      </c>
      <c r="E9" s="457" t="s">
        <v>394</v>
      </c>
      <c r="F9" s="214"/>
    </row>
    <row r="10" spans="1:6" x14ac:dyDescent="0.25">
      <c r="A10" s="487"/>
      <c r="B10" s="274"/>
      <c r="C10" s="275">
        <f>'4.1Excluded Exp'!E$9</f>
        <v>2019</v>
      </c>
      <c r="D10" s="275">
        <f>'4.1Excluded Exp'!F$9</f>
        <v>2020</v>
      </c>
      <c r="E10" s="535" t="str">
        <f>'4.1Excluded Exp'!G$9</f>
        <v>2021</v>
      </c>
      <c r="F10" s="214"/>
    </row>
    <row r="11" spans="1:6" ht="30" customHeight="1" x14ac:dyDescent="0.25">
      <c r="A11" s="488" t="s">
        <v>410</v>
      </c>
      <c r="B11" s="273"/>
      <c r="C11" s="113">
        <v>6756791.0700000003</v>
      </c>
      <c r="D11" s="113">
        <v>6600269.0599999996</v>
      </c>
      <c r="E11" s="498">
        <v>6184292.0499999998</v>
      </c>
      <c r="F11" s="214"/>
    </row>
    <row r="12" spans="1:6" ht="30" customHeight="1" x14ac:dyDescent="0.25">
      <c r="A12" s="488" t="s">
        <v>677</v>
      </c>
      <c r="B12" s="276"/>
      <c r="C12" s="277">
        <f>'4.1Excluded Exp'!$C$34</f>
        <v>15668157.43299637</v>
      </c>
      <c r="D12" s="277">
        <f>'4.1Excluded Exp'!$E$34</f>
        <v>35967520.90105845</v>
      </c>
      <c r="E12" s="458">
        <f>'4.1Excluded Exp'!$G$34</f>
        <v>46396271.047047287</v>
      </c>
      <c r="F12" s="214"/>
    </row>
    <row r="13" spans="1:6" ht="30" customHeight="1" x14ac:dyDescent="0.25">
      <c r="A13" s="488" t="s">
        <v>411</v>
      </c>
      <c r="B13" s="276"/>
      <c r="C13" s="113">
        <v>226788</v>
      </c>
      <c r="D13" s="113">
        <v>0</v>
      </c>
      <c r="E13" s="498">
        <v>697639</v>
      </c>
      <c r="F13" s="214"/>
    </row>
    <row r="14" spans="1:6" ht="30" customHeight="1" x14ac:dyDescent="0.25">
      <c r="A14" s="488" t="s">
        <v>412</v>
      </c>
      <c r="B14" s="276"/>
      <c r="C14" s="113">
        <v>0</v>
      </c>
      <c r="D14" s="113">
        <v>0</v>
      </c>
      <c r="E14" s="498">
        <v>0</v>
      </c>
      <c r="F14" s="214"/>
    </row>
    <row r="15" spans="1:6" ht="30" customHeight="1" x14ac:dyDescent="0.25">
      <c r="A15" s="488" t="s">
        <v>413</v>
      </c>
      <c r="B15" s="276"/>
      <c r="C15" s="113">
        <v>454515.4</v>
      </c>
      <c r="D15" s="113">
        <v>901017.98</v>
      </c>
      <c r="E15" s="498">
        <v>317683.52</v>
      </c>
      <c r="F15" s="214"/>
    </row>
    <row r="16" spans="1:6" ht="30" customHeight="1" x14ac:dyDescent="0.25">
      <c r="A16" s="488" t="s">
        <v>678</v>
      </c>
      <c r="B16" s="276"/>
      <c r="C16" s="277">
        <f>'4.1Excluded Exp'!$B$41</f>
        <v>906791014.5</v>
      </c>
      <c r="D16" s="277">
        <f>'4.1Excluded Exp'!$D$41</f>
        <v>875227273.5</v>
      </c>
      <c r="E16" s="458">
        <f>'4.1Excluded Exp'!$F$41</f>
        <v>801167938.5</v>
      </c>
      <c r="F16" s="214"/>
    </row>
    <row r="17" spans="1:6" ht="30" customHeight="1" x14ac:dyDescent="0.25">
      <c r="A17" s="488" t="s">
        <v>414</v>
      </c>
      <c r="B17" s="276"/>
      <c r="C17" s="113">
        <v>0</v>
      </c>
      <c r="D17" s="113">
        <v>0</v>
      </c>
      <c r="E17" s="498">
        <v>0</v>
      </c>
      <c r="F17" s="214"/>
    </row>
    <row r="18" spans="1:6" ht="30" customHeight="1" x14ac:dyDescent="0.25">
      <c r="A18" s="489" t="s">
        <v>415</v>
      </c>
      <c r="B18" s="278"/>
      <c r="C18" s="279">
        <f>SUM(C11:C17)</f>
        <v>929897266.40299642</v>
      </c>
      <c r="D18" s="279">
        <f>SUM(D11:D17)</f>
        <v>918696081.4410584</v>
      </c>
      <c r="E18" s="536">
        <f>SUM(E11:E17)</f>
        <v>854763824.11704731</v>
      </c>
      <c r="F18" s="214"/>
    </row>
    <row r="19" spans="1:6" ht="30" customHeight="1" x14ac:dyDescent="0.25">
      <c r="A19" s="489" t="s">
        <v>162</v>
      </c>
      <c r="B19" s="278"/>
      <c r="C19" s="280">
        <f>IF(AND(New_Insurer_Group=TRUE,New_Program=TRUE),0,C18/'4.1Excluded Exp'!E$12)</f>
        <v>1.4266516015229753E-2</v>
      </c>
      <c r="D19" s="280">
        <f>IF(AND(New_Insurer_Group=TRUE,New_Program=TRUE),0,D18/'4.1Excluded Exp'!F$12)</f>
        <v>1.3930052529057291E-2</v>
      </c>
      <c r="E19" s="537">
        <f>IF(AND(New_Insurer_Group=TRUE,New_Program=TRUE),0,E18/'4.1Excluded Exp'!G$12)</f>
        <v>1.2595230888072302E-2</v>
      </c>
      <c r="F19" s="519"/>
    </row>
    <row r="20" spans="1:6" ht="30" customHeight="1" thickBot="1" x14ac:dyDescent="0.3">
      <c r="A20" s="490" t="s">
        <v>416</v>
      </c>
      <c r="B20" s="491"/>
      <c r="C20" s="492"/>
      <c r="D20" s="492"/>
      <c r="E20" s="538">
        <f>AVERAGE(C19:E19)</f>
        <v>1.3597266477453115E-2</v>
      </c>
      <c r="F20" s="399" t="str">
        <f>IF(ISERROR($E$20),"← ERROR! Correct issues with input of source data on either Page 4.1 or 4.2.","")</f>
        <v/>
      </c>
    </row>
    <row r="21" spans="1:6" ht="15.75" thickBot="1" x14ac:dyDescent="0.3">
      <c r="F21" s="520"/>
    </row>
  </sheetData>
  <sheetProtection algorithmName="SHA-512" hashValue="Wrmvo8TipWMCJaBy9awlXmxO5hdlKTQrBG81kRb24gutL0ot7Mxjje3a0Kg+mMOm081SsUSORIDNktqf5r7mDQ==" saltValue="aendi5HqGof6ccj/nAzx8w==" spinCount="100000" sheet="1" objects="1" scenarios="1" formatColumns="0" formatRows="0" sort="0"/>
  <printOptions horizontalCentered="1"/>
  <pageMargins left="0.45" right="0.45" top="0.5" bottom="0.5" header="0.3" footer="0.3"/>
  <pageSetup scale="86" fitToHeight="2" orientation="portrait" r:id="rId1"/>
  <headerFooter>
    <oddFooter>&amp;CPrior Approval Rate Template&amp;RPage 4.2&amp;L1/3/2023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66675</xdr:colOff>
                    <xdr:row>7</xdr:row>
                    <xdr:rowOff>9525</xdr:rowOff>
                  </from>
                  <to>
                    <xdr:col>0</xdr:col>
                    <xdr:colOff>352425</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5"/>
  <sheetViews>
    <sheetView showGridLines="0" view="pageBreakPreview" topLeftCell="A16" zoomScaleNormal="100" zoomScaleSheetLayoutView="100" workbookViewId="0">
      <selection activeCell="J31" sqref="J31:J35"/>
    </sheetView>
  </sheetViews>
  <sheetFormatPr defaultRowHeight="15" x14ac:dyDescent="0.25"/>
  <cols>
    <col min="1" max="1" width="53" bestFit="1" customWidth="1"/>
    <col min="2" max="2" width="5.7109375" bestFit="1" customWidth="1"/>
    <col min="3" max="3" width="20.7109375" customWidth="1"/>
    <col min="4" max="7" width="15.7109375" customWidth="1"/>
    <col min="8" max="10" width="12.7109375" customWidth="1"/>
  </cols>
  <sheetData>
    <row r="1" spans="1:10 16374:16374" x14ac:dyDescent="0.25">
      <c r="A1" s="7" t="s">
        <v>31</v>
      </c>
      <c r="G1" s="109" t="s">
        <v>33</v>
      </c>
      <c r="J1" s="110" t="str">
        <f>Co_Name</f>
        <v>State Farm Mutual Automobile Insurance Company</v>
      </c>
    </row>
    <row r="2" spans="1:10 16374:16374" x14ac:dyDescent="0.25">
      <c r="A2" s="7" t="s">
        <v>32</v>
      </c>
      <c r="G2" s="109" t="s">
        <v>34</v>
      </c>
      <c r="J2" s="110" t="str">
        <f>General_Line</f>
        <v>Auto Liability and Physical Damage</v>
      </c>
    </row>
    <row r="3" spans="1:10 16374:16374" x14ac:dyDescent="0.25">
      <c r="G3" s="201" t="s">
        <v>140</v>
      </c>
      <c r="H3" s="201"/>
      <c r="I3" s="201"/>
      <c r="J3" s="160" t="str">
        <f>CDI_FileNo</f>
        <v/>
      </c>
    </row>
    <row r="4" spans="1:10 16374:16374" ht="18" customHeight="1" x14ac:dyDescent="0.25"/>
    <row r="5" spans="1:10 16374:16374" ht="23.25" x14ac:dyDescent="0.25">
      <c r="A5" s="4" t="s">
        <v>606</v>
      </c>
      <c r="B5" s="3"/>
      <c r="C5" s="3"/>
      <c r="D5" s="3"/>
      <c r="E5" s="3"/>
      <c r="F5" s="3"/>
      <c r="G5" s="3"/>
      <c r="H5" s="3"/>
      <c r="I5" s="3"/>
      <c r="J5" s="3"/>
    </row>
    <row r="6" spans="1:10 16374:16374" ht="24" thickBot="1" x14ac:dyDescent="0.3">
      <c r="A6" s="4"/>
      <c r="B6" s="3"/>
      <c r="C6" s="3"/>
      <c r="D6" s="3"/>
      <c r="E6" s="3"/>
      <c r="F6" s="3"/>
      <c r="G6" s="3"/>
      <c r="H6" s="3"/>
      <c r="I6" s="3"/>
      <c r="J6" s="3"/>
    </row>
    <row r="7" spans="1:10 16374:16374" ht="19.5" thickBot="1" x14ac:dyDescent="0.35">
      <c r="A7" s="379" t="s">
        <v>314</v>
      </c>
      <c r="B7" s="380"/>
      <c r="C7" s="380"/>
      <c r="D7" s="380"/>
      <c r="E7" s="380"/>
      <c r="F7" s="380"/>
      <c r="G7" s="380"/>
      <c r="H7" s="380"/>
      <c r="I7" s="380"/>
      <c r="J7" s="381"/>
    </row>
    <row r="8" spans="1:10 16374:16374" x14ac:dyDescent="0.25">
      <c r="A8" s="357"/>
      <c r="B8" s="358"/>
      <c r="C8" s="358"/>
      <c r="D8" s="359" t="s">
        <v>389</v>
      </c>
      <c r="E8" s="360"/>
      <c r="F8" s="361"/>
      <c r="G8" s="358"/>
      <c r="H8" s="358"/>
      <c r="I8" s="358"/>
      <c r="J8" s="362"/>
    </row>
    <row r="9" spans="1:10 16374:16374" ht="15.75" thickBot="1" x14ac:dyDescent="0.3">
      <c r="A9" s="212"/>
      <c r="B9" s="1"/>
      <c r="C9" s="376"/>
      <c r="D9" s="363">
        <f>Pct_Cap</f>
        <v>1</v>
      </c>
      <c r="E9" s="364">
        <f>Pct_Dir</f>
        <v>0</v>
      </c>
      <c r="F9" s="365">
        <f>Pct_Ind</f>
        <v>0</v>
      </c>
      <c r="G9" s="366"/>
      <c r="H9" s="210"/>
      <c r="I9" s="210"/>
      <c r="J9" s="367"/>
    </row>
    <row r="10" spans="1:10 16374:16374" ht="60.75" thickBot="1" x14ac:dyDescent="0.3">
      <c r="A10" s="83" t="s">
        <v>388</v>
      </c>
      <c r="B10" s="368" t="s">
        <v>387</v>
      </c>
      <c r="C10" s="368" t="s">
        <v>366</v>
      </c>
      <c r="D10" s="369" t="s">
        <v>117</v>
      </c>
      <c r="E10" s="370" t="s">
        <v>118</v>
      </c>
      <c r="F10" s="371" t="s">
        <v>125</v>
      </c>
      <c r="G10" s="372" t="s">
        <v>501</v>
      </c>
      <c r="H10" s="372" t="s">
        <v>292</v>
      </c>
      <c r="I10" s="372" t="s">
        <v>162</v>
      </c>
      <c r="J10" s="373" t="s">
        <v>315</v>
      </c>
      <c r="XET10" s="178"/>
    </row>
    <row r="11" spans="1:10 16374:16374" ht="18" customHeight="1" x14ac:dyDescent="0.25">
      <c r="A11" s="344" t="str">
        <f>Detailed_LineDesc01</f>
        <v>Private Passenger Auto Liability</v>
      </c>
      <c r="B11" s="345">
        <f ca="1">IF(RIGHT(Detailed_LineCode01,1)="R",LEFT(Detailed_LineCode01,LEN(Detailed_LineCode01)-1),Detailed_LineCode01)</f>
        <v>19.2</v>
      </c>
      <c r="C11" s="513" t="str">
        <f>IF(Covg01="","",Covg01)</f>
        <v>BIPD</v>
      </c>
      <c r="D11" s="355">
        <f ca="1">IF(Covg01="","",VLOOKUP(Detailed_LineCode01,Table_EffStd,D$21+1,FALSE))</f>
        <v>0.31092212368038935</v>
      </c>
      <c r="E11" s="343">
        <f ca="1">IF(Covg01="","",VLOOKUP(Detailed_LineCode01,Table_EffStd,E$21+1,FALSE))</f>
        <v>0.26622784813216294</v>
      </c>
      <c r="F11" s="356">
        <f ca="1">IF(Covg01="","",VLOOKUP(Detailed_LineCode01,Table_EffStd,F$21+1,FALSE))</f>
        <v>0.35653087916941489</v>
      </c>
      <c r="G11" s="211">
        <f ca="1">IF(Covg01="","",SUMPRODUCT(D11:F11,D$9:F$9))</f>
        <v>0.31092212368038935</v>
      </c>
      <c r="H11" s="405">
        <f>IF(Covg01="","",IF(AND(ISBLANK('6.1Ratemaking Data'!$J$39)=FALSE,'1.General'!$I$47=1),EffStd_Var01,0))</f>
        <v>0</v>
      </c>
      <c r="I11" s="343">
        <f>IF(Covg01="","",ExpRatio_Excluded)</f>
        <v>1.3597266477453115E-2</v>
      </c>
      <c r="J11" s="347">
        <f ca="1">IF(Covg01="","",G11+H11-I11)</f>
        <v>0.29732485720293622</v>
      </c>
    </row>
    <row r="12" spans="1:10 16374:16374" ht="18" customHeight="1" x14ac:dyDescent="0.25">
      <c r="A12" s="344" t="str">
        <f>Detailed_LineDesc02</f>
        <v>Private Passenger Auto Liability</v>
      </c>
      <c r="B12" s="345">
        <f ca="1">IF(RIGHT(Detailed_LineCode02,1)="R",LEFT(Detailed_LineCode02,LEN(Detailed_LineCode02)-1),Detailed_LineCode02)</f>
        <v>19.2</v>
      </c>
      <c r="C12" s="513" t="str">
        <f>IF(Covg02="","",Covg02)</f>
        <v>MPC</v>
      </c>
      <c r="D12" s="355">
        <f ca="1">IF(Covg02="","",VLOOKUP(Detailed_LineCode02,Table_EffStd,D$21+1,FALSE))</f>
        <v>0.31092212368038935</v>
      </c>
      <c r="E12" s="343">
        <f ca="1">IF(Covg02="","",VLOOKUP(Detailed_LineCode02,Table_EffStd,E$21+1,FALSE))</f>
        <v>0.26622784813216294</v>
      </c>
      <c r="F12" s="356">
        <f ca="1">IF(Covg02="","",VLOOKUP(Detailed_LineCode02,Table_EffStd,F$21+1,FALSE))</f>
        <v>0.35653087916941489</v>
      </c>
      <c r="G12" s="211">
        <f ca="1">IF(Covg02="","",SUMPRODUCT(D12:F12,D$9:F$9))</f>
        <v>0.31092212368038935</v>
      </c>
      <c r="H12" s="405">
        <f>IF(Covg02="","",IF(AND(ISBLANK('6.2Ratemaking Data'!$J$39)=FALSE,'1.General'!$I$47=1),EffStd_Var02,0))</f>
        <v>0</v>
      </c>
      <c r="I12" s="343">
        <f>IF(Covg02="","",ExpRatio_Excluded)</f>
        <v>1.3597266477453115E-2</v>
      </c>
      <c r="J12" s="347">
        <f ca="1">IF(Covg02="","",G12+H12-I12)</f>
        <v>0.29732485720293622</v>
      </c>
    </row>
    <row r="13" spans="1:10 16374:16374" ht="18" customHeight="1" x14ac:dyDescent="0.25">
      <c r="A13" s="344" t="str">
        <f>Detailed_LineDesc03</f>
        <v>Private Passenger Auto Liability</v>
      </c>
      <c r="B13" s="345">
        <f ca="1">IF(RIGHT(Detailed_LineCode03,1)="R",LEFT(Detailed_LineCode03,LEN(Detailed_LineCode03)-1),Detailed_LineCode03)</f>
        <v>19.2</v>
      </c>
      <c r="C13" s="513" t="str">
        <f>IF(Covg03="","",Covg03)</f>
        <v>UM</v>
      </c>
      <c r="D13" s="355">
        <f ca="1">IF(Covg03="","",VLOOKUP(Detailed_LineCode03,Table_EffStd,D$21+1,FALSE))</f>
        <v>0.31092212368038935</v>
      </c>
      <c r="E13" s="343">
        <f ca="1">IF(Covg03="","",VLOOKUP(Detailed_LineCode03,Table_EffStd,E$21+1,FALSE))</f>
        <v>0.26622784813216294</v>
      </c>
      <c r="F13" s="356">
        <f ca="1">IF(Covg03="","",VLOOKUP(Detailed_LineCode03,Table_EffStd,F$21+1,FALSE))</f>
        <v>0.35653087916941489</v>
      </c>
      <c r="G13" s="211">
        <f ca="1">IF(Covg03="","",SUMPRODUCT(D13:F13,D$9:F$9))</f>
        <v>0.31092212368038935</v>
      </c>
      <c r="H13" s="405">
        <f>IF(Covg03="","",IF(AND(ISBLANK('6.3Ratemaking Data'!$J$39)=FALSE,'1.General'!$I$47=1),EffStd_Var03,0))</f>
        <v>0</v>
      </c>
      <c r="I13" s="343">
        <f>IF(Covg03="","",ExpRatio_Excluded)</f>
        <v>1.3597266477453115E-2</v>
      </c>
      <c r="J13" s="347">
        <f ca="1">IF(Covg03="","",G13+H13-I13)</f>
        <v>0.29732485720293622</v>
      </c>
    </row>
    <row r="14" spans="1:10 16374:16374" ht="18" customHeight="1" x14ac:dyDescent="0.25">
      <c r="A14" s="344" t="str">
        <f>Detailed_LineDesc04</f>
        <v>Private Passenger Auto Physical Damage</v>
      </c>
      <c r="B14" s="345">
        <f ca="1">IF(RIGHT(Detailed_LineCode04,1)="R",LEFT(Detailed_LineCode04,LEN(Detailed_LineCode04)-1),Detailed_LineCode04)</f>
        <v>21.1</v>
      </c>
      <c r="C14" s="513" t="str">
        <f>IF(Covg04="","",Covg04)</f>
        <v>COMP</v>
      </c>
      <c r="D14" s="355">
        <f ca="1">IF(Covg04="","",VLOOKUP(Detailed_LineCode04,Table_EffStd,D$21+1,FALSE))</f>
        <v>0.31225781752376819</v>
      </c>
      <c r="E14" s="343">
        <f ca="1">IF(Covg04="","",VLOOKUP(Detailed_LineCode04,Table_EffStd,E$21+1,FALSE))</f>
        <v>0.25586059542168726</v>
      </c>
      <c r="F14" s="356">
        <f ca="1">IF(Covg04="","",VLOOKUP(Detailed_LineCode04,Table_EffStd,F$21+1,FALSE))</f>
        <v>0.35144754344074641</v>
      </c>
      <c r="G14" s="211">
        <f ca="1">IF(Covg04="","",SUMPRODUCT(D14:F14,D$9:F$9))</f>
        <v>0.31225781752376819</v>
      </c>
      <c r="H14" s="405">
        <f>IF(Covg04="","",IF(AND(ISBLANK('6.4Ratemaking Data'!$J$39)=FALSE,'1.General'!$I$47=1),EffStd_Var04,0))</f>
        <v>0</v>
      </c>
      <c r="I14" s="343">
        <f>IF(Covg04="","",ExpRatio_Excluded)</f>
        <v>1.3597266477453115E-2</v>
      </c>
      <c r="J14" s="347">
        <f ca="1">IF(Covg04="","",G14+H14-I14)</f>
        <v>0.29866055104631506</v>
      </c>
    </row>
    <row r="15" spans="1:10 16374:16374" ht="18" customHeight="1" x14ac:dyDescent="0.25">
      <c r="A15" s="344" t="str">
        <f>Detailed_LineDesc05</f>
        <v>Private Passenger Auto Physical Damage</v>
      </c>
      <c r="B15" s="345">
        <f ca="1">IF(RIGHT(Detailed_LineCode05,1)="R",LEFT(Detailed_LineCode05,LEN(Detailed_LineCode05)-1),Detailed_LineCode05)</f>
        <v>21.1</v>
      </c>
      <c r="C15" s="513" t="str">
        <f>IF(Covg05="","",Covg05)</f>
        <v>COLL</v>
      </c>
      <c r="D15" s="355">
        <f ca="1">IF(Covg05="","",VLOOKUP(Detailed_LineCode05,Table_EffStd,D$21+1,FALSE))</f>
        <v>0.31225781752376819</v>
      </c>
      <c r="E15" s="343">
        <f ca="1">IF(Covg05="","",VLOOKUP(Detailed_LineCode05,Table_EffStd,E$21+1,FALSE))</f>
        <v>0.25586059542168726</v>
      </c>
      <c r="F15" s="356">
        <f ca="1">IF(Covg05="","",VLOOKUP(Detailed_LineCode05,Table_EffStd,F$21+1,FALSE))</f>
        <v>0.35144754344074641</v>
      </c>
      <c r="G15" s="211">
        <f ca="1">IF(Covg05="","",SUMPRODUCT(D15:F15,D$9:F$9))</f>
        <v>0.31225781752376819</v>
      </c>
      <c r="H15" s="405">
        <f>IF(Covg05="","",IF(AND(ISBLANK('6.5Ratemaking Data'!$J$39)=FALSE,'1.General'!$I$47=1),EffStd_Var05,0))</f>
        <v>0</v>
      </c>
      <c r="I15" s="343">
        <f>IF(Covg05="","",ExpRatio_Excluded)</f>
        <v>1.3597266477453115E-2</v>
      </c>
      <c r="J15" s="347">
        <f ca="1">IF(Covg05="","",G15+H15-I15)</f>
        <v>0.29866055104631506</v>
      </c>
    </row>
    <row r="16" spans="1:10 16374:16374" ht="18" customHeight="1" x14ac:dyDescent="0.25">
      <c r="A16" s="344" t="str">
        <f>Detailed_LineDesc06</f>
        <v>Private Passenger Auto Physical Damage</v>
      </c>
      <c r="B16" s="345">
        <f ca="1">IF(RIGHT(Detailed_LineCode06,1)="R",LEFT(Detailed_LineCode06,LEN(Detailed_LineCode06)-1),Detailed_LineCode06)</f>
        <v>21.1</v>
      </c>
      <c r="C16" s="513" t="str">
        <f>IF(Covg06="","",Covg06)</f>
        <v>Misc. Damage</v>
      </c>
      <c r="D16" s="355">
        <f ca="1">IF(Covg06="","",VLOOKUP(Detailed_LineCode06,Table_EffStd,D$21+1,FALSE))</f>
        <v>0.31225781752376819</v>
      </c>
      <c r="E16" s="343">
        <f ca="1">IF(Covg06="","",VLOOKUP(Detailed_LineCode06,Table_EffStd,E$21+1,FALSE))</f>
        <v>0.25586059542168726</v>
      </c>
      <c r="F16" s="356">
        <f ca="1">IF(Covg06="","",VLOOKUP(Detailed_LineCode06,Table_EffStd,F$21+1,FALSE))</f>
        <v>0.35144754344074641</v>
      </c>
      <c r="G16" s="211">
        <f ca="1">IF(Covg06="","",SUMPRODUCT(D16:F16,D$9:F$9))</f>
        <v>0.31225781752376819</v>
      </c>
      <c r="H16" s="405">
        <f>IF(Covg06="","",IF(AND(ISBLANK('6.6Ratemaking Data'!$J$39)=FALSE,'1.General'!$I$47=1),EffStd_Var06,0))</f>
        <v>0</v>
      </c>
      <c r="I16" s="343">
        <f>IF(Covg06="","",ExpRatio_Excluded)</f>
        <v>1.3597266477453115E-2</v>
      </c>
      <c r="J16" s="347">
        <f ca="1">IF(Covg06="","",G16+H16-I16)</f>
        <v>0.29866055104631506</v>
      </c>
    </row>
    <row r="17" spans="1:11" ht="18" customHeight="1" x14ac:dyDescent="0.25">
      <c r="A17" s="344" t="str">
        <f>Detailed_LineDesc07</f>
        <v>Private Passenger Auto Liability</v>
      </c>
      <c r="B17" s="345">
        <f ca="1">IF(RIGHT(Detailed_LineCode07,1)="R",LEFT(Detailed_LineCode07,LEN(Detailed_LineCode07)-1),Detailed_LineCode07)</f>
        <v>19.2</v>
      </c>
      <c r="C17" s="513" t="str">
        <f>IF(Covg07="","",Covg07)</f>
        <v>Misc. Liability</v>
      </c>
      <c r="D17" s="355">
        <f ca="1">IF(Covg07="","",VLOOKUP(Detailed_LineCode07,Table_EffStd,D$21+1,FALSE))</f>
        <v>0.31092212368038935</v>
      </c>
      <c r="E17" s="343">
        <f ca="1">IF(Covg07="","",VLOOKUP(Detailed_LineCode07,Table_EffStd,E$21+1,FALSE))</f>
        <v>0.26622784813216294</v>
      </c>
      <c r="F17" s="356">
        <f ca="1">IF(Covg07="","",VLOOKUP(Detailed_LineCode07,Table_EffStd,F$21+1,FALSE))</f>
        <v>0.35653087916941489</v>
      </c>
      <c r="G17" s="211">
        <f ca="1">IF(Covg07="","",SUMPRODUCT(D17:F17,D$9:F$9))</f>
        <v>0.31092212368038935</v>
      </c>
      <c r="H17" s="405">
        <f>IF(Covg07="","",IF(AND(ISBLANK('6.7Ratemaking Data'!$J$39)=FALSE,'1.General'!$I$47=1),EffStd_Var07,0))</f>
        <v>0</v>
      </c>
      <c r="I17" s="343">
        <f>IF(Covg07="","",ExpRatio_Excluded)</f>
        <v>1.3597266477453115E-2</v>
      </c>
      <c r="J17" s="347">
        <f ca="1">IF(Covg07="","",G17+H17-I17)</f>
        <v>0.29732485720293622</v>
      </c>
    </row>
    <row r="18" spans="1:11" ht="18" customHeight="1" x14ac:dyDescent="0.25">
      <c r="A18" s="344" t="str">
        <f>Detailed_LineDesc08</f>
        <v/>
      </c>
      <c r="B18" s="345" t="str">
        <f>IF(RIGHT(Detailed_LineCode08,1)="R",LEFT(Detailed_LineCode08,LEN(Detailed_LineCode08)-1),Detailed_LineCode08)</f>
        <v/>
      </c>
      <c r="C18" s="513" t="str">
        <f>IF(Covg08="","",Covg08)</f>
        <v/>
      </c>
      <c r="D18" s="355" t="str">
        <f>IF(Covg08="","",VLOOKUP(Detailed_LineCode08,Table_EffStd,D$21+1,FALSE))</f>
        <v/>
      </c>
      <c r="E18" s="343" t="str">
        <f>IF(Covg08="","",VLOOKUP(Detailed_LineCode08,Table_EffStd,E$21+1,FALSE))</f>
        <v/>
      </c>
      <c r="F18" s="356" t="str">
        <f>IF(Covg08="","",VLOOKUP(Detailed_LineCode08,Table_EffStd,F$21+1,FALSE))</f>
        <v/>
      </c>
      <c r="G18" s="211" t="str">
        <f>IF(Covg08="","",SUMPRODUCT(D18:F18,D$9:F$9))</f>
        <v/>
      </c>
      <c r="H18" s="405" t="str">
        <f>IF(Covg08="","",IF(AND(ISBLANK('6.8Ratemaking Data'!$J$39)=FALSE,'1.General'!$I$47=1),EffStd_Var08,0))</f>
        <v/>
      </c>
      <c r="I18" s="343" t="str">
        <f>IF(Covg08="","",ExpRatio_Excluded)</f>
        <v/>
      </c>
      <c r="J18" s="347" t="str">
        <f>IF(Covg08="","",G18+H18-I18)</f>
        <v/>
      </c>
    </row>
    <row r="19" spans="1:11" ht="18" customHeight="1" x14ac:dyDescent="0.25">
      <c r="A19" s="344" t="str">
        <f>Detailed_LineDesc09</f>
        <v/>
      </c>
      <c r="B19" s="345" t="str">
        <f>IF(RIGHT(Detailed_LineCode09,1)="R",LEFT(Detailed_LineCode09,LEN(Detailed_LineCode09)-1),Detailed_LineCode09)</f>
        <v/>
      </c>
      <c r="C19" s="513" t="str">
        <f>IF(Covg09="","",Covg09)</f>
        <v/>
      </c>
      <c r="D19" s="355" t="str">
        <f>IF(Covg09="","",VLOOKUP(Detailed_LineCode09,Table_EffStd,D$21+1,FALSE))</f>
        <v/>
      </c>
      <c r="E19" s="343" t="str">
        <f>IF(Covg09="","",VLOOKUP(Detailed_LineCode09,Table_EffStd,E$21+1,FALSE))</f>
        <v/>
      </c>
      <c r="F19" s="356" t="str">
        <f>IF(Covg09="","",VLOOKUP(Detailed_LineCode09,Table_EffStd,F$21+1,FALSE))</f>
        <v/>
      </c>
      <c r="G19" s="211" t="str">
        <f>IF(Covg09="","",SUMPRODUCT(D19:F19,D$9:F$9))</f>
        <v/>
      </c>
      <c r="H19" s="405" t="str">
        <f>IF(Covg09="","",IF(AND(ISBLANK('6.9Ratemaking Data'!$J$39)=FALSE,'1.General'!$I$47=1),EffStd_Var09,0))</f>
        <v/>
      </c>
      <c r="I19" s="343" t="str">
        <f>IF(Covg09="","",ExpRatio_Excluded)</f>
        <v/>
      </c>
      <c r="J19" s="347" t="str">
        <f>IF(Covg09="","",G19+H19-I19)</f>
        <v/>
      </c>
    </row>
    <row r="20" spans="1:11" ht="18" customHeight="1" thickBot="1" x14ac:dyDescent="0.3">
      <c r="A20" s="348" t="str">
        <f>Detailed_LineDesc10</f>
        <v/>
      </c>
      <c r="B20" s="349" t="str">
        <f>IF(RIGHT(Detailed_LineCode10,1)="R",LEFT(Detailed_LineCode10,LEN(Detailed_LineCode10)-1),Detailed_LineCode10)</f>
        <v/>
      </c>
      <c r="C20" s="514" t="str">
        <f>IF(Covg10="","",Covg10)</f>
        <v/>
      </c>
      <c r="D20" s="353" t="str">
        <f>IF(Covg10="","",VLOOKUP(Detailed_LineCode10,Table_EffStd,D$21+1,FALSE))</f>
        <v/>
      </c>
      <c r="E20" s="350" t="str">
        <f>IF(Covg10="","",VLOOKUP(Detailed_LineCode10,Table_EffStd,E$21+1,FALSE))</f>
        <v/>
      </c>
      <c r="F20" s="354" t="str">
        <f>IF(Covg10="","",VLOOKUP(Detailed_LineCode10,Table_EffStd,F$21+1,FALSE))</f>
        <v/>
      </c>
      <c r="G20" s="351" t="str">
        <f>IF(Covg10="","",SUMPRODUCT(D20:F20,D$9:F$9))</f>
        <v/>
      </c>
      <c r="H20" s="406" t="str">
        <f>IF(Covg10="","",IF(AND(ISBLANK('6.10Ratemaking Data'!$J$39)=FALSE,'1.General'!$I$47=1),EffStd_Var10,0))</f>
        <v/>
      </c>
      <c r="I20" s="350" t="str">
        <f>IF(Covg10="","",ExpRatio_Excluded)</f>
        <v/>
      </c>
      <c r="J20" s="352" t="str">
        <f>IF(Covg10="","",G20+H20-I20)</f>
        <v/>
      </c>
    </row>
    <row r="21" spans="1:11" hidden="1" x14ac:dyDescent="0.25">
      <c r="B21" s="345"/>
      <c r="C21" s="11"/>
      <c r="D21" s="382">
        <v>1</v>
      </c>
      <c r="E21" s="382">
        <v>2</v>
      </c>
      <c r="F21" s="382">
        <v>3</v>
      </c>
      <c r="G21" s="211"/>
      <c r="H21" s="346"/>
      <c r="I21" s="343"/>
      <c r="J21" s="79"/>
    </row>
    <row r="22" spans="1:11" ht="15.75" thickBot="1" x14ac:dyDescent="0.3"/>
    <row r="23" spans="1:11" ht="47.25" customHeight="1" x14ac:dyDescent="0.3">
      <c r="A23" s="383"/>
      <c r="B23" s="384"/>
      <c r="C23" s="385"/>
      <c r="D23" s="641" t="s">
        <v>136</v>
      </c>
      <c r="E23" s="642"/>
      <c r="F23" s="379" t="s">
        <v>134</v>
      </c>
      <c r="G23" s="386"/>
      <c r="H23" s="387"/>
      <c r="I23" s="652" t="str">
        <f>"Yields, Rate of Return &amp; Premium Tax Values as of "&amp;'3.2YieldFIT'!G48</f>
        <v>Yields, Rate of Return &amp; Premium Tax Values as of January 2023</v>
      </c>
      <c r="J23" s="653"/>
    </row>
    <row r="24" spans="1:11" ht="33.75" customHeight="1" thickBot="1" x14ac:dyDescent="0.35">
      <c r="A24" s="388"/>
      <c r="B24" s="389"/>
      <c r="C24" s="390"/>
      <c r="D24" s="643"/>
      <c r="E24" s="644"/>
      <c r="F24" s="528" t="str">
        <f>IF(AND('1.General'!$I$47*'1.General'!$I$48=1,FIND({3},'1.General'!$E$47&amp;"3")&lt;=LEN('1.General'!$E$47)),"(Variance 3 applied)","(Variance 3 not applied)")</f>
        <v>(Variance 3 not applied)</v>
      </c>
      <c r="G24" s="391"/>
      <c r="H24" s="392"/>
      <c r="I24" s="654"/>
      <c r="J24" s="655"/>
    </row>
    <row r="25" spans="1:11" ht="60.75" thickBot="1" x14ac:dyDescent="0.3">
      <c r="A25" s="83" t="s">
        <v>388</v>
      </c>
      <c r="B25" s="368" t="s">
        <v>387</v>
      </c>
      <c r="C25" s="377" t="s">
        <v>366</v>
      </c>
      <c r="D25" s="378" t="s">
        <v>138</v>
      </c>
      <c r="E25" s="377" t="s">
        <v>139</v>
      </c>
      <c r="F25" s="378" t="s">
        <v>562</v>
      </c>
      <c r="G25" s="368" t="s">
        <v>292</v>
      </c>
      <c r="H25" s="368" t="s">
        <v>316</v>
      </c>
      <c r="I25" s="527" t="s">
        <v>165</v>
      </c>
      <c r="J25" s="529">
        <f>'3.2YieldFIT'!D42</f>
        <v>0.10317106949646478</v>
      </c>
    </row>
    <row r="26" spans="1:11" ht="18" customHeight="1" x14ac:dyDescent="0.25">
      <c r="A26" s="344" t="str">
        <f>Detailed_LineDesc01</f>
        <v>Private Passenger Auto Liability</v>
      </c>
      <c r="B26" s="345">
        <f ca="1">IF(RIGHT(Detailed_LineCode01,1)="R",LEFT(Detailed_LineCode01,LEN(Detailed_LineCode01)-1),Detailed_LineCode01)</f>
        <v>19.2</v>
      </c>
      <c r="C26" s="513" t="str">
        <f>IF(Covg01="","",Covg01)</f>
        <v>BIPD</v>
      </c>
      <c r="D26" s="374">
        <f ca="1">IF(Covg01="","",VLOOKUP(Detailed_LineCode01,Table_ResRatio,2,FALSE))</f>
        <v>0.32027023269708416</v>
      </c>
      <c r="E26" s="375">
        <f ca="1">IF(Covg01="","",VLOOKUP(Detailed_LineCode01,Table_ResRatio,3,FALSE))</f>
        <v>1.3266740292453059</v>
      </c>
      <c r="F26" s="374">
        <f ca="1">IF(Covg01="","",VLOOKUP(Detailed_LineCode01,Table_LevFact,2,FALSE))</f>
        <v>0.7746748896822202</v>
      </c>
      <c r="G26" s="404">
        <f>IF(Covg01="","",IF(AND('1.General'!$I$47*'1.General'!$I$48=1,FIND({3},'1.General'!$E$47&amp;"3")&lt;=LEN('1.General'!$E$47)),0.85,1))</f>
        <v>1</v>
      </c>
      <c r="H26" s="404">
        <f ca="1">IF(Covg01="","",F26*G26)</f>
        <v>0.7746748896822202</v>
      </c>
      <c r="I26" s="625" t="s">
        <v>714</v>
      </c>
      <c r="J26" s="648">
        <f>'3.2YieldFIT'!F34</f>
        <v>0.18957755323144132</v>
      </c>
    </row>
    <row r="27" spans="1:11" ht="18" customHeight="1" thickBot="1" x14ac:dyDescent="0.3">
      <c r="A27" s="344" t="str">
        <f>Detailed_LineDesc02</f>
        <v>Private Passenger Auto Liability</v>
      </c>
      <c r="B27" s="345">
        <f ca="1">IF(RIGHT(Detailed_LineCode02,1)="R",LEFT(Detailed_LineCode02,LEN(Detailed_LineCode02)-1),Detailed_LineCode02)</f>
        <v>19.2</v>
      </c>
      <c r="C27" s="513" t="str">
        <f>IF(Covg02="","",Covg02)</f>
        <v>MPC</v>
      </c>
      <c r="D27" s="374">
        <f ca="1">IF(Covg02="","",VLOOKUP(Detailed_LineCode02,Table_ResRatio,2,FALSE))</f>
        <v>0.32027023269708416</v>
      </c>
      <c r="E27" s="375">
        <f ca="1">IF(Covg02="","",VLOOKUP(Detailed_LineCode02,Table_ResRatio,3,FALSE))</f>
        <v>1.3266740292453059</v>
      </c>
      <c r="F27" s="374">
        <f ca="1">IF(Covg02="","",VLOOKUP(Detailed_LineCode02,Table_LevFact,2,FALSE))</f>
        <v>0.7746748896822202</v>
      </c>
      <c r="G27" s="404">
        <f>IF(Covg02="","",IF(AND('1.General'!$I$47*'1.General'!$I$48=1,FIND({3},'1.General'!$E$47&amp;"3")&lt;=LEN('1.General'!$E$47)),0.85,1))</f>
        <v>1</v>
      </c>
      <c r="H27" s="404">
        <f ca="1">IF(Covg02="","",F27*G27)</f>
        <v>0.7746748896822202</v>
      </c>
      <c r="I27" s="626"/>
      <c r="J27" s="649"/>
    </row>
    <row r="28" spans="1:11" ht="18" customHeight="1" x14ac:dyDescent="0.25">
      <c r="A28" s="344" t="str">
        <f>Detailed_LineDesc03</f>
        <v>Private Passenger Auto Liability</v>
      </c>
      <c r="B28" s="345">
        <f ca="1">IF(RIGHT(Detailed_LineCode03,1)="R",LEFT(Detailed_LineCode03,LEN(Detailed_LineCode03)-1),Detailed_LineCode03)</f>
        <v>19.2</v>
      </c>
      <c r="C28" s="513" t="str">
        <f>IF(Covg03="","",Covg03)</f>
        <v>UM</v>
      </c>
      <c r="D28" s="374">
        <f ca="1">IF(Covg03="","",VLOOKUP(Detailed_LineCode03,Table_ResRatio,2,FALSE))</f>
        <v>0.32027023269708416</v>
      </c>
      <c r="E28" s="375">
        <f ca="1">IF(Covg03="","",VLOOKUP(Detailed_LineCode03,Table_ResRatio,3,FALSE))</f>
        <v>1.3266740292453059</v>
      </c>
      <c r="F28" s="374">
        <f ca="1">IF(Covg03="","",VLOOKUP(Detailed_LineCode03,Table_LevFact,2,FALSE))</f>
        <v>0.7746748896822202</v>
      </c>
      <c r="G28" s="404">
        <f>IF(Covg03="","",IF(AND('1.General'!$I$47*'1.General'!$I$48=1,FIND({3},'1.General'!$E$47&amp;"3")&lt;=LEN('1.General'!$E$47)),0.85,1))</f>
        <v>1</v>
      </c>
      <c r="H28" s="404">
        <f ca="1">IF(Covg03="","",F28*G28)</f>
        <v>0.7746748896822202</v>
      </c>
      <c r="I28" s="625" t="s">
        <v>730</v>
      </c>
      <c r="J28" s="648">
        <v>2.35E-2</v>
      </c>
    </row>
    <row r="29" spans="1:11" ht="18" customHeight="1" x14ac:dyDescent="0.25">
      <c r="A29" s="344" t="str">
        <f>Detailed_LineDesc04</f>
        <v>Private Passenger Auto Physical Damage</v>
      </c>
      <c r="B29" s="345">
        <f ca="1">IF(RIGHT(Detailed_LineCode04,1)="R",LEFT(Detailed_LineCode04,LEN(Detailed_LineCode04)-1),Detailed_LineCode04)</f>
        <v>21.1</v>
      </c>
      <c r="C29" s="513" t="str">
        <f>IF(Covg04="","",Covg04)</f>
        <v>COMP</v>
      </c>
      <c r="D29" s="374">
        <f ca="1">IF(Covg04="","",VLOOKUP(Detailed_LineCode04,Table_ResRatio,2,FALSE))</f>
        <v>0.32682025394820319</v>
      </c>
      <c r="E29" s="375">
        <f ca="1">IF(Covg04="","",VLOOKUP(Detailed_LineCode04,Table_ResRatio,3,FALSE))</f>
        <v>9.1896214076458593E-2</v>
      </c>
      <c r="F29" s="374">
        <f ca="1">IF(Covg04="","",VLOOKUP(Detailed_LineCode04,Table_LevFact,2,FALSE))</f>
        <v>1.2507122087328104</v>
      </c>
      <c r="G29" s="404">
        <f>IF(Covg04="","",IF(AND('1.General'!$I$47*'1.General'!$I$48=1,FIND({3},'1.General'!$E$47&amp;"3")&lt;=LEN('1.General'!$E$47)),0.85,1))</f>
        <v>1</v>
      </c>
      <c r="H29" s="404">
        <f ca="1">IF(Covg04="","",F29*G29)</f>
        <v>1.2507122087328104</v>
      </c>
      <c r="I29" s="650"/>
      <c r="J29" s="651"/>
    </row>
    <row r="30" spans="1:11" ht="18" customHeight="1" thickBot="1" x14ac:dyDescent="0.3">
      <c r="A30" s="344" t="str">
        <f>Detailed_LineDesc05</f>
        <v>Private Passenger Auto Physical Damage</v>
      </c>
      <c r="B30" s="345">
        <f ca="1">IF(RIGHT(Detailed_LineCode05,1)="R",LEFT(Detailed_LineCode05,LEN(Detailed_LineCode05)-1),Detailed_LineCode05)</f>
        <v>21.1</v>
      </c>
      <c r="C30" s="513" t="str">
        <f>IF(Covg05="","",Covg05)</f>
        <v>COLL</v>
      </c>
      <c r="D30" s="374">
        <f ca="1">IF(Covg05="","",VLOOKUP(Detailed_LineCode05,Table_ResRatio,2,FALSE))</f>
        <v>0.32682025394820319</v>
      </c>
      <c r="E30" s="375">
        <f ca="1">IF(Covg05="","",VLOOKUP(Detailed_LineCode05,Table_ResRatio,3,FALSE))</f>
        <v>9.1896214076458593E-2</v>
      </c>
      <c r="F30" s="374">
        <f ca="1">IF(Covg05="","",VLOOKUP(Detailed_LineCode05,Table_LevFact,2,FALSE))</f>
        <v>1.2507122087328104</v>
      </c>
      <c r="G30" s="404">
        <f>IF(Covg05="","",IF(AND('1.General'!$I$47*'1.General'!$I$48=1,FIND({3},'1.General'!$E$47&amp;"3")&lt;=LEN('1.General'!$E$47)),0.85,1))</f>
        <v>1</v>
      </c>
      <c r="H30" s="404">
        <f ca="1">IF(Covg05="","",F30*G30)</f>
        <v>1.2507122087328104</v>
      </c>
      <c r="I30" s="626"/>
      <c r="J30" s="649"/>
    </row>
    <row r="31" spans="1:11" ht="18" customHeight="1" x14ac:dyDescent="0.25">
      <c r="A31" s="344" t="str">
        <f>Detailed_LineDesc06</f>
        <v>Private Passenger Auto Physical Damage</v>
      </c>
      <c r="B31" s="345">
        <f ca="1">IF(RIGHT(Detailed_LineCode06,1)="R",LEFT(Detailed_LineCode06,LEN(Detailed_LineCode06)-1),Detailed_LineCode06)</f>
        <v>21.1</v>
      </c>
      <c r="C31" s="513" t="str">
        <f>IF(Covg06="","",Covg06)</f>
        <v>Misc. Damage</v>
      </c>
      <c r="D31" s="374">
        <f ca="1">IF(Covg06="","",VLOOKUP(Detailed_LineCode06,Table_ResRatio,2,FALSE))</f>
        <v>0.32682025394820319</v>
      </c>
      <c r="E31" s="375">
        <f ca="1">IF(Covg06="","",VLOOKUP(Detailed_LineCode06,Table_ResRatio,3,FALSE))</f>
        <v>9.1896214076458593E-2</v>
      </c>
      <c r="F31" s="374">
        <f ca="1">IF(Covg06="","",VLOOKUP(Detailed_LineCode06,Table_LevFact,2,FALSE))</f>
        <v>1.2507122087328104</v>
      </c>
      <c r="G31" s="404">
        <f>IF(Covg06="","",IF(AND('1.General'!$I$47*'1.General'!$I$48=1,FIND({3},'1.General'!$E$47&amp;"3")&lt;=LEN('1.General'!$E$47)),0.85,1))</f>
        <v>1</v>
      </c>
      <c r="H31" s="404">
        <f ca="1">IF(Covg06="","",F31*G31)</f>
        <v>1.2507122087328104</v>
      </c>
      <c r="I31" s="625" t="s">
        <v>716</v>
      </c>
      <c r="J31" s="645">
        <f>[1]Jan2023!$E$6</f>
        <v>3.9611111111111104E-2</v>
      </c>
      <c r="K31" s="15"/>
    </row>
    <row r="32" spans="1:11" ht="18" customHeight="1" x14ac:dyDescent="0.25">
      <c r="A32" s="344" t="str">
        <f>Detailed_LineDesc07</f>
        <v>Private Passenger Auto Liability</v>
      </c>
      <c r="B32" s="345">
        <f ca="1">IF(RIGHT(Detailed_LineCode07,1)="R",LEFT(Detailed_LineCode07,LEN(Detailed_LineCode07)-1),Detailed_LineCode07)</f>
        <v>19.2</v>
      </c>
      <c r="C32" s="513" t="str">
        <f>IF(Covg07="","",Covg07)</f>
        <v>Misc. Liability</v>
      </c>
      <c r="D32" s="374">
        <f ca="1">IF(Covg07="","",VLOOKUP(Detailed_LineCode07,Table_ResRatio,2,FALSE))</f>
        <v>0.32027023269708416</v>
      </c>
      <c r="E32" s="375">
        <f ca="1">IF(Covg07="","",VLOOKUP(Detailed_LineCode07,Table_ResRatio,3,FALSE))</f>
        <v>1.3266740292453059</v>
      </c>
      <c r="F32" s="374">
        <f ca="1">IF(Covg07="","",VLOOKUP(Detailed_LineCode07,Table_LevFact,2,FALSE))</f>
        <v>0.7746748896822202</v>
      </c>
      <c r="G32" s="404">
        <f>IF(Covg07="","",IF(AND('1.General'!$I$47*'1.General'!$I$48=1,FIND({3},'1.General'!$E$47&amp;"3")&lt;=LEN('1.General'!$E$47)),0.85,1))</f>
        <v>1</v>
      </c>
      <c r="H32" s="404">
        <f ca="1">IF(Covg07="","",F32*G32)</f>
        <v>0.7746748896822202</v>
      </c>
      <c r="I32" s="650"/>
      <c r="J32" s="646"/>
      <c r="K32" s="15" t="s">
        <v>622</v>
      </c>
    </row>
    <row r="33" spans="1:11" ht="18" customHeight="1" x14ac:dyDescent="0.25">
      <c r="A33" s="344" t="str">
        <f>Detailed_LineDesc08</f>
        <v/>
      </c>
      <c r="B33" s="345" t="str">
        <f>IF(RIGHT(Detailed_LineCode08,1)="R",LEFT(Detailed_LineCode08,LEN(Detailed_LineCode08)-1),Detailed_LineCode08)</f>
        <v/>
      </c>
      <c r="C33" s="513" t="str">
        <f>IF(Covg08="","",Covg08)</f>
        <v/>
      </c>
      <c r="D33" s="374" t="str">
        <f>IF(Covg08="","",VLOOKUP(Detailed_LineCode08,Table_ResRatio,2,FALSE))</f>
        <v/>
      </c>
      <c r="E33" s="375" t="str">
        <f>IF(Covg08="","",VLOOKUP(Detailed_LineCode08,Table_ResRatio,3,FALSE))</f>
        <v/>
      </c>
      <c r="F33" s="374" t="str">
        <f>IF(Covg08="","",VLOOKUP(Detailed_LineCode08,Table_LevFact,2,FALSE))</f>
        <v/>
      </c>
      <c r="G33" s="404" t="str">
        <f>IF(Covg08="","",IF(AND('1.General'!$I$47*'1.General'!$I$48=1,FIND({3},'1.General'!$E$47&amp;"3")&lt;=LEN('1.General'!$E$47)),0.85,1))</f>
        <v/>
      </c>
      <c r="H33" s="404" t="str">
        <f>IF(Covg08="","",F33*G33)</f>
        <v/>
      </c>
      <c r="I33" s="650"/>
      <c r="J33" s="646"/>
      <c r="K33" s="15" t="s">
        <v>339</v>
      </c>
    </row>
    <row r="34" spans="1:11" ht="18" customHeight="1" x14ac:dyDescent="0.25">
      <c r="A34" s="344" t="str">
        <f>Detailed_LineDesc09</f>
        <v/>
      </c>
      <c r="B34" s="345" t="str">
        <f>IF(RIGHT(Detailed_LineCode09,1)="R",LEFT(Detailed_LineCode09,LEN(Detailed_LineCode09)-1),Detailed_LineCode09)</f>
        <v/>
      </c>
      <c r="C34" s="513" t="str">
        <f>IF(Covg09="","",Covg09)</f>
        <v/>
      </c>
      <c r="D34" s="374" t="str">
        <f>IF(Covg09="","",VLOOKUP(Detailed_LineCode09,Table_ResRatio,2,FALSE))</f>
        <v/>
      </c>
      <c r="E34" s="375" t="str">
        <f>IF(Covg09="","",VLOOKUP(Detailed_LineCode09,Table_ResRatio,3,FALSE))</f>
        <v/>
      </c>
      <c r="F34" s="374" t="str">
        <f>IF(Covg09="","",VLOOKUP(Detailed_LineCode09,Table_LevFact,2,FALSE))</f>
        <v/>
      </c>
      <c r="G34" s="404" t="str">
        <f>IF(Covg09="","",IF(AND('1.General'!$I$47*'1.General'!$I$48=1,FIND({3},'1.General'!$E$47&amp;"3")&lt;=LEN('1.General'!$E$47)),0.85,1))</f>
        <v/>
      </c>
      <c r="H34" s="404" t="str">
        <f>IF(Covg09="","",F34*G34)</f>
        <v/>
      </c>
      <c r="I34" s="650"/>
      <c r="J34" s="646"/>
      <c r="K34" s="15"/>
    </row>
    <row r="35" spans="1:11" ht="18" customHeight="1" thickBot="1" x14ac:dyDescent="0.3">
      <c r="A35" s="348" t="str">
        <f>Detailed_LineDesc10</f>
        <v/>
      </c>
      <c r="B35" s="349" t="str">
        <f>IF(RIGHT(Detailed_LineCode10,1)="R",LEFT(Detailed_LineCode10,LEN(Detailed_LineCode10)-1),Detailed_LineCode10)</f>
        <v/>
      </c>
      <c r="C35" s="514" t="str">
        <f>IF(Covg10="","",Covg10)</f>
        <v/>
      </c>
      <c r="D35" s="416" t="str">
        <f>IF(Covg10="","",VLOOKUP(Detailed_LineCode10,Table_ResRatio,2,FALSE))</f>
        <v/>
      </c>
      <c r="E35" s="417" t="str">
        <f>IF(Covg10="","",VLOOKUP(Detailed_LineCode10,Table_ResRatio,3,FALSE))</f>
        <v/>
      </c>
      <c r="F35" s="416" t="str">
        <f>IF(Covg10="","",VLOOKUP(Detailed_LineCode10,Table_LevFact,2,FALSE))</f>
        <v/>
      </c>
      <c r="G35" s="432" t="str">
        <f>IF(Covg10="","",IF(AND('1.General'!$I$47*'1.General'!$I$48=1,FIND({3},'1.General'!$E$47&amp;"3")&lt;=LEN('1.General'!$E$47)),0.85,1))</f>
        <v/>
      </c>
      <c r="H35" s="432" t="str">
        <f>IF(Covg10="","",F35*G35)</f>
        <v/>
      </c>
      <c r="I35" s="626"/>
      <c r="J35" s="647"/>
      <c r="K35" s="15"/>
    </row>
  </sheetData>
  <sheetProtection algorithmName="SHA-512" hashValue="fnCeBbkjCt4GrPdFzxUK+AMeeVikjZcY3B+VsZ0bRnlMekc8h7YzX2P4saMfwnuakcN8k/lzm/BWfPl3w5vTXg==" saltValue="XCeMvr/jV750omyfngygsg=="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3"/>
  <pageSetup scale="71" orientation="landscape" r:id="rId1"/>
  <headerFooter>
    <oddFooter>&amp;CPrior Approval Rate Template&amp;RPage 5&amp;L1/3/2023 Edition</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view="pageBreakPreview" topLeftCell="A13" zoomScaleNormal="100" zoomScaleSheetLayoutView="100" workbookViewId="0">
      <selection activeCell="J19" sqref="J19"/>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customWidth="1"/>
  </cols>
  <sheetData>
    <row r="1" spans="1:13" ht="15.75" thickBot="1" x14ac:dyDescent="0.3">
      <c r="A1" s="1" t="s">
        <v>31</v>
      </c>
      <c r="B1" s="9"/>
      <c r="H1" s="9" t="s">
        <v>33</v>
      </c>
      <c r="K1" s="8" t="str">
        <f>Co_Name</f>
        <v>State Farm Mutual Automobile Insurance Company</v>
      </c>
      <c r="M1" s="74" t="s">
        <v>310</v>
      </c>
    </row>
    <row r="2" spans="1:13" x14ac:dyDescent="0.25">
      <c r="A2" s="1" t="s">
        <v>32</v>
      </c>
      <c r="B2" s="9"/>
      <c r="H2" s="9" t="s">
        <v>34</v>
      </c>
      <c r="K2" s="8" t="str">
        <f>General_Line</f>
        <v>Auto Liability and Physical Damage</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705</v>
      </c>
      <c r="K7" s="455" t="s">
        <v>98</v>
      </c>
      <c r="M7" s="75"/>
    </row>
    <row r="8" spans="1:13" ht="18" customHeight="1" x14ac:dyDescent="0.25">
      <c r="B8" s="7" t="s">
        <v>76</v>
      </c>
      <c r="G8" s="52">
        <f>Completed_Date</f>
        <v>44979</v>
      </c>
      <c r="M8" s="75"/>
    </row>
    <row r="9" spans="1:13" ht="5.0999999999999996" customHeight="1" x14ac:dyDescent="0.25">
      <c r="B9" s="7"/>
      <c r="M9" s="75"/>
    </row>
    <row r="10" spans="1:13" ht="18" customHeight="1" x14ac:dyDescent="0.25">
      <c r="B10" s="7" t="s">
        <v>77</v>
      </c>
      <c r="G10" t="str">
        <f>Detailed_LineDesc01</f>
        <v>Private Passenger Auto Liability</v>
      </c>
      <c r="M10" s="226"/>
    </row>
    <row r="11" spans="1:13" ht="18" customHeight="1" x14ac:dyDescent="0.25">
      <c r="B11" s="7" t="s">
        <v>78</v>
      </c>
      <c r="G11" t="str">
        <f>Covg01</f>
        <v>BIPD</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20173</v>
      </c>
      <c r="E14" s="395" t="str">
        <f>LEFT(MstRcntDataYr,4)-4&amp;RIGHT(MstRcntDataYr,1)</f>
        <v>20183</v>
      </c>
      <c r="F14" s="395" t="str">
        <f>LEFT(MstRcntDataYr,4)-3&amp;RIGHT(MstRcntDataYr,1)</f>
        <v>20193</v>
      </c>
      <c r="G14" s="395" t="str">
        <f>LEFT(MstRcntDataYr,4)-2&amp;RIGHT(MstRcntDataYr,1)</f>
        <v>20203</v>
      </c>
      <c r="H14" s="395" t="str">
        <f>LEFT(MstRcntDataYr,4)-1&amp;RIGHT(MstRcntDataYr,1)</f>
        <v>20213</v>
      </c>
      <c r="I14" s="395">
        <f>MstRcntDataYr</f>
        <v>20223</v>
      </c>
      <c r="J14" s="25"/>
      <c r="K14" s="17"/>
      <c r="M14" s="75"/>
    </row>
    <row r="15" spans="1:13" ht="30" customHeight="1" x14ac:dyDescent="0.25">
      <c r="A15" s="33">
        <v>-1</v>
      </c>
      <c r="B15" s="34" t="s">
        <v>54</v>
      </c>
      <c r="C15" s="35"/>
      <c r="D15" s="166"/>
      <c r="E15" s="167"/>
      <c r="F15" s="167"/>
      <c r="G15" s="112"/>
      <c r="H15" s="112"/>
      <c r="I15" s="112">
        <v>1744924714.9699998</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v>1728857568.2000003</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v>0.94701527070800551</v>
      </c>
      <c r="J17" s="16"/>
      <c r="K17" s="16"/>
      <c r="M17" s="75"/>
    </row>
    <row r="18" spans="1:13" ht="18" customHeight="1" x14ac:dyDescent="0.25">
      <c r="A18" s="30">
        <v>-4</v>
      </c>
      <c r="B18" s="31" t="s">
        <v>130</v>
      </c>
      <c r="C18" s="32" t="s">
        <v>66</v>
      </c>
      <c r="D18" s="168"/>
      <c r="E18" s="169"/>
      <c r="F18" s="169"/>
      <c r="G18" s="169"/>
      <c r="H18" s="169"/>
      <c r="I18" s="169">
        <v>0.94925919381038815</v>
      </c>
      <c r="J18" s="170">
        <v>-2.2797844342083901E-2</v>
      </c>
      <c r="K18" s="16"/>
      <c r="M18" s="226" t="str">
        <f>IF(AND(New_Program=FALSE,ISBLANK($J$18)),"← ERROR! Enter Annual Premium Trend as a percentage in the 'Projected' column.","")</f>
        <v/>
      </c>
    </row>
    <row r="19" spans="1:13" ht="30" customHeight="1" x14ac:dyDescent="0.25">
      <c r="A19" s="30">
        <v>-5</v>
      </c>
      <c r="B19" s="31" t="s">
        <v>742</v>
      </c>
      <c r="C19" s="32" t="s">
        <v>67</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v>3675598</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v>895311431.08999991</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v>2976104.17</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v>1.3975617987971174</v>
      </c>
      <c r="J23" s="16"/>
      <c r="K23" s="16"/>
      <c r="M23" s="75"/>
    </row>
    <row r="24" spans="1:13" ht="18" customHeight="1" x14ac:dyDescent="0.25">
      <c r="A24" s="30">
        <v>-10</v>
      </c>
      <c r="B24" s="31" t="s">
        <v>61</v>
      </c>
      <c r="C24" s="32" t="s">
        <v>68</v>
      </c>
      <c r="D24" s="168"/>
      <c r="E24" s="169"/>
      <c r="F24" s="169"/>
      <c r="G24" s="169"/>
      <c r="H24" s="169"/>
      <c r="I24" s="169">
        <v>35.878858873612081</v>
      </c>
      <c r="J24" s="16"/>
      <c r="K24" s="16"/>
      <c r="M24" s="75"/>
    </row>
    <row r="25" spans="1:13" ht="18" customHeight="1" x14ac:dyDescent="0.25">
      <c r="A25" s="30">
        <v>-11</v>
      </c>
      <c r="B25" s="31" t="s">
        <v>132</v>
      </c>
      <c r="C25" s="32" t="s">
        <v>69</v>
      </c>
      <c r="D25" s="168"/>
      <c r="E25" s="169"/>
      <c r="F25" s="169"/>
      <c r="G25" s="169"/>
      <c r="H25" s="169"/>
      <c r="I25" s="169">
        <v>1.2826910718172582</v>
      </c>
      <c r="J25" s="170">
        <v>0.11656497340374727</v>
      </c>
      <c r="K25" s="16"/>
      <c r="M25" s="226" t="str">
        <f>IF(AND(New_Program=FALSE,ISBLANK($J$25)),"← ERROR! Enter Annual Loss Trend as a percentage in the 'Projected' column","")</f>
        <v/>
      </c>
    </row>
    <row r="26" spans="1:13" ht="18" customHeight="1" x14ac:dyDescent="0.25">
      <c r="A26" s="30">
        <v>-12</v>
      </c>
      <c r="B26" s="31" t="s">
        <v>131</v>
      </c>
      <c r="C26" s="32" t="s">
        <v>69</v>
      </c>
      <c r="D26" s="168"/>
      <c r="E26" s="169"/>
      <c r="F26" s="169"/>
      <c r="G26" s="169"/>
      <c r="H26" s="169"/>
      <c r="I26" s="169">
        <v>1.2826910718172582</v>
      </c>
      <c r="J26" s="170">
        <v>0.11656497340374727</v>
      </c>
      <c r="K26" s="16"/>
      <c r="M26" s="226" t="str">
        <f>IF(AND(New_Program=FALSE,ISBLANK($J$26)),"← ERROR! Enter Annual DCCE Trend as a percentage in the 'Projected' column","")</f>
        <v/>
      </c>
    </row>
    <row r="27" spans="1:13" ht="18" customHeight="1" x14ac:dyDescent="0.25">
      <c r="A27" s="30">
        <v>-13</v>
      </c>
      <c r="B27" s="31" t="s">
        <v>62</v>
      </c>
      <c r="C27" s="32" t="s">
        <v>70</v>
      </c>
      <c r="D27" s="168"/>
      <c r="E27" s="169"/>
      <c r="F27" s="169"/>
      <c r="G27" s="169"/>
      <c r="H27" s="169"/>
      <c r="I27" s="169">
        <v>1</v>
      </c>
      <c r="J27" s="16"/>
      <c r="K27" s="16"/>
      <c r="M27" s="75"/>
    </row>
    <row r="28" spans="1:13" ht="18" customHeight="1" x14ac:dyDescent="0.25">
      <c r="A28" s="30">
        <v>-14</v>
      </c>
      <c r="B28" s="26" t="s">
        <v>727</v>
      </c>
      <c r="C28" s="32" t="s">
        <v>71</v>
      </c>
      <c r="D28" s="27"/>
      <c r="E28" s="16"/>
      <c r="F28" s="16"/>
      <c r="G28" s="16"/>
      <c r="H28" s="16"/>
      <c r="I28" s="16"/>
      <c r="J28" s="171">
        <v>1</v>
      </c>
      <c r="K28" s="16"/>
      <c r="M28" s="227"/>
    </row>
    <row r="29" spans="1:13"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1.3597266477453115E-2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0.18957755323144132</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0.10317106949646478</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 ca="1">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5" ht="17.25" hidden="1" customHeight="1" x14ac:dyDescent="0.25">
      <c r="A49" s="6" t="s">
        <v>338</v>
      </c>
      <c r="J49" s="159"/>
      <c r="M49" s="172"/>
    </row>
    <row r="50" spans="1:15" ht="17.25" hidden="1" customHeight="1" thickBot="1" x14ac:dyDescent="0.3">
      <c r="A50" s="6" t="s">
        <v>157</v>
      </c>
      <c r="J50" s="78"/>
      <c r="M50" s="76"/>
    </row>
    <row r="51" spans="1:15" ht="20.100000000000001" customHeight="1" x14ac:dyDescent="0.25">
      <c r="A51" s="6"/>
      <c r="H51" s="656" t="s">
        <v>665</v>
      </c>
      <c r="I51" s="656"/>
      <c r="J51" s="656"/>
      <c r="K51" s="656"/>
      <c r="M51" s="125"/>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z6J06P8eJ1KrrBSwNm7J6mA3Kq2mStdw4Tnlu/tTTMV7XfYNhJltUPjRNx5UjVGAGb6rhFXm7nKSHu7sl5IuYw==" saltValue="nYk1SaOdtyNOTxl1QtD1gw==" spinCount="100000" sheet="1" objects="1" scenarios="1" formatColumns="0" formatRows="0" sort="0"/>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3"/>
  <pageSetup scale="79" orientation="portrait" r:id="rId1"/>
  <headerFooter>
    <oddFooter>&amp;CPrior Approval Rate Template&amp;RPage 6.1&amp;L1/3/2023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topLeftCell="A4" zoomScaleNormal="100" zoomScaleSheetLayoutView="100" workbookViewId="0">
      <selection activeCell="M8" sqref="M8"/>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4" ht="15.75" thickBot="1" x14ac:dyDescent="0.3">
      <c r="A1" s="1" t="s">
        <v>31</v>
      </c>
      <c r="B1" s="9"/>
      <c r="H1" s="9" t="s">
        <v>33</v>
      </c>
      <c r="K1" s="8" t="str">
        <f>Co_Name</f>
        <v>State Farm Mutual Automobile Insurance Company</v>
      </c>
      <c r="M1" s="74" t="s">
        <v>310</v>
      </c>
    </row>
    <row r="2" spans="1:14" x14ac:dyDescent="0.25">
      <c r="A2" s="1" t="s">
        <v>32</v>
      </c>
      <c r="B2" s="9"/>
      <c r="H2" s="9" t="s">
        <v>34</v>
      </c>
      <c r="K2" s="8" t="str">
        <f>General_Line</f>
        <v>Auto Liability and Physical Damage</v>
      </c>
      <c r="M2" s="176" t="s">
        <v>113</v>
      </c>
    </row>
    <row r="3" spans="1:14" x14ac:dyDescent="0.25">
      <c r="A3" s="1"/>
      <c r="B3" s="157"/>
      <c r="H3" s="71" t="s">
        <v>142</v>
      </c>
      <c r="I3" s="72"/>
      <c r="J3" s="72"/>
      <c r="K3" s="70" t="str">
        <f>CDI_FileNo</f>
        <v/>
      </c>
      <c r="M3" s="225"/>
    </row>
    <row r="4" spans="1:14" ht="18" customHeight="1" x14ac:dyDescent="0.25">
      <c r="M4" s="75"/>
    </row>
    <row r="5" spans="1:14" ht="23.25" x14ac:dyDescent="0.25">
      <c r="A5" s="4" t="s">
        <v>605</v>
      </c>
      <c r="B5" s="3"/>
      <c r="C5" s="3"/>
      <c r="D5" s="3"/>
      <c r="E5" s="3"/>
      <c r="F5" s="3"/>
      <c r="G5" s="3"/>
      <c r="H5" s="3"/>
      <c r="I5" s="3"/>
      <c r="J5" s="3"/>
      <c r="K5" s="3"/>
      <c r="L5" s="3"/>
      <c r="M5" s="75"/>
    </row>
    <row r="6" spans="1:14" ht="15.75" thickBot="1" x14ac:dyDescent="0.3">
      <c r="M6" s="75"/>
    </row>
    <row r="7" spans="1:14" ht="18" customHeight="1" thickBot="1" x14ac:dyDescent="0.3">
      <c r="B7" s="7" t="s">
        <v>1</v>
      </c>
      <c r="G7" s="6" t="str">
        <f>Completed_By</f>
        <v>Laura Campbell</v>
      </c>
      <c r="J7" s="7" t="s">
        <v>705</v>
      </c>
      <c r="K7" s="455" t="s">
        <v>98</v>
      </c>
      <c r="M7" s="75"/>
    </row>
    <row r="8" spans="1:14" ht="18" customHeight="1" x14ac:dyDescent="0.25">
      <c r="B8" s="7" t="s">
        <v>76</v>
      </c>
      <c r="G8" s="52">
        <f>Completed_Date</f>
        <v>44979</v>
      </c>
      <c r="M8" s="75"/>
    </row>
    <row r="9" spans="1:14" ht="5.0999999999999996" customHeight="1" x14ac:dyDescent="0.25">
      <c r="B9" s="7"/>
      <c r="M9" s="75"/>
    </row>
    <row r="10" spans="1:14" ht="18" customHeight="1" x14ac:dyDescent="0.25">
      <c r="B10" s="7" t="s">
        <v>77</v>
      </c>
      <c r="G10" t="str">
        <f>Detailed_LineDesc02</f>
        <v>Private Passenger Auto Liability</v>
      </c>
      <c r="M10" s="226"/>
    </row>
    <row r="11" spans="1:14" ht="18" customHeight="1" x14ac:dyDescent="0.25">
      <c r="B11" s="7" t="s">
        <v>78</v>
      </c>
      <c r="G11" t="str">
        <f>Covg02</f>
        <v>MPC</v>
      </c>
      <c r="M11" s="75"/>
    </row>
    <row r="12" spans="1:14" ht="9.9499999999999993" customHeight="1" x14ac:dyDescent="0.25">
      <c r="B12" s="2"/>
      <c r="G12" s="22"/>
      <c r="I12" s="23"/>
      <c r="J12" s="24"/>
      <c r="M12" s="75"/>
    </row>
    <row r="13" spans="1:14"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4" ht="18" customHeight="1" thickBot="1" x14ac:dyDescent="0.3">
      <c r="A14" s="40" t="s">
        <v>115</v>
      </c>
      <c r="B14" s="39" t="s">
        <v>114</v>
      </c>
      <c r="C14" s="36"/>
      <c r="D14" s="395" t="str">
        <f>LEFT(MstRcntDataYr,4)-5&amp;RIGHT(MstRcntDataYr,1)</f>
        <v>20173</v>
      </c>
      <c r="E14" s="395" t="str">
        <f>LEFT(MstRcntDataYr,4)-4&amp;RIGHT(MstRcntDataYr,1)</f>
        <v>20183</v>
      </c>
      <c r="F14" s="395" t="str">
        <f>LEFT(MstRcntDataYr,4)-3&amp;RIGHT(MstRcntDataYr,1)</f>
        <v>20193</v>
      </c>
      <c r="G14" s="395" t="str">
        <f>LEFT(MstRcntDataYr,4)-2&amp;RIGHT(MstRcntDataYr,1)</f>
        <v>20203</v>
      </c>
      <c r="H14" s="395" t="str">
        <f>LEFT(MstRcntDataYr,4)-1&amp;RIGHT(MstRcntDataYr,1)</f>
        <v>20213</v>
      </c>
      <c r="I14" s="395">
        <f>MstRcntDataYr</f>
        <v>20223</v>
      </c>
      <c r="J14" s="25"/>
      <c r="K14" s="17"/>
      <c r="M14" s="75"/>
    </row>
    <row r="15" spans="1:14" ht="30" customHeight="1" x14ac:dyDescent="0.25">
      <c r="A15" s="33">
        <v>-1</v>
      </c>
      <c r="B15" s="34" t="s">
        <v>54</v>
      </c>
      <c r="C15" s="35"/>
      <c r="D15" s="166"/>
      <c r="E15" s="167"/>
      <c r="F15" s="167"/>
      <c r="G15" s="112"/>
      <c r="H15" s="112"/>
      <c r="I15" s="112">
        <v>71006105.899999991</v>
      </c>
      <c r="J15" s="19"/>
      <c r="K15" s="112"/>
      <c r="M15" s="226" t="str">
        <f>IF(AND(New_Program=TRUE,ISBLANK($K$15)),"← ERROR! Enter projected figure for new program, or deselect 'New Program' on Page '1.General'.","")</f>
        <v/>
      </c>
      <c r="N15" s="6"/>
    </row>
    <row r="16" spans="1:14" ht="30" customHeight="1" x14ac:dyDescent="0.25">
      <c r="A16" s="30">
        <v>-2</v>
      </c>
      <c r="B16" s="31" t="s">
        <v>55</v>
      </c>
      <c r="C16" s="32"/>
      <c r="D16" s="113"/>
      <c r="E16" s="112"/>
      <c r="F16" s="112"/>
      <c r="G16" s="112"/>
      <c r="H16" s="112"/>
      <c r="I16" s="112">
        <v>70334909.319999993</v>
      </c>
      <c r="J16" s="20"/>
      <c r="K16" s="73" t="str">
        <f>IF(ISBLANK($K$15),"",$K$15)</f>
        <v/>
      </c>
      <c r="M16" s="226" t="str">
        <f>IF(AND(New_Program=TRUE,$K$16&lt;&gt;$K$15),"← ERROR! For New Programs, Earned Premium must equal Written Premium. Refer to Section III.C. of Prior Approval Rate Filing Instructions.","")</f>
        <v/>
      </c>
      <c r="N16" s="6"/>
    </row>
    <row r="17" spans="1:14" ht="18" customHeight="1" x14ac:dyDescent="0.25">
      <c r="A17" s="30">
        <v>-3</v>
      </c>
      <c r="B17" s="31" t="s">
        <v>36</v>
      </c>
      <c r="C17" s="32" t="s">
        <v>65</v>
      </c>
      <c r="D17" s="168"/>
      <c r="E17" s="169"/>
      <c r="F17" s="169"/>
      <c r="G17" s="169"/>
      <c r="H17" s="169"/>
      <c r="I17" s="169">
        <v>0.99299883313885662</v>
      </c>
      <c r="J17" s="16"/>
      <c r="K17" s="16"/>
      <c r="M17" s="75"/>
      <c r="N17" s="6"/>
    </row>
    <row r="18" spans="1:14" ht="18" customHeight="1" x14ac:dyDescent="0.25">
      <c r="A18" s="30">
        <v>-4</v>
      </c>
      <c r="B18" s="31" t="s">
        <v>130</v>
      </c>
      <c r="C18" s="32" t="s">
        <v>66</v>
      </c>
      <c r="D18" s="168"/>
      <c r="E18" s="169"/>
      <c r="F18" s="169"/>
      <c r="G18" s="169"/>
      <c r="H18" s="169"/>
      <c r="I18" s="169">
        <v>0.97475890805026122</v>
      </c>
      <c r="J18" s="170">
        <v>-1.12581632847876E-2</v>
      </c>
      <c r="K18" s="16"/>
      <c r="M18" s="226" t="str">
        <f>IF(AND(New_Program=FALSE,ISBLANK($J$18)),"← ERROR! Enter Annual Premium Trend as a percentage in the 'Projected' column.","")</f>
        <v/>
      </c>
      <c r="N18" s="6"/>
    </row>
    <row r="19" spans="1:14" ht="30" customHeight="1" x14ac:dyDescent="0.25">
      <c r="A19" s="30">
        <v>-5</v>
      </c>
      <c r="B19" s="31" t="s">
        <v>742</v>
      </c>
      <c r="C19" s="32" t="s">
        <v>67</v>
      </c>
      <c r="D19" s="113"/>
      <c r="E19" s="112"/>
      <c r="F19" s="112"/>
      <c r="G19" s="112"/>
      <c r="H19" s="112"/>
      <c r="I19" s="112">
        <v>0</v>
      </c>
      <c r="J19" s="16"/>
      <c r="K19" s="112"/>
      <c r="M19" s="226" t="str">
        <f>IF(AND(New_Program=TRUE,ISBLANK($K$19)),"← ERROR! Enter projected figure for new program, or deselect 'New Program' on Page '1.General'.","")</f>
        <v/>
      </c>
      <c r="N19" s="6"/>
    </row>
    <row r="20" spans="1:14" ht="18" customHeight="1" x14ac:dyDescent="0.25">
      <c r="A20" s="30">
        <v>-6</v>
      </c>
      <c r="B20" s="31" t="s">
        <v>56</v>
      </c>
      <c r="C20" s="32"/>
      <c r="D20" s="113"/>
      <c r="E20" s="112"/>
      <c r="F20" s="112"/>
      <c r="G20" s="112"/>
      <c r="H20" s="112"/>
      <c r="I20" s="112">
        <v>2075214</v>
      </c>
      <c r="J20" s="16"/>
      <c r="K20" s="112"/>
      <c r="M20" s="226" t="str">
        <f>IF(AND(New_Program=TRUE,ISBLANK($K$20)),"← ERROR! Enter projected figure for new program, or deselect 'New Program' on Page '1.General'.","")</f>
        <v/>
      </c>
      <c r="N20" s="6"/>
    </row>
    <row r="21" spans="1:14" ht="18" customHeight="1" x14ac:dyDescent="0.25">
      <c r="A21" s="30">
        <v>-7</v>
      </c>
      <c r="B21" s="31" t="s">
        <v>133</v>
      </c>
      <c r="C21" s="32"/>
      <c r="D21" s="113"/>
      <c r="E21" s="112"/>
      <c r="F21" s="112"/>
      <c r="G21" s="112"/>
      <c r="H21" s="112"/>
      <c r="I21" s="112">
        <v>42284598.57</v>
      </c>
      <c r="J21" s="16"/>
      <c r="K21" s="112"/>
      <c r="M21" s="226" t="str">
        <f>IF(AND(New_Program=TRUE,ISBLANK($K$21)),"← ERROR! Enter projected figure for new program, or deselect 'New Program' on Page '1.General'.","")</f>
        <v/>
      </c>
      <c r="N21" s="6"/>
    </row>
    <row r="22" spans="1:14" ht="30" customHeight="1" x14ac:dyDescent="0.25">
      <c r="A22" s="30">
        <v>-8</v>
      </c>
      <c r="B22" s="31" t="s">
        <v>57</v>
      </c>
      <c r="C22" s="32"/>
      <c r="D22" s="113"/>
      <c r="E22" s="112"/>
      <c r="F22" s="112"/>
      <c r="G22" s="112"/>
      <c r="H22" s="112"/>
      <c r="I22" s="112">
        <v>82629.399999999994</v>
      </c>
      <c r="J22" s="16"/>
      <c r="K22" s="112"/>
      <c r="M22" s="226" t="str">
        <f>IF(AND(New_Program=TRUE,ISBLANK($K$22)),"← ERROR! Enter projected figure for new program, or deselect 'New Program' on Page '1.General'.","")</f>
        <v/>
      </c>
      <c r="N22" s="6"/>
    </row>
    <row r="23" spans="1:14" ht="18" customHeight="1" x14ac:dyDescent="0.25">
      <c r="A23" s="30">
        <v>-9</v>
      </c>
      <c r="B23" s="31" t="s">
        <v>60</v>
      </c>
      <c r="C23" s="32" t="s">
        <v>68</v>
      </c>
      <c r="D23" s="168"/>
      <c r="E23" s="169"/>
      <c r="F23" s="169"/>
      <c r="G23" s="169"/>
      <c r="H23" s="169"/>
      <c r="I23" s="169">
        <v>1.3942162442515211</v>
      </c>
      <c r="J23" s="16"/>
      <c r="K23" s="16"/>
      <c r="M23" s="75"/>
      <c r="N23" s="6"/>
    </row>
    <row r="24" spans="1:14" ht="18" customHeight="1" x14ac:dyDescent="0.25">
      <c r="A24" s="30">
        <v>-10</v>
      </c>
      <c r="B24" s="31" t="s">
        <v>61</v>
      </c>
      <c r="C24" s="32" t="s">
        <v>68</v>
      </c>
      <c r="D24" s="168"/>
      <c r="E24" s="169"/>
      <c r="F24" s="169"/>
      <c r="G24" s="169"/>
      <c r="H24" s="169"/>
      <c r="I24" s="169">
        <v>3.6086644629124005</v>
      </c>
      <c r="J24" s="16"/>
      <c r="K24" s="16"/>
      <c r="M24" s="75"/>
      <c r="N24" s="6"/>
    </row>
    <row r="25" spans="1:14" ht="18" customHeight="1" x14ac:dyDescent="0.25">
      <c r="A25" s="30">
        <v>-11</v>
      </c>
      <c r="B25" s="31" t="s">
        <v>132</v>
      </c>
      <c r="C25" s="32" t="s">
        <v>69</v>
      </c>
      <c r="D25" s="168"/>
      <c r="E25" s="169"/>
      <c r="F25" s="169"/>
      <c r="G25" s="169"/>
      <c r="H25" s="169"/>
      <c r="I25" s="169">
        <v>1.2142609502538038</v>
      </c>
      <c r="J25" s="170">
        <v>8.9781047950882042E-2</v>
      </c>
      <c r="K25" s="16"/>
      <c r="M25" s="226" t="str">
        <f>IF(AND(New_Program=FALSE,ISBLANK($J$25)),"← ERROR! Enter Annual Loss Trend as a percentage in the 'Projected' column","")</f>
        <v/>
      </c>
      <c r="N25" s="6"/>
    </row>
    <row r="26" spans="1:14" ht="18" customHeight="1" x14ac:dyDescent="0.25">
      <c r="A26" s="30">
        <v>-12</v>
      </c>
      <c r="B26" s="31" t="s">
        <v>131</v>
      </c>
      <c r="C26" s="32" t="s">
        <v>69</v>
      </c>
      <c r="D26" s="168"/>
      <c r="E26" s="169"/>
      <c r="F26" s="169"/>
      <c r="G26" s="169"/>
      <c r="H26" s="169"/>
      <c r="I26" s="169">
        <v>1.2142609502538038</v>
      </c>
      <c r="J26" s="170">
        <v>8.9781047950882042E-2</v>
      </c>
      <c r="K26" s="16"/>
      <c r="M26" s="226" t="str">
        <f>IF(AND(New_Program=FALSE,ISBLANK($J$26)),"← ERROR! Enter Annual DCCE Trend as a percentage in the 'Projected' column","")</f>
        <v/>
      </c>
      <c r="N26" s="6"/>
    </row>
    <row r="27" spans="1:14" ht="18" customHeight="1" x14ac:dyDescent="0.25">
      <c r="A27" s="30">
        <v>-13</v>
      </c>
      <c r="B27" s="31" t="s">
        <v>62</v>
      </c>
      <c r="C27" s="32" t="s">
        <v>70</v>
      </c>
      <c r="D27" s="168"/>
      <c r="E27" s="169"/>
      <c r="F27" s="169"/>
      <c r="G27" s="169"/>
      <c r="H27" s="169"/>
      <c r="I27" s="169">
        <v>1</v>
      </c>
      <c r="J27" s="16"/>
      <c r="K27" s="16"/>
      <c r="M27" s="75"/>
      <c r="N27" s="6"/>
    </row>
    <row r="28" spans="1:14" ht="18" customHeight="1" x14ac:dyDescent="0.25">
      <c r="A28" s="30">
        <v>-14</v>
      </c>
      <c r="B28" s="26" t="s">
        <v>727</v>
      </c>
      <c r="C28" s="32" t="s">
        <v>71</v>
      </c>
      <c r="D28" s="27"/>
      <c r="E28" s="16"/>
      <c r="F28" s="16"/>
      <c r="G28" s="16"/>
      <c r="H28" s="16"/>
      <c r="I28" s="16"/>
      <c r="J28" s="171">
        <v>1</v>
      </c>
      <c r="K28" s="16"/>
      <c r="M28" s="227"/>
      <c r="N28" s="6"/>
    </row>
    <row r="29" spans="1:14"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c r="N29" s="6"/>
    </row>
    <row r="30" spans="1:14"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c r="N30" s="6"/>
    </row>
    <row r="31" spans="1:14"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6"/>
    </row>
    <row r="32" spans="1:14" ht="4.5" customHeight="1" x14ac:dyDescent="0.25">
      <c r="A32" s="14"/>
      <c r="B32" s="10"/>
      <c r="C32" s="11"/>
      <c r="D32" s="6"/>
      <c r="E32" s="6"/>
      <c r="F32" s="6"/>
      <c r="G32" s="6"/>
      <c r="H32" s="6"/>
      <c r="I32" s="6"/>
      <c r="J32" s="21"/>
      <c r="K32" s="126"/>
      <c r="M32" s="75"/>
      <c r="N32" s="6"/>
    </row>
    <row r="33" spans="1:14" ht="18" customHeight="1" x14ac:dyDescent="0.25">
      <c r="A33" s="30">
        <v>-16</v>
      </c>
      <c r="B33" s="31" t="s">
        <v>162</v>
      </c>
      <c r="C33" s="32" t="s">
        <v>607</v>
      </c>
      <c r="D33" s="27"/>
      <c r="E33" s="16"/>
      <c r="F33" s="16"/>
      <c r="G33" s="16"/>
      <c r="H33" s="16"/>
      <c r="I33" s="16"/>
      <c r="J33" s="69">
        <f>IF(New_Program=FALSE,ExpRatio_Excluded,"")</f>
        <v>1.3597266477453115E-2</v>
      </c>
      <c r="K33" s="69" t="str">
        <f>IF(New_Program=TRUE,ExpRatio_Excluded,"")</f>
        <v/>
      </c>
      <c r="M33" s="75"/>
      <c r="N33" s="6"/>
    </row>
    <row r="34" spans="1:14" ht="30" customHeight="1" x14ac:dyDescent="0.25">
      <c r="A34" s="30">
        <v>-17</v>
      </c>
      <c r="B34" s="31" t="s">
        <v>311</v>
      </c>
      <c r="C34" s="32" t="s">
        <v>608</v>
      </c>
      <c r="D34" s="27"/>
      <c r="E34" s="16"/>
      <c r="F34" s="16"/>
      <c r="G34" s="16"/>
      <c r="H34" s="16"/>
      <c r="I34" s="16"/>
      <c r="J34" s="69">
        <f>IF(New_Program=FALSE,FIT_Inv,"")</f>
        <v>0.18957755323144132</v>
      </c>
      <c r="K34" s="69" t="str">
        <f>IF(New_Program=TRUE,FIT_Inv,"")</f>
        <v/>
      </c>
      <c r="M34" s="75"/>
      <c r="N34" s="6"/>
    </row>
    <row r="35" spans="1:14" ht="18" customHeight="1" x14ac:dyDescent="0.25">
      <c r="A35" s="30">
        <v>-18</v>
      </c>
      <c r="B35" s="26" t="s">
        <v>312</v>
      </c>
      <c r="C35" s="32" t="s">
        <v>608</v>
      </c>
      <c r="D35" s="27"/>
      <c r="E35" s="16"/>
      <c r="F35" s="16"/>
      <c r="G35" s="16"/>
      <c r="H35" s="16"/>
      <c r="I35" s="16"/>
      <c r="J35" s="69">
        <f>IF(New_Program=FALSE,Yield,"")</f>
        <v>0.10317106949646478</v>
      </c>
      <c r="K35" s="69" t="str">
        <f>IF(New_Program=TRUE,Yield,"")</f>
        <v/>
      </c>
      <c r="M35" s="75"/>
      <c r="N35" s="6"/>
    </row>
    <row r="36" spans="1:14" ht="5.0999999999999996" hidden="1" customHeight="1" x14ac:dyDescent="0.25">
      <c r="A36" s="14"/>
      <c r="B36" s="10"/>
      <c r="C36" s="11"/>
      <c r="D36" s="6"/>
      <c r="E36" s="6"/>
      <c r="F36" s="6"/>
      <c r="G36" s="6"/>
      <c r="H36" s="6"/>
      <c r="I36" s="6"/>
      <c r="J36" s="21"/>
      <c r="K36" s="126"/>
      <c r="M36" s="75"/>
      <c r="N36" s="6"/>
    </row>
    <row r="37" spans="1:14" ht="15" hidden="1" customHeight="1" x14ac:dyDescent="0.25">
      <c r="A37" s="14"/>
      <c r="B37" s="15" t="s">
        <v>337</v>
      </c>
      <c r="C37" s="11"/>
      <c r="D37" s="37"/>
      <c r="E37" s="37"/>
      <c r="F37" s="37"/>
      <c r="G37" s="37"/>
      <c r="H37" s="37"/>
      <c r="I37" s="37"/>
      <c r="J37" s="37"/>
      <c r="K37" s="37"/>
      <c r="M37" s="75"/>
      <c r="N37" s="6"/>
    </row>
    <row r="38" spans="1:14" ht="5.0999999999999996" hidden="1" customHeight="1" x14ac:dyDescent="0.25">
      <c r="A38" s="14"/>
      <c r="B38" s="10"/>
      <c r="C38" s="11"/>
      <c r="D38" s="37"/>
      <c r="E38" s="37"/>
      <c r="F38" s="37"/>
      <c r="G38" s="37"/>
      <c r="H38" s="37"/>
      <c r="I38" s="37"/>
      <c r="K38" s="37"/>
      <c r="M38" s="75"/>
      <c r="N38" s="6"/>
    </row>
    <row r="39" spans="1:14"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c r="N39" s="6"/>
    </row>
    <row r="40" spans="1:14" ht="30" hidden="1" customHeight="1" x14ac:dyDescent="0.25">
      <c r="A40" s="30">
        <v>-20</v>
      </c>
      <c r="B40" s="31" t="s">
        <v>156</v>
      </c>
      <c r="C40" s="32" t="s">
        <v>111</v>
      </c>
      <c r="D40" s="16"/>
      <c r="E40" s="16"/>
      <c r="F40" s="16"/>
      <c r="G40" s="16"/>
      <c r="H40" s="16"/>
      <c r="I40" s="16"/>
      <c r="J40" s="170"/>
      <c r="K40" s="16"/>
      <c r="M40" s="227" t="str">
        <f ca="1">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6"/>
    </row>
    <row r="41" spans="1:14" ht="4.5" customHeight="1" x14ac:dyDescent="0.25">
      <c r="A41" s="14"/>
      <c r="B41" s="10"/>
      <c r="C41" s="11"/>
      <c r="D41" s="37"/>
      <c r="E41" s="37"/>
      <c r="F41" s="37"/>
      <c r="G41" s="37"/>
      <c r="H41" s="37"/>
      <c r="I41" s="37"/>
      <c r="J41" s="37"/>
      <c r="K41" s="37"/>
      <c r="M41" s="227"/>
      <c r="N41" s="6"/>
    </row>
    <row r="42" spans="1:14" ht="15" hidden="1" customHeight="1" x14ac:dyDescent="0.25">
      <c r="A42" s="14"/>
      <c r="B42" s="15" t="s">
        <v>710</v>
      </c>
      <c r="C42" s="11"/>
      <c r="D42" s="6"/>
      <c r="E42" s="6"/>
      <c r="F42" s="6"/>
      <c r="G42" s="6"/>
      <c r="H42" s="6"/>
      <c r="I42" s="6"/>
      <c r="J42" s="6"/>
      <c r="K42" s="6"/>
      <c r="M42" s="75"/>
      <c r="N42" s="6"/>
    </row>
    <row r="43" spans="1:14" ht="4.5" hidden="1" customHeight="1" x14ac:dyDescent="0.25">
      <c r="A43" s="14"/>
      <c r="B43" s="15"/>
      <c r="C43" s="11"/>
      <c r="D43" s="6"/>
      <c r="E43" s="6"/>
      <c r="F43" s="6"/>
      <c r="G43" s="6"/>
      <c r="H43" s="6"/>
      <c r="I43" s="6"/>
      <c r="J43" s="6"/>
      <c r="K43" s="6"/>
      <c r="M43" s="75"/>
      <c r="N43" s="6"/>
    </row>
    <row r="44" spans="1:14"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c r="N44" s="6"/>
    </row>
    <row r="45" spans="1:14"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c r="N45" s="6"/>
    </row>
    <row r="46" spans="1:14"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c r="N46" s="6"/>
    </row>
    <row r="47" spans="1:14" ht="17.25" customHeight="1" x14ac:dyDescent="0.25">
      <c r="A47" s="6" t="s">
        <v>706</v>
      </c>
      <c r="M47" s="226"/>
      <c r="N47" s="6"/>
    </row>
    <row r="48" spans="1:14" ht="17.25" customHeight="1" thickBot="1" x14ac:dyDescent="0.3">
      <c r="A48" s="6" t="s">
        <v>323</v>
      </c>
      <c r="M48" s="226"/>
      <c r="N48" s="6"/>
    </row>
    <row r="49" spans="1:15" ht="17.25" hidden="1" customHeight="1" x14ac:dyDescent="0.25">
      <c r="A49" s="6" t="s">
        <v>338</v>
      </c>
      <c r="J49" s="159"/>
      <c r="M49" s="172"/>
      <c r="N49" s="6"/>
    </row>
    <row r="50" spans="1:15" ht="17.25" hidden="1" customHeight="1" thickBot="1" x14ac:dyDescent="0.3">
      <c r="A50" s="6" t="s">
        <v>157</v>
      </c>
      <c r="J50" s="78"/>
      <c r="M50" s="76"/>
      <c r="N50" s="6"/>
    </row>
    <row r="51" spans="1:15" ht="20.100000000000001" customHeight="1" x14ac:dyDescent="0.25">
      <c r="A51" s="6"/>
      <c r="H51" s="656" t="s">
        <v>666</v>
      </c>
      <c r="I51" s="656"/>
      <c r="J51" s="656"/>
      <c r="K51" s="656"/>
      <c r="M51" s="125"/>
      <c r="N51" s="6"/>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z/7W2aTbvI5/tv7yzhshrdJN7u6mRvNZWyC87Q920ER+VBMwTo71KjPGWhYFS0ml14qKXolGbDsWpE1kTz17fw==" saltValue="zcFldY5qkcqmNLVEvUwb8w==" spinCount="100000" sheet="1" objects="1" scenarios="1" formatColumns="0" formatRows="0" sort="0"/>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3"/>
  <pageSetup scale="79" orientation="portrait" r:id="rId1"/>
  <headerFooter>
    <oddFooter>&amp;CPrior Approval Rate Template&amp;RPage 6.2&amp;L1/3/2023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zoomScaleNormal="100" zoomScaleSheetLayoutView="100" workbookViewId="0">
      <selection activeCell="K7" sqref="K7"/>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Mutual Automobile Insurance Company</v>
      </c>
      <c r="M1" s="74" t="s">
        <v>310</v>
      </c>
    </row>
    <row r="2" spans="1:13" x14ac:dyDescent="0.25">
      <c r="A2" s="1" t="s">
        <v>32</v>
      </c>
      <c r="B2" s="9"/>
      <c r="H2" s="9" t="s">
        <v>34</v>
      </c>
      <c r="K2" s="8" t="str">
        <f>General_Line</f>
        <v>Auto Liability and Physical Damage</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705</v>
      </c>
      <c r="K7" s="455" t="s">
        <v>98</v>
      </c>
      <c r="M7" s="75"/>
    </row>
    <row r="8" spans="1:13" ht="18" customHeight="1" x14ac:dyDescent="0.25">
      <c r="B8" s="7" t="s">
        <v>76</v>
      </c>
      <c r="G8" s="52">
        <f>Completed_Date</f>
        <v>44979</v>
      </c>
      <c r="M8" s="75"/>
    </row>
    <row r="9" spans="1:13" ht="5.0999999999999996" customHeight="1" x14ac:dyDescent="0.25">
      <c r="B9" s="7"/>
      <c r="M9" s="75"/>
    </row>
    <row r="10" spans="1:13" ht="18" customHeight="1" x14ac:dyDescent="0.25">
      <c r="B10" s="7" t="s">
        <v>77</v>
      </c>
      <c r="G10" t="str">
        <f>Detailed_LineDesc03</f>
        <v>Private Passenger Auto Liability</v>
      </c>
      <c r="M10" s="226"/>
    </row>
    <row r="11" spans="1:13" ht="18" customHeight="1" x14ac:dyDescent="0.25">
      <c r="B11" s="7" t="s">
        <v>78</v>
      </c>
      <c r="G11" t="str">
        <f>Covg03</f>
        <v>UM</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20173</v>
      </c>
      <c r="E14" s="395" t="str">
        <f>LEFT(MstRcntDataYr,4)-4&amp;RIGHT(MstRcntDataYr,1)</f>
        <v>20183</v>
      </c>
      <c r="F14" s="395" t="str">
        <f>LEFT(MstRcntDataYr,4)-3&amp;RIGHT(MstRcntDataYr,1)</f>
        <v>20193</v>
      </c>
      <c r="G14" s="395" t="str">
        <f>LEFT(MstRcntDataYr,4)-2&amp;RIGHT(MstRcntDataYr,1)</f>
        <v>20203</v>
      </c>
      <c r="H14" s="395" t="str">
        <f>LEFT(MstRcntDataYr,4)-1&amp;RIGHT(MstRcntDataYr,1)</f>
        <v>20213</v>
      </c>
      <c r="I14" s="395">
        <f>MstRcntDataYr</f>
        <v>20223</v>
      </c>
      <c r="J14" s="25"/>
      <c r="K14" s="17"/>
      <c r="M14" s="75"/>
    </row>
    <row r="15" spans="1:13" ht="30" customHeight="1" x14ac:dyDescent="0.25">
      <c r="A15" s="33">
        <v>-1</v>
      </c>
      <c r="B15" s="34" t="s">
        <v>54</v>
      </c>
      <c r="C15" s="35"/>
      <c r="D15" s="166"/>
      <c r="E15" s="167"/>
      <c r="F15" s="167"/>
      <c r="G15" s="112"/>
      <c r="H15" s="112"/>
      <c r="I15" s="112">
        <v>330779712.40000004</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v>326775068.14999998</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v>1.0799882110226942</v>
      </c>
      <c r="J17" s="16"/>
      <c r="K17" s="16"/>
      <c r="M17" s="75"/>
    </row>
    <row r="18" spans="1:13" ht="18" customHeight="1" x14ac:dyDescent="0.25">
      <c r="A18" s="30">
        <v>-4</v>
      </c>
      <c r="B18" s="31" t="s">
        <v>130</v>
      </c>
      <c r="C18" s="32" t="s">
        <v>66</v>
      </c>
      <c r="D18" s="168"/>
      <c r="E18" s="169"/>
      <c r="F18" s="169"/>
      <c r="G18" s="169"/>
      <c r="H18" s="169"/>
      <c r="I18" s="169">
        <v>0.964167154623366</v>
      </c>
      <c r="J18" s="170">
        <v>-1.6030704022163601E-2</v>
      </c>
      <c r="K18" s="16"/>
      <c r="M18" s="226" t="str">
        <f>IF(AND(New_Program=FALSE,ISBLANK($J$18)),"← ERROR! Enter Annual Premium Trend as a percentage in the 'Projected' column.","")</f>
        <v/>
      </c>
    </row>
    <row r="19" spans="1:13" ht="30" customHeight="1" x14ac:dyDescent="0.25">
      <c r="A19" s="30">
        <v>-5</v>
      </c>
      <c r="B19" s="31" t="s">
        <v>742</v>
      </c>
      <c r="C19" s="32" t="s">
        <v>67</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v>3612922</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v>132984221.92999999</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v>467829.93</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v>2.0095490930065942</v>
      </c>
      <c r="J23" s="16"/>
      <c r="K23" s="16"/>
      <c r="M23" s="75"/>
    </row>
    <row r="24" spans="1:13" ht="18" customHeight="1" x14ac:dyDescent="0.25">
      <c r="A24" s="30">
        <v>-10</v>
      </c>
      <c r="B24" s="31" t="s">
        <v>61</v>
      </c>
      <c r="C24" s="32" t="s">
        <v>68</v>
      </c>
      <c r="D24" s="168"/>
      <c r="E24" s="169"/>
      <c r="F24" s="169"/>
      <c r="G24" s="169"/>
      <c r="H24" s="169"/>
      <c r="I24" s="169">
        <v>43.71271038606632</v>
      </c>
      <c r="J24" s="16"/>
      <c r="K24" s="16"/>
      <c r="M24" s="75"/>
    </row>
    <row r="25" spans="1:13" ht="18" customHeight="1" x14ac:dyDescent="0.25">
      <c r="A25" s="30">
        <v>-11</v>
      </c>
      <c r="B25" s="31" t="s">
        <v>132</v>
      </c>
      <c r="C25" s="32" t="s">
        <v>69</v>
      </c>
      <c r="D25" s="168"/>
      <c r="E25" s="169"/>
      <c r="F25" s="169"/>
      <c r="G25" s="169"/>
      <c r="H25" s="169"/>
      <c r="I25" s="169">
        <v>1.3340187918119986</v>
      </c>
      <c r="J25" s="170">
        <v>0.13613632665734299</v>
      </c>
      <c r="K25" s="16"/>
      <c r="M25" s="226" t="str">
        <f>IF(AND(New_Program=FALSE,ISBLANK($J$25)),"← ERROR! Enter Annual Loss Trend as a percentage in the 'Projected' column","")</f>
        <v/>
      </c>
    </row>
    <row r="26" spans="1:13" ht="18" customHeight="1" x14ac:dyDescent="0.25">
      <c r="A26" s="30">
        <v>-12</v>
      </c>
      <c r="B26" s="31" t="s">
        <v>131</v>
      </c>
      <c r="C26" s="32" t="s">
        <v>69</v>
      </c>
      <c r="D26" s="168"/>
      <c r="E26" s="169"/>
      <c r="F26" s="169"/>
      <c r="G26" s="169"/>
      <c r="H26" s="169"/>
      <c r="I26" s="169">
        <v>1.3340187918119986</v>
      </c>
      <c r="J26" s="170">
        <v>0.13613632665734299</v>
      </c>
      <c r="K26" s="16"/>
      <c r="M26" s="226" t="str">
        <f>IF(AND(New_Program=FALSE,ISBLANK($J$26)),"← ERROR! Enter Annual DCCE Trend as a percentage in the 'Projected' column","")</f>
        <v/>
      </c>
    </row>
    <row r="27" spans="1:13" ht="18" customHeight="1" x14ac:dyDescent="0.25">
      <c r="A27" s="30">
        <v>-13</v>
      </c>
      <c r="B27" s="31" t="s">
        <v>62</v>
      </c>
      <c r="C27" s="32" t="s">
        <v>70</v>
      </c>
      <c r="D27" s="168"/>
      <c r="E27" s="169"/>
      <c r="F27" s="169"/>
      <c r="G27" s="169"/>
      <c r="H27" s="169"/>
      <c r="I27" s="169">
        <v>1</v>
      </c>
      <c r="J27" s="16"/>
      <c r="K27" s="16"/>
      <c r="M27" s="75"/>
    </row>
    <row r="28" spans="1:13" ht="18" customHeight="1" x14ac:dyDescent="0.25">
      <c r="A28" s="30">
        <v>-14</v>
      </c>
      <c r="B28" s="26" t="s">
        <v>727</v>
      </c>
      <c r="C28" s="32" t="s">
        <v>71</v>
      </c>
      <c r="D28" s="27"/>
      <c r="E28" s="16"/>
      <c r="F28" s="16"/>
      <c r="G28" s="16"/>
      <c r="H28" s="16"/>
      <c r="I28" s="16"/>
      <c r="J28" s="171">
        <v>1</v>
      </c>
      <c r="K28" s="16"/>
      <c r="M28" s="227"/>
    </row>
    <row r="29" spans="1:13"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1.3597266477453115E-2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0.18957755323144132</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0.10317106949646478</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 ca="1">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667</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YoLFikpCFDupxF+acZYc+qyYb31c2edoZCWTpEbL0u4f3C4MnuDG3U73PauT8unSyhDHJmgkEOLnY/vDSmsaQw==" saltValue="fsTM9YMnCzwjE6+PSTrt9w==" spinCount="100000" sheet="1" objects="1" scenarios="1" formatColumns="0" formatRows="0" sort="0"/>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3"/>
  <pageSetup scale="79" orientation="portrait" r:id="rId1"/>
  <headerFooter>
    <oddFooter>&amp;CPrior Approval Rate Template&amp;RPage 6.3&amp;L1/3/2023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zoomScaleNormal="100" zoomScaleSheetLayoutView="100" workbookViewId="0">
      <selection activeCell="J26" sqref="J26"/>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Mutual Automobile Insurance Company</v>
      </c>
      <c r="M1" s="74" t="s">
        <v>310</v>
      </c>
    </row>
    <row r="2" spans="1:13" x14ac:dyDescent="0.25">
      <c r="A2" s="1" t="s">
        <v>32</v>
      </c>
      <c r="B2" s="9"/>
      <c r="H2" s="9" t="s">
        <v>34</v>
      </c>
      <c r="K2" s="8" t="str">
        <f>General_Line</f>
        <v>Auto Liability and Physical Damage</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705</v>
      </c>
      <c r="K7" s="455" t="s">
        <v>98</v>
      </c>
      <c r="M7" s="75"/>
    </row>
    <row r="8" spans="1:13" ht="18" customHeight="1" x14ac:dyDescent="0.25">
      <c r="B8" s="7" t="s">
        <v>76</v>
      </c>
      <c r="G8" s="52">
        <f>Completed_Date</f>
        <v>44979</v>
      </c>
      <c r="M8" s="75"/>
    </row>
    <row r="9" spans="1:13" ht="5.0999999999999996" customHeight="1" x14ac:dyDescent="0.25">
      <c r="B9" s="7"/>
      <c r="M9" s="75"/>
    </row>
    <row r="10" spans="1:13" ht="18" customHeight="1" x14ac:dyDescent="0.25">
      <c r="B10" s="7" t="s">
        <v>77</v>
      </c>
      <c r="G10" t="str">
        <f>Detailed_LineDesc04</f>
        <v>Private Passenger Auto Physical Damage</v>
      </c>
      <c r="M10" s="226"/>
    </row>
    <row r="11" spans="1:13" ht="18" customHeight="1" x14ac:dyDescent="0.25">
      <c r="B11" s="7" t="s">
        <v>78</v>
      </c>
      <c r="G11" t="str">
        <f>Covg04</f>
        <v>COMP</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20173</v>
      </c>
      <c r="E14" s="395" t="str">
        <f>LEFT(MstRcntDataYr,4)-4&amp;RIGHT(MstRcntDataYr,1)</f>
        <v>20183</v>
      </c>
      <c r="F14" s="395" t="str">
        <f>LEFT(MstRcntDataYr,4)-3&amp;RIGHT(MstRcntDataYr,1)</f>
        <v>20193</v>
      </c>
      <c r="G14" s="395" t="str">
        <f>LEFT(MstRcntDataYr,4)-2&amp;RIGHT(MstRcntDataYr,1)</f>
        <v>20203</v>
      </c>
      <c r="H14" s="395" t="str">
        <f>LEFT(MstRcntDataYr,4)-1&amp;RIGHT(MstRcntDataYr,1)</f>
        <v>20213</v>
      </c>
      <c r="I14" s="395">
        <f>MstRcntDataYr</f>
        <v>20223</v>
      </c>
      <c r="J14" s="25"/>
      <c r="K14" s="17"/>
      <c r="M14" s="75"/>
    </row>
    <row r="15" spans="1:13" ht="30" customHeight="1" x14ac:dyDescent="0.25">
      <c r="A15" s="33">
        <v>-1</v>
      </c>
      <c r="B15" s="34" t="s">
        <v>54</v>
      </c>
      <c r="C15" s="35"/>
      <c r="D15" s="166"/>
      <c r="E15" s="167"/>
      <c r="F15" s="167"/>
      <c r="G15" s="112"/>
      <c r="H15" s="112"/>
      <c r="I15" s="112">
        <v>363445110.47000003</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v>354578102.72000003</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v>1.4500738864260079</v>
      </c>
      <c r="J17" s="16"/>
      <c r="K17" s="16"/>
      <c r="M17" s="75"/>
    </row>
    <row r="18" spans="1:13" ht="18" customHeight="1" x14ac:dyDescent="0.25">
      <c r="A18" s="30">
        <v>-4</v>
      </c>
      <c r="B18" s="31" t="s">
        <v>130</v>
      </c>
      <c r="C18" s="32" t="s">
        <v>66</v>
      </c>
      <c r="D18" s="168"/>
      <c r="E18" s="169"/>
      <c r="F18" s="169"/>
      <c r="G18" s="169"/>
      <c r="H18" s="169"/>
      <c r="I18" s="169">
        <v>1.0837114991540784</v>
      </c>
      <c r="J18" s="170">
        <v>3.6244444136905002E-2</v>
      </c>
      <c r="K18" s="16"/>
      <c r="M18" s="226" t="str">
        <f>IF(AND(New_Program=FALSE,ISBLANK($J$18)),"← ERROR! Enter Annual Premium Trend as a percentage in the 'Projected' column.","")</f>
        <v/>
      </c>
    </row>
    <row r="19" spans="1:13" ht="30" customHeight="1" x14ac:dyDescent="0.25">
      <c r="A19" s="30">
        <v>-5</v>
      </c>
      <c r="B19" s="31" t="s">
        <v>742</v>
      </c>
      <c r="C19" s="32" t="s">
        <v>67</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v>3349235</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v>372382824.32999998</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v>1084637.2799999998</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v>1.0100095894028551</v>
      </c>
      <c r="J23" s="16"/>
      <c r="K23" s="16"/>
      <c r="M23" s="75"/>
    </row>
    <row r="24" spans="1:13" ht="18" customHeight="1" x14ac:dyDescent="0.25">
      <c r="A24" s="30">
        <v>-10</v>
      </c>
      <c r="B24" s="31" t="s">
        <v>61</v>
      </c>
      <c r="C24" s="32" t="s">
        <v>68</v>
      </c>
      <c r="D24" s="168"/>
      <c r="E24" s="169"/>
      <c r="F24" s="169"/>
      <c r="G24" s="169"/>
      <c r="H24" s="169"/>
      <c r="I24" s="169">
        <v>1.8429297778984146</v>
      </c>
      <c r="J24" s="16"/>
      <c r="K24" s="16"/>
      <c r="M24" s="75"/>
    </row>
    <row r="25" spans="1:13" ht="18" customHeight="1" x14ac:dyDescent="0.25">
      <c r="A25" s="30">
        <v>-11</v>
      </c>
      <c r="B25" s="31" t="s">
        <v>132</v>
      </c>
      <c r="C25" s="32" t="s">
        <v>69</v>
      </c>
      <c r="D25" s="168"/>
      <c r="E25" s="169"/>
      <c r="F25" s="169"/>
      <c r="G25" s="169"/>
      <c r="H25" s="169"/>
      <c r="I25" s="169">
        <v>1.3233858663026541</v>
      </c>
      <c r="J25" s="170">
        <v>0.13211689599201137</v>
      </c>
      <c r="K25" s="16"/>
      <c r="M25" s="226" t="str">
        <f>IF(AND(New_Program=FALSE,ISBLANK($J$25)),"← ERROR! Enter Annual Loss Trend as a percentage in the 'Projected' column","")</f>
        <v/>
      </c>
    </row>
    <row r="26" spans="1:13" ht="18" customHeight="1" x14ac:dyDescent="0.25">
      <c r="A26" s="30">
        <v>-12</v>
      </c>
      <c r="B26" s="31" t="s">
        <v>131</v>
      </c>
      <c r="C26" s="32" t="s">
        <v>69</v>
      </c>
      <c r="D26" s="168"/>
      <c r="E26" s="169"/>
      <c r="F26" s="169"/>
      <c r="G26" s="169"/>
      <c r="H26" s="169"/>
      <c r="I26" s="169">
        <v>1.3233858663026541</v>
      </c>
      <c r="J26" s="170">
        <v>0.13211689599201137</v>
      </c>
      <c r="K26" s="16"/>
      <c r="M26" s="226" t="str">
        <f>IF(AND(New_Program=FALSE,ISBLANK($J$26)),"← ERROR! Enter Annual DCCE Trend as a percentage in the 'Projected' column","")</f>
        <v/>
      </c>
    </row>
    <row r="27" spans="1:13" ht="18" customHeight="1" x14ac:dyDescent="0.25">
      <c r="A27" s="30">
        <v>-13</v>
      </c>
      <c r="B27" s="31" t="s">
        <v>62</v>
      </c>
      <c r="C27" s="32" t="s">
        <v>70</v>
      </c>
      <c r="D27" s="168"/>
      <c r="E27" s="169"/>
      <c r="F27" s="169"/>
      <c r="G27" s="169"/>
      <c r="H27" s="169"/>
      <c r="I27" s="169">
        <v>1.024</v>
      </c>
      <c r="J27" s="16"/>
      <c r="K27" s="16"/>
      <c r="M27" s="75"/>
    </row>
    <row r="28" spans="1:13" ht="18" customHeight="1" x14ac:dyDescent="0.25">
      <c r="A28" s="30">
        <v>-14</v>
      </c>
      <c r="B28" s="26" t="s">
        <v>727</v>
      </c>
      <c r="C28" s="32" t="s">
        <v>71</v>
      </c>
      <c r="D28" s="27"/>
      <c r="E28" s="16"/>
      <c r="F28" s="16"/>
      <c r="G28" s="16"/>
      <c r="H28" s="16"/>
      <c r="I28" s="16"/>
      <c r="J28" s="171">
        <v>1</v>
      </c>
      <c r="K28" s="16"/>
      <c r="M28" s="227"/>
    </row>
    <row r="29" spans="1:13"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1.3597266477453115E-2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0.18957755323144132</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0.10317106949646478</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 ca="1">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3" ht="17.25" hidden="1" customHeight="1" x14ac:dyDescent="0.25">
      <c r="A49" s="6" t="s">
        <v>338</v>
      </c>
      <c r="J49" s="159"/>
      <c r="M49" s="172"/>
    </row>
    <row r="50" spans="1:13" ht="17.25" hidden="1" customHeight="1" thickBot="1" x14ac:dyDescent="0.3">
      <c r="A50" s="6" t="s">
        <v>157</v>
      </c>
      <c r="J50" s="78"/>
      <c r="M50" s="76"/>
    </row>
    <row r="51" spans="1:13" ht="20.100000000000001" customHeight="1" x14ac:dyDescent="0.25">
      <c r="A51" s="6"/>
      <c r="H51" s="656" t="s">
        <v>668</v>
      </c>
      <c r="I51" s="656"/>
      <c r="J51" s="656"/>
      <c r="K51" s="656"/>
      <c r="M51" s="125"/>
    </row>
    <row r="52" spans="1:13" ht="17.25" customHeight="1" x14ac:dyDescent="0.25">
      <c r="A52" s="6"/>
      <c r="J52" s="79"/>
      <c r="M52" s="77"/>
    </row>
    <row r="53" spans="1:13" x14ac:dyDescent="0.25">
      <c r="A53" s="6"/>
      <c r="B53" s="6"/>
      <c r="C53" s="6"/>
      <c r="D53" s="6"/>
      <c r="E53" s="6"/>
      <c r="F53" s="6"/>
      <c r="G53" s="6"/>
      <c r="H53" s="6"/>
      <c r="I53" s="6"/>
      <c r="J53" s="6"/>
      <c r="K53" s="6"/>
      <c r="L53" s="6"/>
      <c r="M53" s="6"/>
    </row>
    <row r="54" spans="1:13" x14ac:dyDescent="0.25">
      <c r="A54" s="6"/>
      <c r="B54" s="6"/>
      <c r="C54" s="6"/>
      <c r="D54" s="6"/>
      <c r="E54" s="6"/>
      <c r="F54" s="6"/>
      <c r="G54" s="6"/>
      <c r="H54" s="6"/>
      <c r="I54" s="6"/>
      <c r="J54" s="6"/>
      <c r="K54" s="6"/>
      <c r="L54" s="6"/>
      <c r="M54" s="6"/>
    </row>
    <row r="55" spans="1:13" x14ac:dyDescent="0.25">
      <c r="A55" s="6"/>
      <c r="B55" s="6"/>
      <c r="C55" s="6"/>
      <c r="D55" s="6"/>
      <c r="E55" s="6"/>
      <c r="F55" s="6"/>
      <c r="G55" s="6"/>
      <c r="H55" s="6"/>
      <c r="I55" s="6"/>
      <c r="J55" s="6"/>
      <c r="K55" s="6"/>
      <c r="L55" s="6"/>
      <c r="M55" s="6"/>
    </row>
    <row r="56" spans="1:13" x14ac:dyDescent="0.25">
      <c r="A56" s="6"/>
      <c r="B56" s="6"/>
      <c r="C56" s="6"/>
      <c r="D56" s="6"/>
      <c r="E56" s="6"/>
      <c r="F56" s="6"/>
      <c r="G56" s="6"/>
      <c r="H56" s="6"/>
      <c r="I56" s="6"/>
      <c r="J56" s="6"/>
      <c r="K56" s="6"/>
      <c r="L56" s="6"/>
      <c r="M56" s="6"/>
    </row>
    <row r="57" spans="1:13" x14ac:dyDescent="0.25">
      <c r="A57" s="6"/>
      <c r="B57" s="6"/>
      <c r="C57" s="6"/>
      <c r="D57" s="6"/>
      <c r="E57" s="6"/>
      <c r="F57" s="6"/>
      <c r="G57" s="6"/>
      <c r="H57" s="6"/>
      <c r="I57" s="6"/>
      <c r="J57" s="6"/>
      <c r="K57" s="6"/>
      <c r="L57" s="6"/>
      <c r="M57" s="6"/>
    </row>
    <row r="58" spans="1:13" x14ac:dyDescent="0.25">
      <c r="A58" s="6"/>
      <c r="B58" s="6"/>
      <c r="C58" s="6"/>
      <c r="D58" s="6"/>
      <c r="E58" s="6"/>
      <c r="F58" s="6"/>
      <c r="G58" s="6"/>
      <c r="H58" s="6"/>
      <c r="I58" s="6"/>
      <c r="J58" s="6"/>
      <c r="K58" s="6"/>
      <c r="L58" s="6"/>
      <c r="M58" s="6"/>
    </row>
    <row r="59" spans="1:13" x14ac:dyDescent="0.25">
      <c r="A59" s="6"/>
      <c r="B59" s="6"/>
      <c r="C59" s="6"/>
      <c r="D59" s="6"/>
      <c r="E59" s="6"/>
      <c r="F59" s="6"/>
      <c r="G59" s="6"/>
      <c r="H59" s="6"/>
      <c r="I59" s="6"/>
      <c r="J59" s="6"/>
      <c r="K59" s="6"/>
      <c r="L59" s="6"/>
      <c r="M59" s="6"/>
    </row>
    <row r="60" spans="1:13" x14ac:dyDescent="0.25">
      <c r="A60" s="6"/>
      <c r="B60" s="6"/>
      <c r="C60" s="6"/>
      <c r="D60" s="6"/>
      <c r="E60" s="6"/>
      <c r="F60" s="6"/>
      <c r="G60" s="6"/>
      <c r="H60" s="6"/>
      <c r="I60" s="6"/>
      <c r="J60" s="6"/>
      <c r="K60" s="6"/>
      <c r="L60" s="6"/>
      <c r="M60" s="6"/>
    </row>
    <row r="61" spans="1:13" x14ac:dyDescent="0.25">
      <c r="A61" s="6"/>
      <c r="B61" s="6"/>
      <c r="C61" s="6"/>
      <c r="D61" s="6"/>
      <c r="E61" s="6"/>
      <c r="F61" s="6"/>
      <c r="G61" s="6"/>
      <c r="H61" s="6"/>
      <c r="I61" s="6"/>
      <c r="J61" s="6"/>
      <c r="K61" s="6"/>
      <c r="L61" s="6"/>
      <c r="M61" s="6"/>
    </row>
    <row r="62" spans="1:13" x14ac:dyDescent="0.25">
      <c r="A62" s="6"/>
      <c r="B62" s="6"/>
      <c r="C62" s="6"/>
      <c r="D62" s="6"/>
      <c r="E62" s="6"/>
      <c r="F62" s="6"/>
      <c r="G62" s="6"/>
      <c r="H62" s="6"/>
      <c r="I62" s="6"/>
      <c r="J62" s="6"/>
      <c r="K62" s="6"/>
      <c r="L62" s="6"/>
      <c r="M62" s="6"/>
    </row>
    <row r="63" spans="1:13" x14ac:dyDescent="0.25">
      <c r="A63" s="6"/>
      <c r="B63" s="6"/>
      <c r="C63" s="6"/>
      <c r="D63" s="6"/>
      <c r="E63" s="6"/>
      <c r="F63" s="6"/>
      <c r="G63" s="6"/>
      <c r="H63" s="6"/>
      <c r="I63" s="6"/>
      <c r="J63" s="6"/>
      <c r="K63" s="6"/>
      <c r="L63" s="6"/>
      <c r="M63" s="6"/>
    </row>
    <row r="64" spans="1:13" x14ac:dyDescent="0.25">
      <c r="A64" s="6"/>
      <c r="B64" s="6"/>
      <c r="C64" s="6"/>
      <c r="D64" s="6"/>
      <c r="E64" s="6"/>
      <c r="F64" s="6"/>
      <c r="G64" s="6"/>
      <c r="H64" s="6"/>
      <c r="I64" s="6"/>
      <c r="J64" s="6"/>
      <c r="K64" s="6"/>
      <c r="L64" s="6"/>
      <c r="M64" s="6"/>
    </row>
  </sheetData>
  <sheetProtection algorithmName="SHA-512" hashValue="lQxrinzexhlaJEJn3mT5JC7i/FsEhm4DxPeau25SYUU5MbSFAZHacDE4QcPuKLvq/Eis07pCU6hdBmj93bF7QA==" saltValue="XfK3IfZeQM3neqxL/tHTbA==" spinCount="100000" sheet="1" objects="1" scenarios="1" formatColumns="0" formatRows="0" sort="0"/>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79" orientation="portrait" r:id="rId1"/>
  <headerFooter>
    <oddFooter>&amp;CPrior Approval Rate Template&amp;RPage 6.4&amp;L1/3/2023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zoomScaleNormal="100" zoomScaleSheetLayoutView="100" workbookViewId="0">
      <selection activeCell="K7" sqref="K7"/>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Mutual Automobile Insurance Company</v>
      </c>
      <c r="M1" s="74" t="s">
        <v>310</v>
      </c>
    </row>
    <row r="2" spans="1:13" x14ac:dyDescent="0.25">
      <c r="A2" s="1" t="s">
        <v>32</v>
      </c>
      <c r="B2" s="9"/>
      <c r="H2" s="9" t="s">
        <v>34</v>
      </c>
      <c r="K2" s="8" t="str">
        <f>General_Line</f>
        <v>Auto Liability and Physical Damage</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705</v>
      </c>
      <c r="K7" s="455" t="s">
        <v>98</v>
      </c>
      <c r="M7" s="75"/>
    </row>
    <row r="8" spans="1:13" ht="18" customHeight="1" x14ac:dyDescent="0.25">
      <c r="B8" s="7" t="s">
        <v>76</v>
      </c>
      <c r="G8" s="52">
        <f>Completed_Date</f>
        <v>44979</v>
      </c>
      <c r="M8" s="75"/>
    </row>
    <row r="9" spans="1:13" ht="5.0999999999999996" customHeight="1" x14ac:dyDescent="0.25">
      <c r="B9" s="7"/>
      <c r="M9" s="75"/>
    </row>
    <row r="10" spans="1:13" ht="18" customHeight="1" x14ac:dyDescent="0.25">
      <c r="B10" s="7" t="s">
        <v>77</v>
      </c>
      <c r="G10" t="str">
        <f>Detailed_LineDesc05</f>
        <v>Private Passenger Auto Physical Damage</v>
      </c>
      <c r="M10" s="226"/>
    </row>
    <row r="11" spans="1:13" ht="18" customHeight="1" x14ac:dyDescent="0.25">
      <c r="B11" s="7" t="s">
        <v>78</v>
      </c>
      <c r="G11" t="str">
        <f>Covg05</f>
        <v>COLL</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20173</v>
      </c>
      <c r="E14" s="395" t="str">
        <f>LEFT(MstRcntDataYr,4)-4&amp;RIGHT(MstRcntDataYr,1)</f>
        <v>20183</v>
      </c>
      <c r="F14" s="395" t="str">
        <f>LEFT(MstRcntDataYr,4)-3&amp;RIGHT(MstRcntDataYr,1)</f>
        <v>20193</v>
      </c>
      <c r="G14" s="395" t="str">
        <f>LEFT(MstRcntDataYr,4)-2&amp;RIGHT(MstRcntDataYr,1)</f>
        <v>20203</v>
      </c>
      <c r="H14" s="395" t="str">
        <f>LEFT(MstRcntDataYr,4)-1&amp;RIGHT(MstRcntDataYr,1)</f>
        <v>20213</v>
      </c>
      <c r="I14" s="395">
        <f>MstRcntDataYr</f>
        <v>20223</v>
      </c>
      <c r="J14" s="25"/>
      <c r="K14" s="17"/>
      <c r="M14" s="75"/>
    </row>
    <row r="15" spans="1:13" ht="30" customHeight="1" x14ac:dyDescent="0.25">
      <c r="A15" s="33">
        <v>-1</v>
      </c>
      <c r="B15" s="34" t="s">
        <v>54</v>
      </c>
      <c r="C15" s="35"/>
      <c r="D15" s="166"/>
      <c r="E15" s="167"/>
      <c r="F15" s="167"/>
      <c r="G15" s="112"/>
      <c r="H15" s="112"/>
      <c r="I15" s="112">
        <v>1373272976.8799999</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v>1338824924.1099999</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v>1.1149582592035034</v>
      </c>
      <c r="J17" s="16"/>
      <c r="K17" s="16"/>
      <c r="M17" s="75"/>
    </row>
    <row r="18" spans="1:13" ht="18" customHeight="1" x14ac:dyDescent="0.25">
      <c r="A18" s="30">
        <v>-4</v>
      </c>
      <c r="B18" s="31" t="s">
        <v>130</v>
      </c>
      <c r="C18" s="32" t="s">
        <v>66</v>
      </c>
      <c r="D18" s="168"/>
      <c r="E18" s="169"/>
      <c r="F18" s="169"/>
      <c r="G18" s="169"/>
      <c r="H18" s="169"/>
      <c r="I18" s="169">
        <v>1.0708091996031837</v>
      </c>
      <c r="J18" s="170">
        <v>3.0762449445338E-2</v>
      </c>
      <c r="K18" s="16"/>
      <c r="M18" s="226" t="str">
        <f>IF(AND(New_Program=FALSE,ISBLANK($J$18)),"← ERROR! Enter Annual Premium Trend as a percentage in the 'Projected' column.","")</f>
        <v/>
      </c>
    </row>
    <row r="19" spans="1:13" ht="30" customHeight="1" x14ac:dyDescent="0.25">
      <c r="A19" s="30">
        <v>-5</v>
      </c>
      <c r="B19" s="31" t="s">
        <v>742</v>
      </c>
      <c r="C19" s="32" t="s">
        <v>67</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v>3231683</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v>1225249455.0100002</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v>1515146.2</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v>0.94566315234638454</v>
      </c>
      <c r="J23" s="16"/>
      <c r="K23" s="16"/>
      <c r="M23" s="75"/>
    </row>
    <row r="24" spans="1:13" ht="18" customHeight="1" x14ac:dyDescent="0.25">
      <c r="A24" s="30">
        <v>-10</v>
      </c>
      <c r="B24" s="31" t="s">
        <v>61</v>
      </c>
      <c r="C24" s="32" t="s">
        <v>68</v>
      </c>
      <c r="D24" s="168"/>
      <c r="E24" s="169"/>
      <c r="F24" s="169"/>
      <c r="G24" s="169"/>
      <c r="H24" s="169"/>
      <c r="I24" s="169">
        <v>2.0648272310450553</v>
      </c>
      <c r="J24" s="16"/>
      <c r="K24" s="16"/>
      <c r="M24" s="75"/>
    </row>
    <row r="25" spans="1:13" ht="18" customHeight="1" x14ac:dyDescent="0.25">
      <c r="A25" s="30">
        <v>-11</v>
      </c>
      <c r="B25" s="31" t="s">
        <v>132</v>
      </c>
      <c r="C25" s="32" t="s">
        <v>69</v>
      </c>
      <c r="D25" s="168"/>
      <c r="E25" s="169"/>
      <c r="F25" s="169"/>
      <c r="G25" s="169"/>
      <c r="H25" s="169"/>
      <c r="I25" s="169">
        <v>1.3751201804867896</v>
      </c>
      <c r="J25" s="170">
        <v>0.15150783672378676</v>
      </c>
      <c r="K25" s="16"/>
      <c r="M25" s="226" t="str">
        <f>IF(AND(New_Program=FALSE,ISBLANK($J$25)),"← ERROR! Enter Annual Loss Trend as a percentage in the 'Projected' column","")</f>
        <v/>
      </c>
    </row>
    <row r="26" spans="1:13" ht="18" customHeight="1" x14ac:dyDescent="0.25">
      <c r="A26" s="30">
        <v>-12</v>
      </c>
      <c r="B26" s="31" t="s">
        <v>131</v>
      </c>
      <c r="C26" s="32" t="s">
        <v>69</v>
      </c>
      <c r="D26" s="168"/>
      <c r="E26" s="169"/>
      <c r="F26" s="169"/>
      <c r="G26" s="169"/>
      <c r="H26" s="169"/>
      <c r="I26" s="169">
        <v>1.3751201804867896</v>
      </c>
      <c r="J26" s="170">
        <v>0.15150783672378676</v>
      </c>
      <c r="K26" s="16"/>
      <c r="M26" s="226" t="str">
        <f>IF(AND(New_Program=FALSE,ISBLANK($J$26)),"← ERROR! Enter Annual DCCE Trend as a percentage in the 'Projected' column","")</f>
        <v/>
      </c>
    </row>
    <row r="27" spans="1:13" ht="18" customHeight="1" x14ac:dyDescent="0.25">
      <c r="A27" s="30">
        <v>-13</v>
      </c>
      <c r="B27" s="31" t="s">
        <v>62</v>
      </c>
      <c r="C27" s="32" t="s">
        <v>70</v>
      </c>
      <c r="D27" s="168"/>
      <c r="E27" s="169"/>
      <c r="F27" s="169"/>
      <c r="G27" s="169"/>
      <c r="H27" s="169"/>
      <c r="I27" s="169">
        <v>1</v>
      </c>
      <c r="J27" s="16"/>
      <c r="K27" s="16"/>
      <c r="M27" s="75"/>
    </row>
    <row r="28" spans="1:13" ht="18" customHeight="1" x14ac:dyDescent="0.25">
      <c r="A28" s="30">
        <v>-14</v>
      </c>
      <c r="B28" s="26" t="s">
        <v>727</v>
      </c>
      <c r="C28" s="32" t="s">
        <v>71</v>
      </c>
      <c r="D28" s="27"/>
      <c r="E28" s="16"/>
      <c r="F28" s="16"/>
      <c r="G28" s="16"/>
      <c r="H28" s="16"/>
      <c r="I28" s="16"/>
      <c r="J28" s="171">
        <v>1</v>
      </c>
      <c r="K28" s="16"/>
      <c r="M28" s="227"/>
    </row>
    <row r="29" spans="1:13"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1.3597266477453115E-2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0.18957755323144132</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0.10317106949646478</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 ca="1">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669</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yokYl4Db/az7Wz7bXdtKC/5nt37BAPffwLHhWmX7OcZRXtR/VPPHoXWccLcynAJsG1Gp0SvVlkkB9UA+AmNJEA==" saltValue="JJts7gxr5iYI7Xyd24W+nw==" spinCount="100000" sheet="1" objects="1" scenarios="1" formatColumns="0" formatRows="0" sort="0"/>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79" orientation="portrait" r:id="rId1"/>
  <headerFooter>
    <oddFooter>&amp;CPrior Approval Rate Template&amp;RPage 6.5&amp;L1/3/2023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zoomScaleNormal="100" zoomScaleSheetLayoutView="100" workbookViewId="0">
      <selection activeCell="K7" sqref="K7"/>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Mutual Automobile Insurance Company</v>
      </c>
      <c r="M1" s="74" t="s">
        <v>310</v>
      </c>
    </row>
    <row r="2" spans="1:13" x14ac:dyDescent="0.25">
      <c r="A2" s="1" t="s">
        <v>32</v>
      </c>
      <c r="B2" s="9"/>
      <c r="H2" s="9" t="s">
        <v>34</v>
      </c>
      <c r="K2" s="8" t="str">
        <f>General_Line</f>
        <v>Auto Liability and Physical Damage</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705</v>
      </c>
      <c r="K7" s="455" t="s">
        <v>98</v>
      </c>
      <c r="M7" s="75"/>
    </row>
    <row r="8" spans="1:13" ht="18" customHeight="1" x14ac:dyDescent="0.25">
      <c r="B8" s="7" t="s">
        <v>76</v>
      </c>
      <c r="G8" s="52">
        <f>Completed_Date</f>
        <v>44979</v>
      </c>
      <c r="M8" s="75"/>
    </row>
    <row r="9" spans="1:13" ht="5.0999999999999996" customHeight="1" x14ac:dyDescent="0.25">
      <c r="B9" s="7"/>
      <c r="M9" s="75"/>
    </row>
    <row r="10" spans="1:13" ht="18" customHeight="1" x14ac:dyDescent="0.25">
      <c r="B10" s="7" t="s">
        <v>77</v>
      </c>
      <c r="G10" t="str">
        <f>Detailed_LineDesc06</f>
        <v>Private Passenger Auto Physical Damage</v>
      </c>
      <c r="M10" s="226"/>
    </row>
    <row r="11" spans="1:13" ht="18" customHeight="1" x14ac:dyDescent="0.25">
      <c r="B11" s="7" t="s">
        <v>78</v>
      </c>
      <c r="G11" t="str">
        <f>Covg06</f>
        <v>Misc. Damage</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20173</v>
      </c>
      <c r="E14" s="395" t="str">
        <f>LEFT(MstRcntDataYr,4)-4&amp;RIGHT(MstRcntDataYr,1)</f>
        <v>20183</v>
      </c>
      <c r="F14" s="395" t="str">
        <f>LEFT(MstRcntDataYr,4)-3&amp;RIGHT(MstRcntDataYr,1)</f>
        <v>20193</v>
      </c>
      <c r="G14" s="395" t="str">
        <f>LEFT(MstRcntDataYr,4)-2&amp;RIGHT(MstRcntDataYr,1)</f>
        <v>20203</v>
      </c>
      <c r="H14" s="395" t="str">
        <f>LEFT(MstRcntDataYr,4)-1&amp;RIGHT(MstRcntDataYr,1)</f>
        <v>20213</v>
      </c>
      <c r="I14" s="395">
        <f>MstRcntDataYr</f>
        <v>20223</v>
      </c>
      <c r="J14" s="25"/>
      <c r="K14" s="17"/>
      <c r="M14" s="75"/>
    </row>
    <row r="15" spans="1:13" ht="30" customHeight="1" x14ac:dyDescent="0.25">
      <c r="A15" s="33">
        <v>-1</v>
      </c>
      <c r="B15" s="34" t="s">
        <v>54</v>
      </c>
      <c r="C15" s="35"/>
      <c r="D15" s="166"/>
      <c r="E15" s="167"/>
      <c r="F15" s="167"/>
      <c r="G15" s="112"/>
      <c r="H15" s="112"/>
      <c r="I15" s="112">
        <v>88860939.810000002</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v>86857313.420000002</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v>1.0504607258885661</v>
      </c>
      <c r="J17" s="16"/>
      <c r="K17" s="16"/>
      <c r="M17" s="75"/>
    </row>
    <row r="18" spans="1:13" ht="18" customHeight="1" x14ac:dyDescent="0.25">
      <c r="A18" s="30">
        <v>-4</v>
      </c>
      <c r="B18" s="31" t="s">
        <v>130</v>
      </c>
      <c r="C18" s="32" t="s">
        <v>66</v>
      </c>
      <c r="D18" s="168"/>
      <c r="E18" s="169"/>
      <c r="F18" s="169"/>
      <c r="G18" s="169"/>
      <c r="H18" s="169"/>
      <c r="I18" s="169">
        <v>1.045691059623149</v>
      </c>
      <c r="J18" s="170">
        <v>1.9983573295893502E-2</v>
      </c>
      <c r="K18" s="16"/>
      <c r="M18" s="226" t="str">
        <f>IF(AND(New_Program=FALSE,ISBLANK($J$18)),"← ERROR! Enter Annual Premium Trend as a percentage in the 'Projected' column.","")</f>
        <v/>
      </c>
    </row>
    <row r="19" spans="1:13" ht="30" customHeight="1" x14ac:dyDescent="0.25">
      <c r="A19" s="30">
        <v>-5</v>
      </c>
      <c r="B19" s="31" t="s">
        <v>742</v>
      </c>
      <c r="C19" s="32" t="s">
        <v>67</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v>4111099</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v>69366669.980000004</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v>13189.68</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v>0.99052870177856944</v>
      </c>
      <c r="J23" s="16"/>
      <c r="K23" s="16"/>
      <c r="M23" s="75"/>
    </row>
    <row r="24" spans="1:13" ht="18" customHeight="1" x14ac:dyDescent="0.25">
      <c r="A24" s="30">
        <v>-10</v>
      </c>
      <c r="B24" s="31" t="s">
        <v>61</v>
      </c>
      <c r="C24" s="32" t="s">
        <v>68</v>
      </c>
      <c r="D24" s="168"/>
      <c r="E24" s="169"/>
      <c r="F24" s="169"/>
      <c r="G24" s="169"/>
      <c r="H24" s="169"/>
      <c r="I24" s="169">
        <v>1.088561753876105</v>
      </c>
      <c r="J24" s="16"/>
      <c r="K24" s="16"/>
      <c r="M24" s="75"/>
    </row>
    <row r="25" spans="1:13" ht="18" customHeight="1" x14ac:dyDescent="0.25">
      <c r="A25" s="30">
        <v>-11</v>
      </c>
      <c r="B25" s="31" t="s">
        <v>132</v>
      </c>
      <c r="C25" s="32" t="s">
        <v>69</v>
      </c>
      <c r="D25" s="168"/>
      <c r="E25" s="169"/>
      <c r="F25" s="169"/>
      <c r="G25" s="169"/>
      <c r="H25" s="169"/>
      <c r="I25" s="169">
        <v>1.3355476688712711</v>
      </c>
      <c r="J25" s="170">
        <v>0.13671279907834744</v>
      </c>
      <c r="K25" s="16"/>
      <c r="M25" s="226" t="str">
        <f>IF(AND(New_Program=FALSE,ISBLANK($J$25)),"← ERROR! Enter Annual Loss Trend as a percentage in the 'Projected' column","")</f>
        <v/>
      </c>
    </row>
    <row r="26" spans="1:13" ht="18" customHeight="1" x14ac:dyDescent="0.25">
      <c r="A26" s="30">
        <v>-12</v>
      </c>
      <c r="B26" s="31" t="s">
        <v>131</v>
      </c>
      <c r="C26" s="32" t="s">
        <v>69</v>
      </c>
      <c r="D26" s="168"/>
      <c r="E26" s="169"/>
      <c r="F26" s="169"/>
      <c r="G26" s="169"/>
      <c r="H26" s="169"/>
      <c r="I26" s="169">
        <v>1.3355476688712711</v>
      </c>
      <c r="J26" s="170">
        <v>0.13671279907834744</v>
      </c>
      <c r="K26" s="16"/>
      <c r="M26" s="226" t="str">
        <f>IF(AND(New_Program=FALSE,ISBLANK($J$26)),"← ERROR! Enter Annual DCCE Trend as a percentage in the 'Projected' column","")</f>
        <v/>
      </c>
    </row>
    <row r="27" spans="1:13" ht="18" customHeight="1" x14ac:dyDescent="0.25">
      <c r="A27" s="30">
        <v>-13</v>
      </c>
      <c r="B27" s="31" t="s">
        <v>62</v>
      </c>
      <c r="C27" s="32" t="s">
        <v>70</v>
      </c>
      <c r="D27" s="168"/>
      <c r="E27" s="169"/>
      <c r="F27" s="169"/>
      <c r="G27" s="169"/>
      <c r="H27" s="169"/>
      <c r="I27" s="169">
        <v>1</v>
      </c>
      <c r="J27" s="16"/>
      <c r="K27" s="16"/>
      <c r="M27" s="75"/>
    </row>
    <row r="28" spans="1:13" ht="18" customHeight="1" x14ac:dyDescent="0.25">
      <c r="A28" s="30">
        <v>-14</v>
      </c>
      <c r="B28" s="26" t="s">
        <v>727</v>
      </c>
      <c r="C28" s="32" t="s">
        <v>71</v>
      </c>
      <c r="D28" s="27"/>
      <c r="E28" s="16"/>
      <c r="F28" s="16"/>
      <c r="G28" s="16"/>
      <c r="H28" s="16"/>
      <c r="I28" s="16"/>
      <c r="J28" s="171">
        <v>1</v>
      </c>
      <c r="K28" s="16"/>
      <c r="M28" s="227"/>
    </row>
    <row r="29" spans="1:13"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1.3597266477453115E-2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0.18957755323144132</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0.10317106949646478</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 ca="1">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670</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msztSoa+c8/3iRPcoshq5a+mbVv57k2e2Lukd2FTPE9WBXZ7wyj2k/FRIwzV7ffvZftyNWEQCW0aY6xNfI9fNg==" saltValue="YHRB7k1DvLZfrIq6SWQ7qQ==" spinCount="100000" sheet="1" objects="1" scenarios="1" formatColumns="0" formatRows="0" sort="0"/>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79" orientation="portrait" r:id="rId1"/>
  <headerFooter>
    <oddFooter>&amp;CPrior Approval Rate Template&amp;RPage 6.6&amp;L1/3/2023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zoomScaleNormal="100" zoomScaleSheetLayoutView="100" workbookViewId="0">
      <selection activeCell="I5" sqref="I5"/>
    </sheetView>
  </sheetViews>
  <sheetFormatPr defaultRowHeight="15" x14ac:dyDescent="0.25"/>
  <cols>
    <col min="1" max="1" width="5" customWidth="1"/>
    <col min="2" max="2" width="29.7109375" customWidth="1"/>
    <col min="3" max="3" width="7" bestFit="1" customWidth="1"/>
    <col min="4"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Mutual Automobile Insurance Company</v>
      </c>
      <c r="M1" s="74" t="s">
        <v>310</v>
      </c>
    </row>
    <row r="2" spans="1:13" x14ac:dyDescent="0.25">
      <c r="A2" s="1" t="s">
        <v>32</v>
      </c>
      <c r="B2" s="9"/>
      <c r="H2" s="9" t="s">
        <v>34</v>
      </c>
      <c r="K2" s="8" t="str">
        <f>General_Line</f>
        <v>Auto Liability and Physical Damage</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705</v>
      </c>
      <c r="K7" s="455" t="s">
        <v>98</v>
      </c>
      <c r="M7" s="75"/>
    </row>
    <row r="8" spans="1:13" ht="18" customHeight="1" x14ac:dyDescent="0.25">
      <c r="B8" s="7" t="s">
        <v>76</v>
      </c>
      <c r="G8" s="52">
        <f>Completed_Date</f>
        <v>44979</v>
      </c>
      <c r="M8" s="75"/>
    </row>
    <row r="9" spans="1:13" ht="5.0999999999999996" customHeight="1" x14ac:dyDescent="0.25">
      <c r="B9" s="7"/>
      <c r="M9" s="75"/>
    </row>
    <row r="10" spans="1:13" ht="18" customHeight="1" x14ac:dyDescent="0.25">
      <c r="B10" s="7" t="s">
        <v>77</v>
      </c>
      <c r="G10" t="str">
        <f>Detailed_LineDesc07</f>
        <v>Private Passenger Auto Liability</v>
      </c>
      <c r="M10" s="226"/>
    </row>
    <row r="11" spans="1:13" ht="18" customHeight="1" x14ac:dyDescent="0.25">
      <c r="B11" s="7" t="s">
        <v>78</v>
      </c>
      <c r="G11" t="str">
        <f>Covg07</f>
        <v>Misc. Liability</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20173</v>
      </c>
      <c r="E14" s="395" t="str">
        <f>LEFT(MstRcntDataYr,4)-4&amp;RIGHT(MstRcntDataYr,1)</f>
        <v>20183</v>
      </c>
      <c r="F14" s="395" t="str">
        <f>LEFT(MstRcntDataYr,4)-3&amp;RIGHT(MstRcntDataYr,1)</f>
        <v>20193</v>
      </c>
      <c r="G14" s="395" t="str">
        <f>LEFT(MstRcntDataYr,4)-2&amp;RIGHT(MstRcntDataYr,1)</f>
        <v>20203</v>
      </c>
      <c r="H14" s="395" t="str">
        <f>LEFT(MstRcntDataYr,4)-1&amp;RIGHT(MstRcntDataYr,1)</f>
        <v>20213</v>
      </c>
      <c r="I14" s="395">
        <f>MstRcntDataYr</f>
        <v>20223</v>
      </c>
      <c r="J14" s="25"/>
      <c r="K14" s="17"/>
      <c r="M14" s="75"/>
    </row>
    <row r="15" spans="1:13" ht="30" customHeight="1" x14ac:dyDescent="0.25">
      <c r="A15" s="33">
        <v>-1</v>
      </c>
      <c r="B15" s="34" t="s">
        <v>54</v>
      </c>
      <c r="C15" s="35"/>
      <c r="D15" s="166">
        <v>1025146.86</v>
      </c>
      <c r="E15" s="167">
        <v>841894.17</v>
      </c>
      <c r="F15" s="167">
        <v>802149.36</v>
      </c>
      <c r="G15" s="112">
        <v>796108.98</v>
      </c>
      <c r="H15" s="112">
        <v>700049.52</v>
      </c>
      <c r="I15" s="112">
        <v>707554.08</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v>1052649.99</v>
      </c>
      <c r="E16" s="112">
        <v>878012.55999999994</v>
      </c>
      <c r="F16" s="112">
        <v>808317.52</v>
      </c>
      <c r="G16" s="112">
        <v>799667.52</v>
      </c>
      <c r="H16" s="112">
        <v>721474.84000000008</v>
      </c>
      <c r="I16" s="112">
        <v>703292.21</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v>0.55044516564706802</v>
      </c>
      <c r="E17" s="169">
        <v>0.64801885562039752</v>
      </c>
      <c r="F17" s="169">
        <v>0.6938827873130814</v>
      </c>
      <c r="G17" s="169">
        <v>0.70040746631308615</v>
      </c>
      <c r="H17" s="169">
        <v>0.79025905055161194</v>
      </c>
      <c r="I17" s="169">
        <v>0.8170753216929405</v>
      </c>
      <c r="J17" s="16"/>
      <c r="K17" s="16"/>
      <c r="M17" s="75"/>
    </row>
    <row r="18" spans="1:13" ht="18" customHeight="1" x14ac:dyDescent="0.25">
      <c r="A18" s="30">
        <v>-4</v>
      </c>
      <c r="B18" s="31" t="s">
        <v>130</v>
      </c>
      <c r="C18" s="32" t="s">
        <v>66</v>
      </c>
      <c r="D18" s="168">
        <v>1.0491700462196873</v>
      </c>
      <c r="E18" s="169">
        <v>1.0422544499296913</v>
      </c>
      <c r="F18" s="169">
        <v>1.0353844377394497</v>
      </c>
      <c r="G18" s="169">
        <v>1.0285597091817194</v>
      </c>
      <c r="H18" s="169">
        <v>1.0217799657697852</v>
      </c>
      <c r="I18" s="169">
        <v>1.0150449109844046</v>
      </c>
      <c r="J18" s="170">
        <v>6.6352283652639796E-3</v>
      </c>
      <c r="K18" s="16"/>
      <c r="M18" s="226" t="str">
        <f>IF(AND(New_Program=FALSE,ISBLANK($J$18)),"← ERROR! Enter Annual Premium Trend as a percentage in the 'Projected' column.","")</f>
        <v/>
      </c>
    </row>
    <row r="19" spans="1:13" ht="30" customHeight="1" x14ac:dyDescent="0.25">
      <c r="A19" s="30">
        <v>-5</v>
      </c>
      <c r="B19" s="31" t="s">
        <v>742</v>
      </c>
      <c r="C19" s="32" t="s">
        <v>67</v>
      </c>
      <c r="D19" s="113">
        <v>0</v>
      </c>
      <c r="E19" s="112">
        <v>0</v>
      </c>
      <c r="F19" s="112">
        <v>0</v>
      </c>
      <c r="G19" s="112">
        <v>0</v>
      </c>
      <c r="H19" s="112">
        <v>0</v>
      </c>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v>233401</v>
      </c>
      <c r="E20" s="112">
        <v>227694</v>
      </c>
      <c r="F20" s="112">
        <v>222653</v>
      </c>
      <c r="G20" s="112">
        <v>220369</v>
      </c>
      <c r="H20" s="112">
        <v>222830</v>
      </c>
      <c r="I20" s="112">
        <v>224714</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v>379934.12</v>
      </c>
      <c r="E21" s="112">
        <v>531671.41999999993</v>
      </c>
      <c r="F21" s="112">
        <v>474150</v>
      </c>
      <c r="G21" s="112">
        <v>167350</v>
      </c>
      <c r="H21" s="112">
        <v>212050</v>
      </c>
      <c r="I21" s="112">
        <v>337710</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v>0</v>
      </c>
      <c r="E22" s="112">
        <v>7982</v>
      </c>
      <c r="F22" s="112">
        <v>-1.1368683772161603E-13</v>
      </c>
      <c r="G22" s="112">
        <v>24.9</v>
      </c>
      <c r="H22" s="112">
        <v>35</v>
      </c>
      <c r="I22" s="112">
        <v>0</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v>1</v>
      </c>
      <c r="E23" s="169">
        <v>1</v>
      </c>
      <c r="F23" s="169">
        <v>1.0072113006272967</v>
      </c>
      <c r="G23" s="169">
        <v>1.0069860331387228</v>
      </c>
      <c r="H23" s="169">
        <v>1.0334049853541087</v>
      </c>
      <c r="I23" s="169">
        <v>1.0448779955941625</v>
      </c>
      <c r="J23" s="16"/>
      <c r="K23" s="16"/>
      <c r="M23" s="75"/>
    </row>
    <row r="24" spans="1:13" ht="18" customHeight="1" x14ac:dyDescent="0.25">
      <c r="A24" s="30">
        <v>-10</v>
      </c>
      <c r="B24" s="31" t="s">
        <v>61</v>
      </c>
      <c r="C24" s="32" t="s">
        <v>68</v>
      </c>
      <c r="D24" s="168">
        <v>1</v>
      </c>
      <c r="E24" s="169">
        <v>1</v>
      </c>
      <c r="F24" s="169">
        <v>1</v>
      </c>
      <c r="G24" s="169">
        <v>1</v>
      </c>
      <c r="H24" s="169">
        <v>1</v>
      </c>
      <c r="I24" s="169">
        <v>8.1687759109753288E-2</v>
      </c>
      <c r="J24" s="16"/>
      <c r="K24" s="16"/>
      <c r="M24" s="75"/>
    </row>
    <row r="25" spans="1:13" ht="18" customHeight="1" x14ac:dyDescent="0.25">
      <c r="A25" s="30">
        <v>-11</v>
      </c>
      <c r="B25" s="31" t="s">
        <v>132</v>
      </c>
      <c r="C25" s="32" t="s">
        <v>69</v>
      </c>
      <c r="D25" s="168">
        <v>0.9286482855383863</v>
      </c>
      <c r="E25" s="169">
        <v>0.93816814458404907</v>
      </c>
      <c r="F25" s="169">
        <v>0.94778559463123591</v>
      </c>
      <c r="G25" s="169">
        <v>0.95750163611530326</v>
      </c>
      <c r="H25" s="169">
        <v>0.96731727972737813</v>
      </c>
      <c r="I25" s="169">
        <v>0.97723354651949279</v>
      </c>
      <c r="J25" s="170">
        <v>-1.0147284471999999E-2</v>
      </c>
      <c r="K25" s="16"/>
      <c r="M25" s="226" t="str">
        <f>IF(AND(New_Program=FALSE,ISBLANK($J$25)),"← ERROR! Enter Annual Loss Trend as a percentage in the 'Projected' column","")</f>
        <v/>
      </c>
    </row>
    <row r="26" spans="1:13" ht="18" customHeight="1" x14ac:dyDescent="0.25">
      <c r="A26" s="30">
        <v>-12</v>
      </c>
      <c r="B26" s="31" t="s">
        <v>131</v>
      </c>
      <c r="C26" s="32" t="s">
        <v>69</v>
      </c>
      <c r="D26" s="168">
        <v>0.9286482855383863</v>
      </c>
      <c r="E26" s="169">
        <v>0.93816814458404907</v>
      </c>
      <c r="F26" s="169">
        <v>0.94778559463123591</v>
      </c>
      <c r="G26" s="169">
        <v>0.95750163611530326</v>
      </c>
      <c r="H26" s="169">
        <v>0.96731727972737813</v>
      </c>
      <c r="I26" s="169">
        <v>0.97723354651949279</v>
      </c>
      <c r="J26" s="170">
        <v>-1.0147284471999999E-2</v>
      </c>
      <c r="K26" s="16"/>
      <c r="M26" s="226" t="str">
        <f>IF(AND(New_Program=FALSE,ISBLANK($J$26)),"← ERROR! Enter Annual DCCE Trend as a percentage in the 'Projected' column","")</f>
        <v/>
      </c>
    </row>
    <row r="27" spans="1:13" ht="18" customHeight="1" x14ac:dyDescent="0.25">
      <c r="A27" s="30">
        <v>-13</v>
      </c>
      <c r="B27" s="31" t="s">
        <v>62</v>
      </c>
      <c r="C27" s="32" t="s">
        <v>70</v>
      </c>
      <c r="D27" s="168">
        <v>1</v>
      </c>
      <c r="E27" s="169">
        <v>1</v>
      </c>
      <c r="F27" s="169">
        <v>1</v>
      </c>
      <c r="G27" s="169">
        <v>1</v>
      </c>
      <c r="H27" s="169">
        <v>1</v>
      </c>
      <c r="I27" s="169">
        <v>1</v>
      </c>
      <c r="J27" s="16"/>
      <c r="K27" s="16"/>
      <c r="M27" s="75"/>
    </row>
    <row r="28" spans="1:13" ht="18" customHeight="1" x14ac:dyDescent="0.25">
      <c r="A28" s="30">
        <v>-14</v>
      </c>
      <c r="B28" s="26" t="s">
        <v>727</v>
      </c>
      <c r="C28" s="32" t="s">
        <v>71</v>
      </c>
      <c r="D28" s="27"/>
      <c r="E28" s="16"/>
      <c r="F28" s="16"/>
      <c r="G28" s="16"/>
      <c r="H28" s="16"/>
      <c r="I28" s="16"/>
      <c r="J28" s="171">
        <v>0.23664319132398465</v>
      </c>
      <c r="K28" s="16"/>
      <c r="M28" s="227"/>
    </row>
    <row r="29" spans="1:13" ht="18" customHeight="1" x14ac:dyDescent="0.25">
      <c r="A29" s="30">
        <v>-15</v>
      </c>
      <c r="B29" s="31" t="s">
        <v>37</v>
      </c>
      <c r="C29" s="32" t="s">
        <v>72</v>
      </c>
      <c r="D29" s="113">
        <v>0</v>
      </c>
      <c r="E29" s="112">
        <v>0</v>
      </c>
      <c r="F29" s="112">
        <v>0</v>
      </c>
      <c r="G29" s="112">
        <v>0</v>
      </c>
      <c r="H29" s="112">
        <v>0</v>
      </c>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1.3597266477453115E-2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0.18957755323144132</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0.10317106949646478</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 ca="1">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671</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XcwzA0rk7pNr5+Id6b8JWh8iwdMTcZqH3/G1XzXCM/kecLJl+q6uvEij36poZ1Jt/R6e1R/5PSGWur71pP+Ofw==" saltValue="wFkBpPGfhyOdf0S7P0KenA==" spinCount="100000" sheet="1" objects="1" scenarios="1" formatColumns="0" formatRows="0" sort="0"/>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57" orientation="portrait" r:id="rId1"/>
  <headerFooter>
    <oddFooter>&amp;CPrior Approval Rate Template&amp;RPage 6.7&amp;L1/3/2023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Mutual Automobile Insurance Company</v>
      </c>
      <c r="M1" s="74" t="s">
        <v>310</v>
      </c>
    </row>
    <row r="2" spans="1:13" x14ac:dyDescent="0.25">
      <c r="A2" s="1" t="s">
        <v>32</v>
      </c>
      <c r="B2" s="9"/>
      <c r="H2" s="9" t="s">
        <v>34</v>
      </c>
      <c r="K2" s="8" t="str">
        <f>General_Line</f>
        <v>Auto Liability and Physical Damage</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705</v>
      </c>
      <c r="K7" s="455"/>
      <c r="M7" s="75"/>
    </row>
    <row r="8" spans="1:13" ht="18" customHeight="1" x14ac:dyDescent="0.25">
      <c r="B8" s="7" t="s">
        <v>76</v>
      </c>
      <c r="G8" s="52">
        <f>Completed_Date</f>
        <v>44979</v>
      </c>
      <c r="M8" s="75"/>
    </row>
    <row r="9" spans="1:13" ht="5.0999999999999996" customHeight="1" x14ac:dyDescent="0.25">
      <c r="B9" s="7"/>
      <c r="M9" s="75"/>
    </row>
    <row r="10" spans="1:13" ht="18" customHeight="1" x14ac:dyDescent="0.25">
      <c r="B10" s="7" t="s">
        <v>77</v>
      </c>
      <c r="G10" t="str">
        <f>Detailed_LineDesc08</f>
        <v/>
      </c>
      <c r="M10" s="226"/>
    </row>
    <row r="11" spans="1:13" ht="18" customHeight="1" x14ac:dyDescent="0.25">
      <c r="B11" s="7" t="s">
        <v>78</v>
      </c>
      <c r="G11" t="str">
        <f>Covg08</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20173</v>
      </c>
      <c r="E14" s="395" t="str">
        <f>LEFT(MstRcntDataYr,4)-4&amp;RIGHT(MstRcntDataYr,1)</f>
        <v>20183</v>
      </c>
      <c r="F14" s="395" t="str">
        <f>LEFT(MstRcntDataYr,4)-3&amp;RIGHT(MstRcntDataYr,1)</f>
        <v>20193</v>
      </c>
      <c r="G14" s="395" t="str">
        <f>LEFT(MstRcntDataYr,4)-2&amp;RIGHT(MstRcntDataYr,1)</f>
        <v>20203</v>
      </c>
      <c r="H14" s="395" t="str">
        <f>LEFT(MstRcntDataYr,4)-1&amp;RIGHT(MstRcntDataYr,1)</f>
        <v>20213</v>
      </c>
      <c r="I14" s="395">
        <f>MstRcntDataYr</f>
        <v>20223</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1.3597266477453115E-2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0.18957755323144132</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0.10317106949646478</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672</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w0yqs6tt0fBdRZDzhdHgQp198ZlIjgsgpnjACVplp0liXAlYzZECPleBhPcy5/RrUWgHDsd9+dKyVz2iu5oT8A==" saltValue="+9YbB4ji9Ckk8CnWyBCVPw==" spinCount="100000" sheet="1" objects="1" scenarios="1" formatColumns="0" formatRows="0" sort="0"/>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79" orientation="portrait" r:id="rId1"/>
  <headerFooter>
    <oddFooter>&amp;CPrior Approval Rate Template&amp;RPage 6.8&amp;L1/3/2023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Mutual Automobile Insurance Company</v>
      </c>
      <c r="M1" s="74" t="s">
        <v>310</v>
      </c>
    </row>
    <row r="2" spans="1:13" x14ac:dyDescent="0.25">
      <c r="A2" s="1" t="s">
        <v>32</v>
      </c>
      <c r="B2" s="9"/>
      <c r="H2" s="9" t="s">
        <v>34</v>
      </c>
      <c r="K2" s="8" t="str">
        <f>General_Line</f>
        <v>Auto Liability and Physical Damage</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705</v>
      </c>
      <c r="K7" s="455"/>
      <c r="M7" s="75"/>
    </row>
    <row r="8" spans="1:13" ht="18" customHeight="1" x14ac:dyDescent="0.25">
      <c r="B8" s="7" t="s">
        <v>76</v>
      </c>
      <c r="G8" s="52">
        <f>Completed_Date</f>
        <v>44979</v>
      </c>
      <c r="M8" s="75"/>
    </row>
    <row r="9" spans="1:13" ht="5.0999999999999996" customHeight="1" x14ac:dyDescent="0.25">
      <c r="B9" s="7"/>
      <c r="M9" s="75"/>
    </row>
    <row r="10" spans="1:13" ht="18" customHeight="1" x14ac:dyDescent="0.25">
      <c r="B10" s="7" t="s">
        <v>77</v>
      </c>
      <c r="G10" t="str">
        <f>Detailed_LineDesc09</f>
        <v/>
      </c>
      <c r="M10" s="226"/>
    </row>
    <row r="11" spans="1:13" ht="18" customHeight="1" x14ac:dyDescent="0.25">
      <c r="B11" s="7" t="s">
        <v>78</v>
      </c>
      <c r="G11" t="str">
        <f>Covg09</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20173</v>
      </c>
      <c r="E14" s="395" t="str">
        <f>LEFT(MstRcntDataYr,4)-4&amp;RIGHT(MstRcntDataYr,1)</f>
        <v>20183</v>
      </c>
      <c r="F14" s="395" t="str">
        <f>LEFT(MstRcntDataYr,4)-3&amp;RIGHT(MstRcntDataYr,1)</f>
        <v>20193</v>
      </c>
      <c r="G14" s="395" t="str">
        <f>LEFT(MstRcntDataYr,4)-2&amp;RIGHT(MstRcntDataYr,1)</f>
        <v>20203</v>
      </c>
      <c r="H14" s="395" t="str">
        <f>LEFT(MstRcntDataYr,4)-1&amp;RIGHT(MstRcntDataYr,1)</f>
        <v>20213</v>
      </c>
      <c r="I14" s="395">
        <f>MstRcntDataYr</f>
        <v>20223</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1.3597266477453115E-2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0.18957755323144132</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0.10317106949646478</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673</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bqLv4L4GXx2YNvNIlU+Vp4pcb0mAUQWuCWDCUMsIOKB6QKxxiMIuUdESpETChg9EGeHcVpD1ngEgxl2pPQhcWw==" saltValue="l3lGuyGZND79J8ZDBYvsUg==" spinCount="100000" sheet="1" objects="1" scenarios="1" formatColumns="0" formatRows="0" sort="0"/>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79" orientation="portrait" r:id="rId1"/>
  <headerFooter>
    <oddFooter>&amp;CPrior Approval Rate Template&amp;RPage 6.9&amp;L1/3/2023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Mutual Automobile Insurance Company</v>
      </c>
      <c r="M1" s="74" t="s">
        <v>310</v>
      </c>
    </row>
    <row r="2" spans="1:13" x14ac:dyDescent="0.25">
      <c r="A2" s="1" t="s">
        <v>32</v>
      </c>
      <c r="B2" s="9"/>
      <c r="H2" s="9" t="s">
        <v>34</v>
      </c>
      <c r="K2" s="8" t="str">
        <f>General_Line</f>
        <v>Auto Liability and Physical Damage</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705</v>
      </c>
      <c r="K7" s="455"/>
      <c r="M7" s="75"/>
    </row>
    <row r="8" spans="1:13" ht="18" customHeight="1" x14ac:dyDescent="0.25">
      <c r="B8" s="7" t="s">
        <v>76</v>
      </c>
      <c r="G8" s="52">
        <f>Completed_Date</f>
        <v>44979</v>
      </c>
      <c r="M8" s="75"/>
    </row>
    <row r="9" spans="1:13" ht="5.0999999999999996" customHeight="1" x14ac:dyDescent="0.25">
      <c r="B9" s="7"/>
      <c r="M9" s="75"/>
    </row>
    <row r="10" spans="1:13" ht="18" customHeight="1" x14ac:dyDescent="0.25">
      <c r="B10" s="7" t="s">
        <v>77</v>
      </c>
      <c r="G10" t="str">
        <f>Detailed_LineDesc10</f>
        <v/>
      </c>
      <c r="M10" s="226"/>
    </row>
    <row r="11" spans="1:13" ht="18" customHeight="1" x14ac:dyDescent="0.25">
      <c r="B11" s="7" t="s">
        <v>78</v>
      </c>
      <c r="G11" t="str">
        <f>Covg10</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20173</v>
      </c>
      <c r="E14" s="395" t="str">
        <f>LEFT(MstRcntDataYr,4)-4&amp;RIGHT(MstRcntDataYr,1)</f>
        <v>20183</v>
      </c>
      <c r="F14" s="395" t="str">
        <f>LEFT(MstRcntDataYr,4)-3&amp;RIGHT(MstRcntDataYr,1)</f>
        <v>20193</v>
      </c>
      <c r="G14" s="395" t="str">
        <f>LEFT(MstRcntDataYr,4)-2&amp;RIGHT(MstRcntDataYr,1)</f>
        <v>20203</v>
      </c>
      <c r="H14" s="395" t="str">
        <f>LEFT(MstRcntDataYr,4)-1&amp;RIGHT(MstRcntDataYr,1)</f>
        <v>20213</v>
      </c>
      <c r="I14" s="395">
        <f>MstRcntDataYr</f>
        <v>20223</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1.3597266477453115E-2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0.18957755323144132</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0.10317106949646478</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674</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qqDSe7wS6uTcgVFFriKLRrIrTqL5DtIz866DdF/avv1jsfeIzRHa/5Wincf3Jg7j0L8d1jdnNjJSRTNUXD+sjw==" saltValue="re94hn62ZokAavEdm1jn/A==" spinCount="100000" sheet="1" objects="1" scenarios="1" formatColumns="0" formatRows="0" sort="0"/>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79" orientation="portrait" r:id="rId1"/>
  <headerFooter>
    <oddFooter>&amp;CPrior Approval Rate Template&amp;RPage 6.10&amp;L1/3/2023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200025</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pageSetUpPr fitToPage="1"/>
  </sheetPr>
  <dimension ref="A1:J81"/>
  <sheetViews>
    <sheetView view="pageBreakPreview" zoomScaleNormal="100" zoomScaleSheetLayoutView="100" workbookViewId="0">
      <selection activeCell="H48" sqref="H48:H67"/>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Mutual Automobile Insurance Company</v>
      </c>
    </row>
    <row r="2" spans="1:8" x14ac:dyDescent="0.25">
      <c r="A2" s="7" t="s">
        <v>32</v>
      </c>
      <c r="E2" s="109" t="s">
        <v>34</v>
      </c>
      <c r="H2" s="110" t="str">
        <f>General_Line</f>
        <v>Auto Liability and Physical Damage</v>
      </c>
    </row>
    <row r="3" spans="1:8" x14ac:dyDescent="0.25">
      <c r="E3" s="154" t="s">
        <v>142</v>
      </c>
      <c r="F3" s="77"/>
      <c r="G3" s="77"/>
      <c r="H3" s="160" t="str">
        <f>CDI_FileNo</f>
        <v/>
      </c>
    </row>
    <row r="4" spans="1:8" ht="18" customHeight="1" x14ac:dyDescent="0.25">
      <c r="A4" s="510" t="str">
        <f>IF('6.1Ratemaking Data'!$K$7="","VARIANCE - NONE","VARIANCE "&amp;'6.1Ratemaking Data'!$K$7)</f>
        <v>VARIANCE 8A</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76</v>
      </c>
      <c r="H8" s="161">
        <f>Completed_Date</f>
        <v>44979</v>
      </c>
    </row>
    <row r="9" spans="1:8" ht="15" customHeight="1" x14ac:dyDescent="0.25">
      <c r="A9" s="6" t="s">
        <v>169</v>
      </c>
      <c r="H9" s="161">
        <f>EffDate_Prior01</f>
        <v>45061</v>
      </c>
    </row>
    <row r="10" spans="1:8" ht="15" customHeight="1" x14ac:dyDescent="0.25">
      <c r="A10" s="6" t="s">
        <v>170</v>
      </c>
      <c r="B10" s="52"/>
      <c r="H10" s="161">
        <f>EffDate_Proposed</f>
        <v>45348</v>
      </c>
    </row>
    <row r="11" spans="1:8" ht="15" customHeight="1" x14ac:dyDescent="0.25">
      <c r="A11" s="6" t="s">
        <v>77</v>
      </c>
      <c r="B11" s="52"/>
      <c r="H11" s="23" t="str">
        <f>Detailed_LineDesc01</f>
        <v>Private Passenger Auto Liability</v>
      </c>
    </row>
    <row r="12" spans="1:8" ht="15" customHeight="1" x14ac:dyDescent="0.25">
      <c r="A12" s="6" t="s">
        <v>78</v>
      </c>
      <c r="B12" s="52"/>
      <c r="H12" s="23" t="str">
        <f>Covg01</f>
        <v>BIPD</v>
      </c>
    </row>
    <row r="13" spans="1:8" ht="15" customHeight="1" x14ac:dyDescent="0.25">
      <c r="H13" s="511"/>
    </row>
    <row r="14" spans="1:8" ht="9.9499999999999993" customHeight="1" x14ac:dyDescent="0.25"/>
    <row r="15" spans="1:8" ht="15.75" thickBot="1" x14ac:dyDescent="0.3">
      <c r="A15" s="7" t="s">
        <v>171</v>
      </c>
      <c r="B15" s="228" t="str">
        <f>'6.1Ratemaking Data'!D$14</f>
        <v>20173</v>
      </c>
      <c r="C15" s="228" t="str">
        <f>'6.1Ratemaking Data'!E$14</f>
        <v>20183</v>
      </c>
      <c r="D15" s="228" t="str">
        <f>'6.1Ratemaking Data'!F$14</f>
        <v>20193</v>
      </c>
      <c r="E15" s="228" t="str">
        <f>'6.1Ratemaking Data'!G$14</f>
        <v>20203</v>
      </c>
      <c r="F15" s="228" t="str">
        <f>'6.1Ratemaking Data'!H$14</f>
        <v>20213</v>
      </c>
      <c r="G15" s="228">
        <f>'6.1Ratemaking Data'!I$14</f>
        <v>20223</v>
      </c>
      <c r="H15" s="91" t="s">
        <v>306</v>
      </c>
    </row>
    <row r="16" spans="1:8" x14ac:dyDescent="0.25">
      <c r="A16" s="114" t="s">
        <v>173</v>
      </c>
      <c r="B16" s="115" t="str">
        <f>IF(ISBLANK('6.1Ratemaking Data'!D15),"",'6.1Ratemaking Data'!D15)</f>
        <v/>
      </c>
      <c r="C16" s="115" t="str">
        <f>IF(ISBLANK('6.1Ratemaking Data'!E15),"",'6.1Ratemaking Data'!E15)</f>
        <v/>
      </c>
      <c r="D16" s="115" t="str">
        <f>IF(ISBLANK('6.1Ratemaking Data'!F15),"",'6.1Ratemaking Data'!F15)</f>
        <v/>
      </c>
      <c r="E16" s="115" t="str">
        <f>IF(ISBLANK('6.1Ratemaking Data'!G15),"",'6.1Ratemaking Data'!G15)</f>
        <v/>
      </c>
      <c r="F16" s="115" t="str">
        <f>IF(ISBLANK('6.1Ratemaking Data'!H15),"",'6.1Ratemaking Data'!H15)</f>
        <v/>
      </c>
      <c r="G16" s="115">
        <f>IF(ISBLANK('6.1Ratemaking Data'!I15),"",'6.1Ratemaking Data'!I15)</f>
        <v>1744924714.9699998</v>
      </c>
      <c r="H16" s="116">
        <f>IF(New_Program=TRUE,'6.1Ratemaking Data'!$K$15,SUM($B16:$G16))</f>
        <v>1744924714.9699998</v>
      </c>
    </row>
    <row r="17" spans="1:10" x14ac:dyDescent="0.25">
      <c r="A17" s="117" t="s">
        <v>172</v>
      </c>
      <c r="B17" s="118" t="str">
        <f>IF(ISBLANK('6.1Ratemaking Data'!D16),"",'6.1Ratemaking Data'!D16)</f>
        <v/>
      </c>
      <c r="C17" s="118" t="str">
        <f>IF(ISBLANK('6.1Ratemaking Data'!E16),"",'6.1Ratemaking Data'!E16)</f>
        <v/>
      </c>
      <c r="D17" s="118" t="str">
        <f>IF(ISBLANK('6.1Ratemaking Data'!F16),"",'6.1Ratemaking Data'!F16)</f>
        <v/>
      </c>
      <c r="E17" s="118" t="str">
        <f>IF(ISBLANK('6.1Ratemaking Data'!G16),"",'6.1Ratemaking Data'!G16)</f>
        <v/>
      </c>
      <c r="F17" s="118" t="str">
        <f>IF(ISBLANK('6.1Ratemaking Data'!H16),"",'6.1Ratemaking Data'!H16)</f>
        <v/>
      </c>
      <c r="G17" s="118">
        <f>IF(ISBLANK('6.1Ratemaking Data'!I16),"",'6.1Ratemaking Data'!I16)</f>
        <v>1728857568.2000003</v>
      </c>
      <c r="H17" s="119">
        <f>IF(New_Program=TRUE,'6.1Ratemaking Data'!$K$16,SUM($B17:$G17))</f>
        <v>1728857568.2000003</v>
      </c>
    </row>
    <row r="18" spans="1:10" x14ac:dyDescent="0.25">
      <c r="A18" s="117" t="s">
        <v>174</v>
      </c>
      <c r="B18" s="120" t="str">
        <f>IF(ISBLANK('6.1Ratemaking Data'!D17),"",'6.1Ratemaking Data'!D17)</f>
        <v/>
      </c>
      <c r="C18" s="120" t="str">
        <f>IF(ISBLANK('6.1Ratemaking Data'!E17),"",'6.1Ratemaking Data'!E17)</f>
        <v/>
      </c>
      <c r="D18" s="120" t="str">
        <f>IF(ISBLANK('6.1Ratemaking Data'!F17),"",'6.1Ratemaking Data'!F17)</f>
        <v/>
      </c>
      <c r="E18" s="120" t="str">
        <f>IF(ISBLANK('6.1Ratemaking Data'!G17),"",'6.1Ratemaking Data'!G17)</f>
        <v/>
      </c>
      <c r="F18" s="120" t="str">
        <f>IF(ISBLANK('6.1Ratemaking Data'!H17),"",'6.1Ratemaking Data'!H17)</f>
        <v/>
      </c>
      <c r="G18" s="120">
        <f>IF(ISBLANK('6.1Ratemaking Data'!I17),"",'6.1Ratemaking Data'!I17)</f>
        <v>0.94701527070800551</v>
      </c>
      <c r="H18" s="121"/>
    </row>
    <row r="19" spans="1:10" x14ac:dyDescent="0.25">
      <c r="A19" s="117" t="s">
        <v>175</v>
      </c>
      <c r="B19" s="120" t="str">
        <f>IF(ISBLANK('6.1Ratemaking Data'!D18),"",'6.1Ratemaking Data'!D18)</f>
        <v/>
      </c>
      <c r="C19" s="120" t="str">
        <f>IF(ISBLANK('6.1Ratemaking Data'!E18),"",'6.1Ratemaking Data'!E18)</f>
        <v/>
      </c>
      <c r="D19" s="120" t="str">
        <f>IF(ISBLANK('6.1Ratemaking Data'!F18),"",'6.1Ratemaking Data'!F18)</f>
        <v/>
      </c>
      <c r="E19" s="120" t="str">
        <f>IF(ISBLANK('6.1Ratemaking Data'!G18),"",'6.1Ratemaking Data'!G18)</f>
        <v/>
      </c>
      <c r="F19" s="120" t="str">
        <f>IF(ISBLANK('6.1Ratemaking Data'!H18),"",'6.1Ratemaking Data'!H18)</f>
        <v/>
      </c>
      <c r="G19" s="120">
        <f>IF(ISBLANK('6.1Ratemaking Data'!I18),"",'6.1Ratemaking Data'!I18)</f>
        <v>0.94925919381038815</v>
      </c>
      <c r="H19" s="127">
        <f>IF(New_Program=TRUE,0,'6.1Ratemaking Data'!$J$18)</f>
        <v>-2.2797844342083901E-2</v>
      </c>
    </row>
    <row r="20" spans="1:10" x14ac:dyDescent="0.25">
      <c r="A20" s="117" t="s">
        <v>176</v>
      </c>
      <c r="B20" s="118" t="str">
        <f>IF(ISBLANK('6.1Ratemaking Data'!D19),"",'6.1Ratemaking Data'!D19)</f>
        <v/>
      </c>
      <c r="C20" s="118" t="str">
        <f>IF(ISBLANK('6.1Ratemaking Data'!E19),"",'6.1Ratemaking Data'!E19)</f>
        <v/>
      </c>
      <c r="D20" s="118" t="str">
        <f>IF(ISBLANK('6.1Ratemaking Data'!F19),"",'6.1Ratemaking Data'!F19)</f>
        <v/>
      </c>
      <c r="E20" s="118" t="str">
        <f>IF(ISBLANK('6.1Ratemaking Data'!G19),"",'6.1Ratemaking Data'!G19)</f>
        <v/>
      </c>
      <c r="F20" s="118" t="str">
        <f>IF(ISBLANK('6.1Ratemaking Data'!H19),"",'6.1Ratemaking Data'!H19)</f>
        <v/>
      </c>
      <c r="G20" s="118">
        <f>IF(ISBLANK('6.1Ratemaking Data'!I19),"",'6.1Ratemaking Data'!I19)</f>
        <v>0</v>
      </c>
      <c r="H20" s="119">
        <f>IF(New_Program=TRUE,'6.1Ratemaking Data'!$K$19,SUM($B20:$G20))</f>
        <v>0</v>
      </c>
    </row>
    <row r="21" spans="1:10" x14ac:dyDescent="0.25">
      <c r="A21" s="117" t="s">
        <v>177</v>
      </c>
      <c r="B21" s="118" t="str">
        <f>IF(ISBLANK('6.1Ratemaking Data'!D20),"",'6.1Ratemaking Data'!D20)</f>
        <v/>
      </c>
      <c r="C21" s="118" t="str">
        <f>IF(ISBLANK('6.1Ratemaking Data'!E20),"",'6.1Ratemaking Data'!E20)</f>
        <v/>
      </c>
      <c r="D21" s="118" t="str">
        <f>IF(ISBLANK('6.1Ratemaking Data'!F20),"",'6.1Ratemaking Data'!F20)</f>
        <v/>
      </c>
      <c r="E21" s="118" t="str">
        <f>IF(ISBLANK('6.1Ratemaking Data'!G20),"",'6.1Ratemaking Data'!G20)</f>
        <v/>
      </c>
      <c r="F21" s="118" t="str">
        <f>IF(ISBLANK('6.1Ratemaking Data'!H20),"",'6.1Ratemaking Data'!H20)</f>
        <v/>
      </c>
      <c r="G21" s="118">
        <f>IF(ISBLANK('6.1Ratemaking Data'!I20),"",'6.1Ratemaking Data'!I20)</f>
        <v>3675598</v>
      </c>
      <c r="H21" s="119">
        <f>IF(New_Program=TRUE,'6.1Ratemaking Data'!$K$20,SUM($B21:$G21))</f>
        <v>3675598</v>
      </c>
      <c r="J21" s="111"/>
    </row>
    <row r="22" spans="1:10" x14ac:dyDescent="0.25">
      <c r="A22" s="117" t="s">
        <v>178</v>
      </c>
      <c r="B22" s="118" t="str">
        <f>IF(ISBLANK('6.1Ratemaking Data'!D21),"",'6.1Ratemaking Data'!D21)</f>
        <v/>
      </c>
      <c r="C22" s="118" t="str">
        <f>IF(ISBLANK('6.1Ratemaking Data'!E21),"",'6.1Ratemaking Data'!E21)</f>
        <v/>
      </c>
      <c r="D22" s="118" t="str">
        <f>IF(ISBLANK('6.1Ratemaking Data'!F21),"",'6.1Ratemaking Data'!F21)</f>
        <v/>
      </c>
      <c r="E22" s="118" t="str">
        <f>IF(ISBLANK('6.1Ratemaking Data'!G21),"",'6.1Ratemaking Data'!G21)</f>
        <v/>
      </c>
      <c r="F22" s="118" t="str">
        <f>IF(ISBLANK('6.1Ratemaking Data'!H21),"",'6.1Ratemaking Data'!H21)</f>
        <v/>
      </c>
      <c r="G22" s="118">
        <f>IF(ISBLANK('6.1Ratemaking Data'!I21),"",'6.1Ratemaking Data'!I21)</f>
        <v>895311431.08999991</v>
      </c>
      <c r="H22" s="119">
        <f>IF(New_Program=TRUE,'6.1Ratemaking Data'!$K$21,SUM($B22:$G22))</f>
        <v>895311431.08999991</v>
      </c>
      <c r="J22" s="111"/>
    </row>
    <row r="23" spans="1:10" x14ac:dyDescent="0.25">
      <c r="A23" s="117" t="s">
        <v>144</v>
      </c>
      <c r="B23" s="118" t="str">
        <f>IF(ISBLANK('6.1Ratemaking Data'!D22),"",'6.1Ratemaking Data'!D22)</f>
        <v/>
      </c>
      <c r="C23" s="118" t="str">
        <f>IF(ISBLANK('6.1Ratemaking Data'!E22),"",'6.1Ratemaking Data'!E22)</f>
        <v/>
      </c>
      <c r="D23" s="118" t="str">
        <f>IF(ISBLANK('6.1Ratemaking Data'!F22),"",'6.1Ratemaking Data'!F22)</f>
        <v/>
      </c>
      <c r="E23" s="118" t="str">
        <f>IF(ISBLANK('6.1Ratemaking Data'!G22),"",'6.1Ratemaking Data'!G22)</f>
        <v/>
      </c>
      <c r="F23" s="118" t="str">
        <f>IF(ISBLANK('6.1Ratemaking Data'!H22),"",'6.1Ratemaking Data'!H22)</f>
        <v/>
      </c>
      <c r="G23" s="118">
        <f>IF(ISBLANK('6.1Ratemaking Data'!I22),"",'6.1Ratemaking Data'!I22)</f>
        <v>2976104.17</v>
      </c>
      <c r="H23" s="119">
        <f>IF(New_Program=TRUE,'6.1Ratemaking Data'!$K$22,SUM($B23:$G23))</f>
        <v>2976104.17</v>
      </c>
      <c r="J23" s="111"/>
    </row>
    <row r="24" spans="1:10" x14ac:dyDescent="0.25">
      <c r="A24" s="117" t="s">
        <v>181</v>
      </c>
      <c r="B24" s="120" t="str">
        <f>IF(ISBLANK('6.1Ratemaking Data'!D23),"",'6.1Ratemaking Data'!D23)</f>
        <v/>
      </c>
      <c r="C24" s="120" t="str">
        <f>IF(ISBLANK('6.1Ratemaking Data'!E23),"",'6.1Ratemaking Data'!E23)</f>
        <v/>
      </c>
      <c r="D24" s="120" t="str">
        <f>IF(ISBLANK('6.1Ratemaking Data'!F23),"",'6.1Ratemaking Data'!F23)</f>
        <v/>
      </c>
      <c r="E24" s="120" t="str">
        <f>IF(ISBLANK('6.1Ratemaking Data'!G23),"",'6.1Ratemaking Data'!G23)</f>
        <v/>
      </c>
      <c r="F24" s="120" t="str">
        <f>IF(ISBLANK('6.1Ratemaking Data'!H23),"",'6.1Ratemaking Data'!H23)</f>
        <v/>
      </c>
      <c r="G24" s="120">
        <f>IF(ISBLANK('6.1Ratemaking Data'!I23),"",'6.1Ratemaking Data'!I23)</f>
        <v>1.3975617987971174</v>
      </c>
      <c r="H24" s="121"/>
    </row>
    <row r="25" spans="1:10" x14ac:dyDescent="0.25">
      <c r="A25" s="117" t="s">
        <v>182</v>
      </c>
      <c r="B25" s="120" t="str">
        <f>IF(ISBLANK('6.1Ratemaking Data'!D24),"",'6.1Ratemaking Data'!D24)</f>
        <v/>
      </c>
      <c r="C25" s="120" t="str">
        <f>IF(ISBLANK('6.1Ratemaking Data'!E24),"",'6.1Ratemaking Data'!E24)</f>
        <v/>
      </c>
      <c r="D25" s="120" t="str">
        <f>IF(ISBLANK('6.1Ratemaking Data'!F24),"",'6.1Ratemaking Data'!F24)</f>
        <v/>
      </c>
      <c r="E25" s="120" t="str">
        <f>IF(ISBLANK('6.1Ratemaking Data'!G24),"",'6.1Ratemaking Data'!G24)</f>
        <v/>
      </c>
      <c r="F25" s="120" t="str">
        <f>IF(ISBLANK('6.1Ratemaking Data'!H24),"",'6.1Ratemaking Data'!H24)</f>
        <v/>
      </c>
      <c r="G25" s="120">
        <f>IF(ISBLANK('6.1Ratemaking Data'!I24),"",'6.1Ratemaking Data'!I24)</f>
        <v>35.878858873612081</v>
      </c>
      <c r="H25" s="121"/>
    </row>
    <row r="26" spans="1:10" x14ac:dyDescent="0.25">
      <c r="A26" s="117" t="s">
        <v>179</v>
      </c>
      <c r="B26" s="120" t="str">
        <f>IF(ISBLANK('6.1Ratemaking Data'!D25),"",'6.1Ratemaking Data'!D25)</f>
        <v/>
      </c>
      <c r="C26" s="120" t="str">
        <f>IF(ISBLANK('6.1Ratemaking Data'!E25),"",'6.1Ratemaking Data'!E25)</f>
        <v/>
      </c>
      <c r="D26" s="120" t="str">
        <f>IF(ISBLANK('6.1Ratemaking Data'!F25),"",'6.1Ratemaking Data'!F25)</f>
        <v/>
      </c>
      <c r="E26" s="120" t="str">
        <f>IF(ISBLANK('6.1Ratemaking Data'!G25),"",'6.1Ratemaking Data'!G25)</f>
        <v/>
      </c>
      <c r="F26" s="120" t="str">
        <f>IF(ISBLANK('6.1Ratemaking Data'!H25),"",'6.1Ratemaking Data'!H25)</f>
        <v/>
      </c>
      <c r="G26" s="120">
        <f>IF(ISBLANK('6.1Ratemaking Data'!I25),"",'6.1Ratemaking Data'!I25)</f>
        <v>1.2826910718172582</v>
      </c>
      <c r="H26" s="127">
        <f>IF(New_Program=TRUE,0,'6.1Ratemaking Data'!$J$25)</f>
        <v>0.11656497340374727</v>
      </c>
    </row>
    <row r="27" spans="1:10" x14ac:dyDescent="0.25">
      <c r="A27" s="117" t="s">
        <v>180</v>
      </c>
      <c r="B27" s="120" t="str">
        <f>IF(ISBLANK('6.1Ratemaking Data'!D26),"",'6.1Ratemaking Data'!D26)</f>
        <v/>
      </c>
      <c r="C27" s="120" t="str">
        <f>IF(ISBLANK('6.1Ratemaking Data'!E26),"",'6.1Ratemaking Data'!E26)</f>
        <v/>
      </c>
      <c r="D27" s="120" t="str">
        <f>IF(ISBLANK('6.1Ratemaking Data'!F26),"",'6.1Ratemaking Data'!F26)</f>
        <v/>
      </c>
      <c r="E27" s="120" t="str">
        <f>IF(ISBLANK('6.1Ratemaking Data'!G26),"",'6.1Ratemaking Data'!G26)</f>
        <v/>
      </c>
      <c r="F27" s="120" t="str">
        <f>IF(ISBLANK('6.1Ratemaking Data'!H26),"",'6.1Ratemaking Data'!H26)</f>
        <v/>
      </c>
      <c r="G27" s="120">
        <f>IF(ISBLANK('6.1Ratemaking Data'!I26),"",'6.1Ratemaking Data'!I26)</f>
        <v>1.2826910718172582</v>
      </c>
      <c r="H27" s="127">
        <f>IF(New_Program=TRUE,0,'6.1Ratemaking Data'!$J$26)</f>
        <v>0.11656497340374727</v>
      </c>
    </row>
    <row r="28" spans="1:10" x14ac:dyDescent="0.25">
      <c r="A28" s="117" t="s">
        <v>183</v>
      </c>
      <c r="B28" s="120" t="str">
        <f>IF(ISBLANK('6.1Ratemaking Data'!D27),"",'6.1Ratemaking Data'!D27)</f>
        <v/>
      </c>
      <c r="C28" s="120" t="str">
        <f>IF(ISBLANK('6.1Ratemaking Data'!E27),"",'6.1Ratemaking Data'!E27)</f>
        <v/>
      </c>
      <c r="D28" s="120" t="str">
        <f>IF(ISBLANK('6.1Ratemaking Data'!F27),"",'6.1Ratemaking Data'!F27)</f>
        <v/>
      </c>
      <c r="E28" s="120" t="str">
        <f>IF(ISBLANK('6.1Ratemaking Data'!G27),"",'6.1Ratemaking Data'!G27)</f>
        <v/>
      </c>
      <c r="F28" s="120" t="str">
        <f>IF(ISBLANK('6.1Ratemaking Data'!H27),"",'6.1Ratemaking Data'!H27)</f>
        <v/>
      </c>
      <c r="G28" s="120">
        <f>IF(ISBLANK('6.1Ratemaking Data'!I27),"",'6.1Ratemaking Data'!I27)</f>
        <v>1</v>
      </c>
      <c r="H28" s="121"/>
    </row>
    <row r="29" spans="1:10" ht="15.75" thickBot="1" x14ac:dyDescent="0.3">
      <c r="A29" s="133" t="s">
        <v>188</v>
      </c>
      <c r="B29" s="134" t="str">
        <f>IF(ISBLANK('6.1Ratemaking Data'!D29),"",'6.1Ratemaking Data'!D29)</f>
        <v/>
      </c>
      <c r="C29" s="134" t="str">
        <f>IF(ISBLANK('6.1Ratemaking Data'!E29),"",'6.1Ratemaking Data'!E29)</f>
        <v/>
      </c>
      <c r="D29" s="134" t="str">
        <f>IF(ISBLANK('6.1Ratemaking Data'!F29),"",'6.1Ratemaking Data'!F29)</f>
        <v/>
      </c>
      <c r="E29" s="134" t="str">
        <f>IF(ISBLANK('6.1Ratemaking Data'!G29),"",'6.1Ratemaking Data'!G29)</f>
        <v/>
      </c>
      <c r="F29" s="134" t="str">
        <f>IF(ISBLANK('6.1Ratemaking Data'!H29),"",'6.1Ratemaking Data'!H29)</f>
        <v/>
      </c>
      <c r="G29" s="134">
        <f>IF(ISBLANK('6.1Ratemaking Data'!I29),"",'6.1Ratemaking Data'!I29)</f>
        <v>0</v>
      </c>
      <c r="H29" s="135">
        <f>IF(New_Program=TRUE,'6.1Ratemaking Data'!$K$29,SUM($B29:$G29))</f>
        <v>0</v>
      </c>
    </row>
    <row r="30" spans="1:10" ht="15.75" thickTop="1" x14ac:dyDescent="0.25">
      <c r="A30" s="117" t="s">
        <v>184</v>
      </c>
      <c r="B30" s="122"/>
      <c r="C30" s="122"/>
      <c r="D30" s="122"/>
      <c r="E30" s="122"/>
      <c r="F30" s="122"/>
      <c r="G30" s="122"/>
      <c r="H30" s="127">
        <f>IF(New_Program=TRUE,100%,'6.1Ratemaking Data'!$J$28)</f>
        <v>1</v>
      </c>
    </row>
    <row r="31" spans="1:10" x14ac:dyDescent="0.25">
      <c r="A31" s="117" t="s">
        <v>185</v>
      </c>
      <c r="B31" s="122"/>
      <c r="C31" s="122"/>
      <c r="D31" s="122"/>
      <c r="E31" s="122"/>
      <c r="F31" s="122"/>
      <c r="G31" s="122"/>
      <c r="H31" s="127">
        <f>ExpRatio_Excluded</f>
        <v>1.3597266477453115E-2</v>
      </c>
    </row>
    <row r="32" spans="1:10" x14ac:dyDescent="0.25">
      <c r="A32" s="117" t="s">
        <v>166</v>
      </c>
      <c r="B32" s="122"/>
      <c r="C32" s="122"/>
      <c r="D32" s="122"/>
      <c r="E32" s="122"/>
      <c r="F32" s="122"/>
      <c r="G32" s="122"/>
      <c r="H32" s="127">
        <f>FIT_Inv</f>
        <v>0.18957755323144132</v>
      </c>
    </row>
    <row r="33" spans="1:9" ht="15.75" thickBot="1" x14ac:dyDescent="0.3">
      <c r="A33" s="85" t="s">
        <v>165</v>
      </c>
      <c r="B33" s="123"/>
      <c r="C33" s="123"/>
      <c r="D33" s="123"/>
      <c r="E33" s="123"/>
      <c r="F33" s="123"/>
      <c r="G33" s="123"/>
      <c r="H33" s="124">
        <f>Yield</f>
        <v>0.10317106949646478</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EffStd_Final01</f>
        <v>0.29732485720293622</v>
      </c>
    </row>
    <row r="38" spans="1:9" x14ac:dyDescent="0.25">
      <c r="A38" s="117" t="s">
        <v>191</v>
      </c>
      <c r="B38" s="77"/>
      <c r="C38" s="77"/>
      <c r="D38" s="77"/>
      <c r="E38" s="77"/>
      <c r="F38" s="577" t="s">
        <v>317</v>
      </c>
      <c r="G38" s="578">
        <f>update_leverage</f>
        <v>2021</v>
      </c>
      <c r="H38" s="162">
        <f ca="1">LevFact_Final01</f>
        <v>0.7746748896822202</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1/LevFact_Final01</f>
        <v>1.2908640944980294</v>
      </c>
    </row>
    <row r="41" spans="1:9" x14ac:dyDescent="0.25">
      <c r="A41" s="117" t="s">
        <v>198</v>
      </c>
      <c r="B41" s="77"/>
      <c r="C41" s="77"/>
      <c r="D41" s="77"/>
      <c r="E41" s="77"/>
      <c r="F41" s="577" t="s">
        <v>317</v>
      </c>
      <c r="G41" s="578">
        <f>update_reserveratios</f>
        <v>2021</v>
      </c>
      <c r="H41" s="163">
        <f ca="1">ResRatio_UPR01</f>
        <v>0.32027023269708416</v>
      </c>
    </row>
    <row r="42" spans="1:9" x14ac:dyDescent="0.25">
      <c r="A42" s="117" t="s">
        <v>194</v>
      </c>
      <c r="B42" s="77"/>
      <c r="C42" s="77"/>
      <c r="D42" s="77"/>
      <c r="E42" s="77"/>
      <c r="F42" s="577" t="s">
        <v>317</v>
      </c>
      <c r="G42" s="578">
        <f>update_reserveratios</f>
        <v>2021</v>
      </c>
      <c r="H42" s="163">
        <f ca="1">ResRatio_Loss01</f>
        <v>1.3266740292453059</v>
      </c>
    </row>
    <row r="43" spans="1:9" x14ac:dyDescent="0.25">
      <c r="A43" s="117" t="s">
        <v>195</v>
      </c>
      <c r="B43" s="77"/>
      <c r="C43" s="77"/>
      <c r="D43" s="77"/>
      <c r="E43" s="77"/>
      <c r="F43" s="574" t="s">
        <v>317</v>
      </c>
      <c r="G43" s="574" t="str">
        <f>ROR_RiskFree_Date</f>
        <v>January 2023</v>
      </c>
      <c r="H43" s="576">
        <f>ROR_RiskFree</f>
        <v>3.9611111111111104E-2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9.9611111111111095E-2</v>
      </c>
    </row>
    <row r="46" spans="1:9" ht="5.0999999999999996" customHeight="1" x14ac:dyDescent="0.25"/>
    <row r="47" spans="1:9" ht="15.75" thickBot="1" x14ac:dyDescent="0.3">
      <c r="A47" s="7" t="s">
        <v>234</v>
      </c>
      <c r="B47" s="228" t="str">
        <f>'6.1Ratemaking Data'!D$14</f>
        <v>20173</v>
      </c>
      <c r="C47" s="228" t="str">
        <f>'6.1Ratemaking Data'!E$14</f>
        <v>20183</v>
      </c>
      <c r="D47" s="228" t="str">
        <f>'6.1Ratemaking Data'!F$14</f>
        <v>20193</v>
      </c>
      <c r="E47" s="228" t="str">
        <f>'6.1Ratemaking Data'!G$14</f>
        <v>20203</v>
      </c>
      <c r="F47" s="228" t="str">
        <f>'6.1Ratemaking Data'!H$14</f>
        <v>20213</v>
      </c>
      <c r="G47" s="228">
        <f>'6.1Ratemaking Data'!I$14</f>
        <v>20223</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1554178903.785404</v>
      </c>
      <c r="H48" s="116">
        <f>IF(New_Program=TRUE,(Prem_Earned+Misc_Fees),SUM($B48:$G48))</f>
        <v>1554178903.785404</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1604971121.1009293</v>
      </c>
      <c r="H49" s="119">
        <f>IF(New_Program=TRUE,Losses,SUM($B49:$G49))</f>
        <v>1604971121.1009293</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136964754.08467653</v>
      </c>
      <c r="H50" s="119">
        <f>IF(New_Program=TRUE,DCCE,SUM($B50:$G50))</f>
        <v>136964754.08467653</v>
      </c>
    </row>
    <row r="51" spans="1:9" x14ac:dyDescent="0.25">
      <c r="A51" s="117" t="s">
        <v>202</v>
      </c>
      <c r="B51" s="126" t="str">
        <f t="shared" ref="B51" si="3">IF(ISERROR((B49+B50)/B48),"",(B49+B50)/B48)</f>
        <v/>
      </c>
      <c r="C51" s="126" t="str">
        <f t="shared" ref="C51" si="4">IF(ISERROR((C49+C50)/C48),"",(C49+C50)/C48)</f>
        <v/>
      </c>
      <c r="D51" s="126" t="str">
        <f t="shared" ref="D51" si="5">IF(ISERROR((D49+D50)/D48),"",(D49+D50)/D48)</f>
        <v/>
      </c>
      <c r="E51" s="126" t="str">
        <f t="shared" ref="E51:H51" si="6">IF(ISERROR((E49+E50)/E48),"",(E49+E50)/E48)</f>
        <v/>
      </c>
      <c r="F51" s="126" t="str">
        <f t="shared" si="6"/>
        <v/>
      </c>
      <c r="G51" s="126">
        <f t="shared" si="6"/>
        <v>1.1208078239531469</v>
      </c>
      <c r="H51" s="127">
        <f t="shared" si="6"/>
        <v>1.1208078239531469</v>
      </c>
    </row>
    <row r="52" spans="1:9" x14ac:dyDescent="0.25">
      <c r="A52" s="117" t="s">
        <v>215</v>
      </c>
      <c r="B52" s="407" t="str">
        <f t="shared" ref="B52:H52" si="7">IF(ISERROR(Prem_Adjusted/Exposures_Earned),"",Prem_Adjusted/Exposures_Earned)</f>
        <v/>
      </c>
      <c r="C52" s="407" t="str">
        <f t="shared" si="7"/>
        <v/>
      </c>
      <c r="D52" s="407" t="str">
        <f t="shared" si="7"/>
        <v/>
      </c>
      <c r="E52" s="407" t="str">
        <f t="shared" si="7"/>
        <v/>
      </c>
      <c r="F52" s="407" t="str">
        <f t="shared" si="7"/>
        <v/>
      </c>
      <c r="G52" s="407">
        <f t="shared" si="7"/>
        <v>422.83701965922387</v>
      </c>
      <c r="H52" s="130">
        <f t="shared" si="7"/>
        <v>422.83701965922387</v>
      </c>
    </row>
    <row r="53" spans="1:9" x14ac:dyDescent="0.25">
      <c r="A53" s="117" t="s">
        <v>203</v>
      </c>
      <c r="B53" s="407" t="str">
        <f t="shared" ref="B53:H53" si="8">IF(ISERROR((Losses_Adjusted+DCCE_Adjusted)/Exposures_Earned),"",(Losses_Adjusted+DCCE_Adjusted)/Exposures_Earned)</f>
        <v/>
      </c>
      <c r="C53" s="407" t="str">
        <f t="shared" si="8"/>
        <v/>
      </c>
      <c r="D53" s="407" t="str">
        <f t="shared" si="8"/>
        <v/>
      </c>
      <c r="E53" s="407" t="str">
        <f t="shared" si="8"/>
        <v/>
      </c>
      <c r="F53" s="407" t="str">
        <f t="shared" si="8"/>
        <v/>
      </c>
      <c r="G53" s="407">
        <f t="shared" si="8"/>
        <v>473.91903989108869</v>
      </c>
      <c r="H53" s="130">
        <f t="shared" si="8"/>
        <v>473.91903989108869</v>
      </c>
    </row>
    <row r="54" spans="1:9" x14ac:dyDescent="0.25">
      <c r="A54" s="117" t="s">
        <v>204</v>
      </c>
      <c r="B54" s="407" t="str">
        <f t="shared" ref="B54:H54" ca="1" si="9">IF(ISERROR((TCRLP_perExp*(1+Comp_Trend)*Max_Denom+Anc_Inc_perExp)/(1-InvInc_Fixed)),"",(TCRLP_perExp*(1+Comp_Trend)*Max_Denom+Anc_Inc_perExp)/(1-InvInc_Fixed))</f>
        <v/>
      </c>
      <c r="C54" s="407" t="str">
        <f t="shared" ca="1" si="9"/>
        <v/>
      </c>
      <c r="D54" s="407" t="str">
        <f t="shared" ca="1" si="9"/>
        <v/>
      </c>
      <c r="E54" s="407" t="str">
        <f t="shared" ca="1" si="9"/>
        <v/>
      </c>
      <c r="F54" s="407" t="str">
        <f t="shared" ca="1" si="9"/>
        <v/>
      </c>
      <c r="G54" s="407">
        <f t="shared" ca="1" si="9"/>
        <v>388.06048954611629</v>
      </c>
      <c r="H54" s="130">
        <f t="shared" ca="1" si="9"/>
        <v>388.06048954611629</v>
      </c>
    </row>
    <row r="55" spans="1:9" x14ac:dyDescent="0.25">
      <c r="A55" s="117" t="s">
        <v>214</v>
      </c>
      <c r="B55" s="407" t="str">
        <f t="shared" ref="B55:H55" ca="1" si="10">IF(ISERROR(Credibility*LossDCCE_perExp+(1-Credibility)*CompLossDCCE_perExp),"",Credibility*LossDCCE_perExp+(1-Credibility)*CompLossDCCE_perExp)</f>
        <v/>
      </c>
      <c r="C55" s="407" t="str">
        <f t="shared" ca="1" si="10"/>
        <v/>
      </c>
      <c r="D55" s="407" t="str">
        <f t="shared" ca="1" si="10"/>
        <v/>
      </c>
      <c r="E55" s="407" t="str">
        <f t="shared" ca="1" si="10"/>
        <v/>
      </c>
      <c r="F55" s="407" t="str">
        <f t="shared" ca="1" si="10"/>
        <v/>
      </c>
      <c r="G55" s="407">
        <f t="shared" ca="1" si="10"/>
        <v>473.91903989108869</v>
      </c>
      <c r="H55" s="130">
        <f t="shared" ca="1" si="10"/>
        <v>473.91903989108869</v>
      </c>
    </row>
    <row r="56" spans="1:9" ht="15.75" thickBot="1" x14ac:dyDescent="0.3">
      <c r="A56" s="133" t="s">
        <v>216</v>
      </c>
      <c r="B56" s="202" t="str">
        <f t="shared" ref="B56:H56" si="11">IF(ISERROR(Anc_Income/Exposures_Earned),"",Anc_Income/Exposures_Earned)</f>
        <v/>
      </c>
      <c r="C56" s="202" t="str">
        <f t="shared" si="11"/>
        <v/>
      </c>
      <c r="D56" s="202" t="str">
        <f t="shared" si="11"/>
        <v/>
      </c>
      <c r="E56" s="202" t="str">
        <f t="shared" si="11"/>
        <v/>
      </c>
      <c r="F56" s="202" t="str">
        <f t="shared" si="11"/>
        <v/>
      </c>
      <c r="G56" s="202">
        <f t="shared" si="11"/>
        <v>0</v>
      </c>
      <c r="H56" s="203">
        <f t="shared" si="11"/>
        <v>0</v>
      </c>
    </row>
    <row r="57" spans="1:9" ht="15.75" thickTop="1" x14ac:dyDescent="0.25">
      <c r="A57" s="117" t="s">
        <v>217</v>
      </c>
      <c r="B57" s="77"/>
      <c r="C57" s="77"/>
      <c r="D57" s="77"/>
      <c r="E57" s="77"/>
      <c r="F57" s="77"/>
      <c r="G57" s="77"/>
      <c r="H57" s="127">
        <f ca="1">Yield*((1-FIT_Inv)/(1-FIT_UW))*ResRatio_Loss01</f>
        <v>0.14041274518977906</v>
      </c>
    </row>
    <row r="58" spans="1:9" x14ac:dyDescent="0.25">
      <c r="A58" s="117" t="s">
        <v>218</v>
      </c>
      <c r="B58" s="77"/>
      <c r="C58" s="77"/>
      <c r="D58" s="77"/>
      <c r="E58" s="77"/>
      <c r="F58" s="77"/>
      <c r="G58" s="77"/>
      <c r="H58" s="127">
        <f ca="1">Yield*((1-FIT_Inv)/(1-FIT_UW))*(ResRatio_UPR01+SurplusRatio)</f>
        <v>0.17051950122189671</v>
      </c>
    </row>
    <row r="59" spans="1:9" x14ac:dyDescent="0.25">
      <c r="A59" s="117" t="s">
        <v>206</v>
      </c>
      <c r="B59" s="128"/>
      <c r="C59" s="128"/>
      <c r="D59" s="128"/>
      <c r="E59" s="128"/>
      <c r="F59" s="128"/>
      <c r="G59" s="128"/>
      <c r="H59" s="127">
        <f>(1+Loss_AnnualTrend)/(1+Prem_AnnualTrend)-1</f>
        <v>0.14261411207387598</v>
      </c>
    </row>
    <row r="60" spans="1:9" x14ac:dyDescent="0.25">
      <c r="A60" s="117" t="s">
        <v>205</v>
      </c>
      <c r="B60" s="128"/>
      <c r="C60" s="128"/>
      <c r="D60" s="128"/>
      <c r="E60" s="128"/>
      <c r="F60" s="128"/>
      <c r="G60" s="128"/>
      <c r="H60" s="127">
        <f>IF(New_Program=TRUE,0,(1+Net_AnnualTrend)^MIN(4,((EffDate_Proposed-EffDate_Prior01)/365.25))-1)</f>
        <v>0.11044067308955419</v>
      </c>
    </row>
    <row r="61" spans="1:9" x14ac:dyDescent="0.25">
      <c r="A61" s="117" t="s">
        <v>207</v>
      </c>
      <c r="B61" s="128"/>
      <c r="C61" s="128"/>
      <c r="D61" s="128"/>
      <c r="E61" s="128"/>
      <c r="F61" s="128"/>
      <c r="G61" s="128"/>
      <c r="H61" s="127">
        <f ca="1">(ROR_Max)/(LevFact_Final01*(1-FIT_UW))</f>
        <v>0.16276507183086963</v>
      </c>
    </row>
    <row r="62" spans="1:9" x14ac:dyDescent="0.25">
      <c r="A62" s="117" t="s">
        <v>208</v>
      </c>
      <c r="B62" s="77"/>
      <c r="C62" s="77"/>
      <c r="D62" s="77"/>
      <c r="E62" s="77"/>
      <c r="F62" s="77"/>
      <c r="G62" s="77"/>
      <c r="H62" s="127">
        <f ca="1">(ROR_Min)/(LevFact_Final01*(1-FIT_UW))</f>
        <v>-9.8040310974533862E-2</v>
      </c>
    </row>
    <row r="63" spans="1:9" x14ac:dyDescent="0.25">
      <c r="A63" s="117" t="s">
        <v>209</v>
      </c>
      <c r="B63" s="77"/>
      <c r="C63" s="77"/>
      <c r="D63" s="77"/>
      <c r="E63" s="77"/>
      <c r="F63" s="77"/>
      <c r="G63" s="77"/>
      <c r="H63" s="127">
        <f ca="1">1-CredLossDCCE_perExp/Max_Premium-EffStd_Final01</f>
        <v>-0.12380241164845784</v>
      </c>
      <c r="I63" s="204"/>
    </row>
    <row r="64" spans="1:9" x14ac:dyDescent="0.25">
      <c r="A64" s="117" t="s">
        <v>211</v>
      </c>
      <c r="B64" s="77"/>
      <c r="C64" s="77"/>
      <c r="D64" s="77"/>
      <c r="E64" s="77"/>
      <c r="F64" s="77"/>
      <c r="G64" s="77"/>
      <c r="H64" s="129">
        <f ca="1">1-EffStd_Final01-Min_Profit+InvInc_Variable</f>
        <v>0.97123495499349444</v>
      </c>
      <c r="I64" s="204"/>
    </row>
    <row r="65" spans="1:9" x14ac:dyDescent="0.25">
      <c r="A65" s="117" t="s">
        <v>210</v>
      </c>
      <c r="B65" s="77"/>
      <c r="C65" s="77"/>
      <c r="D65" s="77"/>
      <c r="E65" s="77"/>
      <c r="F65" s="77"/>
      <c r="G65" s="77"/>
      <c r="H65" s="129">
        <f ca="1">1-EffStd_Final01-Max_Profit+InvInc_Variable</f>
        <v>0.71042957218809089</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419.43997629801657</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573.42033953848613</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-8.0339308132127765E-3</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0.35612614997764752</v>
      </c>
      <c r="I69" s="396" t="str">
        <f ca="1">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25"/>
    <row r="71" spans="1:9" ht="15.75" hidden="1" thickBot="1" x14ac:dyDescent="0.3">
      <c r="A71" s="7" t="s">
        <v>233</v>
      </c>
      <c r="B71" s="228" t="str">
        <f>'6.1Ratemaking Data'!D$14</f>
        <v>20173</v>
      </c>
      <c r="C71" s="228" t="str">
        <f>'6.1Ratemaking Data'!E$14</f>
        <v>20183</v>
      </c>
      <c r="D71" s="228" t="str">
        <f>'6.1Ratemaking Data'!F$14</f>
        <v>20193</v>
      </c>
      <c r="E71" s="228" t="str">
        <f>'6.1Ratemaking Data'!G$14</f>
        <v>20203</v>
      </c>
      <c r="F71" s="228" t="str">
        <f>'6.1Ratemaking Data'!H$14</f>
        <v>20213</v>
      </c>
      <c r="G71" s="228">
        <f>'6.1Ratemaking Data'!I$14</f>
        <v>20223</v>
      </c>
    </row>
    <row r="72" spans="1:9" hidden="1" x14ac:dyDescent="0.25">
      <c r="A72" s="114" t="s">
        <v>232</v>
      </c>
      <c r="B72" s="125"/>
      <c r="C72" s="125"/>
      <c r="D72" s="125"/>
      <c r="E72" s="125"/>
      <c r="F72" s="125"/>
      <c r="G72" s="125"/>
      <c r="H72" s="131" t="str">
        <f>IF(ISBLANK('6.1Ratemaking Data'!J44),"",'6.1Ratemaking Data'!J44)</f>
        <v/>
      </c>
    </row>
    <row r="73" spans="1:9" hidden="1" x14ac:dyDescent="0.25">
      <c r="A73" s="117" t="s">
        <v>219</v>
      </c>
      <c r="B73" s="118" t="str">
        <f>IF(ISBLANK('6.1Ratemaking Data'!D45),"",'6.1Ratemaking Data'!D45)</f>
        <v/>
      </c>
      <c r="C73" s="118" t="str">
        <f>IF(ISBLANK('6.1Ratemaking Data'!E45),"",'6.1Ratemaking Data'!E45)</f>
        <v/>
      </c>
      <c r="D73" s="118" t="str">
        <f>IF(ISBLANK('6.1Ratemaking Data'!F45),"",'6.1Ratemaking Data'!F45)</f>
        <v/>
      </c>
      <c r="E73" s="118" t="str">
        <f>IF(ISBLANK('6.1Ratemaking Data'!G45),"",'6.1Ratemaking Data'!G45)</f>
        <v/>
      </c>
      <c r="F73" s="118" t="str">
        <f>IF(ISBLANK('6.1Ratemaking Data'!H45),"",'6.1Ratemaking Data'!H45)</f>
        <v/>
      </c>
      <c r="G73" s="118" t="str">
        <f>IF(ISBLANK('6.1Ratemaking Data'!I45),"",'6.1Ratemaking Data'!I45)</f>
        <v/>
      </c>
      <c r="H73" s="119" t="str">
        <f ca="1">IF(RIGHT(Detailed_LineCode01,1)="R",IF(New_Program=TRUE,'6.1Ratemaking Data'!$K$45,SUM($B73:$G73)),"")</f>
        <v/>
      </c>
    </row>
    <row r="74" spans="1:9" hidden="1" x14ac:dyDescent="0.25">
      <c r="A74" s="117" t="s">
        <v>220</v>
      </c>
      <c r="B74" s="118" t="str">
        <f>IF(ISBLANK('6.1Ratemaking Data'!D46),"",'6.1Ratemaking Data'!D46)</f>
        <v/>
      </c>
      <c r="C74" s="118" t="str">
        <f>IF(ISBLANK('6.1Ratemaking Data'!E46),"",'6.1Ratemaking Data'!E46)</f>
        <v/>
      </c>
      <c r="D74" s="118" t="str">
        <f>IF(ISBLANK('6.1Ratemaking Data'!F46),"",'6.1Ratemaking Data'!F46)</f>
        <v/>
      </c>
      <c r="E74" s="118" t="str">
        <f>IF(ISBLANK('6.1Ratemaking Data'!G46),"",'6.1Ratemaking Data'!G46)</f>
        <v/>
      </c>
      <c r="F74" s="118" t="str">
        <f>IF(ISBLANK('6.1Ratemaking Data'!H46),"",'6.1Ratemaking Data'!H46)</f>
        <v/>
      </c>
      <c r="G74" s="118" t="str">
        <f>IF(ISBLANK('6.1Ratemaking Data'!I46),"",'6.1Ratemaking Data'!I46)</f>
        <v/>
      </c>
      <c r="H74" s="119">
        <f>IF(New_Program=TRUE,'6.1Ratemaking Data'!$K$46,SUM($B74:$G74))</f>
        <v>0</v>
      </c>
    </row>
    <row r="75" spans="1:9" hidden="1" x14ac:dyDescent="0.25">
      <c r="A75" s="117" t="s">
        <v>221</v>
      </c>
      <c r="B75" s="483" t="str">
        <f t="shared" ref="B75:H75" si="12">IF(ISERROR(Rein_Prem/Exposures_Earned),"",Rein_Prem/Exposures_Earned)</f>
        <v/>
      </c>
      <c r="C75" s="483" t="str">
        <f t="shared" si="12"/>
        <v/>
      </c>
      <c r="D75" s="483" t="str">
        <f t="shared" si="12"/>
        <v/>
      </c>
      <c r="E75" s="483" t="str">
        <f t="shared" si="12"/>
        <v/>
      </c>
      <c r="F75" s="483" t="str">
        <f t="shared" si="12"/>
        <v/>
      </c>
      <c r="G75" s="483" t="str">
        <f t="shared" si="12"/>
        <v/>
      </c>
      <c r="H75" s="482" t="str">
        <f t="shared" ca="1" si="12"/>
        <v/>
      </c>
    </row>
    <row r="76" spans="1:9" hidden="1" x14ac:dyDescent="0.25">
      <c r="A76" s="117" t="s">
        <v>222</v>
      </c>
      <c r="B76" s="483" t="str">
        <f t="shared" ref="B76:H76" si="13">IF(ISERROR(Rein_Recov/Exposures_Earned),"",Rein_Recov/Exposures_Earned)</f>
        <v/>
      </c>
      <c r="C76" s="483" t="str">
        <f t="shared" si="13"/>
        <v/>
      </c>
      <c r="D76" s="483" t="str">
        <f t="shared" si="13"/>
        <v/>
      </c>
      <c r="E76" s="483" t="str">
        <f t="shared" si="13"/>
        <v/>
      </c>
      <c r="F76" s="483" t="str">
        <f t="shared" si="13"/>
        <v/>
      </c>
      <c r="G76" s="483" t="str">
        <f t="shared" si="13"/>
        <v/>
      </c>
      <c r="H76" s="482">
        <f t="shared" si="13"/>
        <v>0</v>
      </c>
    </row>
    <row r="77" spans="1:9" hidden="1" x14ac:dyDescent="0.25">
      <c r="A77" s="117" t="s">
        <v>223</v>
      </c>
      <c r="B77" s="483" t="str">
        <f t="shared" ref="B77:H77" ca="1" si="14">IF(ISERROR((TCRLP_perExp*(1+Comp_Trend)*Max_Denom+Anc_Inc_perExp-ReinPrem_perExp*Max_Denom/(1-Comm_Rate-PremTaxRate))/(1-InvInc_Fixed)),"",(TCRLP_perExp*(1+Comp_Trend)*Max_Denom+Anc_Inc_perExp-ReinPrem_perExp*Max_Denom/(1-Comm_Rate-PremTaxRate))/(1-InvInc_Fixed))</f>
        <v/>
      </c>
      <c r="C77" s="483" t="str">
        <f t="shared" ca="1" si="14"/>
        <v/>
      </c>
      <c r="D77" s="483" t="str">
        <f t="shared" ca="1" si="14"/>
        <v/>
      </c>
      <c r="E77" s="483" t="str">
        <f t="shared" ca="1" si="14"/>
        <v/>
      </c>
      <c r="F77" s="483" t="str">
        <f t="shared" ca="1" si="14"/>
        <v/>
      </c>
      <c r="G77" s="483" t="str">
        <f t="shared" ca="1" si="14"/>
        <v/>
      </c>
      <c r="H77" s="482" t="str">
        <f t="shared" ca="1" si="14"/>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IF(AND('6.1Ratemaking Data'!Error30="",'6.1Ratemaking Data'!Error31="",'6.1Ratemaking Data'!Error32=""),"","See Column M of Page '6.1Ratemaking Data' for errors that must be corrected.")</f>
        <v/>
      </c>
    </row>
    <row r="80" spans="1:9" ht="26.25" x14ac:dyDescent="0.25">
      <c r="F80" s="657" t="s">
        <v>600</v>
      </c>
      <c r="G80" s="657"/>
      <c r="H80" s="657"/>
    </row>
    <row r="81" spans="1:1" x14ac:dyDescent="0.25">
      <c r="A81" s="132"/>
    </row>
  </sheetData>
  <sheetProtection algorithmName="SHA-512" hashValue="oBTHx489LP+9PZkBwAGS5/jAtrI2U4kTpsq0L86JaZGh3kk8Kn5PLsz+TgbVEj3LlqPmmaRUCoXHWowrlTABoA==" saltValue="4jcDbT/hau6ZOADPmTxKGQ=="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3"/>
  <pageSetup scale="72" orientation="portrait" r:id="rId1"/>
  <headerFooter>
    <oddFooter>&amp;CPrior Approval Rate Template&amp;RPage 7.1&amp;L1/3/2023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Mutual Automobile Insurance Company</v>
      </c>
    </row>
    <row r="2" spans="1:8" x14ac:dyDescent="0.25">
      <c r="A2" s="7" t="s">
        <v>32</v>
      </c>
      <c r="E2" s="109" t="s">
        <v>34</v>
      </c>
      <c r="H2" s="110" t="str">
        <f>General_Line</f>
        <v>Auto Liability and Physical Damage</v>
      </c>
    </row>
    <row r="3" spans="1:8" x14ac:dyDescent="0.25">
      <c r="E3" s="154" t="s">
        <v>142</v>
      </c>
      <c r="F3" s="77"/>
      <c r="G3" s="77"/>
      <c r="H3" s="160" t="str">
        <f>CDI_FileNo</f>
        <v/>
      </c>
    </row>
    <row r="4" spans="1:8" ht="18" customHeight="1" x14ac:dyDescent="0.25">
      <c r="A4" s="510" t="str">
        <f>IF('6.2Ratemaking Data'!$K$7="","VARIANCE - NONE","VARIANCE "&amp;'6.2Ratemaking Data'!$K$7)</f>
        <v>VARIANCE 8A</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76</v>
      </c>
      <c r="H8" s="161">
        <f>Completed_Date</f>
        <v>44979</v>
      </c>
    </row>
    <row r="9" spans="1:8" ht="15" customHeight="1" x14ac:dyDescent="0.25">
      <c r="A9" s="6" t="s">
        <v>169</v>
      </c>
      <c r="H9" s="161">
        <f>EffDate_Prior02</f>
        <v>45061</v>
      </c>
    </row>
    <row r="10" spans="1:8" ht="15" customHeight="1" x14ac:dyDescent="0.25">
      <c r="A10" s="6" t="s">
        <v>170</v>
      </c>
      <c r="B10" s="52"/>
      <c r="H10" s="161">
        <f>EffDate_Proposed</f>
        <v>45348</v>
      </c>
    </row>
    <row r="11" spans="1:8" ht="15" customHeight="1" x14ac:dyDescent="0.25">
      <c r="A11" s="6" t="s">
        <v>77</v>
      </c>
      <c r="B11" s="52"/>
      <c r="H11" s="23" t="str">
        <f>Detailed_LineDesc02</f>
        <v>Private Passenger Auto Liability</v>
      </c>
    </row>
    <row r="12" spans="1:8" ht="15" customHeight="1" x14ac:dyDescent="0.25">
      <c r="A12" s="6" t="s">
        <v>78</v>
      </c>
      <c r="B12" s="52"/>
      <c r="H12" s="23" t="str">
        <f>Covg02</f>
        <v>MPC</v>
      </c>
    </row>
    <row r="13" spans="1:8" ht="15" customHeight="1" x14ac:dyDescent="0.25">
      <c r="H13" s="511"/>
    </row>
    <row r="14" spans="1:8" ht="9.9499999999999993" customHeight="1" x14ac:dyDescent="0.25"/>
    <row r="15" spans="1:8" ht="15.75" thickBot="1" x14ac:dyDescent="0.3">
      <c r="A15" s="7" t="s">
        <v>171</v>
      </c>
      <c r="B15" s="228" t="str">
        <f>'6.2Ratemaking Data'!D$14</f>
        <v>20173</v>
      </c>
      <c r="C15" s="228" t="str">
        <f>'6.2Ratemaking Data'!E$14</f>
        <v>20183</v>
      </c>
      <c r="D15" s="228" t="str">
        <f>'6.2Ratemaking Data'!F$14</f>
        <v>20193</v>
      </c>
      <c r="E15" s="228" t="str">
        <f>'6.2Ratemaking Data'!G$14</f>
        <v>20203</v>
      </c>
      <c r="F15" s="228" t="str">
        <f>'6.2Ratemaking Data'!H$14</f>
        <v>20213</v>
      </c>
      <c r="G15" s="228">
        <f>'6.2Ratemaking Data'!I$14</f>
        <v>20223</v>
      </c>
      <c r="H15" s="91" t="s">
        <v>306</v>
      </c>
    </row>
    <row r="16" spans="1:8" x14ac:dyDescent="0.25">
      <c r="A16" s="114" t="s">
        <v>173</v>
      </c>
      <c r="B16" s="115" t="str">
        <f>IF(ISBLANK('6.2Ratemaking Data'!D15),"",'6.2Ratemaking Data'!D15)</f>
        <v/>
      </c>
      <c r="C16" s="115" t="str">
        <f>IF(ISBLANK('6.2Ratemaking Data'!E15),"",'6.2Ratemaking Data'!E15)</f>
        <v/>
      </c>
      <c r="D16" s="115" t="str">
        <f>IF(ISBLANK('6.2Ratemaking Data'!F15),"",'6.2Ratemaking Data'!F15)</f>
        <v/>
      </c>
      <c r="E16" s="115" t="str">
        <f>IF(ISBLANK('6.2Ratemaking Data'!G15),"",'6.2Ratemaking Data'!G15)</f>
        <v/>
      </c>
      <c r="F16" s="115" t="str">
        <f>IF(ISBLANK('6.2Ratemaking Data'!H15),"",'6.2Ratemaking Data'!H15)</f>
        <v/>
      </c>
      <c r="G16" s="115">
        <f>IF(ISBLANK('6.2Ratemaking Data'!I15),"",'6.2Ratemaking Data'!I15)</f>
        <v>71006105.899999991</v>
      </c>
      <c r="H16" s="116">
        <f>IF(New_Program=TRUE,'6.2Ratemaking Data'!$K$15,SUM($B16:$G16))</f>
        <v>71006105.899999991</v>
      </c>
    </row>
    <row r="17" spans="1:10" x14ac:dyDescent="0.25">
      <c r="A17" s="117" t="s">
        <v>172</v>
      </c>
      <c r="B17" s="118" t="str">
        <f>IF(ISBLANK('6.2Ratemaking Data'!D16),"",'6.2Ratemaking Data'!D16)</f>
        <v/>
      </c>
      <c r="C17" s="118" t="str">
        <f>IF(ISBLANK('6.2Ratemaking Data'!E16),"",'6.2Ratemaking Data'!E16)</f>
        <v/>
      </c>
      <c r="D17" s="118" t="str">
        <f>IF(ISBLANK('6.2Ratemaking Data'!F16),"",'6.2Ratemaking Data'!F16)</f>
        <v/>
      </c>
      <c r="E17" s="118" t="str">
        <f>IF(ISBLANK('6.2Ratemaking Data'!G16),"",'6.2Ratemaking Data'!G16)</f>
        <v/>
      </c>
      <c r="F17" s="118" t="str">
        <f>IF(ISBLANK('6.2Ratemaking Data'!H16),"",'6.2Ratemaking Data'!H16)</f>
        <v/>
      </c>
      <c r="G17" s="118">
        <f>IF(ISBLANK('6.2Ratemaking Data'!I16),"",'6.2Ratemaking Data'!I16)</f>
        <v>70334909.319999993</v>
      </c>
      <c r="H17" s="119">
        <f>IF(New_Program=TRUE,'6.2Ratemaking Data'!$K$16,SUM($B17:$G17))</f>
        <v>70334909.319999993</v>
      </c>
    </row>
    <row r="18" spans="1:10" x14ac:dyDescent="0.25">
      <c r="A18" s="117" t="s">
        <v>174</v>
      </c>
      <c r="B18" s="120" t="str">
        <f>IF(ISBLANK('6.2Ratemaking Data'!D17),"",'6.2Ratemaking Data'!D17)</f>
        <v/>
      </c>
      <c r="C18" s="120" t="str">
        <f>IF(ISBLANK('6.2Ratemaking Data'!E17),"",'6.2Ratemaking Data'!E17)</f>
        <v/>
      </c>
      <c r="D18" s="120" t="str">
        <f>IF(ISBLANK('6.2Ratemaking Data'!F17),"",'6.2Ratemaking Data'!F17)</f>
        <v/>
      </c>
      <c r="E18" s="120" t="str">
        <f>IF(ISBLANK('6.2Ratemaking Data'!G17),"",'6.2Ratemaking Data'!G17)</f>
        <v/>
      </c>
      <c r="F18" s="120" t="str">
        <f>IF(ISBLANK('6.2Ratemaking Data'!H17),"",'6.2Ratemaking Data'!H17)</f>
        <v/>
      </c>
      <c r="G18" s="120">
        <f>IF(ISBLANK('6.2Ratemaking Data'!I17),"",'6.2Ratemaking Data'!I17)</f>
        <v>0.99299883313885662</v>
      </c>
      <c r="H18" s="121"/>
    </row>
    <row r="19" spans="1:10" x14ac:dyDescent="0.25">
      <c r="A19" s="117" t="s">
        <v>175</v>
      </c>
      <c r="B19" s="120" t="str">
        <f>IF(ISBLANK('6.2Ratemaking Data'!D18),"",'6.2Ratemaking Data'!D18)</f>
        <v/>
      </c>
      <c r="C19" s="120" t="str">
        <f>IF(ISBLANK('6.2Ratemaking Data'!E18),"",'6.2Ratemaking Data'!E18)</f>
        <v/>
      </c>
      <c r="D19" s="120" t="str">
        <f>IF(ISBLANK('6.2Ratemaking Data'!F18),"",'6.2Ratemaking Data'!F18)</f>
        <v/>
      </c>
      <c r="E19" s="120" t="str">
        <f>IF(ISBLANK('6.2Ratemaking Data'!G18),"",'6.2Ratemaking Data'!G18)</f>
        <v/>
      </c>
      <c r="F19" s="120" t="str">
        <f>IF(ISBLANK('6.2Ratemaking Data'!H18),"",'6.2Ratemaking Data'!H18)</f>
        <v/>
      </c>
      <c r="G19" s="120">
        <f>IF(ISBLANK('6.2Ratemaking Data'!I18),"",'6.2Ratemaking Data'!I18)</f>
        <v>0.97475890805026122</v>
      </c>
      <c r="H19" s="127">
        <f>IF(New_Program=TRUE,0,'6.2Ratemaking Data'!$J$18)</f>
        <v>-1.12581632847876E-2</v>
      </c>
    </row>
    <row r="20" spans="1:10" x14ac:dyDescent="0.25">
      <c r="A20" s="117" t="s">
        <v>176</v>
      </c>
      <c r="B20" s="118" t="str">
        <f>IF(ISBLANK('6.2Ratemaking Data'!D19),"",'6.2Ratemaking Data'!D19)</f>
        <v/>
      </c>
      <c r="C20" s="118" t="str">
        <f>IF(ISBLANK('6.2Ratemaking Data'!E19),"",'6.2Ratemaking Data'!E19)</f>
        <v/>
      </c>
      <c r="D20" s="118" t="str">
        <f>IF(ISBLANK('6.2Ratemaking Data'!F19),"",'6.2Ratemaking Data'!F19)</f>
        <v/>
      </c>
      <c r="E20" s="118" t="str">
        <f>IF(ISBLANK('6.2Ratemaking Data'!G19),"",'6.2Ratemaking Data'!G19)</f>
        <v/>
      </c>
      <c r="F20" s="118" t="str">
        <f>IF(ISBLANK('6.2Ratemaking Data'!H19),"",'6.2Ratemaking Data'!H19)</f>
        <v/>
      </c>
      <c r="G20" s="118">
        <f>IF(ISBLANK('6.2Ratemaking Data'!I19),"",'6.2Ratemaking Data'!I19)</f>
        <v>0</v>
      </c>
      <c r="H20" s="119">
        <f>IF(New_Program=TRUE,'6.2Ratemaking Data'!$K$19,SUM($B20:$G20))</f>
        <v>0</v>
      </c>
    </row>
    <row r="21" spans="1:10" x14ac:dyDescent="0.25">
      <c r="A21" s="117" t="s">
        <v>177</v>
      </c>
      <c r="B21" s="118" t="str">
        <f>IF(ISBLANK('6.2Ratemaking Data'!D20),"",'6.2Ratemaking Data'!D20)</f>
        <v/>
      </c>
      <c r="C21" s="118" t="str">
        <f>IF(ISBLANK('6.2Ratemaking Data'!E20),"",'6.2Ratemaking Data'!E20)</f>
        <v/>
      </c>
      <c r="D21" s="118" t="str">
        <f>IF(ISBLANK('6.2Ratemaking Data'!F20),"",'6.2Ratemaking Data'!F20)</f>
        <v/>
      </c>
      <c r="E21" s="118" t="str">
        <f>IF(ISBLANK('6.2Ratemaking Data'!G20),"",'6.2Ratemaking Data'!G20)</f>
        <v/>
      </c>
      <c r="F21" s="118" t="str">
        <f>IF(ISBLANK('6.2Ratemaking Data'!H20),"",'6.2Ratemaking Data'!H20)</f>
        <v/>
      </c>
      <c r="G21" s="118">
        <f>IF(ISBLANK('6.2Ratemaking Data'!I20),"",'6.2Ratemaking Data'!I20)</f>
        <v>2075214</v>
      </c>
      <c r="H21" s="119">
        <f>IF(New_Program=TRUE,'6.2Ratemaking Data'!$K$20,SUM($B21:$G21))</f>
        <v>2075214</v>
      </c>
      <c r="J21" s="111"/>
    </row>
    <row r="22" spans="1:10" x14ac:dyDescent="0.25">
      <c r="A22" s="117" t="s">
        <v>178</v>
      </c>
      <c r="B22" s="118" t="str">
        <f>IF(ISBLANK('6.2Ratemaking Data'!D21),"",'6.2Ratemaking Data'!D21)</f>
        <v/>
      </c>
      <c r="C22" s="118" t="str">
        <f>IF(ISBLANK('6.2Ratemaking Data'!E21),"",'6.2Ratemaking Data'!E21)</f>
        <v/>
      </c>
      <c r="D22" s="118" t="str">
        <f>IF(ISBLANK('6.2Ratemaking Data'!F21),"",'6.2Ratemaking Data'!F21)</f>
        <v/>
      </c>
      <c r="E22" s="118" t="str">
        <f>IF(ISBLANK('6.2Ratemaking Data'!G21),"",'6.2Ratemaking Data'!G21)</f>
        <v/>
      </c>
      <c r="F22" s="118" t="str">
        <f>IF(ISBLANK('6.2Ratemaking Data'!H21),"",'6.2Ratemaking Data'!H21)</f>
        <v/>
      </c>
      <c r="G22" s="118">
        <f>IF(ISBLANK('6.2Ratemaking Data'!I21),"",'6.2Ratemaking Data'!I21)</f>
        <v>42284598.57</v>
      </c>
      <c r="H22" s="119">
        <f>IF(New_Program=TRUE,'6.2Ratemaking Data'!$K$21,SUM($B22:$G22))</f>
        <v>42284598.57</v>
      </c>
      <c r="J22" s="111"/>
    </row>
    <row r="23" spans="1:10" x14ac:dyDescent="0.25">
      <c r="A23" s="117" t="s">
        <v>144</v>
      </c>
      <c r="B23" s="118" t="str">
        <f>IF(ISBLANK('6.2Ratemaking Data'!D22),"",'6.2Ratemaking Data'!D22)</f>
        <v/>
      </c>
      <c r="C23" s="118" t="str">
        <f>IF(ISBLANK('6.2Ratemaking Data'!E22),"",'6.2Ratemaking Data'!E22)</f>
        <v/>
      </c>
      <c r="D23" s="118" t="str">
        <f>IF(ISBLANK('6.2Ratemaking Data'!F22),"",'6.2Ratemaking Data'!F22)</f>
        <v/>
      </c>
      <c r="E23" s="118" t="str">
        <f>IF(ISBLANK('6.2Ratemaking Data'!G22),"",'6.2Ratemaking Data'!G22)</f>
        <v/>
      </c>
      <c r="F23" s="118" t="str">
        <f>IF(ISBLANK('6.2Ratemaking Data'!H22),"",'6.2Ratemaking Data'!H22)</f>
        <v/>
      </c>
      <c r="G23" s="118">
        <f>IF(ISBLANK('6.2Ratemaking Data'!I22),"",'6.2Ratemaking Data'!I22)</f>
        <v>82629.399999999994</v>
      </c>
      <c r="H23" s="119">
        <f>IF(New_Program=TRUE,'6.2Ratemaking Data'!$K$22,SUM($B23:$G23))</f>
        <v>82629.399999999994</v>
      </c>
      <c r="J23" s="111"/>
    </row>
    <row r="24" spans="1:10" x14ac:dyDescent="0.25">
      <c r="A24" s="117" t="s">
        <v>181</v>
      </c>
      <c r="B24" s="120" t="str">
        <f>IF(ISBLANK('6.2Ratemaking Data'!D23),"",'6.2Ratemaking Data'!D23)</f>
        <v/>
      </c>
      <c r="C24" s="120" t="str">
        <f>IF(ISBLANK('6.2Ratemaking Data'!E23),"",'6.2Ratemaking Data'!E23)</f>
        <v/>
      </c>
      <c r="D24" s="120" t="str">
        <f>IF(ISBLANK('6.2Ratemaking Data'!F23),"",'6.2Ratemaking Data'!F23)</f>
        <v/>
      </c>
      <c r="E24" s="120" t="str">
        <f>IF(ISBLANK('6.2Ratemaking Data'!G23),"",'6.2Ratemaking Data'!G23)</f>
        <v/>
      </c>
      <c r="F24" s="120" t="str">
        <f>IF(ISBLANK('6.2Ratemaking Data'!H23),"",'6.2Ratemaking Data'!H23)</f>
        <v/>
      </c>
      <c r="G24" s="120">
        <f>IF(ISBLANK('6.2Ratemaking Data'!I23),"",'6.2Ratemaking Data'!I23)</f>
        <v>1.3942162442515211</v>
      </c>
      <c r="H24" s="121"/>
    </row>
    <row r="25" spans="1:10" x14ac:dyDescent="0.25">
      <c r="A25" s="117" t="s">
        <v>182</v>
      </c>
      <c r="B25" s="120" t="str">
        <f>IF(ISBLANK('6.2Ratemaking Data'!D24),"",'6.2Ratemaking Data'!D24)</f>
        <v/>
      </c>
      <c r="C25" s="120" t="str">
        <f>IF(ISBLANK('6.2Ratemaking Data'!E24),"",'6.2Ratemaking Data'!E24)</f>
        <v/>
      </c>
      <c r="D25" s="120" t="str">
        <f>IF(ISBLANK('6.2Ratemaking Data'!F24),"",'6.2Ratemaking Data'!F24)</f>
        <v/>
      </c>
      <c r="E25" s="120" t="str">
        <f>IF(ISBLANK('6.2Ratemaking Data'!G24),"",'6.2Ratemaking Data'!G24)</f>
        <v/>
      </c>
      <c r="F25" s="120" t="str">
        <f>IF(ISBLANK('6.2Ratemaking Data'!H24),"",'6.2Ratemaking Data'!H24)</f>
        <v/>
      </c>
      <c r="G25" s="120">
        <f>IF(ISBLANK('6.2Ratemaking Data'!I24),"",'6.2Ratemaking Data'!I24)</f>
        <v>3.6086644629124005</v>
      </c>
      <c r="H25" s="121"/>
    </row>
    <row r="26" spans="1:10" x14ac:dyDescent="0.25">
      <c r="A26" s="117" t="s">
        <v>179</v>
      </c>
      <c r="B26" s="120" t="str">
        <f>IF(ISBLANK('6.2Ratemaking Data'!D25),"",'6.2Ratemaking Data'!D25)</f>
        <v/>
      </c>
      <c r="C26" s="120" t="str">
        <f>IF(ISBLANK('6.2Ratemaking Data'!E25),"",'6.2Ratemaking Data'!E25)</f>
        <v/>
      </c>
      <c r="D26" s="120" t="str">
        <f>IF(ISBLANK('6.2Ratemaking Data'!F25),"",'6.2Ratemaking Data'!F25)</f>
        <v/>
      </c>
      <c r="E26" s="120" t="str">
        <f>IF(ISBLANK('6.2Ratemaking Data'!G25),"",'6.2Ratemaking Data'!G25)</f>
        <v/>
      </c>
      <c r="F26" s="120" t="str">
        <f>IF(ISBLANK('6.2Ratemaking Data'!H25),"",'6.2Ratemaking Data'!H25)</f>
        <v/>
      </c>
      <c r="G26" s="120">
        <f>IF(ISBLANK('6.2Ratemaking Data'!I25),"",'6.2Ratemaking Data'!I25)</f>
        <v>1.2142609502538038</v>
      </c>
      <c r="H26" s="127">
        <f>IF(New_Program=TRUE,0,'6.2Ratemaking Data'!$J$25)</f>
        <v>8.9781047950882042E-2</v>
      </c>
    </row>
    <row r="27" spans="1:10" x14ac:dyDescent="0.25">
      <c r="A27" s="117" t="s">
        <v>180</v>
      </c>
      <c r="B27" s="120" t="str">
        <f>IF(ISBLANK('6.2Ratemaking Data'!D26),"",'6.2Ratemaking Data'!D26)</f>
        <v/>
      </c>
      <c r="C27" s="120" t="str">
        <f>IF(ISBLANK('6.2Ratemaking Data'!E26),"",'6.2Ratemaking Data'!E26)</f>
        <v/>
      </c>
      <c r="D27" s="120" t="str">
        <f>IF(ISBLANK('6.2Ratemaking Data'!F26),"",'6.2Ratemaking Data'!F26)</f>
        <v/>
      </c>
      <c r="E27" s="120" t="str">
        <f>IF(ISBLANK('6.2Ratemaking Data'!G26),"",'6.2Ratemaking Data'!G26)</f>
        <v/>
      </c>
      <c r="F27" s="120" t="str">
        <f>IF(ISBLANK('6.2Ratemaking Data'!H26),"",'6.2Ratemaking Data'!H26)</f>
        <v/>
      </c>
      <c r="G27" s="120">
        <f>IF(ISBLANK('6.2Ratemaking Data'!I26),"",'6.2Ratemaking Data'!I26)</f>
        <v>1.2142609502538038</v>
      </c>
      <c r="H27" s="127">
        <f>IF(New_Program=TRUE,0,'6.2Ratemaking Data'!$J$26)</f>
        <v>8.9781047950882042E-2</v>
      </c>
    </row>
    <row r="28" spans="1:10" x14ac:dyDescent="0.25">
      <c r="A28" s="117" t="s">
        <v>183</v>
      </c>
      <c r="B28" s="120" t="str">
        <f>IF(ISBLANK('6.2Ratemaking Data'!D27),"",'6.2Ratemaking Data'!D27)</f>
        <v/>
      </c>
      <c r="C28" s="120" t="str">
        <f>IF(ISBLANK('6.2Ratemaking Data'!E27),"",'6.2Ratemaking Data'!E27)</f>
        <v/>
      </c>
      <c r="D28" s="120" t="str">
        <f>IF(ISBLANK('6.2Ratemaking Data'!F27),"",'6.2Ratemaking Data'!F27)</f>
        <v/>
      </c>
      <c r="E28" s="120" t="str">
        <f>IF(ISBLANK('6.2Ratemaking Data'!G27),"",'6.2Ratemaking Data'!G27)</f>
        <v/>
      </c>
      <c r="F28" s="120" t="str">
        <f>IF(ISBLANK('6.2Ratemaking Data'!H27),"",'6.2Ratemaking Data'!H27)</f>
        <v/>
      </c>
      <c r="G28" s="120">
        <f>IF(ISBLANK('6.2Ratemaking Data'!I27),"",'6.2Ratemaking Data'!I27)</f>
        <v>1</v>
      </c>
      <c r="H28" s="121"/>
    </row>
    <row r="29" spans="1:10" ht="15.75" thickBot="1" x14ac:dyDescent="0.3">
      <c r="A29" s="133" t="s">
        <v>188</v>
      </c>
      <c r="B29" s="134" t="str">
        <f>IF(ISBLANK('6.2Ratemaking Data'!D29),"",'6.2Ratemaking Data'!D29)</f>
        <v/>
      </c>
      <c r="C29" s="134" t="str">
        <f>IF(ISBLANK('6.2Ratemaking Data'!E29),"",'6.2Ratemaking Data'!E29)</f>
        <v/>
      </c>
      <c r="D29" s="134" t="str">
        <f>IF(ISBLANK('6.2Ratemaking Data'!F29),"",'6.2Ratemaking Data'!F29)</f>
        <v/>
      </c>
      <c r="E29" s="134" t="str">
        <f>IF(ISBLANK('6.2Ratemaking Data'!G29),"",'6.2Ratemaking Data'!G29)</f>
        <v/>
      </c>
      <c r="F29" s="134" t="str">
        <f>IF(ISBLANK('6.2Ratemaking Data'!H29),"",'6.2Ratemaking Data'!H29)</f>
        <v/>
      </c>
      <c r="G29" s="134">
        <f>IF(ISBLANK('6.2Ratemaking Data'!I29),"",'6.2Ratemaking Data'!I29)</f>
        <v>0</v>
      </c>
      <c r="H29" s="135">
        <f>IF(New_Program=TRUE,'6.2Ratemaking Data'!$K$29,SUM($B29:$G29))</f>
        <v>0</v>
      </c>
    </row>
    <row r="30" spans="1:10" ht="15.75" thickTop="1" x14ac:dyDescent="0.25">
      <c r="A30" s="117" t="s">
        <v>184</v>
      </c>
      <c r="B30" s="122"/>
      <c r="C30" s="122"/>
      <c r="D30" s="122"/>
      <c r="E30" s="122"/>
      <c r="F30" s="122"/>
      <c r="G30" s="122"/>
      <c r="H30" s="127">
        <f>IF(New_Program=TRUE,100%,'6.2Ratemaking Data'!$J$28)</f>
        <v>1</v>
      </c>
    </row>
    <row r="31" spans="1:10" x14ac:dyDescent="0.25">
      <c r="A31" s="117" t="s">
        <v>185</v>
      </c>
      <c r="B31" s="122"/>
      <c r="C31" s="122"/>
      <c r="D31" s="122"/>
      <c r="E31" s="122"/>
      <c r="F31" s="122"/>
      <c r="G31" s="122"/>
      <c r="H31" s="127">
        <f>ExpRatio_Excluded</f>
        <v>1.3597266477453115E-2</v>
      </c>
    </row>
    <row r="32" spans="1:10" x14ac:dyDescent="0.25">
      <c r="A32" s="117" t="s">
        <v>166</v>
      </c>
      <c r="B32" s="122"/>
      <c r="C32" s="122"/>
      <c r="D32" s="122"/>
      <c r="E32" s="122"/>
      <c r="F32" s="122"/>
      <c r="G32" s="122"/>
      <c r="H32" s="127">
        <f>FIT_Inv</f>
        <v>0.18957755323144132</v>
      </c>
    </row>
    <row r="33" spans="1:9" ht="15.75" thickBot="1" x14ac:dyDescent="0.3">
      <c r="A33" s="85" t="s">
        <v>165</v>
      </c>
      <c r="B33" s="123"/>
      <c r="C33" s="123"/>
      <c r="D33" s="123"/>
      <c r="E33" s="123"/>
      <c r="F33" s="123"/>
      <c r="G33" s="123"/>
      <c r="H33" s="124">
        <f>Yield</f>
        <v>0.10317106949646478</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EffStd_Final02</f>
        <v>0.29732485720293622</v>
      </c>
    </row>
    <row r="38" spans="1:9" x14ac:dyDescent="0.25">
      <c r="A38" s="117" t="s">
        <v>191</v>
      </c>
      <c r="B38" s="77"/>
      <c r="C38" s="77"/>
      <c r="D38" s="77"/>
      <c r="E38" s="77"/>
      <c r="F38" s="577" t="s">
        <v>317</v>
      </c>
      <c r="G38" s="578">
        <f>update_leverage</f>
        <v>2021</v>
      </c>
      <c r="H38" s="162">
        <f ca="1">LevFact_Final02</f>
        <v>0.7746748896822202</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1/LevFact_Final02</f>
        <v>1.2908640944980294</v>
      </c>
    </row>
    <row r="41" spans="1:9" x14ac:dyDescent="0.25">
      <c r="A41" s="117" t="s">
        <v>198</v>
      </c>
      <c r="B41" s="77"/>
      <c r="C41" s="77"/>
      <c r="D41" s="77"/>
      <c r="E41" s="77"/>
      <c r="F41" s="577" t="s">
        <v>317</v>
      </c>
      <c r="G41" s="578">
        <f>update_reserveratios</f>
        <v>2021</v>
      </c>
      <c r="H41" s="163">
        <f ca="1">ResRatio_UPR02</f>
        <v>0.32027023269708416</v>
      </c>
    </row>
    <row r="42" spans="1:9" x14ac:dyDescent="0.25">
      <c r="A42" s="117" t="s">
        <v>194</v>
      </c>
      <c r="B42" s="77"/>
      <c r="C42" s="77"/>
      <c r="D42" s="77"/>
      <c r="E42" s="77"/>
      <c r="F42" s="577" t="s">
        <v>317</v>
      </c>
      <c r="G42" s="578">
        <f>update_reserveratios</f>
        <v>2021</v>
      </c>
      <c r="H42" s="163">
        <f ca="1">ResRatio_Loss02</f>
        <v>1.3266740292453059</v>
      </c>
    </row>
    <row r="43" spans="1:9" x14ac:dyDescent="0.25">
      <c r="A43" s="117" t="s">
        <v>195</v>
      </c>
      <c r="B43" s="77"/>
      <c r="C43" s="77"/>
      <c r="D43" s="77"/>
      <c r="E43" s="77"/>
      <c r="F43" s="575" t="s">
        <v>317</v>
      </c>
      <c r="G43" s="575" t="str">
        <f>ROR_RiskFree_Date</f>
        <v>January 2023</v>
      </c>
      <c r="H43" s="576">
        <f>ROR_RiskFree</f>
        <v>3.9611111111111104E-2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9.9611111111111095E-2</v>
      </c>
    </row>
    <row r="46" spans="1:9" ht="5.0999999999999996" customHeight="1" x14ac:dyDescent="0.25"/>
    <row r="47" spans="1:9" ht="15.75" thickBot="1" x14ac:dyDescent="0.3">
      <c r="A47" s="7" t="s">
        <v>234</v>
      </c>
      <c r="B47" s="228" t="str">
        <f>'6.2Ratemaking Data'!D$14</f>
        <v>20173</v>
      </c>
      <c r="C47" s="228" t="str">
        <f>'6.2Ratemaking Data'!E$14</f>
        <v>20183</v>
      </c>
      <c r="D47" s="228" t="str">
        <f>'6.2Ratemaking Data'!F$14</f>
        <v>20193</v>
      </c>
      <c r="E47" s="228" t="str">
        <f>'6.2Ratemaking Data'!G$14</f>
        <v>20203</v>
      </c>
      <c r="F47" s="228" t="str">
        <f>'6.2Ratemaking Data'!H$14</f>
        <v>20213</v>
      </c>
      <c r="G47" s="228">
        <f>'6.2Ratemaking Data'!I$14</f>
        <v>20223</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68079582.351222083</v>
      </c>
      <c r="H48" s="116">
        <f>IF(New_Program=TRUE,(Prem_Earned+Misc_Fees),SUM($B48:$G48))</f>
        <v>68079582.351222083</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71585387.316886932</v>
      </c>
      <c r="H49" s="119">
        <f>IF(New_Program=TRUE,Losses,SUM($B49:$G49))</f>
        <v>71585387.316886932</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362070.49076834024</v>
      </c>
      <c r="H50" s="119">
        <f>IF(New_Program=TRUE,DCCE,SUM($B50:$G50))</f>
        <v>362070.49076834024</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f t="shared" si="3"/>
        <v>1.0568140303281952</v>
      </c>
      <c r="H51" s="127">
        <f t="shared" si="3"/>
        <v>1.0568140303281952</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32.806053906354755</v>
      </c>
      <c r="H52" s="130">
        <f t="shared" si="4"/>
        <v>32.806053906354755</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34.669898047938801</v>
      </c>
      <c r="H53" s="130">
        <f t="shared" si="5"/>
        <v>34.669898047938801</v>
      </c>
    </row>
    <row r="54" spans="1:9" x14ac:dyDescent="0.25">
      <c r="A54" s="117" t="s">
        <v>204</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29.26769587839587</v>
      </c>
      <c r="H54" s="130">
        <f t="shared" ca="1" si="6"/>
        <v>29.26769587839587</v>
      </c>
    </row>
    <row r="55" spans="1:9" x14ac:dyDescent="0.25">
      <c r="A55" s="117" t="s">
        <v>214</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34.669898047938801</v>
      </c>
      <c r="H55" s="130">
        <f t="shared" ca="1" si="7"/>
        <v>34.669898047938801</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217</v>
      </c>
      <c r="B57" s="77"/>
      <c r="C57" s="77"/>
      <c r="D57" s="77"/>
      <c r="E57" s="77"/>
      <c r="F57" s="77"/>
      <c r="G57" s="77"/>
      <c r="H57" s="127">
        <f ca="1">Yield*((1-FIT_Inv)/(1-FIT_UW))*ResRatio_Loss02</f>
        <v>0.14041274518977906</v>
      </c>
    </row>
    <row r="58" spans="1:9" x14ac:dyDescent="0.25">
      <c r="A58" s="117" t="s">
        <v>218</v>
      </c>
      <c r="B58" s="77"/>
      <c r="C58" s="77"/>
      <c r="D58" s="77"/>
      <c r="E58" s="77"/>
      <c r="F58" s="77"/>
      <c r="G58" s="77"/>
      <c r="H58" s="127">
        <f ca="1">Yield*((1-FIT_Inv)/(1-FIT_UW))*(ResRatio_UPR02+SurplusRatio)</f>
        <v>0.17051950122189671</v>
      </c>
    </row>
    <row r="59" spans="1:9" x14ac:dyDescent="0.25">
      <c r="A59" s="117" t="s">
        <v>206</v>
      </c>
      <c r="B59" s="128"/>
      <c r="C59" s="128"/>
      <c r="D59" s="128"/>
      <c r="E59" s="128"/>
      <c r="F59" s="128"/>
      <c r="G59" s="128"/>
      <c r="H59" s="127">
        <f>(1+Loss_AnnualTrend)/(1+Prem_AnnualTrend)-1</f>
        <v>0.10218967933160483</v>
      </c>
    </row>
    <row r="60" spans="1:9" x14ac:dyDescent="0.25">
      <c r="A60" s="117" t="s">
        <v>205</v>
      </c>
      <c r="B60" s="128"/>
      <c r="C60" s="128"/>
      <c r="D60" s="128"/>
      <c r="E60" s="128"/>
      <c r="F60" s="128"/>
      <c r="G60" s="128"/>
      <c r="H60" s="127">
        <f>IF(New_Program=TRUE,0,(1+Net_AnnualTrend)^MIN(4,((EffDate_Proposed-EffDate_Prior02)/365.25))-1)</f>
        <v>7.9452349590435789E-2</v>
      </c>
    </row>
    <row r="61" spans="1:9" x14ac:dyDescent="0.25">
      <c r="A61" s="117" t="s">
        <v>207</v>
      </c>
      <c r="B61" s="128"/>
      <c r="C61" s="128"/>
      <c r="D61" s="128"/>
      <c r="E61" s="128"/>
      <c r="F61" s="128"/>
      <c r="G61" s="128"/>
      <c r="H61" s="127">
        <f ca="1">(ROR_Max)/(LevFact_Final02*(1-FIT_UW))</f>
        <v>0.16276507183086963</v>
      </c>
    </row>
    <row r="62" spans="1:9" x14ac:dyDescent="0.25">
      <c r="A62" s="117" t="s">
        <v>208</v>
      </c>
      <c r="B62" s="77"/>
      <c r="C62" s="77"/>
      <c r="D62" s="77"/>
      <c r="E62" s="77"/>
      <c r="F62" s="77"/>
      <c r="G62" s="77"/>
      <c r="H62" s="127">
        <f ca="1">(ROR_Min)/(LevFact_Final02*(1-FIT_UW))</f>
        <v>-9.8040310974533862E-2</v>
      </c>
    </row>
    <row r="63" spans="1:9" x14ac:dyDescent="0.25">
      <c r="A63" s="117" t="s">
        <v>209</v>
      </c>
      <c r="B63" s="77"/>
      <c r="C63" s="77"/>
      <c r="D63" s="77"/>
      <c r="E63" s="77"/>
      <c r="F63" s="77"/>
      <c r="G63" s="77"/>
      <c r="H63" s="127">
        <f ca="1">1-CredLossDCCE_perExp/Max_Premium-EffStd_Final02</f>
        <v>-0.12380241164845784</v>
      </c>
      <c r="I63" s="204"/>
    </row>
    <row r="64" spans="1:9" x14ac:dyDescent="0.25">
      <c r="A64" s="117" t="s">
        <v>211</v>
      </c>
      <c r="B64" s="77"/>
      <c r="C64" s="77"/>
      <c r="D64" s="77"/>
      <c r="E64" s="77"/>
      <c r="F64" s="77"/>
      <c r="G64" s="77"/>
      <c r="H64" s="129">
        <f ca="1">1-EffStd_Final02-Min_Profit+InvInc_Variable</f>
        <v>0.97123495499349444</v>
      </c>
      <c r="I64" s="204"/>
    </row>
    <row r="65" spans="1:9" x14ac:dyDescent="0.25">
      <c r="A65" s="117" t="s">
        <v>210</v>
      </c>
      <c r="B65" s="77"/>
      <c r="C65" s="77"/>
      <c r="D65" s="77"/>
      <c r="E65" s="77"/>
      <c r="F65" s="77"/>
      <c r="G65" s="77"/>
      <c r="H65" s="129">
        <f ca="1">1-EffStd_Final02-Max_Profit+InvInc_Variable</f>
        <v>0.71042957218809089</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30.684441838048933</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41.948989251376112</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-6.4671358352393959E-2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0.27869658969408412</v>
      </c>
      <c r="I69" s="396" t="str">
        <f ca="1">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
      </c>
    </row>
    <row r="70" spans="1:9" ht="5.0999999999999996" hidden="1" customHeight="1" x14ac:dyDescent="0.25"/>
    <row r="71" spans="1:9" ht="15.75" hidden="1" thickBot="1" x14ac:dyDescent="0.3">
      <c r="A71" s="7" t="s">
        <v>233</v>
      </c>
      <c r="B71" s="228" t="str">
        <f>'6.2Ratemaking Data'!D$14</f>
        <v>20173</v>
      </c>
      <c r="C71" s="228" t="str">
        <f>'6.2Ratemaking Data'!E$14</f>
        <v>20183</v>
      </c>
      <c r="D71" s="228" t="str">
        <f>'6.2Ratemaking Data'!F$14</f>
        <v>20193</v>
      </c>
      <c r="E71" s="228" t="str">
        <f>'6.2Ratemaking Data'!G$14</f>
        <v>20203</v>
      </c>
      <c r="F71" s="228" t="str">
        <f>'6.2Ratemaking Data'!H$14</f>
        <v>20213</v>
      </c>
      <c r="G71" s="228">
        <f>'6.2Ratemaking Data'!I$14</f>
        <v>20223</v>
      </c>
    </row>
    <row r="72" spans="1:9" hidden="1" x14ac:dyDescent="0.25">
      <c r="A72" s="114" t="s">
        <v>232</v>
      </c>
      <c r="B72" s="125"/>
      <c r="C72" s="125"/>
      <c r="D72" s="125"/>
      <c r="E72" s="125"/>
      <c r="F72" s="125"/>
      <c r="G72" s="125"/>
      <c r="H72" s="131" t="str">
        <f>IF(ISBLANK('6.2Ratemaking Data'!J44),"",'6.2Ratemaking Data'!J44)</f>
        <v/>
      </c>
    </row>
    <row r="73" spans="1:9" hidden="1" x14ac:dyDescent="0.25">
      <c r="A73" s="117" t="s">
        <v>219</v>
      </c>
      <c r="B73" s="118" t="str">
        <f>IF(ISBLANK('6.2Ratemaking Data'!D45),"",'6.2Ratemaking Data'!D45)</f>
        <v/>
      </c>
      <c r="C73" s="118" t="str">
        <f>IF(ISBLANK('6.2Ratemaking Data'!E45),"",'6.2Ratemaking Data'!E45)</f>
        <v/>
      </c>
      <c r="D73" s="118" t="str">
        <f>IF(ISBLANK('6.2Ratemaking Data'!F45),"",'6.2Ratemaking Data'!F45)</f>
        <v/>
      </c>
      <c r="E73" s="118" t="str">
        <f>IF(ISBLANK('6.2Ratemaking Data'!G45),"",'6.2Ratemaking Data'!G45)</f>
        <v/>
      </c>
      <c r="F73" s="118" t="str">
        <f>IF(ISBLANK('6.2Ratemaking Data'!H45),"",'6.2Ratemaking Data'!H45)</f>
        <v/>
      </c>
      <c r="G73" s="118" t="str">
        <f>IF(ISBLANK('6.2Ratemaking Data'!I45),"",'6.2Ratemaking Data'!I45)</f>
        <v/>
      </c>
      <c r="H73" s="119" t="str">
        <f ca="1">IF(RIGHT(Detailed_LineCode02,1)="R",IF(New_Program=TRUE,'6.2Ratemaking Data'!$K$45,SUM($B73:$G73)),"")</f>
        <v/>
      </c>
    </row>
    <row r="74" spans="1:9" hidden="1" x14ac:dyDescent="0.25">
      <c r="A74" s="117" t="s">
        <v>220</v>
      </c>
      <c r="B74" s="118" t="str">
        <f>IF(ISBLANK('6.2Ratemaking Data'!D46),"",'6.2Ratemaking Data'!D46)</f>
        <v/>
      </c>
      <c r="C74" s="118" t="str">
        <f>IF(ISBLANK('6.2Ratemaking Data'!E46),"",'6.2Ratemaking Data'!E46)</f>
        <v/>
      </c>
      <c r="D74" s="118" t="str">
        <f>IF(ISBLANK('6.2Ratemaking Data'!F46),"",'6.2Ratemaking Data'!F46)</f>
        <v/>
      </c>
      <c r="E74" s="118" t="str">
        <f>IF(ISBLANK('6.2Ratemaking Data'!G46),"",'6.2Ratemaking Data'!G46)</f>
        <v/>
      </c>
      <c r="F74" s="118" t="str">
        <f>IF(ISBLANK('6.2Ratemaking Data'!H46),"",'6.2Ratemaking Data'!H46)</f>
        <v/>
      </c>
      <c r="G74" s="118" t="str">
        <f>IF(ISBLANK('6.2Ratemaking Data'!I46),"",'6.2Ratemaking Data'!I46)</f>
        <v/>
      </c>
      <c r="H74" s="119">
        <f>IF(New_Program=TRUE,'6.2Ratemaking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223</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IF(AND('6.2Ratemaking Data'!Error30="",'6.2Ratemaking Data'!Error31="",'6.2Ratemaking Data'!Error32=""),"","See Column M of Page '6.2Ratemaking Data' for errors that must be corrected.")</f>
        <v/>
      </c>
    </row>
    <row r="80" spans="1:9" ht="26.25" x14ac:dyDescent="0.25">
      <c r="F80" s="658" t="s">
        <v>611</v>
      </c>
      <c r="G80" s="658"/>
      <c r="H80" s="658"/>
    </row>
    <row r="81" spans="1:1" x14ac:dyDescent="0.25">
      <c r="A81" s="132"/>
    </row>
  </sheetData>
  <sheetProtection algorithmName="SHA-512" hashValue="r/SO+DgcTHwQASQfCXu+AtvvmRJNUus/ImGy65PSB5MZBQQsLNJyG9LstbFm4r3K+w+WcjE0SIFZGfP8xeNGVw==" saltValue="0hUdg7pOjDMx3sB0971hVw=="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3"/>
  <pageSetup scale="72" orientation="portrait" r:id="rId1"/>
  <headerFooter>
    <oddFooter>&amp;CPrior Approval Rate Template&amp;RPage 7.2&amp;L1/3/2023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zoomScaleNormal="100" zoomScaleSheetLayoutView="100" workbookViewId="0">
      <selection activeCell="Q33" sqref="Q33"/>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Mutual Automobile Insurance Company</v>
      </c>
    </row>
    <row r="2" spans="1:8" x14ac:dyDescent="0.25">
      <c r="A2" s="7" t="s">
        <v>32</v>
      </c>
      <c r="E2" s="109" t="s">
        <v>34</v>
      </c>
      <c r="H2" s="110" t="str">
        <f>General_Line</f>
        <v>Auto Liability and Physical Damage</v>
      </c>
    </row>
    <row r="3" spans="1:8" x14ac:dyDescent="0.25">
      <c r="E3" s="154" t="s">
        <v>142</v>
      </c>
      <c r="F3" s="77"/>
      <c r="G3" s="77"/>
      <c r="H3" s="160" t="str">
        <f>CDI_FileNo</f>
        <v/>
      </c>
    </row>
    <row r="4" spans="1:8" ht="18" customHeight="1" x14ac:dyDescent="0.25">
      <c r="A4" s="510" t="str">
        <f>IF('6.3Ratemaking Data'!$K$7="","VARIANCE - NONE","VARIANCE "&amp;'6.3Ratemaking Data'!$K$7)</f>
        <v>VARIANCE 8A</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76</v>
      </c>
      <c r="H8" s="161">
        <f>Completed_Date</f>
        <v>44979</v>
      </c>
    </row>
    <row r="9" spans="1:8" ht="15" customHeight="1" x14ac:dyDescent="0.25">
      <c r="A9" s="6" t="s">
        <v>169</v>
      </c>
      <c r="H9" s="161">
        <f>EffDate_Prior03</f>
        <v>45061</v>
      </c>
    </row>
    <row r="10" spans="1:8" ht="15" customHeight="1" x14ac:dyDescent="0.25">
      <c r="A10" s="6" t="s">
        <v>170</v>
      </c>
      <c r="B10" s="52"/>
      <c r="H10" s="161">
        <f>EffDate_Proposed</f>
        <v>45348</v>
      </c>
    </row>
    <row r="11" spans="1:8" ht="15" customHeight="1" x14ac:dyDescent="0.25">
      <c r="A11" s="6" t="s">
        <v>77</v>
      </c>
      <c r="B11" s="52"/>
      <c r="H11" s="23" t="str">
        <f>Detailed_LineDesc03</f>
        <v>Private Passenger Auto Liability</v>
      </c>
    </row>
    <row r="12" spans="1:8" ht="15" customHeight="1" x14ac:dyDescent="0.25">
      <c r="A12" s="6" t="s">
        <v>78</v>
      </c>
      <c r="B12" s="52"/>
      <c r="H12" s="23" t="str">
        <f>Covg03</f>
        <v>UM</v>
      </c>
    </row>
    <row r="13" spans="1:8" ht="15" customHeight="1" x14ac:dyDescent="0.25">
      <c r="H13" s="511"/>
    </row>
    <row r="14" spans="1:8" ht="9.9499999999999993" customHeight="1" x14ac:dyDescent="0.25"/>
    <row r="15" spans="1:8" ht="15.75" thickBot="1" x14ac:dyDescent="0.3">
      <c r="A15" s="7" t="s">
        <v>171</v>
      </c>
      <c r="B15" s="228" t="str">
        <f>'6.3Ratemaking Data'!D$14</f>
        <v>20173</v>
      </c>
      <c r="C15" s="228" t="str">
        <f>'6.3Ratemaking Data'!E$14</f>
        <v>20183</v>
      </c>
      <c r="D15" s="228" t="str">
        <f>'6.3Ratemaking Data'!F$14</f>
        <v>20193</v>
      </c>
      <c r="E15" s="228" t="str">
        <f>'6.3Ratemaking Data'!G$14</f>
        <v>20203</v>
      </c>
      <c r="F15" s="228" t="str">
        <f>'6.3Ratemaking Data'!H$14</f>
        <v>20213</v>
      </c>
      <c r="G15" s="228">
        <f>'6.3Ratemaking Data'!I$14</f>
        <v>20223</v>
      </c>
      <c r="H15" s="91" t="s">
        <v>306</v>
      </c>
    </row>
    <row r="16" spans="1:8" x14ac:dyDescent="0.25">
      <c r="A16" s="114" t="s">
        <v>173</v>
      </c>
      <c r="B16" s="115" t="str">
        <f>IF(ISBLANK('6.3Ratemaking Data'!D15),"",'6.3Ratemaking Data'!D15)</f>
        <v/>
      </c>
      <c r="C16" s="115" t="str">
        <f>IF(ISBLANK('6.3Ratemaking Data'!E15),"",'6.3Ratemaking Data'!E15)</f>
        <v/>
      </c>
      <c r="D16" s="115" t="str">
        <f>IF(ISBLANK('6.3Ratemaking Data'!F15),"",'6.3Ratemaking Data'!F15)</f>
        <v/>
      </c>
      <c r="E16" s="115" t="str">
        <f>IF(ISBLANK('6.3Ratemaking Data'!G15),"",'6.3Ratemaking Data'!G15)</f>
        <v/>
      </c>
      <c r="F16" s="115" t="str">
        <f>IF(ISBLANK('6.3Ratemaking Data'!H15),"",'6.3Ratemaking Data'!H15)</f>
        <v/>
      </c>
      <c r="G16" s="115">
        <f>IF(ISBLANK('6.3Ratemaking Data'!I15),"",'6.3Ratemaking Data'!I15)</f>
        <v>330779712.40000004</v>
      </c>
      <c r="H16" s="116">
        <f>IF(New_Program=TRUE,'6.3Ratemaking Data'!$K$15,SUM($B16:$G16))</f>
        <v>330779712.40000004</v>
      </c>
    </row>
    <row r="17" spans="1:10" x14ac:dyDescent="0.25">
      <c r="A17" s="117" t="s">
        <v>172</v>
      </c>
      <c r="B17" s="118" t="str">
        <f>IF(ISBLANK('6.3Ratemaking Data'!D16),"",'6.3Ratemaking Data'!D16)</f>
        <v/>
      </c>
      <c r="C17" s="118" t="str">
        <f>IF(ISBLANK('6.3Ratemaking Data'!E16),"",'6.3Ratemaking Data'!E16)</f>
        <v/>
      </c>
      <c r="D17" s="118" t="str">
        <f>IF(ISBLANK('6.3Ratemaking Data'!F16),"",'6.3Ratemaking Data'!F16)</f>
        <v/>
      </c>
      <c r="E17" s="118" t="str">
        <f>IF(ISBLANK('6.3Ratemaking Data'!G16),"",'6.3Ratemaking Data'!G16)</f>
        <v/>
      </c>
      <c r="F17" s="118" t="str">
        <f>IF(ISBLANK('6.3Ratemaking Data'!H16),"",'6.3Ratemaking Data'!H16)</f>
        <v/>
      </c>
      <c r="G17" s="118">
        <f>IF(ISBLANK('6.3Ratemaking Data'!I16),"",'6.3Ratemaking Data'!I16)</f>
        <v>326775068.14999998</v>
      </c>
      <c r="H17" s="119">
        <f>IF(New_Program=TRUE,'6.3Ratemaking Data'!$K$16,SUM($B17:$G17))</f>
        <v>326775068.14999998</v>
      </c>
    </row>
    <row r="18" spans="1:10" x14ac:dyDescent="0.25">
      <c r="A18" s="117" t="s">
        <v>174</v>
      </c>
      <c r="B18" s="120" t="str">
        <f>IF(ISBLANK('6.3Ratemaking Data'!D17),"",'6.3Ratemaking Data'!D17)</f>
        <v/>
      </c>
      <c r="C18" s="120" t="str">
        <f>IF(ISBLANK('6.3Ratemaking Data'!E17),"",'6.3Ratemaking Data'!E17)</f>
        <v/>
      </c>
      <c r="D18" s="120" t="str">
        <f>IF(ISBLANK('6.3Ratemaking Data'!F17),"",'6.3Ratemaking Data'!F17)</f>
        <v/>
      </c>
      <c r="E18" s="120" t="str">
        <f>IF(ISBLANK('6.3Ratemaking Data'!G17),"",'6.3Ratemaking Data'!G17)</f>
        <v/>
      </c>
      <c r="F18" s="120" t="str">
        <f>IF(ISBLANK('6.3Ratemaking Data'!H17),"",'6.3Ratemaking Data'!H17)</f>
        <v/>
      </c>
      <c r="G18" s="120">
        <f>IF(ISBLANK('6.3Ratemaking Data'!I17),"",'6.3Ratemaking Data'!I17)</f>
        <v>1.0799882110226942</v>
      </c>
      <c r="H18" s="121"/>
    </row>
    <row r="19" spans="1:10" x14ac:dyDescent="0.25">
      <c r="A19" s="117" t="s">
        <v>175</v>
      </c>
      <c r="B19" s="120" t="str">
        <f>IF(ISBLANK('6.3Ratemaking Data'!D18),"",'6.3Ratemaking Data'!D18)</f>
        <v/>
      </c>
      <c r="C19" s="120" t="str">
        <f>IF(ISBLANK('6.3Ratemaking Data'!E18),"",'6.3Ratemaking Data'!E18)</f>
        <v/>
      </c>
      <c r="D19" s="120" t="str">
        <f>IF(ISBLANK('6.3Ratemaking Data'!F18),"",'6.3Ratemaking Data'!F18)</f>
        <v/>
      </c>
      <c r="E19" s="120" t="str">
        <f>IF(ISBLANK('6.3Ratemaking Data'!G18),"",'6.3Ratemaking Data'!G18)</f>
        <v/>
      </c>
      <c r="F19" s="120" t="str">
        <f>IF(ISBLANK('6.3Ratemaking Data'!H18),"",'6.3Ratemaking Data'!H18)</f>
        <v/>
      </c>
      <c r="G19" s="120">
        <f>IF(ISBLANK('6.3Ratemaking Data'!I18),"",'6.3Ratemaking Data'!I18)</f>
        <v>0.964167154623366</v>
      </c>
      <c r="H19" s="127">
        <f>IF(New_Program=TRUE,0,'6.3Ratemaking Data'!$J$18)</f>
        <v>-1.6030704022163601E-2</v>
      </c>
    </row>
    <row r="20" spans="1:10" x14ac:dyDescent="0.25">
      <c r="A20" s="117" t="s">
        <v>176</v>
      </c>
      <c r="B20" s="118" t="str">
        <f>IF(ISBLANK('6.3Ratemaking Data'!D19),"",'6.3Ratemaking Data'!D19)</f>
        <v/>
      </c>
      <c r="C20" s="118" t="str">
        <f>IF(ISBLANK('6.3Ratemaking Data'!E19),"",'6.3Ratemaking Data'!E19)</f>
        <v/>
      </c>
      <c r="D20" s="118" t="str">
        <f>IF(ISBLANK('6.3Ratemaking Data'!F19),"",'6.3Ratemaking Data'!F19)</f>
        <v/>
      </c>
      <c r="E20" s="118" t="str">
        <f>IF(ISBLANK('6.3Ratemaking Data'!G19),"",'6.3Ratemaking Data'!G19)</f>
        <v/>
      </c>
      <c r="F20" s="118" t="str">
        <f>IF(ISBLANK('6.3Ratemaking Data'!H19),"",'6.3Ratemaking Data'!H19)</f>
        <v/>
      </c>
      <c r="G20" s="118">
        <f>IF(ISBLANK('6.3Ratemaking Data'!I19),"",'6.3Ratemaking Data'!I19)</f>
        <v>0</v>
      </c>
      <c r="H20" s="119">
        <f>IF(New_Program=TRUE,'6.3Ratemaking Data'!$K$19,SUM($B20:$G20))</f>
        <v>0</v>
      </c>
    </row>
    <row r="21" spans="1:10" x14ac:dyDescent="0.25">
      <c r="A21" s="117" t="s">
        <v>177</v>
      </c>
      <c r="B21" s="118" t="str">
        <f>IF(ISBLANK('6.3Ratemaking Data'!D20),"",'6.3Ratemaking Data'!D20)</f>
        <v/>
      </c>
      <c r="C21" s="118" t="str">
        <f>IF(ISBLANK('6.3Ratemaking Data'!E20),"",'6.3Ratemaking Data'!E20)</f>
        <v/>
      </c>
      <c r="D21" s="118" t="str">
        <f>IF(ISBLANK('6.3Ratemaking Data'!F20),"",'6.3Ratemaking Data'!F20)</f>
        <v/>
      </c>
      <c r="E21" s="118" t="str">
        <f>IF(ISBLANK('6.3Ratemaking Data'!G20),"",'6.3Ratemaking Data'!G20)</f>
        <v/>
      </c>
      <c r="F21" s="118" t="str">
        <f>IF(ISBLANK('6.3Ratemaking Data'!H20),"",'6.3Ratemaking Data'!H20)</f>
        <v/>
      </c>
      <c r="G21" s="118">
        <f>IF(ISBLANK('6.3Ratemaking Data'!I20),"",'6.3Ratemaking Data'!I20)</f>
        <v>3612922</v>
      </c>
      <c r="H21" s="119">
        <f>IF(New_Program=TRUE,'6.3Ratemaking Data'!$K$20,SUM($B21:$G21))</f>
        <v>3612922</v>
      </c>
      <c r="J21" s="111"/>
    </row>
    <row r="22" spans="1:10" x14ac:dyDescent="0.25">
      <c r="A22" s="117" t="s">
        <v>178</v>
      </c>
      <c r="B22" s="118" t="str">
        <f>IF(ISBLANK('6.3Ratemaking Data'!D21),"",'6.3Ratemaking Data'!D21)</f>
        <v/>
      </c>
      <c r="C22" s="118" t="str">
        <f>IF(ISBLANK('6.3Ratemaking Data'!E21),"",'6.3Ratemaking Data'!E21)</f>
        <v/>
      </c>
      <c r="D22" s="118" t="str">
        <f>IF(ISBLANK('6.3Ratemaking Data'!F21),"",'6.3Ratemaking Data'!F21)</f>
        <v/>
      </c>
      <c r="E22" s="118" t="str">
        <f>IF(ISBLANK('6.3Ratemaking Data'!G21),"",'6.3Ratemaking Data'!G21)</f>
        <v/>
      </c>
      <c r="F22" s="118" t="str">
        <f>IF(ISBLANK('6.3Ratemaking Data'!H21),"",'6.3Ratemaking Data'!H21)</f>
        <v/>
      </c>
      <c r="G22" s="118">
        <f>IF(ISBLANK('6.3Ratemaking Data'!I21),"",'6.3Ratemaking Data'!I21)</f>
        <v>132984221.92999999</v>
      </c>
      <c r="H22" s="119">
        <f>IF(New_Program=TRUE,'6.3Ratemaking Data'!$K$21,SUM($B22:$G22))</f>
        <v>132984221.92999999</v>
      </c>
      <c r="J22" s="111"/>
    </row>
    <row r="23" spans="1:10" x14ac:dyDescent="0.25">
      <c r="A23" s="117" t="s">
        <v>144</v>
      </c>
      <c r="B23" s="118" t="str">
        <f>IF(ISBLANK('6.3Ratemaking Data'!D22),"",'6.3Ratemaking Data'!D22)</f>
        <v/>
      </c>
      <c r="C23" s="118" t="str">
        <f>IF(ISBLANK('6.3Ratemaking Data'!E22),"",'6.3Ratemaking Data'!E22)</f>
        <v/>
      </c>
      <c r="D23" s="118" t="str">
        <f>IF(ISBLANK('6.3Ratemaking Data'!F22),"",'6.3Ratemaking Data'!F22)</f>
        <v/>
      </c>
      <c r="E23" s="118" t="str">
        <f>IF(ISBLANK('6.3Ratemaking Data'!G22),"",'6.3Ratemaking Data'!G22)</f>
        <v/>
      </c>
      <c r="F23" s="118" t="str">
        <f>IF(ISBLANK('6.3Ratemaking Data'!H22),"",'6.3Ratemaking Data'!H22)</f>
        <v/>
      </c>
      <c r="G23" s="118">
        <f>IF(ISBLANK('6.3Ratemaking Data'!I22),"",'6.3Ratemaking Data'!I22)</f>
        <v>467829.93</v>
      </c>
      <c r="H23" s="119">
        <f>IF(New_Program=TRUE,'6.3Ratemaking Data'!$K$22,SUM($B23:$G23))</f>
        <v>467829.93</v>
      </c>
      <c r="J23" s="111"/>
    </row>
    <row r="24" spans="1:10" x14ac:dyDescent="0.25">
      <c r="A24" s="117" t="s">
        <v>181</v>
      </c>
      <c r="B24" s="120" t="str">
        <f>IF(ISBLANK('6.3Ratemaking Data'!D23),"",'6.3Ratemaking Data'!D23)</f>
        <v/>
      </c>
      <c r="C24" s="120" t="str">
        <f>IF(ISBLANK('6.3Ratemaking Data'!E23),"",'6.3Ratemaking Data'!E23)</f>
        <v/>
      </c>
      <c r="D24" s="120" t="str">
        <f>IF(ISBLANK('6.3Ratemaking Data'!F23),"",'6.3Ratemaking Data'!F23)</f>
        <v/>
      </c>
      <c r="E24" s="120" t="str">
        <f>IF(ISBLANK('6.3Ratemaking Data'!G23),"",'6.3Ratemaking Data'!G23)</f>
        <v/>
      </c>
      <c r="F24" s="120" t="str">
        <f>IF(ISBLANK('6.3Ratemaking Data'!H23),"",'6.3Ratemaking Data'!H23)</f>
        <v/>
      </c>
      <c r="G24" s="120">
        <f>IF(ISBLANK('6.3Ratemaking Data'!I23),"",'6.3Ratemaking Data'!I23)</f>
        <v>2.0095490930065942</v>
      </c>
      <c r="H24" s="121"/>
    </row>
    <row r="25" spans="1:10" x14ac:dyDescent="0.25">
      <c r="A25" s="117" t="s">
        <v>182</v>
      </c>
      <c r="B25" s="120" t="str">
        <f>IF(ISBLANK('6.3Ratemaking Data'!D24),"",'6.3Ratemaking Data'!D24)</f>
        <v/>
      </c>
      <c r="C25" s="120" t="str">
        <f>IF(ISBLANK('6.3Ratemaking Data'!E24),"",'6.3Ratemaking Data'!E24)</f>
        <v/>
      </c>
      <c r="D25" s="120" t="str">
        <f>IF(ISBLANK('6.3Ratemaking Data'!F24),"",'6.3Ratemaking Data'!F24)</f>
        <v/>
      </c>
      <c r="E25" s="120" t="str">
        <f>IF(ISBLANK('6.3Ratemaking Data'!G24),"",'6.3Ratemaking Data'!G24)</f>
        <v/>
      </c>
      <c r="F25" s="120" t="str">
        <f>IF(ISBLANK('6.3Ratemaking Data'!H24),"",'6.3Ratemaking Data'!H24)</f>
        <v/>
      </c>
      <c r="G25" s="120">
        <f>IF(ISBLANK('6.3Ratemaking Data'!I24),"",'6.3Ratemaking Data'!I24)</f>
        <v>43.71271038606632</v>
      </c>
      <c r="H25" s="121"/>
    </row>
    <row r="26" spans="1:10" x14ac:dyDescent="0.25">
      <c r="A26" s="117" t="s">
        <v>179</v>
      </c>
      <c r="B26" s="120" t="str">
        <f>IF(ISBLANK('6.3Ratemaking Data'!D25),"",'6.3Ratemaking Data'!D25)</f>
        <v/>
      </c>
      <c r="C26" s="120" t="str">
        <f>IF(ISBLANK('6.3Ratemaking Data'!E25),"",'6.3Ratemaking Data'!E25)</f>
        <v/>
      </c>
      <c r="D26" s="120" t="str">
        <f>IF(ISBLANK('6.3Ratemaking Data'!F25),"",'6.3Ratemaking Data'!F25)</f>
        <v/>
      </c>
      <c r="E26" s="120" t="str">
        <f>IF(ISBLANK('6.3Ratemaking Data'!G25),"",'6.3Ratemaking Data'!G25)</f>
        <v/>
      </c>
      <c r="F26" s="120" t="str">
        <f>IF(ISBLANK('6.3Ratemaking Data'!H25),"",'6.3Ratemaking Data'!H25)</f>
        <v/>
      </c>
      <c r="G26" s="120">
        <f>IF(ISBLANK('6.3Ratemaking Data'!I25),"",'6.3Ratemaking Data'!I25)</f>
        <v>1.3340187918119986</v>
      </c>
      <c r="H26" s="127">
        <f>IF(New_Program=TRUE,0,'6.3Ratemaking Data'!$J$25)</f>
        <v>0.13613632665734299</v>
      </c>
    </row>
    <row r="27" spans="1:10" x14ac:dyDescent="0.25">
      <c r="A27" s="117" t="s">
        <v>180</v>
      </c>
      <c r="B27" s="120" t="str">
        <f>IF(ISBLANK('6.3Ratemaking Data'!D26),"",'6.3Ratemaking Data'!D26)</f>
        <v/>
      </c>
      <c r="C27" s="120" t="str">
        <f>IF(ISBLANK('6.3Ratemaking Data'!E26),"",'6.3Ratemaking Data'!E26)</f>
        <v/>
      </c>
      <c r="D27" s="120" t="str">
        <f>IF(ISBLANK('6.3Ratemaking Data'!F26),"",'6.3Ratemaking Data'!F26)</f>
        <v/>
      </c>
      <c r="E27" s="120" t="str">
        <f>IF(ISBLANK('6.3Ratemaking Data'!G26),"",'6.3Ratemaking Data'!G26)</f>
        <v/>
      </c>
      <c r="F27" s="120" t="str">
        <f>IF(ISBLANK('6.3Ratemaking Data'!H26),"",'6.3Ratemaking Data'!H26)</f>
        <v/>
      </c>
      <c r="G27" s="120">
        <f>IF(ISBLANK('6.3Ratemaking Data'!I26),"",'6.3Ratemaking Data'!I26)</f>
        <v>1.3340187918119986</v>
      </c>
      <c r="H27" s="127">
        <f>IF(New_Program=TRUE,0,'6.3Ratemaking Data'!$J$26)</f>
        <v>0.13613632665734299</v>
      </c>
    </row>
    <row r="28" spans="1:10" x14ac:dyDescent="0.25">
      <c r="A28" s="117" t="s">
        <v>183</v>
      </c>
      <c r="B28" s="120" t="str">
        <f>IF(ISBLANK('6.3Ratemaking Data'!D27),"",'6.3Ratemaking Data'!D27)</f>
        <v/>
      </c>
      <c r="C28" s="120" t="str">
        <f>IF(ISBLANK('6.3Ratemaking Data'!E27),"",'6.3Ratemaking Data'!E27)</f>
        <v/>
      </c>
      <c r="D28" s="120" t="str">
        <f>IF(ISBLANK('6.3Ratemaking Data'!F27),"",'6.3Ratemaking Data'!F27)</f>
        <v/>
      </c>
      <c r="E28" s="120" t="str">
        <f>IF(ISBLANK('6.3Ratemaking Data'!G27),"",'6.3Ratemaking Data'!G27)</f>
        <v/>
      </c>
      <c r="F28" s="120" t="str">
        <f>IF(ISBLANK('6.3Ratemaking Data'!H27),"",'6.3Ratemaking Data'!H27)</f>
        <v/>
      </c>
      <c r="G28" s="120">
        <f>IF(ISBLANK('6.3Ratemaking Data'!I27),"",'6.3Ratemaking Data'!I27)</f>
        <v>1</v>
      </c>
      <c r="H28" s="121"/>
    </row>
    <row r="29" spans="1:10" ht="15.75" thickBot="1" x14ac:dyDescent="0.3">
      <c r="A29" s="133" t="s">
        <v>188</v>
      </c>
      <c r="B29" s="134" t="str">
        <f>IF(ISBLANK('6.3Ratemaking Data'!D29),"",'6.3Ratemaking Data'!D29)</f>
        <v/>
      </c>
      <c r="C29" s="134" t="str">
        <f>IF(ISBLANK('6.3Ratemaking Data'!E29),"",'6.3Ratemaking Data'!E29)</f>
        <v/>
      </c>
      <c r="D29" s="134" t="str">
        <f>IF(ISBLANK('6.3Ratemaking Data'!F29),"",'6.3Ratemaking Data'!F29)</f>
        <v/>
      </c>
      <c r="E29" s="134" t="str">
        <f>IF(ISBLANK('6.3Ratemaking Data'!G29),"",'6.3Ratemaking Data'!G29)</f>
        <v/>
      </c>
      <c r="F29" s="134" t="str">
        <f>IF(ISBLANK('6.3Ratemaking Data'!H29),"",'6.3Ratemaking Data'!H29)</f>
        <v/>
      </c>
      <c r="G29" s="134">
        <f>IF(ISBLANK('6.3Ratemaking Data'!I29),"",'6.3Ratemaking Data'!I29)</f>
        <v>0</v>
      </c>
      <c r="H29" s="135">
        <f>IF(New_Program=TRUE,'6.3Ratemaking Data'!$K$29,SUM($B29:$G29))</f>
        <v>0</v>
      </c>
    </row>
    <row r="30" spans="1:10" ht="15.75" thickTop="1" x14ac:dyDescent="0.25">
      <c r="A30" s="117" t="s">
        <v>184</v>
      </c>
      <c r="B30" s="122"/>
      <c r="C30" s="122"/>
      <c r="D30" s="122"/>
      <c r="E30" s="122"/>
      <c r="F30" s="122"/>
      <c r="G30" s="122"/>
      <c r="H30" s="127">
        <f>IF(New_Program=TRUE,100%,'6.3Ratemaking Data'!$J$28)</f>
        <v>1</v>
      </c>
    </row>
    <row r="31" spans="1:10" x14ac:dyDescent="0.25">
      <c r="A31" s="117" t="s">
        <v>185</v>
      </c>
      <c r="B31" s="122"/>
      <c r="C31" s="122"/>
      <c r="D31" s="122"/>
      <c r="E31" s="122"/>
      <c r="F31" s="122"/>
      <c r="G31" s="122"/>
      <c r="H31" s="127">
        <f>ExpRatio_Excluded</f>
        <v>1.3597266477453115E-2</v>
      </c>
    </row>
    <row r="32" spans="1:10" x14ac:dyDescent="0.25">
      <c r="A32" s="117" t="s">
        <v>166</v>
      </c>
      <c r="B32" s="122"/>
      <c r="C32" s="122"/>
      <c r="D32" s="122"/>
      <c r="E32" s="122"/>
      <c r="F32" s="122"/>
      <c r="G32" s="122"/>
      <c r="H32" s="127">
        <f>FIT_Inv</f>
        <v>0.18957755323144132</v>
      </c>
    </row>
    <row r="33" spans="1:9" ht="15.75" thickBot="1" x14ac:dyDescent="0.3">
      <c r="A33" s="85" t="s">
        <v>165</v>
      </c>
      <c r="B33" s="123"/>
      <c r="C33" s="123"/>
      <c r="D33" s="123"/>
      <c r="E33" s="123"/>
      <c r="F33" s="123"/>
      <c r="G33" s="123"/>
      <c r="H33" s="124">
        <f>Yield</f>
        <v>0.10317106949646478</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EffStd_Final03</f>
        <v>0.29732485720293622</v>
      </c>
    </row>
    <row r="38" spans="1:9" x14ac:dyDescent="0.25">
      <c r="A38" s="117" t="s">
        <v>191</v>
      </c>
      <c r="B38" s="77"/>
      <c r="C38" s="77"/>
      <c r="D38" s="77"/>
      <c r="E38" s="77"/>
      <c r="F38" s="577" t="s">
        <v>317</v>
      </c>
      <c r="G38" s="578">
        <f>update_leverage</f>
        <v>2021</v>
      </c>
      <c r="H38" s="162">
        <f ca="1">LevFact_Final03</f>
        <v>0.7746748896822202</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1/LevFact_Final03</f>
        <v>1.2908640944980294</v>
      </c>
    </row>
    <row r="41" spans="1:9" x14ac:dyDescent="0.25">
      <c r="A41" s="117" t="s">
        <v>198</v>
      </c>
      <c r="B41" s="77"/>
      <c r="C41" s="77"/>
      <c r="D41" s="77"/>
      <c r="E41" s="77"/>
      <c r="F41" s="577" t="s">
        <v>317</v>
      </c>
      <c r="G41" s="578">
        <f>update_reserveratios</f>
        <v>2021</v>
      </c>
      <c r="H41" s="163">
        <f ca="1">ResRatio_UPR03</f>
        <v>0.32027023269708416</v>
      </c>
    </row>
    <row r="42" spans="1:9" x14ac:dyDescent="0.25">
      <c r="A42" s="117" t="s">
        <v>194</v>
      </c>
      <c r="B42" s="77"/>
      <c r="C42" s="77"/>
      <c r="D42" s="77"/>
      <c r="E42" s="77"/>
      <c r="F42" s="577" t="s">
        <v>317</v>
      </c>
      <c r="G42" s="578">
        <f>update_reserveratios</f>
        <v>2021</v>
      </c>
      <c r="H42" s="163">
        <f ca="1">ResRatio_Loss03</f>
        <v>1.3266740292453059</v>
      </c>
    </row>
    <row r="43" spans="1:9" x14ac:dyDescent="0.25">
      <c r="A43" s="117" t="s">
        <v>195</v>
      </c>
      <c r="B43" s="77"/>
      <c r="C43" s="77"/>
      <c r="D43" s="77"/>
      <c r="E43" s="77"/>
      <c r="F43" s="575" t="s">
        <v>317</v>
      </c>
      <c r="G43" s="575" t="str">
        <f>ROR_RiskFree_Date</f>
        <v>January 2023</v>
      </c>
      <c r="H43" s="576">
        <f>ROR_RiskFree</f>
        <v>3.9611111111111104E-2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9.9611111111111095E-2</v>
      </c>
    </row>
    <row r="46" spans="1:9" ht="5.0999999999999996" customHeight="1" x14ac:dyDescent="0.25"/>
    <row r="47" spans="1:9" ht="15.75" thickBot="1" x14ac:dyDescent="0.3">
      <c r="A47" s="7" t="s">
        <v>234</v>
      </c>
      <c r="B47" s="228" t="str">
        <f>'6.3Ratemaking Data'!D$14</f>
        <v>20173</v>
      </c>
      <c r="C47" s="228" t="str">
        <f>'6.3Ratemaking Data'!E$14</f>
        <v>20183</v>
      </c>
      <c r="D47" s="228" t="str">
        <f>'6.3Ratemaking Data'!F$14</f>
        <v>20193</v>
      </c>
      <c r="E47" s="228" t="str">
        <f>'6.3Ratemaking Data'!G$14</f>
        <v>20203</v>
      </c>
      <c r="F47" s="228" t="str">
        <f>'6.3Ratemaking Data'!H$14</f>
        <v>20213</v>
      </c>
      <c r="G47" s="228">
        <f>'6.3Ratemaking Data'!I$14</f>
        <v>20223</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340267336.36942482</v>
      </c>
      <c r="H48" s="116">
        <f>IF(New_Program=TRUE,(Prem_Earned+Misc_Fees),SUM($B48:$G48))</f>
        <v>340267336.36942482</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356500944.19218433</v>
      </c>
      <c r="H49" s="119">
        <f>IF(New_Program=TRUE,Losses,SUM($B49:$G49))</f>
        <v>356500944.19218433</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27280836.690893736</v>
      </c>
      <c r="H50" s="119">
        <f>IF(New_Program=TRUE,DCCE,SUM($B50:$G50))</f>
        <v>27280836.690893736</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f t="shared" si="3"/>
        <v>1.1278831079642919</v>
      </c>
      <c r="H51" s="127">
        <f t="shared" si="3"/>
        <v>1.1278831079642919</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94.180648342096731</v>
      </c>
      <c r="H52" s="130">
        <f t="shared" si="4"/>
        <v>94.180648342096731</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106.22476236217611</v>
      </c>
      <c r="H53" s="130">
        <f t="shared" si="5"/>
        <v>106.22476236217611</v>
      </c>
    </row>
    <row r="54" spans="1:9" x14ac:dyDescent="0.25">
      <c r="A54" s="117" t="s">
        <v>204</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87.149075574213768</v>
      </c>
      <c r="H54" s="130">
        <f t="shared" ca="1" si="6"/>
        <v>87.149075574213768</v>
      </c>
    </row>
    <row r="55" spans="1:9" x14ac:dyDescent="0.25">
      <c r="A55" s="117" t="s">
        <v>214</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106.22476236217611</v>
      </c>
      <c r="H55" s="130">
        <f t="shared" ca="1" si="7"/>
        <v>106.22476236217611</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217</v>
      </c>
      <c r="B57" s="77"/>
      <c r="C57" s="77"/>
      <c r="D57" s="77"/>
      <c r="E57" s="77"/>
      <c r="F57" s="77"/>
      <c r="G57" s="77"/>
      <c r="H57" s="127">
        <f ca="1">Yield*((1-FIT_Inv)/(1-FIT_UW))*ResRatio_Loss03</f>
        <v>0.14041274518977906</v>
      </c>
    </row>
    <row r="58" spans="1:9" x14ac:dyDescent="0.25">
      <c r="A58" s="117" t="s">
        <v>218</v>
      </c>
      <c r="B58" s="77"/>
      <c r="C58" s="77"/>
      <c r="D58" s="77"/>
      <c r="E58" s="77"/>
      <c r="F58" s="77"/>
      <c r="G58" s="77"/>
      <c r="H58" s="127">
        <f ca="1">Yield*((1-FIT_Inv)/(1-FIT_UW))*(ResRatio_UPR03+SurplusRatio)</f>
        <v>0.17051950122189671</v>
      </c>
    </row>
    <row r="59" spans="1:9" x14ac:dyDescent="0.25">
      <c r="A59" s="117" t="s">
        <v>206</v>
      </c>
      <c r="B59" s="128"/>
      <c r="C59" s="128"/>
      <c r="D59" s="128"/>
      <c r="E59" s="128"/>
      <c r="F59" s="128"/>
      <c r="G59" s="128"/>
      <c r="H59" s="127">
        <f>(1+Loss_AnnualTrend)/(1+Prem_AnnualTrend)-1</f>
        <v>0.15464611680620366</v>
      </c>
    </row>
    <row r="60" spans="1:9" x14ac:dyDescent="0.25">
      <c r="A60" s="117" t="s">
        <v>205</v>
      </c>
      <c r="B60" s="128"/>
      <c r="C60" s="128"/>
      <c r="D60" s="128"/>
      <c r="E60" s="128"/>
      <c r="F60" s="128"/>
      <c r="G60" s="128"/>
      <c r="H60" s="127">
        <f>IF(New_Program=TRUE,0,(1+Net_AnnualTrend)^MIN(4,((EffDate_Proposed-EffDate_Prior03)/365.25))-1)</f>
        <v>0.1196184472805879</v>
      </c>
    </row>
    <row r="61" spans="1:9" x14ac:dyDescent="0.25">
      <c r="A61" s="117" t="s">
        <v>207</v>
      </c>
      <c r="B61" s="128"/>
      <c r="C61" s="128"/>
      <c r="D61" s="128"/>
      <c r="E61" s="128"/>
      <c r="F61" s="128"/>
      <c r="G61" s="128"/>
      <c r="H61" s="127">
        <f ca="1">(ROR_Max)/(LevFact_Final03*(1-FIT_UW))</f>
        <v>0.16276507183086963</v>
      </c>
    </row>
    <row r="62" spans="1:9" x14ac:dyDescent="0.25">
      <c r="A62" s="117" t="s">
        <v>208</v>
      </c>
      <c r="B62" s="77"/>
      <c r="C62" s="77"/>
      <c r="D62" s="77"/>
      <c r="E62" s="77"/>
      <c r="F62" s="77"/>
      <c r="G62" s="77"/>
      <c r="H62" s="127">
        <f ca="1">(ROR_Min)/(LevFact_Final03*(1-FIT_UW))</f>
        <v>-9.8040310974533862E-2</v>
      </c>
    </row>
    <row r="63" spans="1:9" x14ac:dyDescent="0.25">
      <c r="A63" s="117" t="s">
        <v>209</v>
      </c>
      <c r="B63" s="77"/>
      <c r="C63" s="77"/>
      <c r="D63" s="77"/>
      <c r="E63" s="77"/>
      <c r="F63" s="77"/>
      <c r="G63" s="77"/>
      <c r="H63" s="127">
        <f ca="1">1-CredLossDCCE_perExp/Max_Premium-EffStd_Final03</f>
        <v>-0.12380241164845796</v>
      </c>
      <c r="I63" s="204"/>
    </row>
    <row r="64" spans="1:9" x14ac:dyDescent="0.25">
      <c r="A64" s="117" t="s">
        <v>211</v>
      </c>
      <c r="B64" s="77"/>
      <c r="C64" s="77"/>
      <c r="D64" s="77"/>
      <c r="E64" s="77"/>
      <c r="F64" s="77"/>
      <c r="G64" s="77"/>
      <c r="H64" s="129">
        <f ca="1">1-EffStd_Final03-Min_Profit+InvInc_Variable</f>
        <v>0.97123495499349444</v>
      </c>
      <c r="I64" s="204"/>
    </row>
    <row r="65" spans="1:9" x14ac:dyDescent="0.25">
      <c r="A65" s="117" t="s">
        <v>210</v>
      </c>
      <c r="B65" s="77"/>
      <c r="C65" s="77"/>
      <c r="D65" s="77"/>
      <c r="E65" s="77"/>
      <c r="F65" s="77"/>
      <c r="G65" s="77"/>
      <c r="H65" s="129">
        <f ca="1">1-EffStd_Final03-Max_Profit+InvInc_Variable</f>
        <v>0.71042957218809089</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94.013761965952554</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128.5270988798257</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-1.7719816021863418E-3</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0.36468691968408168</v>
      </c>
      <c r="I69" s="396" t="str">
        <f ca="1">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
      </c>
    </row>
    <row r="70" spans="1:9" ht="5.0999999999999996" hidden="1" customHeight="1" x14ac:dyDescent="0.25"/>
    <row r="71" spans="1:9" ht="15.75" hidden="1" thickBot="1" x14ac:dyDescent="0.3">
      <c r="A71" s="7" t="s">
        <v>233</v>
      </c>
      <c r="B71" s="228" t="str">
        <f>'6.3Ratemaking Data'!D$14</f>
        <v>20173</v>
      </c>
      <c r="C71" s="228" t="str">
        <f>'6.3Ratemaking Data'!E$14</f>
        <v>20183</v>
      </c>
      <c r="D71" s="228" t="str">
        <f>'6.3Ratemaking Data'!F$14</f>
        <v>20193</v>
      </c>
      <c r="E71" s="228" t="str">
        <f>'6.3Ratemaking Data'!G$14</f>
        <v>20203</v>
      </c>
      <c r="F71" s="228" t="str">
        <f>'6.3Ratemaking Data'!H$14</f>
        <v>20213</v>
      </c>
      <c r="G71" s="228">
        <f>'6.3Ratemaking Data'!I$14</f>
        <v>20223</v>
      </c>
    </row>
    <row r="72" spans="1:9" hidden="1" x14ac:dyDescent="0.25">
      <c r="A72" s="114" t="s">
        <v>232</v>
      </c>
      <c r="B72" s="125"/>
      <c r="C72" s="125"/>
      <c r="D72" s="125"/>
      <c r="E72" s="125"/>
      <c r="F72" s="125"/>
      <c r="G72" s="125"/>
      <c r="H72" s="131" t="str">
        <f>IF(ISBLANK('6.3Ratemaking Data'!J44),"",'6.3Ratemaking Data'!J44)</f>
        <v/>
      </c>
    </row>
    <row r="73" spans="1:9" hidden="1" x14ac:dyDescent="0.25">
      <c r="A73" s="117" t="s">
        <v>219</v>
      </c>
      <c r="B73" s="118" t="str">
        <f>IF(ISBLANK('6.3Ratemaking Data'!D45),"",'6.3Ratemaking Data'!D45)</f>
        <v/>
      </c>
      <c r="C73" s="118" t="str">
        <f>IF(ISBLANK('6.3Ratemaking Data'!E45),"",'6.3Ratemaking Data'!E45)</f>
        <v/>
      </c>
      <c r="D73" s="118" t="str">
        <f>IF(ISBLANK('6.3Ratemaking Data'!F45),"",'6.3Ratemaking Data'!F45)</f>
        <v/>
      </c>
      <c r="E73" s="118" t="str">
        <f>IF(ISBLANK('6.3Ratemaking Data'!G45),"",'6.3Ratemaking Data'!G45)</f>
        <v/>
      </c>
      <c r="F73" s="118" t="str">
        <f>IF(ISBLANK('6.3Ratemaking Data'!H45),"",'6.3Ratemaking Data'!H45)</f>
        <v/>
      </c>
      <c r="G73" s="118" t="str">
        <f>IF(ISBLANK('6.3Ratemaking Data'!I45),"",'6.3Ratemaking Data'!I45)</f>
        <v/>
      </c>
      <c r="H73" s="119" t="str">
        <f ca="1">IF(RIGHT(Detailed_LineCode03,1)="R",IF(New_Program=TRUE,'6.3Ratemaking Data'!$K$45,SUM($B73:$G73)),"")</f>
        <v/>
      </c>
    </row>
    <row r="74" spans="1:9" hidden="1" x14ac:dyDescent="0.25">
      <c r="A74" s="117" t="s">
        <v>220</v>
      </c>
      <c r="B74" s="118" t="str">
        <f>IF(ISBLANK('6.3Ratemaking Data'!D46),"",'6.3Ratemaking Data'!D46)</f>
        <v/>
      </c>
      <c r="C74" s="118" t="str">
        <f>IF(ISBLANK('6.3Ratemaking Data'!E46),"",'6.3Ratemaking Data'!E46)</f>
        <v/>
      </c>
      <c r="D74" s="118" t="str">
        <f>IF(ISBLANK('6.3Ratemaking Data'!F46),"",'6.3Ratemaking Data'!F46)</f>
        <v/>
      </c>
      <c r="E74" s="118" t="str">
        <f>IF(ISBLANK('6.3Ratemaking Data'!G46),"",'6.3Ratemaking Data'!G46)</f>
        <v/>
      </c>
      <c r="F74" s="118" t="str">
        <f>IF(ISBLANK('6.3Ratemaking Data'!H46),"",'6.3Ratemaking Data'!H46)</f>
        <v/>
      </c>
      <c r="G74" s="118" t="str">
        <f>IF(ISBLANK('6.3Ratemaking Data'!I46),"",'6.3Ratemaking Data'!I46)</f>
        <v/>
      </c>
      <c r="H74" s="119">
        <f>IF(New_Program=TRUE,'6.3Ratemaking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223</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IF(AND('6.3Ratemaking Data'!Error30="",'6.3Ratemaking Data'!Error31="",'6.3Ratemaking Data'!Error32=""),"","See Column M of Page '6.3Ratemaking Data' for errors that must be corrected.")</f>
        <v/>
      </c>
    </row>
    <row r="80" spans="1:9" ht="26.25" x14ac:dyDescent="0.25">
      <c r="F80" s="658" t="s">
        <v>621</v>
      </c>
      <c r="G80" s="658"/>
      <c r="H80" s="658"/>
    </row>
    <row r="81" spans="1:1" x14ac:dyDescent="0.25">
      <c r="A81" s="132"/>
    </row>
  </sheetData>
  <sheetProtection algorithmName="SHA-512" hashValue="U1oGDwttxqgB4s79WyQR69AKXP6sAcGGfqBuHoLznW+2ps7LVirinySyxc/Cs4uzYtxxQwMRlu5xkaCP0+HWIQ==" saltValue="eT8CXit4jqMF6Iqec2luDA=="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3"/>
  <pageSetup scale="72" orientation="portrait" r:id="rId1"/>
  <headerFooter>
    <oddFooter>&amp;CPrior Approval Rate Template&amp;RPage 7.3&amp;L1/3/2023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zoomScaleNormal="100" zoomScaleSheetLayoutView="100" workbookViewId="0">
      <selection activeCell="I38" sqref="I38"/>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Mutual Automobile Insurance Company</v>
      </c>
    </row>
    <row r="2" spans="1:8" x14ac:dyDescent="0.25">
      <c r="A2" s="7" t="s">
        <v>32</v>
      </c>
      <c r="E2" s="109" t="s">
        <v>34</v>
      </c>
      <c r="H2" s="110" t="str">
        <f>General_Line</f>
        <v>Auto Liability and Physical Damage</v>
      </c>
    </row>
    <row r="3" spans="1:8" x14ac:dyDescent="0.25">
      <c r="E3" s="154" t="s">
        <v>142</v>
      </c>
      <c r="F3" s="77"/>
      <c r="G3" s="77"/>
      <c r="H3" s="160" t="str">
        <f>CDI_FileNo</f>
        <v/>
      </c>
    </row>
    <row r="4" spans="1:8" ht="18" customHeight="1" x14ac:dyDescent="0.25">
      <c r="A4" s="510" t="str">
        <f>IF('6.4Ratemaking Data'!$K$7="","VARIANCE - NONE","VARIANCE "&amp;'6.4Ratemaking Data'!$K$7)</f>
        <v>VARIANCE 8A</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76</v>
      </c>
      <c r="H8" s="161">
        <f>Completed_Date</f>
        <v>44979</v>
      </c>
    </row>
    <row r="9" spans="1:8" ht="15" customHeight="1" x14ac:dyDescent="0.25">
      <c r="A9" s="6" t="s">
        <v>169</v>
      </c>
      <c r="H9" s="161">
        <f>EffDate_Prior04</f>
        <v>45061</v>
      </c>
    </row>
    <row r="10" spans="1:8" ht="15" customHeight="1" x14ac:dyDescent="0.25">
      <c r="A10" s="6" t="s">
        <v>170</v>
      </c>
      <c r="B10" s="52"/>
      <c r="H10" s="161">
        <f>EffDate_Proposed</f>
        <v>45348</v>
      </c>
    </row>
    <row r="11" spans="1:8" ht="15" customHeight="1" x14ac:dyDescent="0.25">
      <c r="A11" s="6" t="s">
        <v>77</v>
      </c>
      <c r="B11" s="52"/>
      <c r="H11" s="23" t="str">
        <f>Detailed_LineDesc04</f>
        <v>Private Passenger Auto Physical Damage</v>
      </c>
    </row>
    <row r="12" spans="1:8" ht="15" customHeight="1" x14ac:dyDescent="0.25">
      <c r="A12" s="6" t="s">
        <v>78</v>
      </c>
      <c r="B12" s="52"/>
      <c r="H12" s="23" t="str">
        <f>Covg04</f>
        <v>COMP</v>
      </c>
    </row>
    <row r="13" spans="1:8" ht="15" customHeight="1" x14ac:dyDescent="0.25">
      <c r="H13" s="511"/>
    </row>
    <row r="14" spans="1:8" ht="9.9499999999999993" customHeight="1" x14ac:dyDescent="0.25"/>
    <row r="15" spans="1:8" ht="15.75" thickBot="1" x14ac:dyDescent="0.3">
      <c r="A15" s="7" t="s">
        <v>171</v>
      </c>
      <c r="B15" s="228" t="str">
        <f>'6.4Ratemaking Data'!D$14</f>
        <v>20173</v>
      </c>
      <c r="C15" s="228" t="str">
        <f>'6.4Ratemaking Data'!E$14</f>
        <v>20183</v>
      </c>
      <c r="D15" s="228" t="str">
        <f>'6.4Ratemaking Data'!F$14</f>
        <v>20193</v>
      </c>
      <c r="E15" s="228" t="str">
        <f>'6.4Ratemaking Data'!G$14</f>
        <v>20203</v>
      </c>
      <c r="F15" s="228" t="str">
        <f>'6.4Ratemaking Data'!H$14</f>
        <v>20213</v>
      </c>
      <c r="G15" s="228">
        <f>'6.4Ratemaking Data'!I$14</f>
        <v>20223</v>
      </c>
      <c r="H15" s="91" t="s">
        <v>306</v>
      </c>
    </row>
    <row r="16" spans="1:8" x14ac:dyDescent="0.25">
      <c r="A16" s="114" t="s">
        <v>173</v>
      </c>
      <c r="B16" s="115" t="str">
        <f>IF(ISBLANK('6.4Ratemaking Data'!D15),"",'6.4Ratemaking Data'!D15)</f>
        <v/>
      </c>
      <c r="C16" s="115" t="str">
        <f>IF(ISBLANK('6.4Ratemaking Data'!E15),"",'6.4Ratemaking Data'!E15)</f>
        <v/>
      </c>
      <c r="D16" s="115" t="str">
        <f>IF(ISBLANK('6.4Ratemaking Data'!F15),"",'6.4Ratemaking Data'!F15)</f>
        <v/>
      </c>
      <c r="E16" s="115" t="str">
        <f>IF(ISBLANK('6.4Ratemaking Data'!G15),"",'6.4Ratemaking Data'!G15)</f>
        <v/>
      </c>
      <c r="F16" s="115" t="str">
        <f>IF(ISBLANK('6.4Ratemaking Data'!H15),"",'6.4Ratemaking Data'!H15)</f>
        <v/>
      </c>
      <c r="G16" s="115">
        <f>IF(ISBLANK('6.4Ratemaking Data'!I15),"",'6.4Ratemaking Data'!I15)</f>
        <v>363445110.47000003</v>
      </c>
      <c r="H16" s="116">
        <f>IF(New_Program=TRUE,'6.4Ratemaking Data'!$K$15,SUM($B16:$G16))</f>
        <v>363445110.47000003</v>
      </c>
    </row>
    <row r="17" spans="1:10" x14ac:dyDescent="0.25">
      <c r="A17" s="117" t="s">
        <v>172</v>
      </c>
      <c r="B17" s="118" t="str">
        <f>IF(ISBLANK('6.4Ratemaking Data'!D16),"",'6.4Ratemaking Data'!D16)</f>
        <v/>
      </c>
      <c r="C17" s="118" t="str">
        <f>IF(ISBLANK('6.4Ratemaking Data'!E16),"",'6.4Ratemaking Data'!E16)</f>
        <v/>
      </c>
      <c r="D17" s="118" t="str">
        <f>IF(ISBLANK('6.4Ratemaking Data'!F16),"",'6.4Ratemaking Data'!F16)</f>
        <v/>
      </c>
      <c r="E17" s="118" t="str">
        <f>IF(ISBLANK('6.4Ratemaking Data'!G16),"",'6.4Ratemaking Data'!G16)</f>
        <v/>
      </c>
      <c r="F17" s="118" t="str">
        <f>IF(ISBLANK('6.4Ratemaking Data'!H16),"",'6.4Ratemaking Data'!H16)</f>
        <v/>
      </c>
      <c r="G17" s="118">
        <f>IF(ISBLANK('6.4Ratemaking Data'!I16),"",'6.4Ratemaking Data'!I16)</f>
        <v>354578102.72000003</v>
      </c>
      <c r="H17" s="119">
        <f>IF(New_Program=TRUE,'6.4Ratemaking Data'!$K$16,SUM($B17:$G17))</f>
        <v>354578102.72000003</v>
      </c>
    </row>
    <row r="18" spans="1:10" x14ac:dyDescent="0.25">
      <c r="A18" s="117" t="s">
        <v>174</v>
      </c>
      <c r="B18" s="120" t="str">
        <f>IF(ISBLANK('6.4Ratemaking Data'!D17),"",'6.4Ratemaking Data'!D17)</f>
        <v/>
      </c>
      <c r="C18" s="120" t="str">
        <f>IF(ISBLANK('6.4Ratemaking Data'!E17),"",'6.4Ratemaking Data'!E17)</f>
        <v/>
      </c>
      <c r="D18" s="120" t="str">
        <f>IF(ISBLANK('6.4Ratemaking Data'!F17),"",'6.4Ratemaking Data'!F17)</f>
        <v/>
      </c>
      <c r="E18" s="120" t="str">
        <f>IF(ISBLANK('6.4Ratemaking Data'!G17),"",'6.4Ratemaking Data'!G17)</f>
        <v/>
      </c>
      <c r="F18" s="120" t="str">
        <f>IF(ISBLANK('6.4Ratemaking Data'!H17),"",'6.4Ratemaking Data'!H17)</f>
        <v/>
      </c>
      <c r="G18" s="120">
        <f>IF(ISBLANK('6.4Ratemaking Data'!I17),"",'6.4Ratemaking Data'!I17)</f>
        <v>1.4500738864260079</v>
      </c>
      <c r="H18" s="121"/>
    </row>
    <row r="19" spans="1:10" x14ac:dyDescent="0.25">
      <c r="A19" s="117" t="s">
        <v>175</v>
      </c>
      <c r="B19" s="120" t="str">
        <f>IF(ISBLANK('6.4Ratemaking Data'!D18),"",'6.4Ratemaking Data'!D18)</f>
        <v/>
      </c>
      <c r="C19" s="120" t="str">
        <f>IF(ISBLANK('6.4Ratemaking Data'!E18),"",'6.4Ratemaking Data'!E18)</f>
        <v/>
      </c>
      <c r="D19" s="120" t="str">
        <f>IF(ISBLANK('6.4Ratemaking Data'!F18),"",'6.4Ratemaking Data'!F18)</f>
        <v/>
      </c>
      <c r="E19" s="120" t="str">
        <f>IF(ISBLANK('6.4Ratemaking Data'!G18),"",'6.4Ratemaking Data'!G18)</f>
        <v/>
      </c>
      <c r="F19" s="120" t="str">
        <f>IF(ISBLANK('6.4Ratemaking Data'!H18),"",'6.4Ratemaking Data'!H18)</f>
        <v/>
      </c>
      <c r="G19" s="120">
        <f>IF(ISBLANK('6.4Ratemaking Data'!I18),"",'6.4Ratemaking Data'!I18)</f>
        <v>1.0837114991540784</v>
      </c>
      <c r="H19" s="127">
        <f>IF(New_Program=TRUE,0,'6.4Ratemaking Data'!$J$18)</f>
        <v>3.6244444136905002E-2</v>
      </c>
    </row>
    <row r="20" spans="1:10" x14ac:dyDescent="0.25">
      <c r="A20" s="117" t="s">
        <v>176</v>
      </c>
      <c r="B20" s="118" t="str">
        <f>IF(ISBLANK('6.4Ratemaking Data'!D19),"",'6.4Ratemaking Data'!D19)</f>
        <v/>
      </c>
      <c r="C20" s="118" t="str">
        <f>IF(ISBLANK('6.4Ratemaking Data'!E19),"",'6.4Ratemaking Data'!E19)</f>
        <v/>
      </c>
      <c r="D20" s="118" t="str">
        <f>IF(ISBLANK('6.4Ratemaking Data'!F19),"",'6.4Ratemaking Data'!F19)</f>
        <v/>
      </c>
      <c r="E20" s="118" t="str">
        <f>IF(ISBLANK('6.4Ratemaking Data'!G19),"",'6.4Ratemaking Data'!G19)</f>
        <v/>
      </c>
      <c r="F20" s="118" t="str">
        <f>IF(ISBLANK('6.4Ratemaking Data'!H19),"",'6.4Ratemaking Data'!H19)</f>
        <v/>
      </c>
      <c r="G20" s="118">
        <f>IF(ISBLANK('6.4Ratemaking Data'!I19),"",'6.4Ratemaking Data'!I19)</f>
        <v>0</v>
      </c>
      <c r="H20" s="119">
        <f>IF(New_Program=TRUE,'6.4Ratemaking Data'!$K$19,SUM($B20:$G20))</f>
        <v>0</v>
      </c>
    </row>
    <row r="21" spans="1:10" x14ac:dyDescent="0.25">
      <c r="A21" s="117" t="s">
        <v>177</v>
      </c>
      <c r="B21" s="118" t="str">
        <f>IF(ISBLANK('6.4Ratemaking Data'!D20),"",'6.4Ratemaking Data'!D20)</f>
        <v/>
      </c>
      <c r="C21" s="118" t="str">
        <f>IF(ISBLANK('6.4Ratemaking Data'!E20),"",'6.4Ratemaking Data'!E20)</f>
        <v/>
      </c>
      <c r="D21" s="118" t="str">
        <f>IF(ISBLANK('6.4Ratemaking Data'!F20),"",'6.4Ratemaking Data'!F20)</f>
        <v/>
      </c>
      <c r="E21" s="118" t="str">
        <f>IF(ISBLANK('6.4Ratemaking Data'!G20),"",'6.4Ratemaking Data'!G20)</f>
        <v/>
      </c>
      <c r="F21" s="118" t="str">
        <f>IF(ISBLANK('6.4Ratemaking Data'!H20),"",'6.4Ratemaking Data'!H20)</f>
        <v/>
      </c>
      <c r="G21" s="118">
        <f>IF(ISBLANK('6.4Ratemaking Data'!I20),"",'6.4Ratemaking Data'!I20)</f>
        <v>3349235</v>
      </c>
      <c r="H21" s="119">
        <f>IF(New_Program=TRUE,'6.4Ratemaking Data'!$K$20,SUM($B21:$G21))</f>
        <v>3349235</v>
      </c>
      <c r="J21" s="111"/>
    </row>
    <row r="22" spans="1:10" x14ac:dyDescent="0.25">
      <c r="A22" s="117" t="s">
        <v>178</v>
      </c>
      <c r="B22" s="118" t="str">
        <f>IF(ISBLANK('6.4Ratemaking Data'!D21),"",'6.4Ratemaking Data'!D21)</f>
        <v/>
      </c>
      <c r="C22" s="118" t="str">
        <f>IF(ISBLANK('6.4Ratemaking Data'!E21),"",'6.4Ratemaking Data'!E21)</f>
        <v/>
      </c>
      <c r="D22" s="118" t="str">
        <f>IF(ISBLANK('6.4Ratemaking Data'!F21),"",'6.4Ratemaking Data'!F21)</f>
        <v/>
      </c>
      <c r="E22" s="118" t="str">
        <f>IF(ISBLANK('6.4Ratemaking Data'!G21),"",'6.4Ratemaking Data'!G21)</f>
        <v/>
      </c>
      <c r="F22" s="118" t="str">
        <f>IF(ISBLANK('6.4Ratemaking Data'!H21),"",'6.4Ratemaking Data'!H21)</f>
        <v/>
      </c>
      <c r="G22" s="118">
        <f>IF(ISBLANK('6.4Ratemaking Data'!I21),"",'6.4Ratemaking Data'!I21)</f>
        <v>372382824.32999998</v>
      </c>
      <c r="H22" s="119">
        <f>IF(New_Program=TRUE,'6.4Ratemaking Data'!$K$21,SUM($B22:$G22))</f>
        <v>372382824.32999998</v>
      </c>
      <c r="J22" s="111"/>
    </row>
    <row r="23" spans="1:10" x14ac:dyDescent="0.25">
      <c r="A23" s="117" t="s">
        <v>144</v>
      </c>
      <c r="B23" s="118" t="str">
        <f>IF(ISBLANK('6.4Ratemaking Data'!D22),"",'6.4Ratemaking Data'!D22)</f>
        <v/>
      </c>
      <c r="C23" s="118" t="str">
        <f>IF(ISBLANK('6.4Ratemaking Data'!E22),"",'6.4Ratemaking Data'!E22)</f>
        <v/>
      </c>
      <c r="D23" s="118" t="str">
        <f>IF(ISBLANK('6.4Ratemaking Data'!F22),"",'6.4Ratemaking Data'!F22)</f>
        <v/>
      </c>
      <c r="E23" s="118" t="str">
        <f>IF(ISBLANK('6.4Ratemaking Data'!G22),"",'6.4Ratemaking Data'!G22)</f>
        <v/>
      </c>
      <c r="F23" s="118" t="str">
        <f>IF(ISBLANK('6.4Ratemaking Data'!H22),"",'6.4Ratemaking Data'!H22)</f>
        <v/>
      </c>
      <c r="G23" s="118">
        <f>IF(ISBLANK('6.4Ratemaking Data'!I22),"",'6.4Ratemaking Data'!I22)</f>
        <v>1084637.2799999998</v>
      </c>
      <c r="H23" s="119">
        <f>IF(New_Program=TRUE,'6.4Ratemaking Data'!$K$22,SUM($B23:$G23))</f>
        <v>1084637.2799999998</v>
      </c>
      <c r="J23" s="111"/>
    </row>
    <row r="24" spans="1:10" x14ac:dyDescent="0.25">
      <c r="A24" s="117" t="s">
        <v>181</v>
      </c>
      <c r="B24" s="120" t="str">
        <f>IF(ISBLANK('6.4Ratemaking Data'!D23),"",'6.4Ratemaking Data'!D23)</f>
        <v/>
      </c>
      <c r="C24" s="120" t="str">
        <f>IF(ISBLANK('6.4Ratemaking Data'!E23),"",'6.4Ratemaking Data'!E23)</f>
        <v/>
      </c>
      <c r="D24" s="120" t="str">
        <f>IF(ISBLANK('6.4Ratemaking Data'!F23),"",'6.4Ratemaking Data'!F23)</f>
        <v/>
      </c>
      <c r="E24" s="120" t="str">
        <f>IF(ISBLANK('6.4Ratemaking Data'!G23),"",'6.4Ratemaking Data'!G23)</f>
        <v/>
      </c>
      <c r="F24" s="120" t="str">
        <f>IF(ISBLANK('6.4Ratemaking Data'!H23),"",'6.4Ratemaking Data'!H23)</f>
        <v/>
      </c>
      <c r="G24" s="120">
        <f>IF(ISBLANK('6.4Ratemaking Data'!I23),"",'6.4Ratemaking Data'!I23)</f>
        <v>1.0100095894028551</v>
      </c>
      <c r="H24" s="121"/>
    </row>
    <row r="25" spans="1:10" x14ac:dyDescent="0.25">
      <c r="A25" s="117" t="s">
        <v>182</v>
      </c>
      <c r="B25" s="120" t="str">
        <f>IF(ISBLANK('6.4Ratemaking Data'!D24),"",'6.4Ratemaking Data'!D24)</f>
        <v/>
      </c>
      <c r="C25" s="120" t="str">
        <f>IF(ISBLANK('6.4Ratemaking Data'!E24),"",'6.4Ratemaking Data'!E24)</f>
        <v/>
      </c>
      <c r="D25" s="120" t="str">
        <f>IF(ISBLANK('6.4Ratemaking Data'!F24),"",'6.4Ratemaking Data'!F24)</f>
        <v/>
      </c>
      <c r="E25" s="120" t="str">
        <f>IF(ISBLANK('6.4Ratemaking Data'!G24),"",'6.4Ratemaking Data'!G24)</f>
        <v/>
      </c>
      <c r="F25" s="120" t="str">
        <f>IF(ISBLANK('6.4Ratemaking Data'!H24),"",'6.4Ratemaking Data'!H24)</f>
        <v/>
      </c>
      <c r="G25" s="120">
        <f>IF(ISBLANK('6.4Ratemaking Data'!I24),"",'6.4Ratemaking Data'!I24)</f>
        <v>1.8429297778984146</v>
      </c>
      <c r="H25" s="121"/>
    </row>
    <row r="26" spans="1:10" x14ac:dyDescent="0.25">
      <c r="A26" s="117" t="s">
        <v>179</v>
      </c>
      <c r="B26" s="120" t="str">
        <f>IF(ISBLANK('6.4Ratemaking Data'!D25),"",'6.4Ratemaking Data'!D25)</f>
        <v/>
      </c>
      <c r="C26" s="120" t="str">
        <f>IF(ISBLANK('6.4Ratemaking Data'!E25),"",'6.4Ratemaking Data'!E25)</f>
        <v/>
      </c>
      <c r="D26" s="120" t="str">
        <f>IF(ISBLANK('6.4Ratemaking Data'!F25),"",'6.4Ratemaking Data'!F25)</f>
        <v/>
      </c>
      <c r="E26" s="120" t="str">
        <f>IF(ISBLANK('6.4Ratemaking Data'!G25),"",'6.4Ratemaking Data'!G25)</f>
        <v/>
      </c>
      <c r="F26" s="120" t="str">
        <f>IF(ISBLANK('6.4Ratemaking Data'!H25),"",'6.4Ratemaking Data'!H25)</f>
        <v/>
      </c>
      <c r="G26" s="120">
        <f>IF(ISBLANK('6.4Ratemaking Data'!I25),"",'6.4Ratemaking Data'!I25)</f>
        <v>1.3233858663026541</v>
      </c>
      <c r="H26" s="127">
        <f>IF(New_Program=TRUE,0,'6.4Ratemaking Data'!$J$25)</f>
        <v>0.13211689599201137</v>
      </c>
    </row>
    <row r="27" spans="1:10" x14ac:dyDescent="0.25">
      <c r="A27" s="117" t="s">
        <v>180</v>
      </c>
      <c r="B27" s="120" t="str">
        <f>IF(ISBLANK('6.4Ratemaking Data'!D26),"",'6.4Ratemaking Data'!D26)</f>
        <v/>
      </c>
      <c r="C27" s="120" t="str">
        <f>IF(ISBLANK('6.4Ratemaking Data'!E26),"",'6.4Ratemaking Data'!E26)</f>
        <v/>
      </c>
      <c r="D27" s="120" t="str">
        <f>IF(ISBLANK('6.4Ratemaking Data'!F26),"",'6.4Ratemaking Data'!F26)</f>
        <v/>
      </c>
      <c r="E27" s="120" t="str">
        <f>IF(ISBLANK('6.4Ratemaking Data'!G26),"",'6.4Ratemaking Data'!G26)</f>
        <v/>
      </c>
      <c r="F27" s="120" t="str">
        <f>IF(ISBLANK('6.4Ratemaking Data'!H26),"",'6.4Ratemaking Data'!H26)</f>
        <v/>
      </c>
      <c r="G27" s="120">
        <f>IF(ISBLANK('6.4Ratemaking Data'!I26),"",'6.4Ratemaking Data'!I26)</f>
        <v>1.3233858663026541</v>
      </c>
      <c r="H27" s="127">
        <f>IF(New_Program=TRUE,0,'6.4Ratemaking Data'!$J$26)</f>
        <v>0.13211689599201137</v>
      </c>
    </row>
    <row r="28" spans="1:10" x14ac:dyDescent="0.25">
      <c r="A28" s="117" t="s">
        <v>183</v>
      </c>
      <c r="B28" s="120" t="str">
        <f>IF(ISBLANK('6.4Ratemaking Data'!D27),"",'6.4Ratemaking Data'!D27)</f>
        <v/>
      </c>
      <c r="C28" s="120" t="str">
        <f>IF(ISBLANK('6.4Ratemaking Data'!E27),"",'6.4Ratemaking Data'!E27)</f>
        <v/>
      </c>
      <c r="D28" s="120" t="str">
        <f>IF(ISBLANK('6.4Ratemaking Data'!F27),"",'6.4Ratemaking Data'!F27)</f>
        <v/>
      </c>
      <c r="E28" s="120" t="str">
        <f>IF(ISBLANK('6.4Ratemaking Data'!G27),"",'6.4Ratemaking Data'!G27)</f>
        <v/>
      </c>
      <c r="F28" s="120" t="str">
        <f>IF(ISBLANK('6.4Ratemaking Data'!H27),"",'6.4Ratemaking Data'!H27)</f>
        <v/>
      </c>
      <c r="G28" s="120">
        <f>IF(ISBLANK('6.4Ratemaking Data'!I27),"",'6.4Ratemaking Data'!I27)</f>
        <v>1.024</v>
      </c>
      <c r="H28" s="121"/>
    </row>
    <row r="29" spans="1:10" ht="15.75" thickBot="1" x14ac:dyDescent="0.3">
      <c r="A29" s="133" t="s">
        <v>188</v>
      </c>
      <c r="B29" s="134" t="str">
        <f>IF(ISBLANK('6.4Ratemaking Data'!D29),"",'6.4Ratemaking Data'!D29)</f>
        <v/>
      </c>
      <c r="C29" s="134" t="str">
        <f>IF(ISBLANK('6.4Ratemaking Data'!E29),"",'6.4Ratemaking Data'!E29)</f>
        <v/>
      </c>
      <c r="D29" s="134" t="str">
        <f>IF(ISBLANK('6.4Ratemaking Data'!F29),"",'6.4Ratemaking Data'!F29)</f>
        <v/>
      </c>
      <c r="E29" s="134" t="str">
        <f>IF(ISBLANK('6.4Ratemaking Data'!G29),"",'6.4Ratemaking Data'!G29)</f>
        <v/>
      </c>
      <c r="F29" s="134" t="str">
        <f>IF(ISBLANK('6.4Ratemaking Data'!H29),"",'6.4Ratemaking Data'!H29)</f>
        <v/>
      </c>
      <c r="G29" s="134">
        <f>IF(ISBLANK('6.4Ratemaking Data'!I29),"",'6.4Ratemaking Data'!I29)</f>
        <v>0</v>
      </c>
      <c r="H29" s="135">
        <f>IF(New_Program=TRUE,'6.4Ratemaking Data'!$K$29,SUM($B29:$G29))</f>
        <v>0</v>
      </c>
    </row>
    <row r="30" spans="1:10" ht="15.75" thickTop="1" x14ac:dyDescent="0.25">
      <c r="A30" s="117" t="s">
        <v>184</v>
      </c>
      <c r="B30" s="122"/>
      <c r="C30" s="122"/>
      <c r="D30" s="122"/>
      <c r="E30" s="122"/>
      <c r="F30" s="122"/>
      <c r="G30" s="122"/>
      <c r="H30" s="127">
        <f>IF(New_Program=TRUE,100%,'6.4Ratemaking Data'!$J$28)</f>
        <v>1</v>
      </c>
    </row>
    <row r="31" spans="1:10" x14ac:dyDescent="0.25">
      <c r="A31" s="117" t="s">
        <v>185</v>
      </c>
      <c r="B31" s="122"/>
      <c r="C31" s="122"/>
      <c r="D31" s="122"/>
      <c r="E31" s="122"/>
      <c r="F31" s="122"/>
      <c r="G31" s="122"/>
      <c r="H31" s="127">
        <f>ExpRatio_Excluded</f>
        <v>1.3597266477453115E-2</v>
      </c>
    </row>
    <row r="32" spans="1:10" x14ac:dyDescent="0.25">
      <c r="A32" s="117" t="s">
        <v>166</v>
      </c>
      <c r="B32" s="122"/>
      <c r="C32" s="122"/>
      <c r="D32" s="122"/>
      <c r="E32" s="122"/>
      <c r="F32" s="122"/>
      <c r="G32" s="122"/>
      <c r="H32" s="127">
        <f>FIT_Inv</f>
        <v>0.18957755323144132</v>
      </c>
    </row>
    <row r="33" spans="1:9" ht="15.75" thickBot="1" x14ac:dyDescent="0.3">
      <c r="A33" s="85" t="s">
        <v>165</v>
      </c>
      <c r="B33" s="123"/>
      <c r="C33" s="123"/>
      <c r="D33" s="123"/>
      <c r="E33" s="123"/>
      <c r="F33" s="123"/>
      <c r="G33" s="123"/>
      <c r="H33" s="124">
        <f>Yield</f>
        <v>0.10317106949646478</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EffStd_Final04</f>
        <v>0.29866055104631506</v>
      </c>
    </row>
    <row r="38" spans="1:9" x14ac:dyDescent="0.25">
      <c r="A38" s="117" t="s">
        <v>191</v>
      </c>
      <c r="B38" s="77"/>
      <c r="C38" s="77"/>
      <c r="D38" s="77"/>
      <c r="E38" s="77"/>
      <c r="F38" s="577" t="s">
        <v>317</v>
      </c>
      <c r="G38" s="578">
        <f>update_leverage</f>
        <v>2021</v>
      </c>
      <c r="H38" s="162">
        <f ca="1">LevFact_Final04</f>
        <v>1.2507122087328104</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1/LevFact_Final04</f>
        <v>0.79954444597064767</v>
      </c>
    </row>
    <row r="41" spans="1:9" x14ac:dyDescent="0.25">
      <c r="A41" s="117" t="s">
        <v>198</v>
      </c>
      <c r="B41" s="77"/>
      <c r="C41" s="77"/>
      <c r="D41" s="77"/>
      <c r="E41" s="77"/>
      <c r="F41" s="577" t="s">
        <v>317</v>
      </c>
      <c r="G41" s="578">
        <f>update_reserveratios</f>
        <v>2021</v>
      </c>
      <c r="H41" s="163">
        <f ca="1">ResRatio_UPR04</f>
        <v>0.32682025394820319</v>
      </c>
    </row>
    <row r="42" spans="1:9" x14ac:dyDescent="0.25">
      <c r="A42" s="117" t="s">
        <v>194</v>
      </c>
      <c r="B42" s="77"/>
      <c r="C42" s="77"/>
      <c r="D42" s="77"/>
      <c r="E42" s="77"/>
      <c r="F42" s="577" t="s">
        <v>317</v>
      </c>
      <c r="G42" s="578">
        <f>update_reserveratios</f>
        <v>2021</v>
      </c>
      <c r="H42" s="163">
        <f ca="1">ResRatio_Loss04</f>
        <v>9.1896214076458593E-2</v>
      </c>
    </row>
    <row r="43" spans="1:9" x14ac:dyDescent="0.25">
      <c r="A43" s="117" t="s">
        <v>195</v>
      </c>
      <c r="B43" s="77"/>
      <c r="C43" s="77"/>
      <c r="D43" s="77"/>
      <c r="E43" s="77"/>
      <c r="F43" s="575" t="s">
        <v>317</v>
      </c>
      <c r="G43" s="575" t="str">
        <f>ROR_RiskFree_Date</f>
        <v>January 2023</v>
      </c>
      <c r="H43" s="576">
        <f>ROR_RiskFree</f>
        <v>3.9611111111111104E-2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9.9611111111111095E-2</v>
      </c>
    </row>
    <row r="46" spans="1:9" ht="5.0999999999999996" customHeight="1" x14ac:dyDescent="0.25"/>
    <row r="47" spans="1:9" ht="15.75" thickBot="1" x14ac:dyDescent="0.3">
      <c r="A47" s="7" t="s">
        <v>234</v>
      </c>
      <c r="B47" s="228" t="str">
        <f>'6.4Ratemaking Data'!D$14</f>
        <v>20173</v>
      </c>
      <c r="C47" s="228" t="str">
        <f>'6.4Ratemaking Data'!E$14</f>
        <v>20183</v>
      </c>
      <c r="D47" s="228" t="str">
        <f>'6.4Ratemaking Data'!F$14</f>
        <v>20193</v>
      </c>
      <c r="E47" s="228" t="str">
        <f>'6.4Ratemaking Data'!G$14</f>
        <v>20203</v>
      </c>
      <c r="F47" s="228" t="str">
        <f>'6.4Ratemaking Data'!H$14</f>
        <v>20213</v>
      </c>
      <c r="G47" s="228">
        <f>'6.4Ratemaking Data'!I$14</f>
        <v>20223</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557205924.16074884</v>
      </c>
      <c r="H48" s="116">
        <f>IF(New_Program=TRUE,(Prem_Earned+Misc_Fees),SUM($B48:$G48))</f>
        <v>557205924.16074884</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509684688.84968311</v>
      </c>
      <c r="H49" s="119">
        <f>IF(New_Program=TRUE,Losses,SUM($B49:$G49))</f>
        <v>509684688.84968311</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2708817.6066437047</v>
      </c>
      <c r="H50" s="119">
        <f>IF(New_Program=TRUE,DCCE,SUM($B50:$G50))</f>
        <v>2708817.6066437047</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f t="shared" si="3"/>
        <v>0.91957655911157532</v>
      </c>
      <c r="H51" s="127">
        <f t="shared" si="3"/>
        <v>0.91957655911157532</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166.36811814063475</v>
      </c>
      <c r="H52" s="130">
        <f t="shared" si="4"/>
        <v>166.36811814063475</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152.98822162563295</v>
      </c>
      <c r="H53" s="130">
        <f t="shared" si="5"/>
        <v>152.98822162563295</v>
      </c>
    </row>
    <row r="54" spans="1:9" x14ac:dyDescent="0.25">
      <c r="A54" s="117" t="s">
        <v>204</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129.62384572973707</v>
      </c>
      <c r="H54" s="130">
        <f t="shared" ca="1" si="6"/>
        <v>129.62384572973707</v>
      </c>
    </row>
    <row r="55" spans="1:9" x14ac:dyDescent="0.25">
      <c r="A55" s="117" t="s">
        <v>214</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152.98822162563295</v>
      </c>
      <c r="H55" s="130">
        <f t="shared" ca="1" si="7"/>
        <v>152.98822162563295</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217</v>
      </c>
      <c r="B57" s="77"/>
      <c r="C57" s="77"/>
      <c r="D57" s="77"/>
      <c r="E57" s="77"/>
      <c r="F57" s="77"/>
      <c r="G57" s="77"/>
      <c r="H57" s="127">
        <f ca="1">Yield*((1-FIT_Inv)/(1-FIT_UW))*ResRatio_Loss04</f>
        <v>9.7261266947114497E-3</v>
      </c>
    </row>
    <row r="58" spans="1:9" x14ac:dyDescent="0.25">
      <c r="A58" s="117" t="s">
        <v>218</v>
      </c>
      <c r="B58" s="77"/>
      <c r="C58" s="77"/>
      <c r="D58" s="77"/>
      <c r="E58" s="77"/>
      <c r="F58" s="77"/>
      <c r="G58" s="77"/>
      <c r="H58" s="127">
        <f ca="1">Yield*((1-FIT_Inv)/(1-FIT_UW))*(ResRatio_UPR04+SurplusRatio)</f>
        <v>0.11921237328391543</v>
      </c>
    </row>
    <row r="59" spans="1:9" x14ac:dyDescent="0.25">
      <c r="A59" s="117" t="s">
        <v>206</v>
      </c>
      <c r="B59" s="128"/>
      <c r="C59" s="128"/>
      <c r="D59" s="128"/>
      <c r="E59" s="128"/>
      <c r="F59" s="128"/>
      <c r="G59" s="128"/>
      <c r="H59" s="127">
        <f>(1+Loss_AnnualTrend)/(1+Prem_AnnualTrend)-1</f>
        <v>9.2519146807063635E-2</v>
      </c>
    </row>
    <row r="60" spans="1:9" x14ac:dyDescent="0.25">
      <c r="A60" s="117" t="s">
        <v>205</v>
      </c>
      <c r="B60" s="128"/>
      <c r="C60" s="128"/>
      <c r="D60" s="128"/>
      <c r="E60" s="128"/>
      <c r="F60" s="128"/>
      <c r="G60" s="128"/>
      <c r="H60" s="127">
        <f>IF(New_Program=TRUE,0,(1+Net_AnnualTrend)^MIN(4,((EffDate_Proposed-EffDate_Prior04)/365.25))-1)</f>
        <v>7.2003338295554054E-2</v>
      </c>
    </row>
    <row r="61" spans="1:9" x14ac:dyDescent="0.25">
      <c r="A61" s="117" t="s">
        <v>207</v>
      </c>
      <c r="B61" s="128"/>
      <c r="C61" s="128"/>
      <c r="D61" s="128"/>
      <c r="E61" s="128"/>
      <c r="F61" s="128"/>
      <c r="G61" s="128"/>
      <c r="H61" s="127">
        <f ca="1">(ROR_Max)/(LevFact_Final04*(1-FIT_UW))</f>
        <v>0.10081457043778981</v>
      </c>
    </row>
    <row r="62" spans="1:9" x14ac:dyDescent="0.25">
      <c r="A62" s="117" t="s">
        <v>208</v>
      </c>
      <c r="B62" s="77"/>
      <c r="C62" s="77"/>
      <c r="D62" s="77"/>
      <c r="E62" s="77"/>
      <c r="F62" s="77"/>
      <c r="G62" s="77"/>
      <c r="H62" s="127">
        <f ca="1">(ROR_Min)/(LevFact_Final04*(1-FIT_UW))</f>
        <v>-6.0724894630682098E-2</v>
      </c>
    </row>
    <row r="63" spans="1:9" x14ac:dyDescent="0.25">
      <c r="A63" s="117" t="s">
        <v>209</v>
      </c>
      <c r="B63" s="77"/>
      <c r="C63" s="77"/>
      <c r="D63" s="77"/>
      <c r="E63" s="77"/>
      <c r="F63" s="77"/>
      <c r="G63" s="77"/>
      <c r="H63" s="127">
        <f ca="1">1-CredLossDCCE_perExp/Max_Premium-EffStd_Final04</f>
        <v>-2.5466812628786251E-2</v>
      </c>
      <c r="I63" s="204"/>
    </row>
    <row r="64" spans="1:9" x14ac:dyDescent="0.25">
      <c r="A64" s="117" t="s">
        <v>211</v>
      </c>
      <c r="B64" s="77"/>
      <c r="C64" s="77"/>
      <c r="D64" s="77"/>
      <c r="E64" s="77"/>
      <c r="F64" s="77"/>
      <c r="G64" s="77"/>
      <c r="H64" s="129">
        <f ca="1">1-EffStd_Final04-Min_Profit+InvInc_Variable</f>
        <v>0.88127671686828246</v>
      </c>
      <c r="I64" s="204"/>
    </row>
    <row r="65" spans="1:9" x14ac:dyDescent="0.25">
      <c r="A65" s="117" t="s">
        <v>210</v>
      </c>
      <c r="B65" s="77"/>
      <c r="C65" s="77"/>
      <c r="D65" s="77"/>
      <c r="E65" s="77"/>
      <c r="F65" s="77"/>
      <c r="G65" s="77"/>
      <c r="H65" s="129">
        <f ca="1">1-EffStd_Final04-Max_Profit+InvInc_Variable</f>
        <v>0.71973725179981052</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171.90995279856804</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210.49381343046295</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3.3310677068839924E-2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0.26522927459291057</v>
      </c>
      <c r="I69" s="396" t="str">
        <f ca="1">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
      </c>
    </row>
    <row r="70" spans="1:9" ht="5.0999999999999996" hidden="1" customHeight="1" x14ac:dyDescent="0.25"/>
    <row r="71" spans="1:9" ht="15.75" hidden="1" thickBot="1" x14ac:dyDescent="0.3">
      <c r="A71" s="7" t="s">
        <v>233</v>
      </c>
      <c r="B71" s="228" t="str">
        <f>'6.4Ratemaking Data'!D$14</f>
        <v>20173</v>
      </c>
      <c r="C71" s="228" t="str">
        <f>'6.4Ratemaking Data'!E$14</f>
        <v>20183</v>
      </c>
      <c r="D71" s="228" t="str">
        <f>'6.4Ratemaking Data'!F$14</f>
        <v>20193</v>
      </c>
      <c r="E71" s="228" t="str">
        <f>'6.4Ratemaking Data'!G$14</f>
        <v>20203</v>
      </c>
      <c r="F71" s="228" t="str">
        <f>'6.4Ratemaking Data'!H$14</f>
        <v>20213</v>
      </c>
      <c r="G71" s="228">
        <f>'6.4Ratemaking Data'!I$14</f>
        <v>20223</v>
      </c>
    </row>
    <row r="72" spans="1:9" hidden="1" x14ac:dyDescent="0.25">
      <c r="A72" s="114" t="s">
        <v>232</v>
      </c>
      <c r="B72" s="125"/>
      <c r="C72" s="125"/>
      <c r="D72" s="125"/>
      <c r="E72" s="125"/>
      <c r="F72" s="125"/>
      <c r="G72" s="125"/>
      <c r="H72" s="131" t="str">
        <f>IF(ISBLANK('6.4Ratemaking Data'!J44),"",'6.4Ratemaking Data'!J44)</f>
        <v/>
      </c>
    </row>
    <row r="73" spans="1:9" hidden="1" x14ac:dyDescent="0.25">
      <c r="A73" s="117" t="s">
        <v>219</v>
      </c>
      <c r="B73" s="118" t="str">
        <f>IF(ISBLANK('6.4Ratemaking Data'!D45),"",'6.4Ratemaking Data'!D45)</f>
        <v/>
      </c>
      <c r="C73" s="118" t="str">
        <f>IF(ISBLANK('6.4Ratemaking Data'!E45),"",'6.4Ratemaking Data'!E45)</f>
        <v/>
      </c>
      <c r="D73" s="118" t="str">
        <f>IF(ISBLANK('6.4Ratemaking Data'!F45),"",'6.4Ratemaking Data'!F45)</f>
        <v/>
      </c>
      <c r="E73" s="118" t="str">
        <f>IF(ISBLANK('6.4Ratemaking Data'!G45),"",'6.4Ratemaking Data'!G45)</f>
        <v/>
      </c>
      <c r="F73" s="118" t="str">
        <f>IF(ISBLANK('6.4Ratemaking Data'!H45),"",'6.4Ratemaking Data'!H45)</f>
        <v/>
      </c>
      <c r="G73" s="118" t="str">
        <f>IF(ISBLANK('6.4Ratemaking Data'!I45),"",'6.4Ratemaking Data'!I45)</f>
        <v/>
      </c>
      <c r="H73" s="119" t="str">
        <f ca="1">IF(RIGHT(Detailed_LineCode04,1)="R",IF(New_Program=TRUE,'6.4Ratemaking Data'!$K$45,SUM($B73:$G73)),"")</f>
        <v/>
      </c>
    </row>
    <row r="74" spans="1:9" hidden="1" x14ac:dyDescent="0.25">
      <c r="A74" s="117" t="s">
        <v>220</v>
      </c>
      <c r="B74" s="118" t="str">
        <f>IF(ISBLANK('6.4Ratemaking Data'!D46),"",'6.4Ratemaking Data'!D46)</f>
        <v/>
      </c>
      <c r="C74" s="118" t="str">
        <f>IF(ISBLANK('6.4Ratemaking Data'!E46),"",'6.4Ratemaking Data'!E46)</f>
        <v/>
      </c>
      <c r="D74" s="118" t="str">
        <f>IF(ISBLANK('6.4Ratemaking Data'!F46),"",'6.4Ratemaking Data'!F46)</f>
        <v/>
      </c>
      <c r="E74" s="118" t="str">
        <f>IF(ISBLANK('6.4Ratemaking Data'!G46),"",'6.4Ratemaking Data'!G46)</f>
        <v/>
      </c>
      <c r="F74" s="118" t="str">
        <f>IF(ISBLANK('6.4Ratemaking Data'!H46),"",'6.4Ratemaking Data'!H46)</f>
        <v/>
      </c>
      <c r="G74" s="118" t="str">
        <f>IF(ISBLANK('6.4Ratemaking Data'!I46),"",'6.4Ratemaking Data'!I46)</f>
        <v/>
      </c>
      <c r="H74" s="119">
        <f>IF(New_Program=TRUE,'6.4Ratemaking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223</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IF(AND('6.4Ratemaking Data'!Error30="",'6.4Ratemaking Data'!Error31="",'6.4Ratemaking Data'!Error32=""),"","See Column M of Page '6.4Ratemaking Data' for errors that must be corrected.")</f>
        <v/>
      </c>
    </row>
    <row r="80" spans="1:9" ht="26.25" x14ac:dyDescent="0.25">
      <c r="F80" s="658" t="s">
        <v>620</v>
      </c>
      <c r="G80" s="658"/>
      <c r="H80" s="658"/>
    </row>
    <row r="81" spans="1:1" x14ac:dyDescent="0.25">
      <c r="A81" s="132"/>
    </row>
  </sheetData>
  <sheetProtection algorithmName="SHA-512" hashValue="M3k8ngcrkBIOo41BAOYA2/6EoqfLkQwM7ZBXX6yLj69qHZm3lMTCPqEozXRUxlo4elcXrJCRxy9AQKh1cVmduQ==" saltValue="6NsBjq+qLo2OjwrGUm0/Gg=="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2" orientation="portrait" r:id="rId1"/>
  <headerFooter>
    <oddFooter>&amp;CPrior Approval Rate Template&amp;RPage 7.4&amp;L1/3/2023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Mutual Automobile Insurance Company</v>
      </c>
    </row>
    <row r="2" spans="1:8" x14ac:dyDescent="0.25">
      <c r="A2" s="7" t="s">
        <v>32</v>
      </c>
      <c r="E2" s="109" t="s">
        <v>34</v>
      </c>
      <c r="H2" s="110" t="str">
        <f>General_Line</f>
        <v>Auto Liability and Physical Damage</v>
      </c>
    </row>
    <row r="3" spans="1:8" x14ac:dyDescent="0.25">
      <c r="E3" s="154" t="s">
        <v>142</v>
      </c>
      <c r="F3" s="77"/>
      <c r="G3" s="77"/>
      <c r="H3" s="160" t="str">
        <f>CDI_FileNo</f>
        <v/>
      </c>
    </row>
    <row r="4" spans="1:8" ht="18" customHeight="1" x14ac:dyDescent="0.25">
      <c r="A4" s="510" t="str">
        <f>IF('6.5Ratemaking Data'!$K$7="","VARIANCE - NONE","VARIANCE "&amp;'6.5Ratemaking Data'!$K$7)</f>
        <v>VARIANCE 8A</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76</v>
      </c>
      <c r="H8" s="161">
        <f>Completed_Date</f>
        <v>44979</v>
      </c>
    </row>
    <row r="9" spans="1:8" ht="15" customHeight="1" x14ac:dyDescent="0.25">
      <c r="A9" s="6" t="s">
        <v>169</v>
      </c>
      <c r="H9" s="161">
        <f>EffDate_Prior05</f>
        <v>45061</v>
      </c>
    </row>
    <row r="10" spans="1:8" ht="15" customHeight="1" x14ac:dyDescent="0.25">
      <c r="A10" s="6" t="s">
        <v>170</v>
      </c>
      <c r="B10" s="52"/>
      <c r="H10" s="161">
        <f>EffDate_Proposed</f>
        <v>45348</v>
      </c>
    </row>
    <row r="11" spans="1:8" ht="15" customHeight="1" x14ac:dyDescent="0.25">
      <c r="A11" s="6" t="s">
        <v>77</v>
      </c>
      <c r="B11" s="52"/>
      <c r="H11" s="23" t="str">
        <f>Detailed_LineDesc05</f>
        <v>Private Passenger Auto Physical Damage</v>
      </c>
    </row>
    <row r="12" spans="1:8" ht="15" customHeight="1" x14ac:dyDescent="0.25">
      <c r="A12" s="6" t="s">
        <v>78</v>
      </c>
      <c r="B12" s="52"/>
      <c r="H12" s="23" t="str">
        <f>Covg05</f>
        <v>COLL</v>
      </c>
    </row>
    <row r="13" spans="1:8" ht="15" customHeight="1" x14ac:dyDescent="0.25">
      <c r="H13" s="511"/>
    </row>
    <row r="14" spans="1:8" ht="9.9499999999999993" customHeight="1" x14ac:dyDescent="0.25"/>
    <row r="15" spans="1:8" ht="15.75" thickBot="1" x14ac:dyDescent="0.3">
      <c r="A15" s="7" t="s">
        <v>171</v>
      </c>
      <c r="B15" s="228" t="str">
        <f>'6.5Ratemaking Data'!D$14</f>
        <v>20173</v>
      </c>
      <c r="C15" s="228" t="str">
        <f>'6.5Ratemaking Data'!E$14</f>
        <v>20183</v>
      </c>
      <c r="D15" s="228" t="str">
        <f>'6.5Ratemaking Data'!F$14</f>
        <v>20193</v>
      </c>
      <c r="E15" s="228" t="str">
        <f>'6.5Ratemaking Data'!G$14</f>
        <v>20203</v>
      </c>
      <c r="F15" s="228" t="str">
        <f>'6.5Ratemaking Data'!H$14</f>
        <v>20213</v>
      </c>
      <c r="G15" s="228">
        <f>'6.5Ratemaking Data'!I$14</f>
        <v>20223</v>
      </c>
      <c r="H15" s="91" t="s">
        <v>306</v>
      </c>
    </row>
    <row r="16" spans="1:8" x14ac:dyDescent="0.25">
      <c r="A16" s="114" t="s">
        <v>173</v>
      </c>
      <c r="B16" s="115" t="str">
        <f>IF(ISBLANK('6.5Ratemaking Data'!D15),"",'6.5Ratemaking Data'!D15)</f>
        <v/>
      </c>
      <c r="C16" s="115" t="str">
        <f>IF(ISBLANK('6.5Ratemaking Data'!E15),"",'6.5Ratemaking Data'!E15)</f>
        <v/>
      </c>
      <c r="D16" s="115" t="str">
        <f>IF(ISBLANK('6.5Ratemaking Data'!F15),"",'6.5Ratemaking Data'!F15)</f>
        <v/>
      </c>
      <c r="E16" s="115" t="str">
        <f>IF(ISBLANK('6.5Ratemaking Data'!G15),"",'6.5Ratemaking Data'!G15)</f>
        <v/>
      </c>
      <c r="F16" s="115" t="str">
        <f>IF(ISBLANK('6.5Ratemaking Data'!H15),"",'6.5Ratemaking Data'!H15)</f>
        <v/>
      </c>
      <c r="G16" s="115">
        <f>IF(ISBLANK('6.5Ratemaking Data'!I15),"",'6.5Ratemaking Data'!I15)</f>
        <v>1373272976.8799999</v>
      </c>
      <c r="H16" s="116">
        <f>IF(New_Program=TRUE,'6.5Ratemaking Data'!$K$15,SUM($B16:$G16))</f>
        <v>1373272976.8799999</v>
      </c>
    </row>
    <row r="17" spans="1:10" x14ac:dyDescent="0.25">
      <c r="A17" s="117" t="s">
        <v>172</v>
      </c>
      <c r="B17" s="118" t="str">
        <f>IF(ISBLANK('6.5Ratemaking Data'!D16),"",'6.5Ratemaking Data'!D16)</f>
        <v/>
      </c>
      <c r="C17" s="118" t="str">
        <f>IF(ISBLANK('6.5Ratemaking Data'!E16),"",'6.5Ratemaking Data'!E16)</f>
        <v/>
      </c>
      <c r="D17" s="118" t="str">
        <f>IF(ISBLANK('6.5Ratemaking Data'!F16),"",'6.5Ratemaking Data'!F16)</f>
        <v/>
      </c>
      <c r="E17" s="118" t="str">
        <f>IF(ISBLANK('6.5Ratemaking Data'!G16),"",'6.5Ratemaking Data'!G16)</f>
        <v/>
      </c>
      <c r="F17" s="118" t="str">
        <f>IF(ISBLANK('6.5Ratemaking Data'!H16),"",'6.5Ratemaking Data'!H16)</f>
        <v/>
      </c>
      <c r="G17" s="118">
        <f>IF(ISBLANK('6.5Ratemaking Data'!I16),"",'6.5Ratemaking Data'!I16)</f>
        <v>1338824924.1099999</v>
      </c>
      <c r="H17" s="119">
        <f>IF(New_Program=TRUE,'6.5Ratemaking Data'!$K$16,SUM($B17:$G17))</f>
        <v>1338824924.1099999</v>
      </c>
    </row>
    <row r="18" spans="1:10" x14ac:dyDescent="0.25">
      <c r="A18" s="117" t="s">
        <v>174</v>
      </c>
      <c r="B18" s="120" t="str">
        <f>IF(ISBLANK('6.5Ratemaking Data'!D17),"",'6.5Ratemaking Data'!D17)</f>
        <v/>
      </c>
      <c r="C18" s="120" t="str">
        <f>IF(ISBLANK('6.5Ratemaking Data'!E17),"",'6.5Ratemaking Data'!E17)</f>
        <v/>
      </c>
      <c r="D18" s="120" t="str">
        <f>IF(ISBLANK('6.5Ratemaking Data'!F17),"",'6.5Ratemaking Data'!F17)</f>
        <v/>
      </c>
      <c r="E18" s="120" t="str">
        <f>IF(ISBLANK('6.5Ratemaking Data'!G17),"",'6.5Ratemaking Data'!G17)</f>
        <v/>
      </c>
      <c r="F18" s="120" t="str">
        <f>IF(ISBLANK('6.5Ratemaking Data'!H17),"",'6.5Ratemaking Data'!H17)</f>
        <v/>
      </c>
      <c r="G18" s="120">
        <f>IF(ISBLANK('6.5Ratemaking Data'!I17),"",'6.5Ratemaking Data'!I17)</f>
        <v>1.1149582592035034</v>
      </c>
      <c r="H18" s="121"/>
    </row>
    <row r="19" spans="1:10" x14ac:dyDescent="0.25">
      <c r="A19" s="117" t="s">
        <v>175</v>
      </c>
      <c r="B19" s="120" t="str">
        <f>IF(ISBLANK('6.5Ratemaking Data'!D18),"",'6.5Ratemaking Data'!D18)</f>
        <v/>
      </c>
      <c r="C19" s="120" t="str">
        <f>IF(ISBLANK('6.5Ratemaking Data'!E18),"",'6.5Ratemaking Data'!E18)</f>
        <v/>
      </c>
      <c r="D19" s="120" t="str">
        <f>IF(ISBLANK('6.5Ratemaking Data'!F18),"",'6.5Ratemaking Data'!F18)</f>
        <v/>
      </c>
      <c r="E19" s="120" t="str">
        <f>IF(ISBLANK('6.5Ratemaking Data'!G18),"",'6.5Ratemaking Data'!G18)</f>
        <v/>
      </c>
      <c r="F19" s="120" t="str">
        <f>IF(ISBLANK('6.5Ratemaking Data'!H18),"",'6.5Ratemaking Data'!H18)</f>
        <v/>
      </c>
      <c r="G19" s="120">
        <f>IF(ISBLANK('6.5Ratemaking Data'!I18),"",'6.5Ratemaking Data'!I18)</f>
        <v>1.0708091996031837</v>
      </c>
      <c r="H19" s="127">
        <f>IF(New_Program=TRUE,0,'6.5Ratemaking Data'!$J$18)</f>
        <v>3.0762449445338E-2</v>
      </c>
    </row>
    <row r="20" spans="1:10" x14ac:dyDescent="0.25">
      <c r="A20" s="117" t="s">
        <v>176</v>
      </c>
      <c r="B20" s="118" t="str">
        <f>IF(ISBLANK('6.5Ratemaking Data'!D19),"",'6.5Ratemaking Data'!D19)</f>
        <v/>
      </c>
      <c r="C20" s="118" t="str">
        <f>IF(ISBLANK('6.5Ratemaking Data'!E19),"",'6.5Ratemaking Data'!E19)</f>
        <v/>
      </c>
      <c r="D20" s="118" t="str">
        <f>IF(ISBLANK('6.5Ratemaking Data'!F19),"",'6.5Ratemaking Data'!F19)</f>
        <v/>
      </c>
      <c r="E20" s="118" t="str">
        <f>IF(ISBLANK('6.5Ratemaking Data'!G19),"",'6.5Ratemaking Data'!G19)</f>
        <v/>
      </c>
      <c r="F20" s="118" t="str">
        <f>IF(ISBLANK('6.5Ratemaking Data'!H19),"",'6.5Ratemaking Data'!H19)</f>
        <v/>
      </c>
      <c r="G20" s="118">
        <f>IF(ISBLANK('6.5Ratemaking Data'!I19),"",'6.5Ratemaking Data'!I19)</f>
        <v>0</v>
      </c>
      <c r="H20" s="119">
        <f>IF(New_Program=TRUE,'6.5Ratemaking Data'!$K$19,SUM($B20:$G20))</f>
        <v>0</v>
      </c>
    </row>
    <row r="21" spans="1:10" x14ac:dyDescent="0.25">
      <c r="A21" s="117" t="s">
        <v>177</v>
      </c>
      <c r="B21" s="118" t="str">
        <f>IF(ISBLANK('6.5Ratemaking Data'!D20),"",'6.5Ratemaking Data'!D20)</f>
        <v/>
      </c>
      <c r="C21" s="118" t="str">
        <f>IF(ISBLANK('6.5Ratemaking Data'!E20),"",'6.5Ratemaking Data'!E20)</f>
        <v/>
      </c>
      <c r="D21" s="118" t="str">
        <f>IF(ISBLANK('6.5Ratemaking Data'!F20),"",'6.5Ratemaking Data'!F20)</f>
        <v/>
      </c>
      <c r="E21" s="118" t="str">
        <f>IF(ISBLANK('6.5Ratemaking Data'!G20),"",'6.5Ratemaking Data'!G20)</f>
        <v/>
      </c>
      <c r="F21" s="118" t="str">
        <f>IF(ISBLANK('6.5Ratemaking Data'!H20),"",'6.5Ratemaking Data'!H20)</f>
        <v/>
      </c>
      <c r="G21" s="118">
        <f>IF(ISBLANK('6.5Ratemaking Data'!I20),"",'6.5Ratemaking Data'!I20)</f>
        <v>3231683</v>
      </c>
      <c r="H21" s="119">
        <f>IF(New_Program=TRUE,'6.5Ratemaking Data'!$K$20,SUM($B21:$G21))</f>
        <v>3231683</v>
      </c>
      <c r="J21" s="111"/>
    </row>
    <row r="22" spans="1:10" x14ac:dyDescent="0.25">
      <c r="A22" s="117" t="s">
        <v>178</v>
      </c>
      <c r="B22" s="118" t="str">
        <f>IF(ISBLANK('6.5Ratemaking Data'!D21),"",'6.5Ratemaking Data'!D21)</f>
        <v/>
      </c>
      <c r="C22" s="118" t="str">
        <f>IF(ISBLANK('6.5Ratemaking Data'!E21),"",'6.5Ratemaking Data'!E21)</f>
        <v/>
      </c>
      <c r="D22" s="118" t="str">
        <f>IF(ISBLANK('6.5Ratemaking Data'!F21),"",'6.5Ratemaking Data'!F21)</f>
        <v/>
      </c>
      <c r="E22" s="118" t="str">
        <f>IF(ISBLANK('6.5Ratemaking Data'!G21),"",'6.5Ratemaking Data'!G21)</f>
        <v/>
      </c>
      <c r="F22" s="118" t="str">
        <f>IF(ISBLANK('6.5Ratemaking Data'!H21),"",'6.5Ratemaking Data'!H21)</f>
        <v/>
      </c>
      <c r="G22" s="118">
        <f>IF(ISBLANK('6.5Ratemaking Data'!I21),"",'6.5Ratemaking Data'!I21)</f>
        <v>1225249455.0100002</v>
      </c>
      <c r="H22" s="119">
        <f>IF(New_Program=TRUE,'6.5Ratemaking Data'!$K$21,SUM($B22:$G22))</f>
        <v>1225249455.0100002</v>
      </c>
      <c r="J22" s="111"/>
    </row>
    <row r="23" spans="1:10" x14ac:dyDescent="0.25">
      <c r="A23" s="117" t="s">
        <v>144</v>
      </c>
      <c r="B23" s="118" t="str">
        <f>IF(ISBLANK('6.5Ratemaking Data'!D22),"",'6.5Ratemaking Data'!D22)</f>
        <v/>
      </c>
      <c r="C23" s="118" t="str">
        <f>IF(ISBLANK('6.5Ratemaking Data'!E22),"",'6.5Ratemaking Data'!E22)</f>
        <v/>
      </c>
      <c r="D23" s="118" t="str">
        <f>IF(ISBLANK('6.5Ratemaking Data'!F22),"",'6.5Ratemaking Data'!F22)</f>
        <v/>
      </c>
      <c r="E23" s="118" t="str">
        <f>IF(ISBLANK('6.5Ratemaking Data'!G22),"",'6.5Ratemaking Data'!G22)</f>
        <v/>
      </c>
      <c r="F23" s="118" t="str">
        <f>IF(ISBLANK('6.5Ratemaking Data'!H22),"",'6.5Ratemaking Data'!H22)</f>
        <v/>
      </c>
      <c r="G23" s="118">
        <f>IF(ISBLANK('6.5Ratemaking Data'!I22),"",'6.5Ratemaking Data'!I22)</f>
        <v>1515146.2</v>
      </c>
      <c r="H23" s="119">
        <f>IF(New_Program=TRUE,'6.5Ratemaking Data'!$K$22,SUM($B23:$G23))</f>
        <v>1515146.2</v>
      </c>
      <c r="J23" s="111"/>
    </row>
    <row r="24" spans="1:10" x14ac:dyDescent="0.25">
      <c r="A24" s="117" t="s">
        <v>181</v>
      </c>
      <c r="B24" s="120" t="str">
        <f>IF(ISBLANK('6.5Ratemaking Data'!D23),"",'6.5Ratemaking Data'!D23)</f>
        <v/>
      </c>
      <c r="C24" s="120" t="str">
        <f>IF(ISBLANK('6.5Ratemaking Data'!E23),"",'6.5Ratemaking Data'!E23)</f>
        <v/>
      </c>
      <c r="D24" s="120" t="str">
        <f>IF(ISBLANK('6.5Ratemaking Data'!F23),"",'6.5Ratemaking Data'!F23)</f>
        <v/>
      </c>
      <c r="E24" s="120" t="str">
        <f>IF(ISBLANK('6.5Ratemaking Data'!G23),"",'6.5Ratemaking Data'!G23)</f>
        <v/>
      </c>
      <c r="F24" s="120" t="str">
        <f>IF(ISBLANK('6.5Ratemaking Data'!H23),"",'6.5Ratemaking Data'!H23)</f>
        <v/>
      </c>
      <c r="G24" s="120">
        <f>IF(ISBLANK('6.5Ratemaking Data'!I23),"",'6.5Ratemaking Data'!I23)</f>
        <v>0.94566315234638454</v>
      </c>
      <c r="H24" s="121"/>
    </row>
    <row r="25" spans="1:10" x14ac:dyDescent="0.25">
      <c r="A25" s="117" t="s">
        <v>182</v>
      </c>
      <c r="B25" s="120" t="str">
        <f>IF(ISBLANK('6.5Ratemaking Data'!D24),"",'6.5Ratemaking Data'!D24)</f>
        <v/>
      </c>
      <c r="C25" s="120" t="str">
        <f>IF(ISBLANK('6.5Ratemaking Data'!E24),"",'6.5Ratemaking Data'!E24)</f>
        <v/>
      </c>
      <c r="D25" s="120" t="str">
        <f>IF(ISBLANK('6.5Ratemaking Data'!F24),"",'6.5Ratemaking Data'!F24)</f>
        <v/>
      </c>
      <c r="E25" s="120" t="str">
        <f>IF(ISBLANK('6.5Ratemaking Data'!G24),"",'6.5Ratemaking Data'!G24)</f>
        <v/>
      </c>
      <c r="F25" s="120" t="str">
        <f>IF(ISBLANK('6.5Ratemaking Data'!H24),"",'6.5Ratemaking Data'!H24)</f>
        <v/>
      </c>
      <c r="G25" s="120">
        <f>IF(ISBLANK('6.5Ratemaking Data'!I24),"",'6.5Ratemaking Data'!I24)</f>
        <v>2.0648272310450553</v>
      </c>
      <c r="H25" s="121"/>
    </row>
    <row r="26" spans="1:10" x14ac:dyDescent="0.25">
      <c r="A26" s="117" t="s">
        <v>179</v>
      </c>
      <c r="B26" s="120" t="str">
        <f>IF(ISBLANK('6.5Ratemaking Data'!D25),"",'6.5Ratemaking Data'!D25)</f>
        <v/>
      </c>
      <c r="C26" s="120" t="str">
        <f>IF(ISBLANK('6.5Ratemaking Data'!E25),"",'6.5Ratemaking Data'!E25)</f>
        <v/>
      </c>
      <c r="D26" s="120" t="str">
        <f>IF(ISBLANK('6.5Ratemaking Data'!F25),"",'6.5Ratemaking Data'!F25)</f>
        <v/>
      </c>
      <c r="E26" s="120" t="str">
        <f>IF(ISBLANK('6.5Ratemaking Data'!G25),"",'6.5Ratemaking Data'!G25)</f>
        <v/>
      </c>
      <c r="F26" s="120" t="str">
        <f>IF(ISBLANK('6.5Ratemaking Data'!H25),"",'6.5Ratemaking Data'!H25)</f>
        <v/>
      </c>
      <c r="G26" s="120">
        <f>IF(ISBLANK('6.5Ratemaking Data'!I25),"",'6.5Ratemaking Data'!I25)</f>
        <v>1.3751201804867896</v>
      </c>
      <c r="H26" s="127">
        <f>IF(New_Program=TRUE,0,'6.5Ratemaking Data'!$J$25)</f>
        <v>0.15150783672378676</v>
      </c>
    </row>
    <row r="27" spans="1:10" x14ac:dyDescent="0.25">
      <c r="A27" s="117" t="s">
        <v>180</v>
      </c>
      <c r="B27" s="120" t="str">
        <f>IF(ISBLANK('6.5Ratemaking Data'!D26),"",'6.5Ratemaking Data'!D26)</f>
        <v/>
      </c>
      <c r="C27" s="120" t="str">
        <f>IF(ISBLANK('6.5Ratemaking Data'!E26),"",'6.5Ratemaking Data'!E26)</f>
        <v/>
      </c>
      <c r="D27" s="120" t="str">
        <f>IF(ISBLANK('6.5Ratemaking Data'!F26),"",'6.5Ratemaking Data'!F26)</f>
        <v/>
      </c>
      <c r="E27" s="120" t="str">
        <f>IF(ISBLANK('6.5Ratemaking Data'!G26),"",'6.5Ratemaking Data'!G26)</f>
        <v/>
      </c>
      <c r="F27" s="120" t="str">
        <f>IF(ISBLANK('6.5Ratemaking Data'!H26),"",'6.5Ratemaking Data'!H26)</f>
        <v/>
      </c>
      <c r="G27" s="120">
        <f>IF(ISBLANK('6.5Ratemaking Data'!I26),"",'6.5Ratemaking Data'!I26)</f>
        <v>1.3751201804867896</v>
      </c>
      <c r="H27" s="127">
        <f>IF(New_Program=TRUE,0,'6.5Ratemaking Data'!$J$26)</f>
        <v>0.15150783672378676</v>
      </c>
    </row>
    <row r="28" spans="1:10" x14ac:dyDescent="0.25">
      <c r="A28" s="117" t="s">
        <v>183</v>
      </c>
      <c r="B28" s="120" t="str">
        <f>IF(ISBLANK('6.5Ratemaking Data'!D27),"",'6.5Ratemaking Data'!D27)</f>
        <v/>
      </c>
      <c r="C28" s="120" t="str">
        <f>IF(ISBLANK('6.5Ratemaking Data'!E27),"",'6.5Ratemaking Data'!E27)</f>
        <v/>
      </c>
      <c r="D28" s="120" t="str">
        <f>IF(ISBLANK('6.5Ratemaking Data'!F27),"",'6.5Ratemaking Data'!F27)</f>
        <v/>
      </c>
      <c r="E28" s="120" t="str">
        <f>IF(ISBLANK('6.5Ratemaking Data'!G27),"",'6.5Ratemaking Data'!G27)</f>
        <v/>
      </c>
      <c r="F28" s="120" t="str">
        <f>IF(ISBLANK('6.5Ratemaking Data'!H27),"",'6.5Ratemaking Data'!H27)</f>
        <v/>
      </c>
      <c r="G28" s="120">
        <f>IF(ISBLANK('6.5Ratemaking Data'!I27),"",'6.5Ratemaking Data'!I27)</f>
        <v>1</v>
      </c>
      <c r="H28" s="121"/>
    </row>
    <row r="29" spans="1:10" ht="15.75" thickBot="1" x14ac:dyDescent="0.3">
      <c r="A29" s="133" t="s">
        <v>188</v>
      </c>
      <c r="B29" s="134" t="str">
        <f>IF(ISBLANK('6.5Ratemaking Data'!D29),"",'6.5Ratemaking Data'!D29)</f>
        <v/>
      </c>
      <c r="C29" s="134" t="str">
        <f>IF(ISBLANK('6.5Ratemaking Data'!E29),"",'6.5Ratemaking Data'!E29)</f>
        <v/>
      </c>
      <c r="D29" s="134" t="str">
        <f>IF(ISBLANK('6.5Ratemaking Data'!F29),"",'6.5Ratemaking Data'!F29)</f>
        <v/>
      </c>
      <c r="E29" s="134" t="str">
        <f>IF(ISBLANK('6.5Ratemaking Data'!G29),"",'6.5Ratemaking Data'!G29)</f>
        <v/>
      </c>
      <c r="F29" s="134" t="str">
        <f>IF(ISBLANK('6.5Ratemaking Data'!H29),"",'6.5Ratemaking Data'!H29)</f>
        <v/>
      </c>
      <c r="G29" s="134">
        <f>IF(ISBLANK('6.5Ratemaking Data'!I29),"",'6.5Ratemaking Data'!I29)</f>
        <v>0</v>
      </c>
      <c r="H29" s="135">
        <f>IF(New_Program=TRUE,'6.5Ratemaking Data'!$K$29,SUM($B29:$G29))</f>
        <v>0</v>
      </c>
    </row>
    <row r="30" spans="1:10" ht="15.75" thickTop="1" x14ac:dyDescent="0.25">
      <c r="A30" s="117" t="s">
        <v>184</v>
      </c>
      <c r="B30" s="122"/>
      <c r="C30" s="122"/>
      <c r="D30" s="122"/>
      <c r="E30" s="122"/>
      <c r="F30" s="122"/>
      <c r="G30" s="122"/>
      <c r="H30" s="127">
        <f>IF(New_Program=TRUE,100%,'6.5Ratemaking Data'!$J$28)</f>
        <v>1</v>
      </c>
    </row>
    <row r="31" spans="1:10" x14ac:dyDescent="0.25">
      <c r="A31" s="117" t="s">
        <v>185</v>
      </c>
      <c r="B31" s="122"/>
      <c r="C31" s="122"/>
      <c r="D31" s="122"/>
      <c r="E31" s="122"/>
      <c r="F31" s="122"/>
      <c r="G31" s="122"/>
      <c r="H31" s="127">
        <f>ExpRatio_Excluded</f>
        <v>1.3597266477453115E-2</v>
      </c>
    </row>
    <row r="32" spans="1:10" x14ac:dyDescent="0.25">
      <c r="A32" s="117" t="s">
        <v>166</v>
      </c>
      <c r="B32" s="122"/>
      <c r="C32" s="122"/>
      <c r="D32" s="122"/>
      <c r="E32" s="122"/>
      <c r="F32" s="122"/>
      <c r="G32" s="122"/>
      <c r="H32" s="127">
        <f>FIT_Inv</f>
        <v>0.18957755323144132</v>
      </c>
    </row>
    <row r="33" spans="1:9" ht="15.75" thickBot="1" x14ac:dyDescent="0.3">
      <c r="A33" s="85" t="s">
        <v>165</v>
      </c>
      <c r="B33" s="123"/>
      <c r="C33" s="123"/>
      <c r="D33" s="123"/>
      <c r="E33" s="123"/>
      <c r="F33" s="123"/>
      <c r="G33" s="123"/>
      <c r="H33" s="124">
        <f>Yield</f>
        <v>0.10317106949646478</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EffStd_Final05</f>
        <v>0.29866055104631506</v>
      </c>
    </row>
    <row r="38" spans="1:9" x14ac:dyDescent="0.25">
      <c r="A38" s="117" t="s">
        <v>191</v>
      </c>
      <c r="B38" s="77"/>
      <c r="C38" s="77"/>
      <c r="D38" s="77"/>
      <c r="E38" s="77"/>
      <c r="F38" s="577" t="s">
        <v>317</v>
      </c>
      <c r="G38" s="578">
        <f>update_leverage</f>
        <v>2021</v>
      </c>
      <c r="H38" s="162">
        <f ca="1">LevFact_Final05</f>
        <v>1.2507122087328104</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1/LevFact_Final05</f>
        <v>0.79954444597064767</v>
      </c>
    </row>
    <row r="41" spans="1:9" x14ac:dyDescent="0.25">
      <c r="A41" s="117" t="s">
        <v>198</v>
      </c>
      <c r="B41" s="77"/>
      <c r="C41" s="77"/>
      <c r="D41" s="77"/>
      <c r="E41" s="77"/>
      <c r="F41" s="577" t="s">
        <v>317</v>
      </c>
      <c r="G41" s="578">
        <f>update_reserveratios</f>
        <v>2021</v>
      </c>
      <c r="H41" s="163">
        <f ca="1">ResRatio_UPR05</f>
        <v>0.32682025394820319</v>
      </c>
    </row>
    <row r="42" spans="1:9" x14ac:dyDescent="0.25">
      <c r="A42" s="117" t="s">
        <v>194</v>
      </c>
      <c r="B42" s="77"/>
      <c r="C42" s="77"/>
      <c r="D42" s="77"/>
      <c r="E42" s="77"/>
      <c r="F42" s="577" t="s">
        <v>317</v>
      </c>
      <c r="G42" s="578">
        <f>update_reserveratios</f>
        <v>2021</v>
      </c>
      <c r="H42" s="163">
        <f ca="1">ResRatio_Loss05</f>
        <v>9.1896214076458593E-2</v>
      </c>
    </row>
    <row r="43" spans="1:9" x14ac:dyDescent="0.25">
      <c r="A43" s="117" t="s">
        <v>195</v>
      </c>
      <c r="B43" s="77"/>
      <c r="C43" s="77"/>
      <c r="D43" s="77"/>
      <c r="E43" s="77"/>
      <c r="F43" s="575" t="s">
        <v>317</v>
      </c>
      <c r="G43" s="575" t="str">
        <f>ROR_RiskFree_Date</f>
        <v>January 2023</v>
      </c>
      <c r="H43" s="576">
        <f>ROR_RiskFree</f>
        <v>3.9611111111111104E-2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9.9611111111111095E-2</v>
      </c>
    </row>
    <row r="46" spans="1:9" ht="5.0999999999999996" customHeight="1" x14ac:dyDescent="0.25"/>
    <row r="47" spans="1:9" ht="15.75" thickBot="1" x14ac:dyDescent="0.3">
      <c r="A47" s="7" t="s">
        <v>234</v>
      </c>
      <c r="B47" s="228" t="str">
        <f>'6.5Ratemaking Data'!D$14</f>
        <v>20173</v>
      </c>
      <c r="C47" s="228" t="str">
        <f>'6.5Ratemaking Data'!E$14</f>
        <v>20183</v>
      </c>
      <c r="D47" s="228" t="str">
        <f>'6.5Ratemaking Data'!F$14</f>
        <v>20193</v>
      </c>
      <c r="E47" s="228" t="str">
        <f>'6.5Ratemaking Data'!G$14</f>
        <v>20203</v>
      </c>
      <c r="F47" s="228" t="str">
        <f>'6.5Ratemaking Data'!H$14</f>
        <v>20213</v>
      </c>
      <c r="G47" s="228">
        <f>'6.5Ratemaking Data'!I$14</f>
        <v>20223</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1598433199.9224367</v>
      </c>
      <c r="H48" s="116">
        <f>IF(New_Program=TRUE,(Prem_Earned+Misc_Fees),SUM($B48:$G48))</f>
        <v>1598433199.9224367</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1593314985.2154005</v>
      </c>
      <c r="H49" s="119">
        <f>IF(New_Program=TRUE,Losses,SUM($B49:$G49))</f>
        <v>1593314985.2154005</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4302084.2940364368</v>
      </c>
      <c r="H50" s="119">
        <f>IF(New_Program=TRUE,DCCE,SUM($B50:$G50))</f>
        <v>4302084.2940364368</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f t="shared" si="3"/>
        <v>0.99948941850492123</v>
      </c>
      <c r="H51" s="127">
        <f t="shared" si="3"/>
        <v>0.99948941850492123</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494.6132401978897</v>
      </c>
      <c r="H52" s="130">
        <f t="shared" si="4"/>
        <v>494.6132401978897</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494.36069983022372</v>
      </c>
      <c r="H53" s="130">
        <f t="shared" si="5"/>
        <v>494.36069983022372</v>
      </c>
    </row>
    <row r="54" spans="1:9" x14ac:dyDescent="0.25">
      <c r="A54" s="117" t="s">
        <v>204</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392.18062620798412</v>
      </c>
      <c r="H54" s="130">
        <f t="shared" ca="1" si="6"/>
        <v>392.18062620798412</v>
      </c>
    </row>
    <row r="55" spans="1:9" x14ac:dyDescent="0.25">
      <c r="A55" s="117" t="s">
        <v>214</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494.36069983022372</v>
      </c>
      <c r="H55" s="130">
        <f t="shared" ca="1" si="7"/>
        <v>494.36069983022372</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217</v>
      </c>
      <c r="B57" s="77"/>
      <c r="C57" s="77"/>
      <c r="D57" s="77"/>
      <c r="E57" s="77"/>
      <c r="F57" s="77"/>
      <c r="G57" s="77"/>
      <c r="H57" s="127">
        <f ca="1">Yield*((1-FIT_Inv)/(1-FIT_UW))*ResRatio_Loss05</f>
        <v>9.7261266947114497E-3</v>
      </c>
    </row>
    <row r="58" spans="1:9" x14ac:dyDescent="0.25">
      <c r="A58" s="117" t="s">
        <v>218</v>
      </c>
      <c r="B58" s="77"/>
      <c r="C58" s="77"/>
      <c r="D58" s="77"/>
      <c r="E58" s="77"/>
      <c r="F58" s="77"/>
      <c r="G58" s="77"/>
      <c r="H58" s="127">
        <f ca="1">Yield*((1-FIT_Inv)/(1-FIT_UW))*(ResRatio_UPR05+SurplusRatio)</f>
        <v>0.11921237328391543</v>
      </c>
    </row>
    <row r="59" spans="1:9" x14ac:dyDescent="0.25">
      <c r="A59" s="117" t="s">
        <v>206</v>
      </c>
      <c r="B59" s="128"/>
      <c r="C59" s="128"/>
      <c r="D59" s="128"/>
      <c r="E59" s="128"/>
      <c r="F59" s="128"/>
      <c r="G59" s="128"/>
      <c r="H59" s="127">
        <f>(1+Loss_AnnualTrend)/(1+Prem_AnnualTrend)-1</f>
        <v>0.11714181802356394</v>
      </c>
    </row>
    <row r="60" spans="1:9" x14ac:dyDescent="0.25">
      <c r="A60" s="117" t="s">
        <v>205</v>
      </c>
      <c r="B60" s="128"/>
      <c r="C60" s="128"/>
      <c r="D60" s="128"/>
      <c r="E60" s="128"/>
      <c r="F60" s="128"/>
      <c r="G60" s="128"/>
      <c r="H60" s="127">
        <f>IF(New_Program=TRUE,0,(1+Net_AnnualTrend)^MIN(4,((EffDate_Proposed-EffDate_Prior05)/365.25))-1)</f>
        <v>9.0942190468555006E-2</v>
      </c>
    </row>
    <row r="61" spans="1:9" x14ac:dyDescent="0.25">
      <c r="A61" s="117" t="s">
        <v>207</v>
      </c>
      <c r="B61" s="128"/>
      <c r="C61" s="128"/>
      <c r="D61" s="128"/>
      <c r="E61" s="128"/>
      <c r="F61" s="128"/>
      <c r="G61" s="128"/>
      <c r="H61" s="127">
        <f ca="1">(ROR_Max)/(LevFact_Final05*(1-FIT_UW))</f>
        <v>0.10081457043778981</v>
      </c>
    </row>
    <row r="62" spans="1:9" x14ac:dyDescent="0.25">
      <c r="A62" s="117" t="s">
        <v>208</v>
      </c>
      <c r="B62" s="77"/>
      <c r="C62" s="77"/>
      <c r="D62" s="77"/>
      <c r="E62" s="77"/>
      <c r="F62" s="77"/>
      <c r="G62" s="77"/>
      <c r="H62" s="127">
        <f ca="1">(ROR_Min)/(LevFact_Final05*(1-FIT_UW))</f>
        <v>-6.0724894630682098E-2</v>
      </c>
    </row>
    <row r="63" spans="1:9" x14ac:dyDescent="0.25">
      <c r="A63" s="117" t="s">
        <v>209</v>
      </c>
      <c r="B63" s="77"/>
      <c r="C63" s="77"/>
      <c r="D63" s="77"/>
      <c r="E63" s="77"/>
      <c r="F63" s="77"/>
      <c r="G63" s="77"/>
      <c r="H63" s="127">
        <f ca="1">1-CredLossDCCE_perExp/Max_Premium-EffStd_Final05</f>
        <v>-2.5466812628786251E-2</v>
      </c>
      <c r="I63" s="204"/>
    </row>
    <row r="64" spans="1:9" x14ac:dyDescent="0.25">
      <c r="A64" s="117" t="s">
        <v>211</v>
      </c>
      <c r="B64" s="77"/>
      <c r="C64" s="77"/>
      <c r="D64" s="77"/>
      <c r="E64" s="77"/>
      <c r="F64" s="77"/>
      <c r="G64" s="77"/>
      <c r="H64" s="129">
        <f ca="1">1-EffStd_Final05-Min_Profit+InvInc_Variable</f>
        <v>0.88127671686828246</v>
      </c>
      <c r="I64" s="204"/>
    </row>
    <row r="65" spans="1:9" x14ac:dyDescent="0.25">
      <c r="A65" s="117" t="s">
        <v>210</v>
      </c>
      <c r="B65" s="77"/>
      <c r="C65" s="77"/>
      <c r="D65" s="77"/>
      <c r="E65" s="77"/>
      <c r="F65" s="77"/>
      <c r="G65" s="77"/>
      <c r="H65" s="129">
        <f ca="1">1-EffStd_Final05-Max_Profit+InvInc_Variable</f>
        <v>0.71973725179981052</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555.50370917601174</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680.18222456401918</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0.12310723617863605</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0.3751799775757827</v>
      </c>
      <c r="I69" s="396" t="str">
        <f ca="1">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
      </c>
    </row>
    <row r="70" spans="1:9" ht="5.0999999999999996" hidden="1" customHeight="1" x14ac:dyDescent="0.25"/>
    <row r="71" spans="1:9" ht="15.75" hidden="1" thickBot="1" x14ac:dyDescent="0.3">
      <c r="A71" s="7" t="s">
        <v>233</v>
      </c>
      <c r="B71" s="228" t="str">
        <f>'6.5Ratemaking Data'!D$14</f>
        <v>20173</v>
      </c>
      <c r="C71" s="228" t="str">
        <f>'6.5Ratemaking Data'!E$14</f>
        <v>20183</v>
      </c>
      <c r="D71" s="228" t="str">
        <f>'6.5Ratemaking Data'!F$14</f>
        <v>20193</v>
      </c>
      <c r="E71" s="228" t="str">
        <f>'6.5Ratemaking Data'!G$14</f>
        <v>20203</v>
      </c>
      <c r="F71" s="228" t="str">
        <f>'6.5Ratemaking Data'!H$14</f>
        <v>20213</v>
      </c>
      <c r="G71" s="228">
        <f>'6.5Ratemaking Data'!I$14</f>
        <v>20223</v>
      </c>
    </row>
    <row r="72" spans="1:9" hidden="1" x14ac:dyDescent="0.25">
      <c r="A72" s="114" t="s">
        <v>232</v>
      </c>
      <c r="B72" s="125"/>
      <c r="C72" s="125"/>
      <c r="D72" s="125"/>
      <c r="E72" s="125"/>
      <c r="F72" s="125"/>
      <c r="G72" s="125"/>
      <c r="H72" s="131" t="str">
        <f>IF(ISBLANK('6.5Ratemaking Data'!J44),"",'6.5Ratemaking Data'!J44)</f>
        <v/>
      </c>
    </row>
    <row r="73" spans="1:9" hidden="1" x14ac:dyDescent="0.25">
      <c r="A73" s="117" t="s">
        <v>219</v>
      </c>
      <c r="B73" s="118" t="str">
        <f>IF(ISBLANK('6.5Ratemaking Data'!D45),"",'6.5Ratemaking Data'!D45)</f>
        <v/>
      </c>
      <c r="C73" s="118" t="str">
        <f>IF(ISBLANK('6.5Ratemaking Data'!E45),"",'6.5Ratemaking Data'!E45)</f>
        <v/>
      </c>
      <c r="D73" s="118" t="str">
        <f>IF(ISBLANK('6.5Ratemaking Data'!F45),"",'6.5Ratemaking Data'!F45)</f>
        <v/>
      </c>
      <c r="E73" s="118" t="str">
        <f>IF(ISBLANK('6.5Ratemaking Data'!G45),"",'6.5Ratemaking Data'!G45)</f>
        <v/>
      </c>
      <c r="F73" s="118" t="str">
        <f>IF(ISBLANK('6.5Ratemaking Data'!H45),"",'6.5Ratemaking Data'!H45)</f>
        <v/>
      </c>
      <c r="G73" s="118" t="str">
        <f>IF(ISBLANK('6.5Ratemaking Data'!I45),"",'6.5Ratemaking Data'!I45)</f>
        <v/>
      </c>
      <c r="H73" s="119" t="str">
        <f ca="1">IF(RIGHT(Detailed_LineCode05,1)="R",IF(New_Program=TRUE,'6.5Ratemaking Data'!$K$45,SUM($B73:$G73)),"")</f>
        <v/>
      </c>
    </row>
    <row r="74" spans="1:9" hidden="1" x14ac:dyDescent="0.25">
      <c r="A74" s="117" t="s">
        <v>220</v>
      </c>
      <c r="B74" s="118" t="str">
        <f>IF(ISBLANK('6.5Ratemaking Data'!D46),"",'6.5Ratemaking Data'!D46)</f>
        <v/>
      </c>
      <c r="C74" s="118" t="str">
        <f>IF(ISBLANK('6.5Ratemaking Data'!E46),"",'6.5Ratemaking Data'!E46)</f>
        <v/>
      </c>
      <c r="D74" s="118" t="str">
        <f>IF(ISBLANK('6.5Ratemaking Data'!F46),"",'6.5Ratemaking Data'!F46)</f>
        <v/>
      </c>
      <c r="E74" s="118" t="str">
        <f>IF(ISBLANK('6.5Ratemaking Data'!G46),"",'6.5Ratemaking Data'!G46)</f>
        <v/>
      </c>
      <c r="F74" s="118" t="str">
        <f>IF(ISBLANK('6.5Ratemaking Data'!H46),"",'6.5Ratemaking Data'!H46)</f>
        <v/>
      </c>
      <c r="G74" s="118" t="str">
        <f>IF(ISBLANK('6.5Ratemaking Data'!I46),"",'6.5Ratemaking Data'!I46)</f>
        <v/>
      </c>
      <c r="H74" s="119">
        <f>IF(New_Program=TRUE,'6.5Ratemaking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223</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IF(AND('6.5Ratemaking Data'!Error30="",'6.5Ratemaking Data'!Error31="",'6.5Ratemaking Data'!Error32=""),"","See Column M of Page '6.5Ratemaking Data' for errors that must be corrected.")</f>
        <v/>
      </c>
    </row>
    <row r="80" spans="1:9" ht="26.25" x14ac:dyDescent="0.25">
      <c r="F80" s="658" t="s">
        <v>619</v>
      </c>
      <c r="G80" s="658"/>
      <c r="H80" s="658"/>
    </row>
    <row r="81" spans="1:1" x14ac:dyDescent="0.25">
      <c r="A81" s="132"/>
    </row>
  </sheetData>
  <sheetProtection algorithmName="SHA-512" hashValue="5dU1GYaMo6yReaIyRRMjXveSSs9oJZbzqGvotmdO1+VHqp2UzXn0Z80gf5u2fRL1SkQJRt9IhopZjPvZ7klzJg==" saltValue="zpYoQlmD8cO507gRTsMDfQ=="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2" orientation="portrait" r:id="rId1"/>
  <headerFooter>
    <oddFooter>&amp;CPrior Approval Rate Template&amp;RPage 7.5&amp;L1/3/2023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Mutual Automobile Insurance Company</v>
      </c>
    </row>
    <row r="2" spans="1:8" x14ac:dyDescent="0.25">
      <c r="A2" s="7" t="s">
        <v>32</v>
      </c>
      <c r="E2" s="109" t="s">
        <v>34</v>
      </c>
      <c r="H2" s="110" t="str">
        <f>General_Line</f>
        <v>Auto Liability and Physical Damage</v>
      </c>
    </row>
    <row r="3" spans="1:8" x14ac:dyDescent="0.25">
      <c r="E3" s="154" t="s">
        <v>142</v>
      </c>
      <c r="F3" s="77"/>
      <c r="G3" s="77"/>
      <c r="H3" s="160" t="str">
        <f>CDI_FileNo</f>
        <v/>
      </c>
    </row>
    <row r="4" spans="1:8" ht="18" customHeight="1" x14ac:dyDescent="0.25">
      <c r="A4" s="510" t="str">
        <f>IF('6.6Ratemaking Data'!$K$7="","VARIANCE - NONE","VARIANCE "&amp;'6.6Ratemaking Data'!$K$7)</f>
        <v>VARIANCE 8A</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76</v>
      </c>
      <c r="H8" s="161">
        <f>Completed_Date</f>
        <v>44979</v>
      </c>
    </row>
    <row r="9" spans="1:8" ht="15" customHeight="1" x14ac:dyDescent="0.25">
      <c r="A9" s="6" t="s">
        <v>169</v>
      </c>
      <c r="H9" s="161">
        <f>EffDate_Prior06</f>
        <v>45061</v>
      </c>
    </row>
    <row r="10" spans="1:8" ht="15" customHeight="1" x14ac:dyDescent="0.25">
      <c r="A10" s="6" t="s">
        <v>170</v>
      </c>
      <c r="B10" s="52"/>
      <c r="H10" s="161">
        <f>EffDate_Proposed</f>
        <v>45348</v>
      </c>
    </row>
    <row r="11" spans="1:8" ht="15" customHeight="1" x14ac:dyDescent="0.25">
      <c r="A11" s="6" t="s">
        <v>77</v>
      </c>
      <c r="B11" s="52"/>
      <c r="H11" s="23" t="str">
        <f>Detailed_LineDesc06</f>
        <v>Private Passenger Auto Physical Damage</v>
      </c>
    </row>
    <row r="12" spans="1:8" ht="15" customHeight="1" x14ac:dyDescent="0.25">
      <c r="A12" s="6" t="s">
        <v>78</v>
      </c>
      <c r="B12" s="52"/>
      <c r="H12" s="23" t="str">
        <f>Covg06</f>
        <v>Misc. Damage</v>
      </c>
    </row>
    <row r="13" spans="1:8" ht="15" customHeight="1" x14ac:dyDescent="0.25">
      <c r="H13" s="511"/>
    </row>
    <row r="14" spans="1:8" ht="9.9499999999999993" customHeight="1" x14ac:dyDescent="0.25"/>
    <row r="15" spans="1:8" ht="15.75" thickBot="1" x14ac:dyDescent="0.3">
      <c r="A15" s="7" t="s">
        <v>171</v>
      </c>
      <c r="B15" s="228" t="str">
        <f>'6.6Ratemaking Data'!D$14</f>
        <v>20173</v>
      </c>
      <c r="C15" s="228" t="str">
        <f>'6.6Ratemaking Data'!E$14</f>
        <v>20183</v>
      </c>
      <c r="D15" s="228" t="str">
        <f>'6.6Ratemaking Data'!F$14</f>
        <v>20193</v>
      </c>
      <c r="E15" s="228" t="str">
        <f>'6.6Ratemaking Data'!G$14</f>
        <v>20203</v>
      </c>
      <c r="F15" s="228" t="str">
        <f>'6.6Ratemaking Data'!H$14</f>
        <v>20213</v>
      </c>
      <c r="G15" s="228">
        <f>'6.6Ratemaking Data'!I$14</f>
        <v>20223</v>
      </c>
      <c r="H15" s="91" t="s">
        <v>306</v>
      </c>
    </row>
    <row r="16" spans="1:8" x14ac:dyDescent="0.25">
      <c r="A16" s="114" t="s">
        <v>173</v>
      </c>
      <c r="B16" s="115" t="str">
        <f>IF(ISBLANK('6.6Ratemaking Data'!D15),"",'6.6Ratemaking Data'!D15)</f>
        <v/>
      </c>
      <c r="C16" s="115" t="str">
        <f>IF(ISBLANK('6.6Ratemaking Data'!E15),"",'6.6Ratemaking Data'!E15)</f>
        <v/>
      </c>
      <c r="D16" s="115" t="str">
        <f>IF(ISBLANK('6.6Ratemaking Data'!F15),"",'6.6Ratemaking Data'!F15)</f>
        <v/>
      </c>
      <c r="E16" s="115" t="str">
        <f>IF(ISBLANK('6.6Ratemaking Data'!G15),"",'6.6Ratemaking Data'!G15)</f>
        <v/>
      </c>
      <c r="F16" s="115" t="str">
        <f>IF(ISBLANK('6.6Ratemaking Data'!H15),"",'6.6Ratemaking Data'!H15)</f>
        <v/>
      </c>
      <c r="G16" s="115">
        <f>IF(ISBLANK('6.6Ratemaking Data'!I15),"",'6.6Ratemaking Data'!I15)</f>
        <v>88860939.810000002</v>
      </c>
      <c r="H16" s="116">
        <f>IF(New_Program=TRUE,'6.6Ratemaking Data'!$K$15,SUM($B16:$G16))</f>
        <v>88860939.810000002</v>
      </c>
    </row>
    <row r="17" spans="1:10" x14ac:dyDescent="0.25">
      <c r="A17" s="117" t="s">
        <v>172</v>
      </c>
      <c r="B17" s="118" t="str">
        <f>IF(ISBLANK('6.6Ratemaking Data'!D16),"",'6.6Ratemaking Data'!D16)</f>
        <v/>
      </c>
      <c r="C17" s="118" t="str">
        <f>IF(ISBLANK('6.6Ratemaking Data'!E16),"",'6.6Ratemaking Data'!E16)</f>
        <v/>
      </c>
      <c r="D17" s="118" t="str">
        <f>IF(ISBLANK('6.6Ratemaking Data'!F16),"",'6.6Ratemaking Data'!F16)</f>
        <v/>
      </c>
      <c r="E17" s="118" t="str">
        <f>IF(ISBLANK('6.6Ratemaking Data'!G16),"",'6.6Ratemaking Data'!G16)</f>
        <v/>
      </c>
      <c r="F17" s="118" t="str">
        <f>IF(ISBLANK('6.6Ratemaking Data'!H16),"",'6.6Ratemaking Data'!H16)</f>
        <v/>
      </c>
      <c r="G17" s="118">
        <f>IF(ISBLANK('6.6Ratemaking Data'!I16),"",'6.6Ratemaking Data'!I16)</f>
        <v>86857313.420000002</v>
      </c>
      <c r="H17" s="119">
        <f>IF(New_Program=TRUE,'6.6Ratemaking Data'!$K$16,SUM($B17:$G17))</f>
        <v>86857313.420000002</v>
      </c>
    </row>
    <row r="18" spans="1:10" x14ac:dyDescent="0.25">
      <c r="A18" s="117" t="s">
        <v>174</v>
      </c>
      <c r="B18" s="120" t="str">
        <f>IF(ISBLANK('6.6Ratemaking Data'!D17),"",'6.6Ratemaking Data'!D17)</f>
        <v/>
      </c>
      <c r="C18" s="120" t="str">
        <f>IF(ISBLANK('6.6Ratemaking Data'!E17),"",'6.6Ratemaking Data'!E17)</f>
        <v/>
      </c>
      <c r="D18" s="120" t="str">
        <f>IF(ISBLANK('6.6Ratemaking Data'!F17),"",'6.6Ratemaking Data'!F17)</f>
        <v/>
      </c>
      <c r="E18" s="120" t="str">
        <f>IF(ISBLANK('6.6Ratemaking Data'!G17),"",'6.6Ratemaking Data'!G17)</f>
        <v/>
      </c>
      <c r="F18" s="120" t="str">
        <f>IF(ISBLANK('6.6Ratemaking Data'!H17),"",'6.6Ratemaking Data'!H17)</f>
        <v/>
      </c>
      <c r="G18" s="120">
        <f>IF(ISBLANK('6.6Ratemaking Data'!I17),"",'6.6Ratemaking Data'!I17)</f>
        <v>1.0504607258885661</v>
      </c>
      <c r="H18" s="121"/>
    </row>
    <row r="19" spans="1:10" x14ac:dyDescent="0.25">
      <c r="A19" s="117" t="s">
        <v>175</v>
      </c>
      <c r="B19" s="120" t="str">
        <f>IF(ISBLANK('6.6Ratemaking Data'!D18),"",'6.6Ratemaking Data'!D18)</f>
        <v/>
      </c>
      <c r="C19" s="120" t="str">
        <f>IF(ISBLANK('6.6Ratemaking Data'!E18),"",'6.6Ratemaking Data'!E18)</f>
        <v/>
      </c>
      <c r="D19" s="120" t="str">
        <f>IF(ISBLANK('6.6Ratemaking Data'!F18),"",'6.6Ratemaking Data'!F18)</f>
        <v/>
      </c>
      <c r="E19" s="120" t="str">
        <f>IF(ISBLANK('6.6Ratemaking Data'!G18),"",'6.6Ratemaking Data'!G18)</f>
        <v/>
      </c>
      <c r="F19" s="120" t="str">
        <f>IF(ISBLANK('6.6Ratemaking Data'!H18),"",'6.6Ratemaking Data'!H18)</f>
        <v/>
      </c>
      <c r="G19" s="120">
        <f>IF(ISBLANK('6.6Ratemaking Data'!I18),"",'6.6Ratemaking Data'!I18)</f>
        <v>1.045691059623149</v>
      </c>
      <c r="H19" s="127">
        <f>IF(New_Program=TRUE,0,'6.6Ratemaking Data'!$J$18)</f>
        <v>1.9983573295893502E-2</v>
      </c>
    </row>
    <row r="20" spans="1:10" x14ac:dyDescent="0.25">
      <c r="A20" s="117" t="s">
        <v>176</v>
      </c>
      <c r="B20" s="118" t="str">
        <f>IF(ISBLANK('6.6Ratemaking Data'!D19),"",'6.6Ratemaking Data'!D19)</f>
        <v/>
      </c>
      <c r="C20" s="118" t="str">
        <f>IF(ISBLANK('6.6Ratemaking Data'!E19),"",'6.6Ratemaking Data'!E19)</f>
        <v/>
      </c>
      <c r="D20" s="118" t="str">
        <f>IF(ISBLANK('6.6Ratemaking Data'!F19),"",'6.6Ratemaking Data'!F19)</f>
        <v/>
      </c>
      <c r="E20" s="118" t="str">
        <f>IF(ISBLANK('6.6Ratemaking Data'!G19),"",'6.6Ratemaking Data'!G19)</f>
        <v/>
      </c>
      <c r="F20" s="118" t="str">
        <f>IF(ISBLANK('6.6Ratemaking Data'!H19),"",'6.6Ratemaking Data'!H19)</f>
        <v/>
      </c>
      <c r="G20" s="118">
        <f>IF(ISBLANK('6.6Ratemaking Data'!I19),"",'6.6Ratemaking Data'!I19)</f>
        <v>0</v>
      </c>
      <c r="H20" s="119">
        <f>IF(New_Program=TRUE,'6.6Ratemaking Data'!$K$19,SUM($B20:$G20))</f>
        <v>0</v>
      </c>
    </row>
    <row r="21" spans="1:10" x14ac:dyDescent="0.25">
      <c r="A21" s="117" t="s">
        <v>177</v>
      </c>
      <c r="B21" s="118" t="str">
        <f>IF(ISBLANK('6.6Ratemaking Data'!D20),"",'6.6Ratemaking Data'!D20)</f>
        <v/>
      </c>
      <c r="C21" s="118" t="str">
        <f>IF(ISBLANK('6.6Ratemaking Data'!E20),"",'6.6Ratemaking Data'!E20)</f>
        <v/>
      </c>
      <c r="D21" s="118" t="str">
        <f>IF(ISBLANK('6.6Ratemaking Data'!F20),"",'6.6Ratemaking Data'!F20)</f>
        <v/>
      </c>
      <c r="E21" s="118" t="str">
        <f>IF(ISBLANK('6.6Ratemaking Data'!G20),"",'6.6Ratemaking Data'!G20)</f>
        <v/>
      </c>
      <c r="F21" s="118" t="str">
        <f>IF(ISBLANK('6.6Ratemaking Data'!H20),"",'6.6Ratemaking Data'!H20)</f>
        <v/>
      </c>
      <c r="G21" s="118">
        <f>IF(ISBLANK('6.6Ratemaking Data'!I20),"",'6.6Ratemaking Data'!I20)</f>
        <v>4111099</v>
      </c>
      <c r="H21" s="119">
        <f>IF(New_Program=TRUE,'6.6Ratemaking Data'!$K$20,SUM($B21:$G21))</f>
        <v>4111099</v>
      </c>
      <c r="J21" s="111"/>
    </row>
    <row r="22" spans="1:10" x14ac:dyDescent="0.25">
      <c r="A22" s="117" t="s">
        <v>178</v>
      </c>
      <c r="B22" s="118" t="str">
        <f>IF(ISBLANK('6.6Ratemaking Data'!D21),"",'6.6Ratemaking Data'!D21)</f>
        <v/>
      </c>
      <c r="C22" s="118" t="str">
        <f>IF(ISBLANK('6.6Ratemaking Data'!E21),"",'6.6Ratemaking Data'!E21)</f>
        <v/>
      </c>
      <c r="D22" s="118" t="str">
        <f>IF(ISBLANK('6.6Ratemaking Data'!F21),"",'6.6Ratemaking Data'!F21)</f>
        <v/>
      </c>
      <c r="E22" s="118" t="str">
        <f>IF(ISBLANK('6.6Ratemaking Data'!G21),"",'6.6Ratemaking Data'!G21)</f>
        <v/>
      </c>
      <c r="F22" s="118" t="str">
        <f>IF(ISBLANK('6.6Ratemaking Data'!H21),"",'6.6Ratemaking Data'!H21)</f>
        <v/>
      </c>
      <c r="G22" s="118">
        <f>IF(ISBLANK('6.6Ratemaking Data'!I21),"",'6.6Ratemaking Data'!I21)</f>
        <v>69366669.980000004</v>
      </c>
      <c r="H22" s="119">
        <f>IF(New_Program=TRUE,'6.6Ratemaking Data'!$K$21,SUM($B22:$G22))</f>
        <v>69366669.980000004</v>
      </c>
      <c r="J22" s="111"/>
    </row>
    <row r="23" spans="1:10" x14ac:dyDescent="0.25">
      <c r="A23" s="117" t="s">
        <v>144</v>
      </c>
      <c r="B23" s="118" t="str">
        <f>IF(ISBLANK('6.6Ratemaking Data'!D22),"",'6.6Ratemaking Data'!D22)</f>
        <v/>
      </c>
      <c r="C23" s="118" t="str">
        <f>IF(ISBLANK('6.6Ratemaking Data'!E22),"",'6.6Ratemaking Data'!E22)</f>
        <v/>
      </c>
      <c r="D23" s="118" t="str">
        <f>IF(ISBLANK('6.6Ratemaking Data'!F22),"",'6.6Ratemaking Data'!F22)</f>
        <v/>
      </c>
      <c r="E23" s="118" t="str">
        <f>IF(ISBLANK('6.6Ratemaking Data'!G22),"",'6.6Ratemaking Data'!G22)</f>
        <v/>
      </c>
      <c r="F23" s="118" t="str">
        <f>IF(ISBLANK('6.6Ratemaking Data'!H22),"",'6.6Ratemaking Data'!H22)</f>
        <v/>
      </c>
      <c r="G23" s="118">
        <f>IF(ISBLANK('6.6Ratemaking Data'!I22),"",'6.6Ratemaking Data'!I22)</f>
        <v>13189.68</v>
      </c>
      <c r="H23" s="119">
        <f>IF(New_Program=TRUE,'6.6Ratemaking Data'!$K$22,SUM($B23:$G23))</f>
        <v>13189.68</v>
      </c>
      <c r="J23" s="111"/>
    </row>
    <row r="24" spans="1:10" x14ac:dyDescent="0.25">
      <c r="A24" s="117" t="s">
        <v>181</v>
      </c>
      <c r="B24" s="120" t="str">
        <f>IF(ISBLANK('6.6Ratemaking Data'!D23),"",'6.6Ratemaking Data'!D23)</f>
        <v/>
      </c>
      <c r="C24" s="120" t="str">
        <f>IF(ISBLANK('6.6Ratemaking Data'!E23),"",'6.6Ratemaking Data'!E23)</f>
        <v/>
      </c>
      <c r="D24" s="120" t="str">
        <f>IF(ISBLANK('6.6Ratemaking Data'!F23),"",'6.6Ratemaking Data'!F23)</f>
        <v/>
      </c>
      <c r="E24" s="120" t="str">
        <f>IF(ISBLANK('6.6Ratemaking Data'!G23),"",'6.6Ratemaking Data'!G23)</f>
        <v/>
      </c>
      <c r="F24" s="120" t="str">
        <f>IF(ISBLANK('6.6Ratemaking Data'!H23),"",'6.6Ratemaking Data'!H23)</f>
        <v/>
      </c>
      <c r="G24" s="120">
        <f>IF(ISBLANK('6.6Ratemaking Data'!I23),"",'6.6Ratemaking Data'!I23)</f>
        <v>0.99052870177856944</v>
      </c>
      <c r="H24" s="121"/>
    </row>
    <row r="25" spans="1:10" x14ac:dyDescent="0.25">
      <c r="A25" s="117" t="s">
        <v>182</v>
      </c>
      <c r="B25" s="120" t="str">
        <f>IF(ISBLANK('6.6Ratemaking Data'!D24),"",'6.6Ratemaking Data'!D24)</f>
        <v/>
      </c>
      <c r="C25" s="120" t="str">
        <f>IF(ISBLANK('6.6Ratemaking Data'!E24),"",'6.6Ratemaking Data'!E24)</f>
        <v/>
      </c>
      <c r="D25" s="120" t="str">
        <f>IF(ISBLANK('6.6Ratemaking Data'!F24),"",'6.6Ratemaking Data'!F24)</f>
        <v/>
      </c>
      <c r="E25" s="120" t="str">
        <f>IF(ISBLANK('6.6Ratemaking Data'!G24),"",'6.6Ratemaking Data'!G24)</f>
        <v/>
      </c>
      <c r="F25" s="120" t="str">
        <f>IF(ISBLANK('6.6Ratemaking Data'!H24),"",'6.6Ratemaking Data'!H24)</f>
        <v/>
      </c>
      <c r="G25" s="120">
        <f>IF(ISBLANK('6.6Ratemaking Data'!I24),"",'6.6Ratemaking Data'!I24)</f>
        <v>1.088561753876105</v>
      </c>
      <c r="H25" s="121"/>
    </row>
    <row r="26" spans="1:10" x14ac:dyDescent="0.25">
      <c r="A26" s="117" t="s">
        <v>179</v>
      </c>
      <c r="B26" s="120" t="str">
        <f>IF(ISBLANK('6.6Ratemaking Data'!D25),"",'6.6Ratemaking Data'!D25)</f>
        <v/>
      </c>
      <c r="C26" s="120" t="str">
        <f>IF(ISBLANK('6.6Ratemaking Data'!E25),"",'6.6Ratemaking Data'!E25)</f>
        <v/>
      </c>
      <c r="D26" s="120" t="str">
        <f>IF(ISBLANK('6.6Ratemaking Data'!F25),"",'6.6Ratemaking Data'!F25)</f>
        <v/>
      </c>
      <c r="E26" s="120" t="str">
        <f>IF(ISBLANK('6.6Ratemaking Data'!G25),"",'6.6Ratemaking Data'!G25)</f>
        <v/>
      </c>
      <c r="F26" s="120" t="str">
        <f>IF(ISBLANK('6.6Ratemaking Data'!H25),"",'6.6Ratemaking Data'!H25)</f>
        <v/>
      </c>
      <c r="G26" s="120">
        <f>IF(ISBLANK('6.6Ratemaking Data'!I25),"",'6.6Ratemaking Data'!I25)</f>
        <v>1.3355476688712711</v>
      </c>
      <c r="H26" s="127">
        <f>IF(New_Program=TRUE,0,'6.6Ratemaking Data'!$J$25)</f>
        <v>0.13671279907834744</v>
      </c>
    </row>
    <row r="27" spans="1:10" x14ac:dyDescent="0.25">
      <c r="A27" s="117" t="s">
        <v>180</v>
      </c>
      <c r="B27" s="120" t="str">
        <f>IF(ISBLANK('6.6Ratemaking Data'!D26),"",'6.6Ratemaking Data'!D26)</f>
        <v/>
      </c>
      <c r="C27" s="120" t="str">
        <f>IF(ISBLANK('6.6Ratemaking Data'!E26),"",'6.6Ratemaking Data'!E26)</f>
        <v/>
      </c>
      <c r="D27" s="120" t="str">
        <f>IF(ISBLANK('6.6Ratemaking Data'!F26),"",'6.6Ratemaking Data'!F26)</f>
        <v/>
      </c>
      <c r="E27" s="120" t="str">
        <f>IF(ISBLANK('6.6Ratemaking Data'!G26),"",'6.6Ratemaking Data'!G26)</f>
        <v/>
      </c>
      <c r="F27" s="120" t="str">
        <f>IF(ISBLANK('6.6Ratemaking Data'!H26),"",'6.6Ratemaking Data'!H26)</f>
        <v/>
      </c>
      <c r="G27" s="120">
        <f>IF(ISBLANK('6.6Ratemaking Data'!I26),"",'6.6Ratemaking Data'!I26)</f>
        <v>1.3355476688712711</v>
      </c>
      <c r="H27" s="127">
        <f>IF(New_Program=TRUE,0,'6.6Ratemaking Data'!$J$26)</f>
        <v>0.13671279907834744</v>
      </c>
    </row>
    <row r="28" spans="1:10" x14ac:dyDescent="0.25">
      <c r="A28" s="117" t="s">
        <v>183</v>
      </c>
      <c r="B28" s="120" t="str">
        <f>IF(ISBLANK('6.6Ratemaking Data'!D27),"",'6.6Ratemaking Data'!D27)</f>
        <v/>
      </c>
      <c r="C28" s="120" t="str">
        <f>IF(ISBLANK('6.6Ratemaking Data'!E27),"",'6.6Ratemaking Data'!E27)</f>
        <v/>
      </c>
      <c r="D28" s="120" t="str">
        <f>IF(ISBLANK('6.6Ratemaking Data'!F27),"",'6.6Ratemaking Data'!F27)</f>
        <v/>
      </c>
      <c r="E28" s="120" t="str">
        <f>IF(ISBLANK('6.6Ratemaking Data'!G27),"",'6.6Ratemaking Data'!G27)</f>
        <v/>
      </c>
      <c r="F28" s="120" t="str">
        <f>IF(ISBLANK('6.6Ratemaking Data'!H27),"",'6.6Ratemaking Data'!H27)</f>
        <v/>
      </c>
      <c r="G28" s="120">
        <f>IF(ISBLANK('6.6Ratemaking Data'!I27),"",'6.6Ratemaking Data'!I27)</f>
        <v>1</v>
      </c>
      <c r="H28" s="121"/>
    </row>
    <row r="29" spans="1:10" ht="15.75" thickBot="1" x14ac:dyDescent="0.3">
      <c r="A29" s="133" t="s">
        <v>188</v>
      </c>
      <c r="B29" s="134" t="str">
        <f>IF(ISBLANK('6.6Ratemaking Data'!D29),"",'6.6Ratemaking Data'!D29)</f>
        <v/>
      </c>
      <c r="C29" s="134" t="str">
        <f>IF(ISBLANK('6.6Ratemaking Data'!E29),"",'6.6Ratemaking Data'!E29)</f>
        <v/>
      </c>
      <c r="D29" s="134" t="str">
        <f>IF(ISBLANK('6.6Ratemaking Data'!F29),"",'6.6Ratemaking Data'!F29)</f>
        <v/>
      </c>
      <c r="E29" s="134" t="str">
        <f>IF(ISBLANK('6.6Ratemaking Data'!G29),"",'6.6Ratemaking Data'!G29)</f>
        <v/>
      </c>
      <c r="F29" s="134" t="str">
        <f>IF(ISBLANK('6.6Ratemaking Data'!H29),"",'6.6Ratemaking Data'!H29)</f>
        <v/>
      </c>
      <c r="G29" s="134">
        <f>IF(ISBLANK('6.6Ratemaking Data'!I29),"",'6.6Ratemaking Data'!I29)</f>
        <v>0</v>
      </c>
      <c r="H29" s="135">
        <f>IF(New_Program=TRUE,'6.6Ratemaking Data'!$K$29,SUM($B29:$G29))</f>
        <v>0</v>
      </c>
    </row>
    <row r="30" spans="1:10" ht="15.75" thickTop="1" x14ac:dyDescent="0.25">
      <c r="A30" s="117" t="s">
        <v>184</v>
      </c>
      <c r="B30" s="122"/>
      <c r="C30" s="122"/>
      <c r="D30" s="122"/>
      <c r="E30" s="122"/>
      <c r="F30" s="122"/>
      <c r="G30" s="122"/>
      <c r="H30" s="127">
        <f>IF(New_Program=TRUE,100%,'6.6Ratemaking Data'!$J$28)</f>
        <v>1</v>
      </c>
    </row>
    <row r="31" spans="1:10" x14ac:dyDescent="0.25">
      <c r="A31" s="117" t="s">
        <v>185</v>
      </c>
      <c r="B31" s="122"/>
      <c r="C31" s="122"/>
      <c r="D31" s="122"/>
      <c r="E31" s="122"/>
      <c r="F31" s="122"/>
      <c r="G31" s="122"/>
      <c r="H31" s="127">
        <f>ExpRatio_Excluded</f>
        <v>1.3597266477453115E-2</v>
      </c>
    </row>
    <row r="32" spans="1:10" x14ac:dyDescent="0.25">
      <c r="A32" s="117" t="s">
        <v>166</v>
      </c>
      <c r="B32" s="122"/>
      <c r="C32" s="122"/>
      <c r="D32" s="122"/>
      <c r="E32" s="122"/>
      <c r="F32" s="122"/>
      <c r="G32" s="122"/>
      <c r="H32" s="127">
        <f>FIT_Inv</f>
        <v>0.18957755323144132</v>
      </c>
    </row>
    <row r="33" spans="1:9" ht="15.75" thickBot="1" x14ac:dyDescent="0.3">
      <c r="A33" s="85" t="s">
        <v>165</v>
      </c>
      <c r="B33" s="123"/>
      <c r="C33" s="123"/>
      <c r="D33" s="123"/>
      <c r="E33" s="123"/>
      <c r="F33" s="123"/>
      <c r="G33" s="123"/>
      <c r="H33" s="124">
        <f>Yield</f>
        <v>0.10317106949646478</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EffStd_Final06</f>
        <v>0.29866055104631506</v>
      </c>
    </row>
    <row r="38" spans="1:9" x14ac:dyDescent="0.25">
      <c r="A38" s="117" t="s">
        <v>191</v>
      </c>
      <c r="B38" s="77"/>
      <c r="C38" s="77"/>
      <c r="D38" s="77"/>
      <c r="E38" s="77"/>
      <c r="F38" s="577" t="s">
        <v>317</v>
      </c>
      <c r="G38" s="578">
        <f>update_leverage</f>
        <v>2021</v>
      </c>
      <c r="H38" s="162">
        <f ca="1">LevFact_Final06</f>
        <v>1.2507122087328104</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1/LevFact_Final06</f>
        <v>0.79954444597064767</v>
      </c>
    </row>
    <row r="41" spans="1:9" x14ac:dyDescent="0.25">
      <c r="A41" s="117" t="s">
        <v>198</v>
      </c>
      <c r="B41" s="77"/>
      <c r="C41" s="77"/>
      <c r="D41" s="77"/>
      <c r="E41" s="77"/>
      <c r="F41" s="577" t="s">
        <v>317</v>
      </c>
      <c r="G41" s="578">
        <f>update_reserveratios</f>
        <v>2021</v>
      </c>
      <c r="H41" s="163">
        <f ca="1">ResRatio_UPR06</f>
        <v>0.32682025394820319</v>
      </c>
    </row>
    <row r="42" spans="1:9" x14ac:dyDescent="0.25">
      <c r="A42" s="117" t="s">
        <v>194</v>
      </c>
      <c r="B42" s="77"/>
      <c r="C42" s="77"/>
      <c r="D42" s="77"/>
      <c r="E42" s="77"/>
      <c r="F42" s="577" t="s">
        <v>317</v>
      </c>
      <c r="G42" s="578">
        <f>update_reserveratios</f>
        <v>2021</v>
      </c>
      <c r="H42" s="163">
        <f ca="1">ResRatio_Loss06</f>
        <v>9.1896214076458593E-2</v>
      </c>
    </row>
    <row r="43" spans="1:9" x14ac:dyDescent="0.25">
      <c r="A43" s="117" t="s">
        <v>195</v>
      </c>
      <c r="B43" s="77"/>
      <c r="C43" s="77"/>
      <c r="D43" s="77"/>
      <c r="E43" s="77"/>
      <c r="F43" s="575" t="s">
        <v>317</v>
      </c>
      <c r="G43" s="575" t="str">
        <f>ROR_RiskFree_Date</f>
        <v>January 2023</v>
      </c>
      <c r="H43" s="576">
        <f>ROR_RiskFree</f>
        <v>3.9611111111111104E-2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9.9611111111111095E-2</v>
      </c>
    </row>
    <row r="46" spans="1:9" ht="5.0999999999999996" customHeight="1" x14ac:dyDescent="0.25"/>
    <row r="47" spans="1:9" ht="15.75" thickBot="1" x14ac:dyDescent="0.3">
      <c r="A47" s="7" t="s">
        <v>234</v>
      </c>
      <c r="B47" s="228" t="str">
        <f>'6.6Ratemaking Data'!D$14</f>
        <v>20173</v>
      </c>
      <c r="C47" s="228" t="str">
        <f>'6.6Ratemaking Data'!E$14</f>
        <v>20183</v>
      </c>
      <c r="D47" s="228" t="str">
        <f>'6.6Ratemaking Data'!F$14</f>
        <v>20193</v>
      </c>
      <c r="E47" s="228" t="str">
        <f>'6.6Ratemaking Data'!G$14</f>
        <v>20203</v>
      </c>
      <c r="F47" s="228" t="str">
        <f>'6.6Ratemaking Data'!H$14</f>
        <v>20213</v>
      </c>
      <c r="G47" s="228">
        <f>'6.6Ratemaking Data'!I$14</f>
        <v>20223</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95409057.762391597</v>
      </c>
      <c r="H48" s="116">
        <f>IF(New_Program=TRUE,(Prem_Earned+Misc_Fees),SUM($B48:$G48))</f>
        <v>95409057.762391597</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91765049.696814924</v>
      </c>
      <c r="H49" s="119">
        <f>IF(New_Program=TRUE,Losses,SUM($B49:$G49))</f>
        <v>91765049.696814924</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19175.501203629621</v>
      </c>
      <c r="H50" s="119">
        <f>IF(New_Program=TRUE,DCCE,SUM($B50:$G50))</f>
        <v>19175.501203629621</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f t="shared" si="3"/>
        <v>0.96200745873205884</v>
      </c>
      <c r="H51" s="127">
        <f t="shared" si="3"/>
        <v>0.96200745873205884</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23.207677013468079</v>
      </c>
      <c r="H52" s="130">
        <f t="shared" si="4"/>
        <v>23.207677013468079</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22.325958386800842</v>
      </c>
      <c r="H53" s="130">
        <f t="shared" si="5"/>
        <v>22.325958386800842</v>
      </c>
    </row>
    <row r="54" spans="1:9" x14ac:dyDescent="0.25">
      <c r="A54" s="117" t="s">
        <v>204</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18.366501535871468</v>
      </c>
      <c r="H54" s="130">
        <f t="shared" ca="1" si="6"/>
        <v>18.366501535871468</v>
      </c>
    </row>
    <row r="55" spans="1:9" x14ac:dyDescent="0.25">
      <c r="A55" s="117" t="s">
        <v>214</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22.325958386800842</v>
      </c>
      <c r="H55" s="130">
        <f t="shared" ca="1" si="7"/>
        <v>22.325958386800842</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217</v>
      </c>
      <c r="B57" s="77"/>
      <c r="C57" s="77"/>
      <c r="D57" s="77"/>
      <c r="E57" s="77"/>
      <c r="F57" s="77"/>
      <c r="G57" s="77"/>
      <c r="H57" s="127">
        <f ca="1">Yield*((1-FIT_Inv)/(1-FIT_UW))*ResRatio_Loss06</f>
        <v>9.7261266947114497E-3</v>
      </c>
    </row>
    <row r="58" spans="1:9" x14ac:dyDescent="0.25">
      <c r="A58" s="117" t="s">
        <v>218</v>
      </c>
      <c r="B58" s="77"/>
      <c r="C58" s="77"/>
      <c r="D58" s="77"/>
      <c r="E58" s="77"/>
      <c r="F58" s="77"/>
      <c r="G58" s="77"/>
      <c r="H58" s="127">
        <f ca="1">Yield*((1-FIT_Inv)/(1-FIT_UW))*(ResRatio_UPR06+SurplusRatio)</f>
        <v>0.11921237328391543</v>
      </c>
    </row>
    <row r="59" spans="1:9" x14ac:dyDescent="0.25">
      <c r="A59" s="117" t="s">
        <v>206</v>
      </c>
      <c r="B59" s="128"/>
      <c r="C59" s="128"/>
      <c r="D59" s="128"/>
      <c r="E59" s="128"/>
      <c r="F59" s="128"/>
      <c r="G59" s="128"/>
      <c r="H59" s="127">
        <f>(1+Loss_AnnualTrend)/(1+Prem_AnnualTrend)-1</f>
        <v>0.11444226048196482</v>
      </c>
    </row>
    <row r="60" spans="1:9" x14ac:dyDescent="0.25">
      <c r="A60" s="117" t="s">
        <v>205</v>
      </c>
      <c r="B60" s="128"/>
      <c r="C60" s="128"/>
      <c r="D60" s="128"/>
      <c r="E60" s="128"/>
      <c r="F60" s="128"/>
      <c r="G60" s="128"/>
      <c r="H60" s="127">
        <f>IF(New_Program=TRUE,0,(1+Net_AnnualTrend)^MIN(4,((EffDate_Proposed-EffDate_Prior06)/365.25))-1)</f>
        <v>8.887018831497917E-2</v>
      </c>
    </row>
    <row r="61" spans="1:9" x14ac:dyDescent="0.25">
      <c r="A61" s="117" t="s">
        <v>207</v>
      </c>
      <c r="B61" s="128"/>
      <c r="C61" s="128"/>
      <c r="D61" s="128"/>
      <c r="E61" s="128"/>
      <c r="F61" s="128"/>
      <c r="G61" s="128"/>
      <c r="H61" s="127">
        <f ca="1">(ROR_Max)/(LevFact_Final06*(1-FIT_UW))</f>
        <v>0.10081457043778981</v>
      </c>
    </row>
    <row r="62" spans="1:9" x14ac:dyDescent="0.25">
      <c r="A62" s="117" t="s">
        <v>208</v>
      </c>
      <c r="B62" s="77"/>
      <c r="C62" s="77"/>
      <c r="D62" s="77"/>
      <c r="E62" s="77"/>
      <c r="F62" s="77"/>
      <c r="G62" s="77"/>
      <c r="H62" s="127">
        <f ca="1">(ROR_Min)/(LevFact_Final06*(1-FIT_UW))</f>
        <v>-6.0724894630682098E-2</v>
      </c>
    </row>
    <row r="63" spans="1:9" x14ac:dyDescent="0.25">
      <c r="A63" s="117" t="s">
        <v>209</v>
      </c>
      <c r="B63" s="77"/>
      <c r="C63" s="77"/>
      <c r="D63" s="77"/>
      <c r="E63" s="77"/>
      <c r="F63" s="77"/>
      <c r="G63" s="77"/>
      <c r="H63" s="127">
        <f ca="1">1-CredLossDCCE_perExp/Max_Premium-EffStd_Final06</f>
        <v>-2.546681262878614E-2</v>
      </c>
      <c r="I63" s="204"/>
    </row>
    <row r="64" spans="1:9" x14ac:dyDescent="0.25">
      <c r="A64" s="117" t="s">
        <v>211</v>
      </c>
      <c r="B64" s="77"/>
      <c r="C64" s="77"/>
      <c r="D64" s="77"/>
      <c r="E64" s="77"/>
      <c r="F64" s="77"/>
      <c r="G64" s="77"/>
      <c r="H64" s="129">
        <f ca="1">1-EffStd_Final06-Min_Profit+InvInc_Variable</f>
        <v>0.88127671686828246</v>
      </c>
      <c r="I64" s="204"/>
    </row>
    <row r="65" spans="1:9" x14ac:dyDescent="0.25">
      <c r="A65" s="117" t="s">
        <v>210</v>
      </c>
      <c r="B65" s="77"/>
      <c r="C65" s="77"/>
      <c r="D65" s="77"/>
      <c r="E65" s="77"/>
      <c r="F65" s="77"/>
      <c r="G65" s="77"/>
      <c r="H65" s="129">
        <f ca="1">1-EffStd_Final06-Max_Profit+InvInc_Variable</f>
        <v>0.71973725179981052</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25.087254506752611</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30.71789494244403</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8.0989471380257486E-2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0.32360920589413394</v>
      </c>
      <c r="I69" s="396" t="str">
        <f ca="1">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
      </c>
    </row>
    <row r="70" spans="1:9" ht="5.0999999999999996" hidden="1" customHeight="1" x14ac:dyDescent="0.25"/>
    <row r="71" spans="1:9" ht="15.75" hidden="1" thickBot="1" x14ac:dyDescent="0.3">
      <c r="A71" s="7" t="s">
        <v>233</v>
      </c>
      <c r="B71" s="228" t="str">
        <f>'6.6Ratemaking Data'!D$14</f>
        <v>20173</v>
      </c>
      <c r="C71" s="228" t="str">
        <f>'6.6Ratemaking Data'!E$14</f>
        <v>20183</v>
      </c>
      <c r="D71" s="228" t="str">
        <f>'6.6Ratemaking Data'!F$14</f>
        <v>20193</v>
      </c>
      <c r="E71" s="228" t="str">
        <f>'6.6Ratemaking Data'!G$14</f>
        <v>20203</v>
      </c>
      <c r="F71" s="228" t="str">
        <f>'6.6Ratemaking Data'!H$14</f>
        <v>20213</v>
      </c>
      <c r="G71" s="228">
        <f>'6.6Ratemaking Data'!I$14</f>
        <v>20223</v>
      </c>
    </row>
    <row r="72" spans="1:9" hidden="1" x14ac:dyDescent="0.25">
      <c r="A72" s="114" t="s">
        <v>232</v>
      </c>
      <c r="B72" s="125"/>
      <c r="C72" s="125"/>
      <c r="D72" s="125"/>
      <c r="E72" s="125"/>
      <c r="F72" s="125"/>
      <c r="G72" s="125"/>
      <c r="H72" s="131" t="str">
        <f>IF(ISBLANK('6.6Ratemaking Data'!J44),"",'6.6Ratemaking Data'!J44)</f>
        <v/>
      </c>
    </row>
    <row r="73" spans="1:9" hidden="1" x14ac:dyDescent="0.25">
      <c r="A73" s="117" t="s">
        <v>219</v>
      </c>
      <c r="B73" s="118" t="str">
        <f>IF(ISBLANK('6.6Ratemaking Data'!D45),"",'6.6Ratemaking Data'!D45)</f>
        <v/>
      </c>
      <c r="C73" s="118" t="str">
        <f>IF(ISBLANK('6.6Ratemaking Data'!E45),"",'6.6Ratemaking Data'!E45)</f>
        <v/>
      </c>
      <c r="D73" s="118" t="str">
        <f>IF(ISBLANK('6.6Ratemaking Data'!F45),"",'6.6Ratemaking Data'!F45)</f>
        <v/>
      </c>
      <c r="E73" s="118" t="str">
        <f>IF(ISBLANK('6.6Ratemaking Data'!G45),"",'6.6Ratemaking Data'!G45)</f>
        <v/>
      </c>
      <c r="F73" s="118" t="str">
        <f>IF(ISBLANK('6.6Ratemaking Data'!H45),"",'6.6Ratemaking Data'!H45)</f>
        <v/>
      </c>
      <c r="G73" s="118" t="str">
        <f>IF(ISBLANK('6.6Ratemaking Data'!I45),"",'6.6Ratemaking Data'!I45)</f>
        <v/>
      </c>
      <c r="H73" s="119" t="str">
        <f ca="1">IF(RIGHT(Detailed_LineCode06,1)="R",IF(New_Program=TRUE,'6.6Ratemaking Data'!$K$45,SUM($B73:$G73)),"")</f>
        <v/>
      </c>
    </row>
    <row r="74" spans="1:9" hidden="1" x14ac:dyDescent="0.25">
      <c r="A74" s="117" t="s">
        <v>220</v>
      </c>
      <c r="B74" s="118" t="str">
        <f>IF(ISBLANK('6.6Ratemaking Data'!D46),"",'6.6Ratemaking Data'!D46)</f>
        <v/>
      </c>
      <c r="C74" s="118" t="str">
        <f>IF(ISBLANK('6.6Ratemaking Data'!E46),"",'6.6Ratemaking Data'!E46)</f>
        <v/>
      </c>
      <c r="D74" s="118" t="str">
        <f>IF(ISBLANK('6.6Ratemaking Data'!F46),"",'6.6Ratemaking Data'!F46)</f>
        <v/>
      </c>
      <c r="E74" s="118" t="str">
        <f>IF(ISBLANK('6.6Ratemaking Data'!G46),"",'6.6Ratemaking Data'!G46)</f>
        <v/>
      </c>
      <c r="F74" s="118" t="str">
        <f>IF(ISBLANK('6.6Ratemaking Data'!H46),"",'6.6Ratemaking Data'!H46)</f>
        <v/>
      </c>
      <c r="G74" s="118" t="str">
        <f>IF(ISBLANK('6.6Ratemaking Data'!I46),"",'6.6Ratemaking Data'!I46)</f>
        <v/>
      </c>
      <c r="H74" s="119">
        <f>IF(New_Program=TRUE,'6.6Ratemaking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223</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IF(AND('6.6Ratemaking Data'!Error30="",'6.6Ratemaking Data'!Error31="",'6.6Ratemaking Data'!Error32=""),"","See Column M of Page '6.6Ratemaking Data' for errors that must be corrected.")</f>
        <v/>
      </c>
    </row>
    <row r="80" spans="1:9" ht="26.25" x14ac:dyDescent="0.25">
      <c r="F80" s="658" t="s">
        <v>618</v>
      </c>
      <c r="G80" s="658"/>
      <c r="H80" s="658"/>
    </row>
    <row r="81" spans="1:1" x14ac:dyDescent="0.25">
      <c r="A81" s="132"/>
    </row>
  </sheetData>
  <sheetProtection algorithmName="SHA-512" hashValue="FSpy2spimwPRMRwIPGOcK1VFYzLhmM0mONIDzwqk05LnmmDlHrlCC1vteJl1xveEPZkRlGITuesdrZFhKRFZeg==" saltValue="zfKIPfcb4y5hetL4ORRhVg=="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2" orientation="portrait" r:id="rId1"/>
  <headerFooter>
    <oddFooter>&amp;CPrior Approval Rate Template&amp;RPage 7.6&amp;L1/3/2023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zoomScaleNormal="100" zoomScaleSheetLayoutView="100" workbookViewId="0">
      <selection activeCell="F50" sqref="F50"/>
    </sheetView>
  </sheetViews>
  <sheetFormatPr defaultColWidth="9.140625" defaultRowHeight="15" x14ac:dyDescent="0.25"/>
  <cols>
    <col min="1" max="1" width="28.28515625" style="6" customWidth="1"/>
    <col min="2" max="4" width="15.7109375" style="6"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Mutual Automobile Insurance Company</v>
      </c>
    </row>
    <row r="2" spans="1:8" x14ac:dyDescent="0.25">
      <c r="A2" s="7" t="s">
        <v>32</v>
      </c>
      <c r="E2" s="109" t="s">
        <v>34</v>
      </c>
      <c r="H2" s="110" t="str">
        <f>General_Line</f>
        <v>Auto Liability and Physical Damage</v>
      </c>
    </row>
    <row r="3" spans="1:8" x14ac:dyDescent="0.25">
      <c r="E3" s="154" t="s">
        <v>142</v>
      </c>
      <c r="F3" s="77"/>
      <c r="G3" s="77"/>
      <c r="H3" s="160" t="str">
        <f>CDI_FileNo</f>
        <v/>
      </c>
    </row>
    <row r="4" spans="1:8" ht="18" customHeight="1" x14ac:dyDescent="0.25">
      <c r="A4" s="510" t="str">
        <f>IF('6.7Ratemaking Data'!$K$7="","VARIANCE - NONE","VARIANCE "&amp;'6.7Ratemaking Data'!$K$7)</f>
        <v>VARIANCE 8A</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76</v>
      </c>
      <c r="H8" s="161">
        <f>Completed_Date</f>
        <v>44979</v>
      </c>
    </row>
    <row r="9" spans="1:8" ht="15" customHeight="1" x14ac:dyDescent="0.25">
      <c r="A9" s="6" t="s">
        <v>169</v>
      </c>
      <c r="H9" s="161">
        <f>EffDate_Prior07</f>
        <v>45061</v>
      </c>
    </row>
    <row r="10" spans="1:8" ht="15" customHeight="1" x14ac:dyDescent="0.25">
      <c r="A10" s="6" t="s">
        <v>170</v>
      </c>
      <c r="B10" s="52"/>
      <c r="H10" s="161">
        <f>EffDate_Proposed</f>
        <v>45348</v>
      </c>
    </row>
    <row r="11" spans="1:8" ht="15" customHeight="1" x14ac:dyDescent="0.25">
      <c r="A11" s="6" t="s">
        <v>77</v>
      </c>
      <c r="B11" s="52"/>
      <c r="H11" s="23" t="str">
        <f>Detailed_LineDesc07</f>
        <v>Private Passenger Auto Liability</v>
      </c>
    </row>
    <row r="12" spans="1:8" ht="15" customHeight="1" x14ac:dyDescent="0.25">
      <c r="A12" s="6" t="s">
        <v>78</v>
      </c>
      <c r="B12" s="52"/>
      <c r="H12" s="23" t="str">
        <f>Covg07</f>
        <v>Misc. Liability</v>
      </c>
    </row>
    <row r="13" spans="1:8" ht="15" customHeight="1" x14ac:dyDescent="0.25">
      <c r="H13" s="511"/>
    </row>
    <row r="14" spans="1:8" ht="9.9499999999999993" customHeight="1" x14ac:dyDescent="0.25"/>
    <row r="15" spans="1:8" ht="15.75" thickBot="1" x14ac:dyDescent="0.3">
      <c r="A15" s="7" t="s">
        <v>171</v>
      </c>
      <c r="B15" s="228" t="str">
        <f>'6.7Ratemaking Data'!D$14</f>
        <v>20173</v>
      </c>
      <c r="C15" s="228" t="str">
        <f>'6.7Ratemaking Data'!E$14</f>
        <v>20183</v>
      </c>
      <c r="D15" s="228" t="str">
        <f>'6.7Ratemaking Data'!F$14</f>
        <v>20193</v>
      </c>
      <c r="E15" s="228" t="str">
        <f>'6.7Ratemaking Data'!G$14</f>
        <v>20203</v>
      </c>
      <c r="F15" s="228" t="str">
        <f>'6.7Ratemaking Data'!H$14</f>
        <v>20213</v>
      </c>
      <c r="G15" s="228">
        <f>'6.7Ratemaking Data'!I$14</f>
        <v>20223</v>
      </c>
      <c r="H15" s="91" t="s">
        <v>306</v>
      </c>
    </row>
    <row r="16" spans="1:8" x14ac:dyDescent="0.25">
      <c r="A16" s="114" t="s">
        <v>173</v>
      </c>
      <c r="B16" s="115">
        <f>IF(ISBLANK('6.7Ratemaking Data'!D15),"",'6.7Ratemaking Data'!D15)</f>
        <v>1025146.86</v>
      </c>
      <c r="C16" s="115">
        <f>IF(ISBLANK('6.7Ratemaking Data'!E15),"",'6.7Ratemaking Data'!E15)</f>
        <v>841894.17</v>
      </c>
      <c r="D16" s="115">
        <f>IF(ISBLANK('6.7Ratemaking Data'!F15),"",'6.7Ratemaking Data'!F15)</f>
        <v>802149.36</v>
      </c>
      <c r="E16" s="115">
        <f>IF(ISBLANK('6.7Ratemaking Data'!G15),"",'6.7Ratemaking Data'!G15)</f>
        <v>796108.98</v>
      </c>
      <c r="F16" s="115">
        <f>IF(ISBLANK('6.7Ratemaking Data'!H15),"",'6.7Ratemaking Data'!H15)</f>
        <v>700049.52</v>
      </c>
      <c r="G16" s="115">
        <f>IF(ISBLANK('6.7Ratemaking Data'!I15),"",'6.7Ratemaking Data'!I15)</f>
        <v>707554.08</v>
      </c>
      <c r="H16" s="116">
        <f>IF(New_Program=TRUE,'6.7Ratemaking Data'!$K$15,SUM($B16:$G16))</f>
        <v>4872902.97</v>
      </c>
    </row>
    <row r="17" spans="1:10" x14ac:dyDescent="0.25">
      <c r="A17" s="117" t="s">
        <v>172</v>
      </c>
      <c r="B17" s="118">
        <f>IF(ISBLANK('6.7Ratemaking Data'!D16),"",'6.7Ratemaking Data'!D16)</f>
        <v>1052649.99</v>
      </c>
      <c r="C17" s="118">
        <f>IF(ISBLANK('6.7Ratemaking Data'!E16),"",'6.7Ratemaking Data'!E16)</f>
        <v>878012.55999999994</v>
      </c>
      <c r="D17" s="118">
        <f>IF(ISBLANK('6.7Ratemaking Data'!F16),"",'6.7Ratemaking Data'!F16)</f>
        <v>808317.52</v>
      </c>
      <c r="E17" s="118">
        <f>IF(ISBLANK('6.7Ratemaking Data'!G16),"",'6.7Ratemaking Data'!G16)</f>
        <v>799667.52</v>
      </c>
      <c r="F17" s="118">
        <f>IF(ISBLANK('6.7Ratemaking Data'!H16),"",'6.7Ratemaking Data'!H16)</f>
        <v>721474.84000000008</v>
      </c>
      <c r="G17" s="118">
        <f>IF(ISBLANK('6.7Ratemaking Data'!I16),"",'6.7Ratemaking Data'!I16)</f>
        <v>703292.21</v>
      </c>
      <c r="H17" s="119">
        <f>IF(New_Program=TRUE,'6.7Ratemaking Data'!$K$16,SUM($B17:$G17))</f>
        <v>4963414.6399999997</v>
      </c>
    </row>
    <row r="18" spans="1:10" x14ac:dyDescent="0.25">
      <c r="A18" s="117" t="s">
        <v>174</v>
      </c>
      <c r="B18" s="120">
        <f>IF(ISBLANK('6.7Ratemaking Data'!D17),"",'6.7Ratemaking Data'!D17)</f>
        <v>0.55044516564706802</v>
      </c>
      <c r="C18" s="120">
        <f>IF(ISBLANK('6.7Ratemaking Data'!E17),"",'6.7Ratemaking Data'!E17)</f>
        <v>0.64801885562039752</v>
      </c>
      <c r="D18" s="120">
        <f>IF(ISBLANK('6.7Ratemaking Data'!F17),"",'6.7Ratemaking Data'!F17)</f>
        <v>0.6938827873130814</v>
      </c>
      <c r="E18" s="120">
        <f>IF(ISBLANK('6.7Ratemaking Data'!G17),"",'6.7Ratemaking Data'!G17)</f>
        <v>0.70040746631308615</v>
      </c>
      <c r="F18" s="120">
        <f>IF(ISBLANK('6.7Ratemaking Data'!H17),"",'6.7Ratemaking Data'!H17)</f>
        <v>0.79025905055161194</v>
      </c>
      <c r="G18" s="120">
        <f>IF(ISBLANK('6.7Ratemaking Data'!I17),"",'6.7Ratemaking Data'!I17)</f>
        <v>0.8170753216929405</v>
      </c>
      <c r="H18" s="121"/>
    </row>
    <row r="19" spans="1:10" x14ac:dyDescent="0.25">
      <c r="A19" s="117" t="s">
        <v>175</v>
      </c>
      <c r="B19" s="120">
        <f>IF(ISBLANK('6.7Ratemaking Data'!D18),"",'6.7Ratemaking Data'!D18)</f>
        <v>1.0491700462196873</v>
      </c>
      <c r="C19" s="120">
        <f>IF(ISBLANK('6.7Ratemaking Data'!E18),"",'6.7Ratemaking Data'!E18)</f>
        <v>1.0422544499296913</v>
      </c>
      <c r="D19" s="120">
        <f>IF(ISBLANK('6.7Ratemaking Data'!F18),"",'6.7Ratemaking Data'!F18)</f>
        <v>1.0353844377394497</v>
      </c>
      <c r="E19" s="120">
        <f>IF(ISBLANK('6.7Ratemaking Data'!G18),"",'6.7Ratemaking Data'!G18)</f>
        <v>1.0285597091817194</v>
      </c>
      <c r="F19" s="120">
        <f>IF(ISBLANK('6.7Ratemaking Data'!H18),"",'6.7Ratemaking Data'!H18)</f>
        <v>1.0217799657697852</v>
      </c>
      <c r="G19" s="120">
        <f>IF(ISBLANK('6.7Ratemaking Data'!I18),"",'6.7Ratemaking Data'!I18)</f>
        <v>1.0150449109844046</v>
      </c>
      <c r="H19" s="127">
        <f>IF(New_Program=TRUE,0,'6.7Ratemaking Data'!$J$18)</f>
        <v>6.6352283652639796E-3</v>
      </c>
    </row>
    <row r="20" spans="1:10" x14ac:dyDescent="0.25">
      <c r="A20" s="117" t="s">
        <v>176</v>
      </c>
      <c r="B20" s="118">
        <f>IF(ISBLANK('6.7Ratemaking Data'!D19),"",'6.7Ratemaking Data'!D19)</f>
        <v>0</v>
      </c>
      <c r="C20" s="118">
        <f>IF(ISBLANK('6.7Ratemaking Data'!E19),"",'6.7Ratemaking Data'!E19)</f>
        <v>0</v>
      </c>
      <c r="D20" s="118">
        <f>IF(ISBLANK('6.7Ratemaking Data'!F19),"",'6.7Ratemaking Data'!F19)</f>
        <v>0</v>
      </c>
      <c r="E20" s="118">
        <f>IF(ISBLANK('6.7Ratemaking Data'!G19),"",'6.7Ratemaking Data'!G19)</f>
        <v>0</v>
      </c>
      <c r="F20" s="118">
        <f>IF(ISBLANK('6.7Ratemaking Data'!H19),"",'6.7Ratemaking Data'!H19)</f>
        <v>0</v>
      </c>
      <c r="G20" s="118">
        <f>IF(ISBLANK('6.7Ratemaking Data'!I19),"",'6.7Ratemaking Data'!I19)</f>
        <v>0</v>
      </c>
      <c r="H20" s="119">
        <f>IF(New_Program=TRUE,'6.7Ratemaking Data'!$K$19,SUM($B20:$G20))</f>
        <v>0</v>
      </c>
    </row>
    <row r="21" spans="1:10" x14ac:dyDescent="0.25">
      <c r="A21" s="117" t="s">
        <v>177</v>
      </c>
      <c r="B21" s="118">
        <f>IF(ISBLANK('6.7Ratemaking Data'!D20),"",'6.7Ratemaking Data'!D20)</f>
        <v>233401</v>
      </c>
      <c r="C21" s="118">
        <f>IF(ISBLANK('6.7Ratemaking Data'!E20),"",'6.7Ratemaking Data'!E20)</f>
        <v>227694</v>
      </c>
      <c r="D21" s="118">
        <f>IF(ISBLANK('6.7Ratemaking Data'!F20),"",'6.7Ratemaking Data'!F20)</f>
        <v>222653</v>
      </c>
      <c r="E21" s="118">
        <f>IF(ISBLANK('6.7Ratemaking Data'!G20),"",'6.7Ratemaking Data'!G20)</f>
        <v>220369</v>
      </c>
      <c r="F21" s="118">
        <f>IF(ISBLANK('6.7Ratemaking Data'!H20),"",'6.7Ratemaking Data'!H20)</f>
        <v>222830</v>
      </c>
      <c r="G21" s="118">
        <f>IF(ISBLANK('6.7Ratemaking Data'!I20),"",'6.7Ratemaking Data'!I20)</f>
        <v>224714</v>
      </c>
      <c r="H21" s="119">
        <f>IF(New_Program=TRUE,'6.7Ratemaking Data'!$K$20,SUM($B21:$G21))</f>
        <v>1351661</v>
      </c>
      <c r="J21" s="111"/>
    </row>
    <row r="22" spans="1:10" x14ac:dyDescent="0.25">
      <c r="A22" s="117" t="s">
        <v>178</v>
      </c>
      <c r="B22" s="118">
        <f>IF(ISBLANK('6.7Ratemaking Data'!D21),"",'6.7Ratemaking Data'!D21)</f>
        <v>379934.12</v>
      </c>
      <c r="C22" s="118">
        <f>IF(ISBLANK('6.7Ratemaking Data'!E21),"",'6.7Ratemaking Data'!E21)</f>
        <v>531671.41999999993</v>
      </c>
      <c r="D22" s="118">
        <f>IF(ISBLANK('6.7Ratemaking Data'!F21),"",'6.7Ratemaking Data'!F21)</f>
        <v>474150</v>
      </c>
      <c r="E22" s="118">
        <f>IF(ISBLANK('6.7Ratemaking Data'!G21),"",'6.7Ratemaking Data'!G21)</f>
        <v>167350</v>
      </c>
      <c r="F22" s="118">
        <f>IF(ISBLANK('6.7Ratemaking Data'!H21),"",'6.7Ratemaking Data'!H21)</f>
        <v>212050</v>
      </c>
      <c r="G22" s="118">
        <f>IF(ISBLANK('6.7Ratemaking Data'!I21),"",'6.7Ratemaking Data'!I21)</f>
        <v>337710</v>
      </c>
      <c r="H22" s="119">
        <f>IF(New_Program=TRUE,'6.7Ratemaking Data'!$K$21,SUM($B22:$G22))</f>
        <v>2102865.54</v>
      </c>
      <c r="J22" s="111"/>
    </row>
    <row r="23" spans="1:10" x14ac:dyDescent="0.25">
      <c r="A23" s="117" t="s">
        <v>144</v>
      </c>
      <c r="B23" s="118">
        <f>IF(ISBLANK('6.7Ratemaking Data'!D22),"",'6.7Ratemaking Data'!D22)</f>
        <v>0</v>
      </c>
      <c r="C23" s="118">
        <f>IF(ISBLANK('6.7Ratemaking Data'!E22),"",'6.7Ratemaking Data'!E22)</f>
        <v>7982</v>
      </c>
      <c r="D23" s="118">
        <f>IF(ISBLANK('6.7Ratemaking Data'!F22),"",'6.7Ratemaking Data'!F22)</f>
        <v>-1.1368683772161603E-13</v>
      </c>
      <c r="E23" s="118">
        <f>IF(ISBLANK('6.7Ratemaking Data'!G22),"",'6.7Ratemaking Data'!G22)</f>
        <v>24.9</v>
      </c>
      <c r="F23" s="118">
        <f>IF(ISBLANK('6.7Ratemaking Data'!H22),"",'6.7Ratemaking Data'!H22)</f>
        <v>35</v>
      </c>
      <c r="G23" s="118">
        <f>IF(ISBLANK('6.7Ratemaking Data'!I22),"",'6.7Ratemaking Data'!I22)</f>
        <v>0</v>
      </c>
      <c r="H23" s="119">
        <f>IF(New_Program=TRUE,'6.7Ratemaking Data'!$K$22,SUM($B23:$G23))</f>
        <v>8041.9</v>
      </c>
      <c r="J23" s="111"/>
    </row>
    <row r="24" spans="1:10" x14ac:dyDescent="0.25">
      <c r="A24" s="117" t="s">
        <v>181</v>
      </c>
      <c r="B24" s="120">
        <f>IF(ISBLANK('6.7Ratemaking Data'!D23),"",'6.7Ratemaking Data'!D23)</f>
        <v>1</v>
      </c>
      <c r="C24" s="120">
        <f>IF(ISBLANK('6.7Ratemaking Data'!E23),"",'6.7Ratemaking Data'!E23)</f>
        <v>1</v>
      </c>
      <c r="D24" s="120">
        <f>IF(ISBLANK('6.7Ratemaking Data'!F23),"",'6.7Ratemaking Data'!F23)</f>
        <v>1.0072113006272967</v>
      </c>
      <c r="E24" s="120">
        <f>IF(ISBLANK('6.7Ratemaking Data'!G23),"",'6.7Ratemaking Data'!G23)</f>
        <v>1.0069860331387228</v>
      </c>
      <c r="F24" s="120">
        <f>IF(ISBLANK('6.7Ratemaking Data'!H23),"",'6.7Ratemaking Data'!H23)</f>
        <v>1.0334049853541087</v>
      </c>
      <c r="G24" s="120">
        <f>IF(ISBLANK('6.7Ratemaking Data'!I23),"",'6.7Ratemaking Data'!I23)</f>
        <v>1.0448779955941625</v>
      </c>
      <c r="H24" s="121"/>
    </row>
    <row r="25" spans="1:10" x14ac:dyDescent="0.25">
      <c r="A25" s="117" t="s">
        <v>182</v>
      </c>
      <c r="B25" s="120">
        <f>IF(ISBLANK('6.7Ratemaking Data'!D24),"",'6.7Ratemaking Data'!D24)</f>
        <v>1</v>
      </c>
      <c r="C25" s="120">
        <f>IF(ISBLANK('6.7Ratemaking Data'!E24),"",'6.7Ratemaking Data'!E24)</f>
        <v>1</v>
      </c>
      <c r="D25" s="120">
        <f>IF(ISBLANK('6.7Ratemaking Data'!F24),"",'6.7Ratemaking Data'!F24)</f>
        <v>1</v>
      </c>
      <c r="E25" s="120">
        <f>IF(ISBLANK('6.7Ratemaking Data'!G24),"",'6.7Ratemaking Data'!G24)</f>
        <v>1</v>
      </c>
      <c r="F25" s="120">
        <f>IF(ISBLANK('6.7Ratemaking Data'!H24),"",'6.7Ratemaking Data'!H24)</f>
        <v>1</v>
      </c>
      <c r="G25" s="120">
        <f>IF(ISBLANK('6.7Ratemaking Data'!I24),"",'6.7Ratemaking Data'!I24)</f>
        <v>8.1687759109753288E-2</v>
      </c>
      <c r="H25" s="121"/>
    </row>
    <row r="26" spans="1:10" x14ac:dyDescent="0.25">
      <c r="A26" s="117" t="s">
        <v>179</v>
      </c>
      <c r="B26" s="120">
        <f>IF(ISBLANK('6.7Ratemaking Data'!D25),"",'6.7Ratemaking Data'!D25)</f>
        <v>0.9286482855383863</v>
      </c>
      <c r="C26" s="120">
        <f>IF(ISBLANK('6.7Ratemaking Data'!E25),"",'6.7Ratemaking Data'!E25)</f>
        <v>0.93816814458404907</v>
      </c>
      <c r="D26" s="120">
        <f>IF(ISBLANK('6.7Ratemaking Data'!F25),"",'6.7Ratemaking Data'!F25)</f>
        <v>0.94778559463123591</v>
      </c>
      <c r="E26" s="120">
        <f>IF(ISBLANK('6.7Ratemaking Data'!G25),"",'6.7Ratemaking Data'!G25)</f>
        <v>0.95750163611530326</v>
      </c>
      <c r="F26" s="120">
        <f>IF(ISBLANK('6.7Ratemaking Data'!H25),"",'6.7Ratemaking Data'!H25)</f>
        <v>0.96731727972737813</v>
      </c>
      <c r="G26" s="120">
        <f>IF(ISBLANK('6.7Ratemaking Data'!I25),"",'6.7Ratemaking Data'!I25)</f>
        <v>0.97723354651949279</v>
      </c>
      <c r="H26" s="127">
        <f>IF(New_Program=TRUE,0,'6.7Ratemaking Data'!$J$25)</f>
        <v>-1.0147284471999999E-2</v>
      </c>
    </row>
    <row r="27" spans="1:10" x14ac:dyDescent="0.25">
      <c r="A27" s="117" t="s">
        <v>180</v>
      </c>
      <c r="B27" s="120">
        <f>IF(ISBLANK('6.7Ratemaking Data'!D26),"",'6.7Ratemaking Data'!D26)</f>
        <v>0.9286482855383863</v>
      </c>
      <c r="C27" s="120">
        <f>IF(ISBLANK('6.7Ratemaking Data'!E26),"",'6.7Ratemaking Data'!E26)</f>
        <v>0.93816814458404907</v>
      </c>
      <c r="D27" s="120">
        <f>IF(ISBLANK('6.7Ratemaking Data'!F26),"",'6.7Ratemaking Data'!F26)</f>
        <v>0.94778559463123591</v>
      </c>
      <c r="E27" s="120">
        <f>IF(ISBLANK('6.7Ratemaking Data'!G26),"",'6.7Ratemaking Data'!G26)</f>
        <v>0.95750163611530326</v>
      </c>
      <c r="F27" s="120">
        <f>IF(ISBLANK('6.7Ratemaking Data'!H26),"",'6.7Ratemaking Data'!H26)</f>
        <v>0.96731727972737813</v>
      </c>
      <c r="G27" s="120">
        <f>IF(ISBLANK('6.7Ratemaking Data'!I26),"",'6.7Ratemaking Data'!I26)</f>
        <v>0.97723354651949279</v>
      </c>
      <c r="H27" s="127">
        <f>IF(New_Program=TRUE,0,'6.7Ratemaking Data'!$J$26)</f>
        <v>-1.0147284471999999E-2</v>
      </c>
    </row>
    <row r="28" spans="1:10" x14ac:dyDescent="0.25">
      <c r="A28" s="117" t="s">
        <v>183</v>
      </c>
      <c r="B28" s="120">
        <f>IF(ISBLANK('6.7Ratemaking Data'!D27),"",'6.7Ratemaking Data'!D27)</f>
        <v>1</v>
      </c>
      <c r="C28" s="120">
        <f>IF(ISBLANK('6.7Ratemaking Data'!E27),"",'6.7Ratemaking Data'!E27)</f>
        <v>1</v>
      </c>
      <c r="D28" s="120">
        <f>IF(ISBLANK('6.7Ratemaking Data'!F27),"",'6.7Ratemaking Data'!F27)</f>
        <v>1</v>
      </c>
      <c r="E28" s="120">
        <f>IF(ISBLANK('6.7Ratemaking Data'!G27),"",'6.7Ratemaking Data'!G27)</f>
        <v>1</v>
      </c>
      <c r="F28" s="120">
        <f>IF(ISBLANK('6.7Ratemaking Data'!H27),"",'6.7Ratemaking Data'!H27)</f>
        <v>1</v>
      </c>
      <c r="G28" s="120">
        <f>IF(ISBLANK('6.7Ratemaking Data'!I27),"",'6.7Ratemaking Data'!I27)</f>
        <v>1</v>
      </c>
      <c r="H28" s="121"/>
    </row>
    <row r="29" spans="1:10" ht="15.75" thickBot="1" x14ac:dyDescent="0.3">
      <c r="A29" s="133" t="s">
        <v>188</v>
      </c>
      <c r="B29" s="134">
        <f>IF(ISBLANK('6.7Ratemaking Data'!D29),"",'6.7Ratemaking Data'!D29)</f>
        <v>0</v>
      </c>
      <c r="C29" s="134">
        <f>IF(ISBLANK('6.7Ratemaking Data'!E29),"",'6.7Ratemaking Data'!E29)</f>
        <v>0</v>
      </c>
      <c r="D29" s="134">
        <f>IF(ISBLANK('6.7Ratemaking Data'!F29),"",'6.7Ratemaking Data'!F29)</f>
        <v>0</v>
      </c>
      <c r="E29" s="134">
        <f>IF(ISBLANK('6.7Ratemaking Data'!G29),"",'6.7Ratemaking Data'!G29)</f>
        <v>0</v>
      </c>
      <c r="F29" s="134">
        <f>IF(ISBLANK('6.7Ratemaking Data'!H29),"",'6.7Ratemaking Data'!H29)</f>
        <v>0</v>
      </c>
      <c r="G29" s="134">
        <f>IF(ISBLANK('6.7Ratemaking Data'!I29),"",'6.7Ratemaking Data'!I29)</f>
        <v>0</v>
      </c>
      <c r="H29" s="135">
        <f>IF(New_Program=TRUE,'6.7Ratemaking Data'!$K$29,SUM($B29:$G29))</f>
        <v>0</v>
      </c>
    </row>
    <row r="30" spans="1:10" ht="15.75" thickTop="1" x14ac:dyDescent="0.25">
      <c r="A30" s="117" t="s">
        <v>184</v>
      </c>
      <c r="B30" s="122"/>
      <c r="C30" s="122"/>
      <c r="D30" s="122"/>
      <c r="E30" s="122"/>
      <c r="F30" s="122"/>
      <c r="G30" s="122"/>
      <c r="H30" s="127">
        <f>IF(New_Program=TRUE,100%,'6.7Ratemaking Data'!$J$28)</f>
        <v>0.23664319132398465</v>
      </c>
    </row>
    <row r="31" spans="1:10" x14ac:dyDescent="0.25">
      <c r="A31" s="117" t="s">
        <v>185</v>
      </c>
      <c r="B31" s="122"/>
      <c r="C31" s="122"/>
      <c r="D31" s="122"/>
      <c r="E31" s="122"/>
      <c r="F31" s="122"/>
      <c r="G31" s="122"/>
      <c r="H31" s="127">
        <f>ExpRatio_Excluded</f>
        <v>1.3597266477453115E-2</v>
      </c>
    </row>
    <row r="32" spans="1:10" x14ac:dyDescent="0.25">
      <c r="A32" s="117" t="s">
        <v>166</v>
      </c>
      <c r="B32" s="122"/>
      <c r="C32" s="122"/>
      <c r="D32" s="122"/>
      <c r="E32" s="122"/>
      <c r="F32" s="122"/>
      <c r="G32" s="122"/>
      <c r="H32" s="127">
        <f>FIT_Inv</f>
        <v>0.18957755323144132</v>
      </c>
    </row>
    <row r="33" spans="1:9" ht="15.75" thickBot="1" x14ac:dyDescent="0.3">
      <c r="A33" s="85" t="s">
        <v>165</v>
      </c>
      <c r="B33" s="123"/>
      <c r="C33" s="123"/>
      <c r="D33" s="123"/>
      <c r="E33" s="123"/>
      <c r="F33" s="123"/>
      <c r="G33" s="123"/>
      <c r="H33" s="124">
        <f>Yield</f>
        <v>0.10317106949646478</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EffStd_Final07</f>
        <v>0.29732485720293622</v>
      </c>
    </row>
    <row r="38" spans="1:9" x14ac:dyDescent="0.25">
      <c r="A38" s="117" t="s">
        <v>191</v>
      </c>
      <c r="B38" s="77"/>
      <c r="C38" s="77"/>
      <c r="D38" s="77"/>
      <c r="E38" s="77"/>
      <c r="F38" s="577" t="s">
        <v>317</v>
      </c>
      <c r="G38" s="578">
        <f>update_leverage</f>
        <v>2021</v>
      </c>
      <c r="H38" s="162">
        <f ca="1">LevFact_Final07</f>
        <v>0.7746748896822202</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1/LevFact_Final07</f>
        <v>1.2908640944980294</v>
      </c>
    </row>
    <row r="41" spans="1:9" x14ac:dyDescent="0.25">
      <c r="A41" s="117" t="s">
        <v>198</v>
      </c>
      <c r="B41" s="77"/>
      <c r="C41" s="77"/>
      <c r="D41" s="77"/>
      <c r="E41" s="77"/>
      <c r="F41" s="577" t="s">
        <v>317</v>
      </c>
      <c r="G41" s="578">
        <f>update_reserveratios</f>
        <v>2021</v>
      </c>
      <c r="H41" s="163">
        <f ca="1">ResRatio_UPR07</f>
        <v>0.32027023269708416</v>
      </c>
    </row>
    <row r="42" spans="1:9" x14ac:dyDescent="0.25">
      <c r="A42" s="117" t="s">
        <v>194</v>
      </c>
      <c r="B42" s="77"/>
      <c r="C42" s="77"/>
      <c r="D42" s="77"/>
      <c r="E42" s="77"/>
      <c r="F42" s="577" t="s">
        <v>317</v>
      </c>
      <c r="G42" s="578">
        <f>update_reserveratios</f>
        <v>2021</v>
      </c>
      <c r="H42" s="163">
        <f ca="1">ResRatio_Loss07</f>
        <v>1.3266740292453059</v>
      </c>
    </row>
    <row r="43" spans="1:9" x14ac:dyDescent="0.25">
      <c r="A43" s="117" t="s">
        <v>195</v>
      </c>
      <c r="B43" s="77"/>
      <c r="C43" s="77"/>
      <c r="D43" s="77"/>
      <c r="E43" s="77"/>
      <c r="F43" s="575" t="s">
        <v>317</v>
      </c>
      <c r="G43" s="575" t="str">
        <f>ROR_RiskFree_Date</f>
        <v>January 2023</v>
      </c>
      <c r="H43" s="576">
        <f>ROR_RiskFree</f>
        <v>3.9611111111111104E-2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9.9611111111111095E-2</v>
      </c>
    </row>
    <row r="46" spans="1:9" ht="5.0999999999999996" customHeight="1" x14ac:dyDescent="0.25"/>
    <row r="47" spans="1:9" ht="15.75" thickBot="1" x14ac:dyDescent="0.3">
      <c r="A47" s="7" t="s">
        <v>234</v>
      </c>
      <c r="B47" s="228" t="str">
        <f>'6.7Ratemaking Data'!D$14</f>
        <v>20173</v>
      </c>
      <c r="C47" s="228" t="str">
        <f>'6.7Ratemaking Data'!E$14</f>
        <v>20183</v>
      </c>
      <c r="D47" s="228" t="str">
        <f>'6.7Ratemaking Data'!F$14</f>
        <v>20193</v>
      </c>
      <c r="E47" s="228" t="str">
        <f>'6.7Ratemaking Data'!G$14</f>
        <v>20203</v>
      </c>
      <c r="F47" s="228" t="str">
        <f>'6.7Ratemaking Data'!H$14</f>
        <v>20213</v>
      </c>
      <c r="G47" s="228">
        <f>'6.7Ratemaking Data'!I$14</f>
        <v>20223</v>
      </c>
    </row>
    <row r="48" spans="1:9" x14ac:dyDescent="0.25">
      <c r="A48" s="114" t="s">
        <v>199</v>
      </c>
      <c r="B48" s="115">
        <f t="shared" ref="B48:G48" si="0">IF(ISERROR(Prem_Earned*Prem_Adj*Prem_Trend+Misc_Fees),"",Prem_Earned*Prem_Adj*Prem_Trend+Misc_Fees)</f>
        <v>607916.50613908982</v>
      </c>
      <c r="C48" s="115">
        <f t="shared" si="0"/>
        <v>593010.15355857427</v>
      </c>
      <c r="D48" s="115">
        <f t="shared" si="0"/>
        <v>580723.95281696506</v>
      </c>
      <c r="E48" s="115">
        <f t="shared" si="0"/>
        <v>576089.19767176884</v>
      </c>
      <c r="F48" s="115">
        <f t="shared" si="0"/>
        <v>582569.91357921402</v>
      </c>
      <c r="G48" s="115">
        <f t="shared" si="0"/>
        <v>583288.15713056736</v>
      </c>
      <c r="H48" s="116">
        <f>IF(New_Program=TRUE,(Prem_Earned+Misc_Fees),SUM($B48:$G48))</f>
        <v>3523597.880896179</v>
      </c>
    </row>
    <row r="49" spans="1:9" x14ac:dyDescent="0.25">
      <c r="A49" s="117" t="s">
        <v>200</v>
      </c>
      <c r="B49" s="118">
        <f t="shared" ref="B49:G49" si="1">IF(ISERROR(Losses*Loss_Devt*CAT_Adj*Loss_Trend),"",Losses*Loss_Devt*CAT_Adj*Loss_Trend)</f>
        <v>352825.16915553552</v>
      </c>
      <c r="C49" s="118">
        <f t="shared" si="1"/>
        <v>498797.18962976662</v>
      </c>
      <c r="D49" s="118">
        <f t="shared" si="1"/>
        <v>452633.24439780117</v>
      </c>
      <c r="E49" s="118">
        <f t="shared" si="1"/>
        <v>161357.32607501934</v>
      </c>
      <c r="F49" s="118">
        <f t="shared" si="1"/>
        <v>211971.64737432735</v>
      </c>
      <c r="G49" s="118">
        <f t="shared" si="1"/>
        <v>344832.24625785463</v>
      </c>
      <c r="H49" s="119">
        <f>IF(New_Program=TRUE,Losses,SUM($B49:$G49))</f>
        <v>2022416.8228903045</v>
      </c>
    </row>
    <row r="50" spans="1:9" x14ac:dyDescent="0.25">
      <c r="A50" s="117" t="s">
        <v>201</v>
      </c>
      <c r="B50" s="118">
        <f t="shared" ref="B50:G50" si="2">IF(ISERROR(DCCE*DCCE_Devt*CAT_Adj*DCCE_Trend),"",DCCE*DCCE_Devt*CAT_Adj*DCCE_Trend)</f>
        <v>0</v>
      </c>
      <c r="C50" s="118">
        <f t="shared" si="2"/>
        <v>7488.4581300698801</v>
      </c>
      <c r="D50" s="118">
        <f t="shared" si="2"/>
        <v>-1.0775074709172667E-13</v>
      </c>
      <c r="E50" s="118">
        <f t="shared" si="2"/>
        <v>23.841790739271051</v>
      </c>
      <c r="F50" s="118">
        <f t="shared" si="2"/>
        <v>33.856104790458232</v>
      </c>
      <c r="G50" s="118">
        <f t="shared" si="2"/>
        <v>0</v>
      </c>
      <c r="H50" s="119">
        <f>IF(New_Program=TRUE,DCCE,SUM($B50:$G50))</f>
        <v>7546.1560255996101</v>
      </c>
    </row>
    <row r="51" spans="1:9" x14ac:dyDescent="0.25">
      <c r="A51" s="117" t="s">
        <v>202</v>
      </c>
      <c r="B51" s="126">
        <f t="shared" ref="B51:H51" si="3">IF(ISERROR((B49+B50)/B48),"",(B49+B50)/B48)</f>
        <v>0.58038425604915223</v>
      </c>
      <c r="C51" s="126">
        <f t="shared" si="3"/>
        <v>0.85375544536916337</v>
      </c>
      <c r="D51" s="126">
        <f t="shared" si="3"/>
        <v>0.77942926618090436</v>
      </c>
      <c r="E51" s="126">
        <f t="shared" si="3"/>
        <v>0.28013225819538234</v>
      </c>
      <c r="F51" s="126">
        <f t="shared" si="3"/>
        <v>0.36391426769122143</v>
      </c>
      <c r="G51" s="126">
        <f t="shared" si="3"/>
        <v>0.59118677799704566</v>
      </c>
      <c r="H51" s="127">
        <f t="shared" si="3"/>
        <v>0.57610517645095494</v>
      </c>
    </row>
    <row r="52" spans="1:9" x14ac:dyDescent="0.25">
      <c r="A52" s="117" t="s">
        <v>215</v>
      </c>
      <c r="B52" s="407">
        <f t="shared" ref="B52:H52" si="4">IF(ISERROR(Prem_Adjusted/Exposures_Earned),"",Prem_Adjusted/Exposures_Earned)</f>
        <v>2.6046011205568522</v>
      </c>
      <c r="C52" s="407">
        <f t="shared" si="4"/>
        <v>2.6044171280691377</v>
      </c>
      <c r="D52" s="407">
        <f t="shared" si="4"/>
        <v>2.6082017885093176</v>
      </c>
      <c r="E52" s="407">
        <f t="shared" si="4"/>
        <v>2.6142025315346933</v>
      </c>
      <c r="F52" s="407">
        <f t="shared" si="4"/>
        <v>2.6144141883014584</v>
      </c>
      <c r="G52" s="407">
        <f t="shared" si="4"/>
        <v>2.5956912214217511</v>
      </c>
      <c r="H52" s="130">
        <f t="shared" si="4"/>
        <v>2.6068650947953511</v>
      </c>
    </row>
    <row r="53" spans="1:9" x14ac:dyDescent="0.25">
      <c r="A53" s="117" t="s">
        <v>203</v>
      </c>
      <c r="B53" s="407">
        <f t="shared" ref="B53:H53" si="5">IF(ISERROR((Losses_Adjusted+DCCE_Adjusted)/Exposures_Earned),"",(Losses_Adjusted+DCCE_Adjusted)/Exposures_Earned)</f>
        <v>1.5116694836591769</v>
      </c>
      <c r="C53" s="407">
        <f t="shared" si="5"/>
        <v>2.2235353051017439</v>
      </c>
      <c r="D53" s="407">
        <f t="shared" si="5"/>
        <v>2.0329088060695395</v>
      </c>
      <c r="E53" s="407">
        <f t="shared" si="5"/>
        <v>0.73232245853889888</v>
      </c>
      <c r="F53" s="407">
        <f t="shared" si="5"/>
        <v>0.95142262477726436</v>
      </c>
      <c r="G53" s="407">
        <f t="shared" si="5"/>
        <v>1.534538329867541</v>
      </c>
      <c r="H53" s="130">
        <f t="shared" si="5"/>
        <v>1.5018284754209112</v>
      </c>
    </row>
    <row r="54" spans="1:9" x14ac:dyDescent="0.25">
      <c r="A54" s="117" t="s">
        <v>204</v>
      </c>
      <c r="B54" s="407">
        <f t="shared" ref="B54:H54" ca="1" si="6">IF(ISERROR((TCRLP_perExp*(1+Comp_Trend)*Max_Denom+Anc_Inc_perExp)/(1-InvInc_Fixed)),"",(TCRLP_perExp*(1+Comp_Trend)*Max_Denom+Anc_Inc_perExp)/(1-InvInc_Fixed))</f>
        <v>2.1243936786275541</v>
      </c>
      <c r="C54" s="407">
        <f t="shared" ca="1" si="6"/>
        <v>2.1242436086322942</v>
      </c>
      <c r="D54" s="407">
        <f t="shared" ca="1" si="6"/>
        <v>2.1273304953925791</v>
      </c>
      <c r="E54" s="407">
        <f t="shared" ca="1" si="6"/>
        <v>2.1322248880308852</v>
      </c>
      <c r="F54" s="407">
        <f t="shared" ca="1" si="6"/>
        <v>2.1323975218725146</v>
      </c>
      <c r="G54" s="407">
        <f t="shared" ca="1" si="6"/>
        <v>2.1171264877896068</v>
      </c>
      <c r="H54" s="130">
        <f t="shared" ca="1" si="6"/>
        <v>2.1262402464274692</v>
      </c>
    </row>
    <row r="55" spans="1:9" x14ac:dyDescent="0.25">
      <c r="A55" s="117" t="s">
        <v>214</v>
      </c>
      <c r="B55" s="407">
        <f t="shared" ref="B55:H55" ca="1" si="7">IF(ISERROR(Credibility*LossDCCE_perExp+(1-Credibility)*CompLossDCCE_perExp),"",Credibility*LossDCCE_perExp+(1-Credibility)*CompLossDCCE_perExp)</f>
        <v>1.9793966697288181</v>
      </c>
      <c r="C55" s="407">
        <f t="shared" ca="1" si="7"/>
        <v>2.1477403125567971</v>
      </c>
      <c r="D55" s="407">
        <f t="shared" ca="1" si="7"/>
        <v>2.1049862455009731</v>
      </c>
      <c r="E55" s="407">
        <f t="shared" ca="1" si="7"/>
        <v>1.8009475095737022</v>
      </c>
      <c r="F55" s="407">
        <f t="shared" ca="1" si="7"/>
        <v>1.8529278533503803</v>
      </c>
      <c r="G55" s="407">
        <f t="shared" ca="1" si="7"/>
        <v>1.9792609668713677</v>
      </c>
      <c r="H55" s="130">
        <f t="shared" ca="1" si="7"/>
        <v>1.9784774522362163</v>
      </c>
    </row>
    <row r="56" spans="1:9" ht="15.75" thickBot="1" x14ac:dyDescent="0.3">
      <c r="A56" s="133" t="s">
        <v>216</v>
      </c>
      <c r="B56" s="202">
        <f t="shared" ref="B56:H56" si="8">IF(ISERROR(Anc_Income/Exposures_Earned),"",Anc_Income/Exposures_Earned)</f>
        <v>0</v>
      </c>
      <c r="C56" s="202">
        <f t="shared" si="8"/>
        <v>0</v>
      </c>
      <c r="D56" s="202">
        <f t="shared" si="8"/>
        <v>0</v>
      </c>
      <c r="E56" s="202">
        <f t="shared" si="8"/>
        <v>0</v>
      </c>
      <c r="F56" s="202">
        <f t="shared" si="8"/>
        <v>0</v>
      </c>
      <c r="G56" s="202">
        <f t="shared" si="8"/>
        <v>0</v>
      </c>
      <c r="H56" s="203">
        <f t="shared" si="8"/>
        <v>0</v>
      </c>
    </row>
    <row r="57" spans="1:9" ht="15.75" thickTop="1" x14ac:dyDescent="0.25">
      <c r="A57" s="117" t="s">
        <v>217</v>
      </c>
      <c r="B57" s="77"/>
      <c r="C57" s="77"/>
      <c r="D57" s="77"/>
      <c r="E57" s="77"/>
      <c r="F57" s="77"/>
      <c r="G57" s="77"/>
      <c r="H57" s="127">
        <f ca="1">Yield*((1-FIT_Inv)/(1-FIT_UW))*ResRatio_Loss07</f>
        <v>0.14041274518977906</v>
      </c>
    </row>
    <row r="58" spans="1:9" x14ac:dyDescent="0.25">
      <c r="A58" s="117" t="s">
        <v>218</v>
      </c>
      <c r="B58" s="77"/>
      <c r="C58" s="77"/>
      <c r="D58" s="77"/>
      <c r="E58" s="77"/>
      <c r="F58" s="77"/>
      <c r="G58" s="77"/>
      <c r="H58" s="127">
        <f ca="1">Yield*((1-FIT_Inv)/(1-FIT_UW))*(ResRatio_UPR07+SurplusRatio)</f>
        <v>0.17051950122189671</v>
      </c>
    </row>
    <row r="59" spans="1:9" x14ac:dyDescent="0.25">
      <c r="A59" s="117" t="s">
        <v>206</v>
      </c>
      <c r="B59" s="128"/>
      <c r="C59" s="128"/>
      <c r="D59" s="128"/>
      <c r="E59" s="128"/>
      <c r="F59" s="128"/>
      <c r="G59" s="128"/>
      <c r="H59" s="127">
        <f>(1+Loss_AnnualTrend)/(1+Prem_AnnualTrend)-1</f>
        <v>-1.6671891032979391E-2</v>
      </c>
    </row>
    <row r="60" spans="1:9" x14ac:dyDescent="0.25">
      <c r="A60" s="117" t="s">
        <v>205</v>
      </c>
      <c r="B60" s="128"/>
      <c r="C60" s="128"/>
      <c r="D60" s="128"/>
      <c r="E60" s="128"/>
      <c r="F60" s="128"/>
      <c r="G60" s="128"/>
      <c r="H60" s="127">
        <f>IF(New_Program=TRUE,0,(1+Net_AnnualTrend)^MIN(4,((EffDate_Proposed-EffDate_Prior07)/365.25))-1)</f>
        <v>-1.3123712519926278E-2</v>
      </c>
    </row>
    <row r="61" spans="1:9" x14ac:dyDescent="0.25">
      <c r="A61" s="117" t="s">
        <v>207</v>
      </c>
      <c r="B61" s="128"/>
      <c r="C61" s="128"/>
      <c r="D61" s="128"/>
      <c r="E61" s="128"/>
      <c r="F61" s="128"/>
      <c r="G61" s="128"/>
      <c r="H61" s="127">
        <f ca="1">(ROR_Max)/(LevFact_Final07*(1-FIT_UW))</f>
        <v>0.16276507183086963</v>
      </c>
    </row>
    <row r="62" spans="1:9" x14ac:dyDescent="0.25">
      <c r="A62" s="117" t="s">
        <v>208</v>
      </c>
      <c r="B62" s="77"/>
      <c r="C62" s="77"/>
      <c r="D62" s="77"/>
      <c r="E62" s="77"/>
      <c r="F62" s="77"/>
      <c r="G62" s="77"/>
      <c r="H62" s="127">
        <f ca="1">(ROR_Min)/(LevFact_Final07*(1-FIT_UW))</f>
        <v>-9.8040310974533862E-2</v>
      </c>
    </row>
    <row r="63" spans="1:9" x14ac:dyDescent="0.25">
      <c r="A63" s="117" t="s">
        <v>209</v>
      </c>
      <c r="B63" s="77"/>
      <c r="C63" s="77"/>
      <c r="D63" s="77"/>
      <c r="E63" s="77"/>
      <c r="F63" s="77"/>
      <c r="G63" s="77"/>
      <c r="H63" s="127">
        <f ca="1">1-CredLossDCCE_perExp/Max_Premium-EffStd_Final07</f>
        <v>-0.12380241164845796</v>
      </c>
      <c r="I63" s="204"/>
    </row>
    <row r="64" spans="1:9" x14ac:dyDescent="0.25">
      <c r="A64" s="117" t="s">
        <v>211</v>
      </c>
      <c r="B64" s="77"/>
      <c r="C64" s="77"/>
      <c r="D64" s="77"/>
      <c r="E64" s="77"/>
      <c r="F64" s="77"/>
      <c r="G64" s="77"/>
      <c r="H64" s="129">
        <f ca="1">1-EffStd_Final07-Min_Profit+InvInc_Variable</f>
        <v>0.97123495499349444</v>
      </c>
      <c r="I64" s="204"/>
    </row>
    <row r="65" spans="1:9" x14ac:dyDescent="0.25">
      <c r="A65" s="117" t="s">
        <v>210</v>
      </c>
      <c r="B65" s="77"/>
      <c r="C65" s="77"/>
      <c r="D65" s="77"/>
      <c r="E65" s="77"/>
      <c r="F65" s="77"/>
      <c r="G65" s="77"/>
      <c r="H65" s="129">
        <f ca="1">1-EffStd_Final07-Max_Profit+InvInc_Variable</f>
        <v>0.71042957218809089</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1.7510428276163521</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2.3938671311691744</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-0.32829557190652564</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-8.1706553995229997E-2</v>
      </c>
      <c r="I69" s="396" t="str">
        <f ca="1">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
      </c>
    </row>
    <row r="70" spans="1:9" ht="5.0999999999999996" hidden="1" customHeight="1" x14ac:dyDescent="0.25"/>
    <row r="71" spans="1:9" ht="15.75" hidden="1" thickBot="1" x14ac:dyDescent="0.3">
      <c r="A71" s="7" t="s">
        <v>233</v>
      </c>
      <c r="B71" s="228" t="str">
        <f>'6.7Ratemaking Data'!D$14</f>
        <v>20173</v>
      </c>
      <c r="C71" s="228" t="str">
        <f>'6.7Ratemaking Data'!E$14</f>
        <v>20183</v>
      </c>
      <c r="D71" s="228" t="str">
        <f>'6.7Ratemaking Data'!F$14</f>
        <v>20193</v>
      </c>
      <c r="E71" s="228" t="str">
        <f>'6.7Ratemaking Data'!G$14</f>
        <v>20203</v>
      </c>
      <c r="F71" s="228" t="str">
        <f>'6.7Ratemaking Data'!H$14</f>
        <v>20213</v>
      </c>
      <c r="G71" s="228">
        <f>'6.7Ratemaking Data'!I$14</f>
        <v>20223</v>
      </c>
    </row>
    <row r="72" spans="1:9" hidden="1" x14ac:dyDescent="0.25">
      <c r="A72" s="114" t="s">
        <v>232</v>
      </c>
      <c r="B72" s="125"/>
      <c r="C72" s="125"/>
      <c r="D72" s="125"/>
      <c r="E72" s="125"/>
      <c r="F72" s="125"/>
      <c r="G72" s="125"/>
      <c r="H72" s="131" t="str">
        <f>IF(ISBLANK('6.7Ratemaking Data'!J44),"",'6.7Ratemaking Data'!J44)</f>
        <v/>
      </c>
    </row>
    <row r="73" spans="1:9" hidden="1" x14ac:dyDescent="0.25">
      <c r="A73" s="117" t="s">
        <v>219</v>
      </c>
      <c r="B73" s="118" t="str">
        <f>IF(ISBLANK('6.7Ratemaking Data'!D45),"",'6.7Ratemaking Data'!D45)</f>
        <v/>
      </c>
      <c r="C73" s="118" t="str">
        <f>IF(ISBLANK('6.7Ratemaking Data'!E45),"",'6.7Ratemaking Data'!E45)</f>
        <v/>
      </c>
      <c r="D73" s="118" t="str">
        <f>IF(ISBLANK('6.7Ratemaking Data'!F45),"",'6.7Ratemaking Data'!F45)</f>
        <v/>
      </c>
      <c r="E73" s="118" t="str">
        <f>IF(ISBLANK('6.7Ratemaking Data'!G45),"",'6.7Ratemaking Data'!G45)</f>
        <v/>
      </c>
      <c r="F73" s="118" t="str">
        <f>IF(ISBLANK('6.7Ratemaking Data'!H45),"",'6.7Ratemaking Data'!H45)</f>
        <v/>
      </c>
      <c r="G73" s="118" t="str">
        <f>IF(ISBLANK('6.7Ratemaking Data'!I45),"",'6.7Ratemaking Data'!I45)</f>
        <v/>
      </c>
      <c r="H73" s="119" t="str">
        <f ca="1">IF(RIGHT(Detailed_LineCode07,1)="R",IF(New_Program=TRUE,'6.7Ratemaking Data'!$K$45,SUM($B73:$G73)),"")</f>
        <v/>
      </c>
    </row>
    <row r="74" spans="1:9" hidden="1" x14ac:dyDescent="0.25">
      <c r="A74" s="117" t="s">
        <v>220</v>
      </c>
      <c r="B74" s="118" t="str">
        <f>IF(ISBLANK('6.7Ratemaking Data'!D46),"",'6.7Ratemaking Data'!D46)</f>
        <v/>
      </c>
      <c r="C74" s="118" t="str">
        <f>IF(ISBLANK('6.7Ratemaking Data'!E46),"",'6.7Ratemaking Data'!E46)</f>
        <v/>
      </c>
      <c r="D74" s="118" t="str">
        <f>IF(ISBLANK('6.7Ratemaking Data'!F46),"",'6.7Ratemaking Data'!F46)</f>
        <v/>
      </c>
      <c r="E74" s="118" t="str">
        <f>IF(ISBLANK('6.7Ratemaking Data'!G46),"",'6.7Ratemaking Data'!G46)</f>
        <v/>
      </c>
      <c r="F74" s="118" t="str">
        <f>IF(ISBLANK('6.7Ratemaking Data'!H46),"",'6.7Ratemaking Data'!H46)</f>
        <v/>
      </c>
      <c r="G74" s="118" t="str">
        <f>IF(ISBLANK('6.7Ratemaking Data'!I46),"",'6.7Ratemaking Data'!I46)</f>
        <v/>
      </c>
      <c r="H74" s="119">
        <f>IF(New_Program=TRUE,'6.7Ratemaking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223</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IF(AND('6.7Ratemaking Data'!Error30="",'6.7Ratemaking Data'!Error31="",'6.7Ratemaking Data'!Error32=""),"","See Column M of Page '6.7Ratemaking Data' for errors that must be corrected.")</f>
        <v/>
      </c>
    </row>
    <row r="80" spans="1:9" ht="26.25" x14ac:dyDescent="0.25">
      <c r="F80" s="658" t="s">
        <v>617</v>
      </c>
      <c r="G80" s="658"/>
      <c r="H80" s="658"/>
    </row>
    <row r="81" spans="1:1" x14ac:dyDescent="0.25">
      <c r="A81" s="132"/>
    </row>
  </sheetData>
  <sheetProtection algorithmName="SHA-512" hashValue="a24V+WlUeas0HMaVKbcOkFPNPoQrLGg9t9eNgoP1aPnAHPI0QTwIJ9/s78nlAK9nTVpvBE9aLdRxHD3wRKVTSw==" saltValue="mPWIyu7UYO+as/0UgfztSg=="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66" orientation="portrait" r:id="rId1"/>
  <headerFooter>
    <oddFooter>&amp;CPrior Approval Rate Template&amp;RPage 7.7&amp;L1/3/2023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Mutual Automobile Insurance Company</v>
      </c>
    </row>
    <row r="2" spans="1:8" x14ac:dyDescent="0.25">
      <c r="A2" s="7" t="s">
        <v>32</v>
      </c>
      <c r="E2" s="109" t="s">
        <v>34</v>
      </c>
      <c r="H2" s="110" t="str">
        <f>General_Line</f>
        <v>Auto Liability and Physical Damage</v>
      </c>
    </row>
    <row r="3" spans="1:8" x14ac:dyDescent="0.25">
      <c r="E3" s="154" t="s">
        <v>142</v>
      </c>
      <c r="F3" s="77"/>
      <c r="G3" s="77"/>
      <c r="H3" s="160" t="str">
        <f>CDI_FileNo</f>
        <v/>
      </c>
    </row>
    <row r="4" spans="1:8" ht="18" customHeight="1" x14ac:dyDescent="0.25">
      <c r="A4" s="510" t="str">
        <f>IF('6.8Ratemaking Data'!$K$7="","VARIANCE - NONE","VARIANCE "&amp;'6.8Ratemaking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76</v>
      </c>
      <c r="H8" s="161">
        <f>Completed_Date</f>
        <v>44979</v>
      </c>
    </row>
    <row r="9" spans="1:8" ht="15" customHeight="1" x14ac:dyDescent="0.25">
      <c r="A9" s="6" t="s">
        <v>169</v>
      </c>
      <c r="H9" s="161" t="str">
        <f>EffDate_Prior08</f>
        <v/>
      </c>
    </row>
    <row r="10" spans="1:8" ht="15" customHeight="1" x14ac:dyDescent="0.25">
      <c r="A10" s="6" t="s">
        <v>170</v>
      </c>
      <c r="B10" s="52"/>
      <c r="H10" s="161">
        <f>EffDate_Proposed</f>
        <v>45348</v>
      </c>
    </row>
    <row r="11" spans="1:8" ht="15" customHeight="1" x14ac:dyDescent="0.25">
      <c r="A11" s="6" t="s">
        <v>77</v>
      </c>
      <c r="B11" s="52"/>
      <c r="H11" s="23" t="str">
        <f>Detailed_LineDesc08</f>
        <v/>
      </c>
    </row>
    <row r="12" spans="1:8" ht="15" customHeight="1" x14ac:dyDescent="0.25">
      <c r="A12" s="6" t="s">
        <v>78</v>
      </c>
      <c r="B12" s="52"/>
      <c r="H12" s="23" t="str">
        <f>Covg08</f>
        <v/>
      </c>
    </row>
    <row r="13" spans="1:8" ht="15" customHeight="1" x14ac:dyDescent="0.25">
      <c r="H13" s="511"/>
    </row>
    <row r="14" spans="1:8" ht="9.9499999999999993" customHeight="1" x14ac:dyDescent="0.25"/>
    <row r="15" spans="1:8" ht="15.75" thickBot="1" x14ac:dyDescent="0.3">
      <c r="A15" s="7" t="s">
        <v>171</v>
      </c>
      <c r="B15" s="228" t="str">
        <f>'6.8Ratemaking Data'!D$14</f>
        <v>20173</v>
      </c>
      <c r="C15" s="228" t="str">
        <f>'6.8Ratemaking Data'!E$14</f>
        <v>20183</v>
      </c>
      <c r="D15" s="228" t="str">
        <f>'6.8Ratemaking Data'!F$14</f>
        <v>20193</v>
      </c>
      <c r="E15" s="228" t="str">
        <f>'6.8Ratemaking Data'!G$14</f>
        <v>20203</v>
      </c>
      <c r="F15" s="228" t="str">
        <f>'6.8Ratemaking Data'!H$14</f>
        <v>20213</v>
      </c>
      <c r="G15" s="228">
        <f>'6.8Ratemaking Data'!I$14</f>
        <v>20223</v>
      </c>
      <c r="H15" s="91" t="s">
        <v>306</v>
      </c>
    </row>
    <row r="16" spans="1:8" x14ac:dyDescent="0.25">
      <c r="A16" s="114" t="s">
        <v>173</v>
      </c>
      <c r="B16" s="115" t="str">
        <f>IF(ISBLANK('6.8Ratemaking Data'!D15),"",'6.8Ratemaking Data'!D15)</f>
        <v/>
      </c>
      <c r="C16" s="115" t="str">
        <f>IF(ISBLANK('6.8Ratemaking Data'!E15),"",'6.8Ratemaking Data'!E15)</f>
        <v/>
      </c>
      <c r="D16" s="115" t="str">
        <f>IF(ISBLANK('6.8Ratemaking Data'!F15),"",'6.8Ratemaking Data'!F15)</f>
        <v/>
      </c>
      <c r="E16" s="115" t="str">
        <f>IF(ISBLANK('6.8Ratemaking Data'!G15),"",'6.8Ratemaking Data'!G15)</f>
        <v/>
      </c>
      <c r="F16" s="115" t="str">
        <f>IF(ISBLANK('6.8Ratemaking Data'!H15),"",'6.8Ratemaking Data'!H15)</f>
        <v/>
      </c>
      <c r="G16" s="115" t="str">
        <f>IF(ISBLANK('6.8Ratemaking Data'!I15),"",'6.8Ratemaking Data'!I15)</f>
        <v/>
      </c>
      <c r="H16" s="116">
        <f>IF(New_Program=TRUE,'6.8Ratemaking Data'!$K$15,SUM($B16:$G16))</f>
        <v>0</v>
      </c>
    </row>
    <row r="17" spans="1:10" x14ac:dyDescent="0.25">
      <c r="A17" s="117" t="s">
        <v>172</v>
      </c>
      <c r="B17" s="118" t="str">
        <f>IF(ISBLANK('6.8Ratemaking Data'!D16),"",'6.8Ratemaking Data'!D16)</f>
        <v/>
      </c>
      <c r="C17" s="118" t="str">
        <f>IF(ISBLANK('6.8Ratemaking Data'!E16),"",'6.8Ratemaking Data'!E16)</f>
        <v/>
      </c>
      <c r="D17" s="118" t="str">
        <f>IF(ISBLANK('6.8Ratemaking Data'!F16),"",'6.8Ratemaking Data'!F16)</f>
        <v/>
      </c>
      <c r="E17" s="118" t="str">
        <f>IF(ISBLANK('6.8Ratemaking Data'!G16),"",'6.8Ratemaking Data'!G16)</f>
        <v/>
      </c>
      <c r="F17" s="118" t="str">
        <f>IF(ISBLANK('6.8Ratemaking Data'!H16),"",'6.8Ratemaking Data'!H16)</f>
        <v/>
      </c>
      <c r="G17" s="118" t="str">
        <f>IF(ISBLANK('6.8Ratemaking Data'!I16),"",'6.8Ratemaking Data'!I16)</f>
        <v/>
      </c>
      <c r="H17" s="119">
        <f>IF(New_Program=TRUE,'6.8Ratemaking Data'!$K$16,SUM($B17:$G17))</f>
        <v>0</v>
      </c>
    </row>
    <row r="18" spans="1:10" x14ac:dyDescent="0.25">
      <c r="A18" s="117" t="s">
        <v>174</v>
      </c>
      <c r="B18" s="120" t="str">
        <f>IF(ISBLANK('6.8Ratemaking Data'!D17),"",'6.8Ratemaking Data'!D17)</f>
        <v/>
      </c>
      <c r="C18" s="120" t="str">
        <f>IF(ISBLANK('6.8Ratemaking Data'!E17),"",'6.8Ratemaking Data'!E17)</f>
        <v/>
      </c>
      <c r="D18" s="120" t="str">
        <f>IF(ISBLANK('6.8Ratemaking Data'!F17),"",'6.8Ratemaking Data'!F17)</f>
        <v/>
      </c>
      <c r="E18" s="120" t="str">
        <f>IF(ISBLANK('6.8Ratemaking Data'!G17),"",'6.8Ratemaking Data'!G17)</f>
        <v/>
      </c>
      <c r="F18" s="120" t="str">
        <f>IF(ISBLANK('6.8Ratemaking Data'!H17),"",'6.8Ratemaking Data'!H17)</f>
        <v/>
      </c>
      <c r="G18" s="120" t="str">
        <f>IF(ISBLANK('6.8Ratemaking Data'!I17),"",'6.8Ratemaking Data'!I17)</f>
        <v/>
      </c>
      <c r="H18" s="121"/>
    </row>
    <row r="19" spans="1:10" x14ac:dyDescent="0.25">
      <c r="A19" s="117" t="s">
        <v>175</v>
      </c>
      <c r="B19" s="120" t="str">
        <f>IF(ISBLANK('6.8Ratemaking Data'!D18),"",'6.8Ratemaking Data'!D18)</f>
        <v/>
      </c>
      <c r="C19" s="120" t="str">
        <f>IF(ISBLANK('6.8Ratemaking Data'!E18),"",'6.8Ratemaking Data'!E18)</f>
        <v/>
      </c>
      <c r="D19" s="120" t="str">
        <f>IF(ISBLANK('6.8Ratemaking Data'!F18),"",'6.8Ratemaking Data'!F18)</f>
        <v/>
      </c>
      <c r="E19" s="120" t="str">
        <f>IF(ISBLANK('6.8Ratemaking Data'!G18),"",'6.8Ratemaking Data'!G18)</f>
        <v/>
      </c>
      <c r="F19" s="120" t="str">
        <f>IF(ISBLANK('6.8Ratemaking Data'!H18),"",'6.8Ratemaking Data'!H18)</f>
        <v/>
      </c>
      <c r="G19" s="120" t="str">
        <f>IF(ISBLANK('6.8Ratemaking Data'!I18),"",'6.8Ratemaking Data'!I18)</f>
        <v/>
      </c>
      <c r="H19" s="127">
        <f>IF(New_Program=TRUE,0,'6.8Ratemaking Data'!$J$18)</f>
        <v>0</v>
      </c>
    </row>
    <row r="20" spans="1:10" x14ac:dyDescent="0.25">
      <c r="A20" s="117" t="s">
        <v>176</v>
      </c>
      <c r="B20" s="118" t="str">
        <f>IF(ISBLANK('6.8Ratemaking Data'!D19),"",'6.8Ratemaking Data'!D19)</f>
        <v/>
      </c>
      <c r="C20" s="118" t="str">
        <f>IF(ISBLANK('6.8Ratemaking Data'!E19),"",'6.8Ratemaking Data'!E19)</f>
        <v/>
      </c>
      <c r="D20" s="118" t="str">
        <f>IF(ISBLANK('6.8Ratemaking Data'!F19),"",'6.8Ratemaking Data'!F19)</f>
        <v/>
      </c>
      <c r="E20" s="118" t="str">
        <f>IF(ISBLANK('6.8Ratemaking Data'!G19),"",'6.8Ratemaking Data'!G19)</f>
        <v/>
      </c>
      <c r="F20" s="118" t="str">
        <f>IF(ISBLANK('6.8Ratemaking Data'!H19),"",'6.8Ratemaking Data'!H19)</f>
        <v/>
      </c>
      <c r="G20" s="118" t="str">
        <f>IF(ISBLANK('6.8Ratemaking Data'!I19),"",'6.8Ratemaking Data'!I19)</f>
        <v/>
      </c>
      <c r="H20" s="119">
        <f>IF(New_Program=TRUE,'6.8Ratemaking Data'!$K$19,SUM($B20:$G20))</f>
        <v>0</v>
      </c>
    </row>
    <row r="21" spans="1:10" x14ac:dyDescent="0.25">
      <c r="A21" s="117" t="s">
        <v>177</v>
      </c>
      <c r="B21" s="118" t="str">
        <f>IF(ISBLANK('6.8Ratemaking Data'!D20),"",'6.8Ratemaking Data'!D20)</f>
        <v/>
      </c>
      <c r="C21" s="118" t="str">
        <f>IF(ISBLANK('6.8Ratemaking Data'!E20),"",'6.8Ratemaking Data'!E20)</f>
        <v/>
      </c>
      <c r="D21" s="118" t="str">
        <f>IF(ISBLANK('6.8Ratemaking Data'!F20),"",'6.8Ratemaking Data'!F20)</f>
        <v/>
      </c>
      <c r="E21" s="118" t="str">
        <f>IF(ISBLANK('6.8Ratemaking Data'!G20),"",'6.8Ratemaking Data'!G20)</f>
        <v/>
      </c>
      <c r="F21" s="118" t="str">
        <f>IF(ISBLANK('6.8Ratemaking Data'!H20),"",'6.8Ratemaking Data'!H20)</f>
        <v/>
      </c>
      <c r="G21" s="118" t="str">
        <f>IF(ISBLANK('6.8Ratemaking Data'!I20),"",'6.8Ratemaking Data'!I20)</f>
        <v/>
      </c>
      <c r="H21" s="119">
        <f>IF(New_Program=TRUE,'6.8Ratemaking Data'!$K$20,SUM($B21:$G21))</f>
        <v>0</v>
      </c>
      <c r="J21" s="111"/>
    </row>
    <row r="22" spans="1:10" x14ac:dyDescent="0.25">
      <c r="A22" s="117" t="s">
        <v>178</v>
      </c>
      <c r="B22" s="118" t="str">
        <f>IF(ISBLANK('6.8Ratemaking Data'!D21),"",'6.8Ratemaking Data'!D21)</f>
        <v/>
      </c>
      <c r="C22" s="118" t="str">
        <f>IF(ISBLANK('6.8Ratemaking Data'!E21),"",'6.8Ratemaking Data'!E21)</f>
        <v/>
      </c>
      <c r="D22" s="118" t="str">
        <f>IF(ISBLANK('6.8Ratemaking Data'!F21),"",'6.8Ratemaking Data'!F21)</f>
        <v/>
      </c>
      <c r="E22" s="118" t="str">
        <f>IF(ISBLANK('6.8Ratemaking Data'!G21),"",'6.8Ratemaking Data'!G21)</f>
        <v/>
      </c>
      <c r="F22" s="118" t="str">
        <f>IF(ISBLANK('6.8Ratemaking Data'!H21),"",'6.8Ratemaking Data'!H21)</f>
        <v/>
      </c>
      <c r="G22" s="118" t="str">
        <f>IF(ISBLANK('6.8Ratemaking Data'!I21),"",'6.8Ratemaking Data'!I21)</f>
        <v/>
      </c>
      <c r="H22" s="119">
        <f>IF(New_Program=TRUE,'6.8Ratemaking Data'!$K$21,SUM($B22:$G22))</f>
        <v>0</v>
      </c>
      <c r="J22" s="111"/>
    </row>
    <row r="23" spans="1:10" x14ac:dyDescent="0.25">
      <c r="A23" s="117" t="s">
        <v>144</v>
      </c>
      <c r="B23" s="118" t="str">
        <f>IF(ISBLANK('6.8Ratemaking Data'!D22),"",'6.8Ratemaking Data'!D22)</f>
        <v/>
      </c>
      <c r="C23" s="118" t="str">
        <f>IF(ISBLANK('6.8Ratemaking Data'!E22),"",'6.8Ratemaking Data'!E22)</f>
        <v/>
      </c>
      <c r="D23" s="118" t="str">
        <f>IF(ISBLANK('6.8Ratemaking Data'!F22),"",'6.8Ratemaking Data'!F22)</f>
        <v/>
      </c>
      <c r="E23" s="118" t="str">
        <f>IF(ISBLANK('6.8Ratemaking Data'!G22),"",'6.8Ratemaking Data'!G22)</f>
        <v/>
      </c>
      <c r="F23" s="118" t="str">
        <f>IF(ISBLANK('6.8Ratemaking Data'!H22),"",'6.8Ratemaking Data'!H22)</f>
        <v/>
      </c>
      <c r="G23" s="118" t="str">
        <f>IF(ISBLANK('6.8Ratemaking Data'!I22),"",'6.8Ratemaking Data'!I22)</f>
        <v/>
      </c>
      <c r="H23" s="119">
        <f>IF(New_Program=TRUE,'6.8Ratemaking Data'!$K$22,SUM($B23:$G23))</f>
        <v>0</v>
      </c>
      <c r="J23" s="111"/>
    </row>
    <row r="24" spans="1:10" x14ac:dyDescent="0.25">
      <c r="A24" s="117" t="s">
        <v>181</v>
      </c>
      <c r="B24" s="120" t="str">
        <f>IF(ISBLANK('6.8Ratemaking Data'!D23),"",'6.8Ratemaking Data'!D23)</f>
        <v/>
      </c>
      <c r="C24" s="120" t="str">
        <f>IF(ISBLANK('6.8Ratemaking Data'!E23),"",'6.8Ratemaking Data'!E23)</f>
        <v/>
      </c>
      <c r="D24" s="120" t="str">
        <f>IF(ISBLANK('6.8Ratemaking Data'!F23),"",'6.8Ratemaking Data'!F23)</f>
        <v/>
      </c>
      <c r="E24" s="120" t="str">
        <f>IF(ISBLANK('6.8Ratemaking Data'!G23),"",'6.8Ratemaking Data'!G23)</f>
        <v/>
      </c>
      <c r="F24" s="120" t="str">
        <f>IF(ISBLANK('6.8Ratemaking Data'!H23),"",'6.8Ratemaking Data'!H23)</f>
        <v/>
      </c>
      <c r="G24" s="120" t="str">
        <f>IF(ISBLANK('6.8Ratemaking Data'!I23),"",'6.8Ratemaking Data'!I23)</f>
        <v/>
      </c>
      <c r="H24" s="121"/>
    </row>
    <row r="25" spans="1:10" x14ac:dyDescent="0.25">
      <c r="A25" s="117" t="s">
        <v>182</v>
      </c>
      <c r="B25" s="120" t="str">
        <f>IF(ISBLANK('6.8Ratemaking Data'!D24),"",'6.8Ratemaking Data'!D24)</f>
        <v/>
      </c>
      <c r="C25" s="120" t="str">
        <f>IF(ISBLANK('6.8Ratemaking Data'!E24),"",'6.8Ratemaking Data'!E24)</f>
        <v/>
      </c>
      <c r="D25" s="120" t="str">
        <f>IF(ISBLANK('6.8Ratemaking Data'!F24),"",'6.8Ratemaking Data'!F24)</f>
        <v/>
      </c>
      <c r="E25" s="120" t="str">
        <f>IF(ISBLANK('6.8Ratemaking Data'!G24),"",'6.8Ratemaking Data'!G24)</f>
        <v/>
      </c>
      <c r="F25" s="120" t="str">
        <f>IF(ISBLANK('6.8Ratemaking Data'!H24),"",'6.8Ratemaking Data'!H24)</f>
        <v/>
      </c>
      <c r="G25" s="120" t="str">
        <f>IF(ISBLANK('6.8Ratemaking Data'!I24),"",'6.8Ratemaking Data'!I24)</f>
        <v/>
      </c>
      <c r="H25" s="121"/>
    </row>
    <row r="26" spans="1:10" x14ac:dyDescent="0.25">
      <c r="A26" s="117" t="s">
        <v>179</v>
      </c>
      <c r="B26" s="120" t="str">
        <f>IF(ISBLANK('6.8Ratemaking Data'!D25),"",'6.8Ratemaking Data'!D25)</f>
        <v/>
      </c>
      <c r="C26" s="120" t="str">
        <f>IF(ISBLANK('6.8Ratemaking Data'!E25),"",'6.8Ratemaking Data'!E25)</f>
        <v/>
      </c>
      <c r="D26" s="120" t="str">
        <f>IF(ISBLANK('6.8Ratemaking Data'!F25),"",'6.8Ratemaking Data'!F25)</f>
        <v/>
      </c>
      <c r="E26" s="120" t="str">
        <f>IF(ISBLANK('6.8Ratemaking Data'!G25),"",'6.8Ratemaking Data'!G25)</f>
        <v/>
      </c>
      <c r="F26" s="120" t="str">
        <f>IF(ISBLANK('6.8Ratemaking Data'!H25),"",'6.8Ratemaking Data'!H25)</f>
        <v/>
      </c>
      <c r="G26" s="120" t="str">
        <f>IF(ISBLANK('6.8Ratemaking Data'!I25),"",'6.8Ratemaking Data'!I25)</f>
        <v/>
      </c>
      <c r="H26" s="127">
        <f>IF(New_Program=TRUE,0,'6.8Ratemaking Data'!$J$25)</f>
        <v>0</v>
      </c>
    </row>
    <row r="27" spans="1:10" x14ac:dyDescent="0.25">
      <c r="A27" s="117" t="s">
        <v>180</v>
      </c>
      <c r="B27" s="120" t="str">
        <f>IF(ISBLANK('6.8Ratemaking Data'!D26),"",'6.8Ratemaking Data'!D26)</f>
        <v/>
      </c>
      <c r="C27" s="120" t="str">
        <f>IF(ISBLANK('6.8Ratemaking Data'!E26),"",'6.8Ratemaking Data'!E26)</f>
        <v/>
      </c>
      <c r="D27" s="120" t="str">
        <f>IF(ISBLANK('6.8Ratemaking Data'!F26),"",'6.8Ratemaking Data'!F26)</f>
        <v/>
      </c>
      <c r="E27" s="120" t="str">
        <f>IF(ISBLANK('6.8Ratemaking Data'!G26),"",'6.8Ratemaking Data'!G26)</f>
        <v/>
      </c>
      <c r="F27" s="120" t="str">
        <f>IF(ISBLANK('6.8Ratemaking Data'!H26),"",'6.8Ratemaking Data'!H26)</f>
        <v/>
      </c>
      <c r="G27" s="120" t="str">
        <f>IF(ISBLANK('6.8Ratemaking Data'!I26),"",'6.8Ratemaking Data'!I26)</f>
        <v/>
      </c>
      <c r="H27" s="127">
        <f>IF(New_Program=TRUE,0,'6.8Ratemaking Data'!$J$26)</f>
        <v>0</v>
      </c>
    </row>
    <row r="28" spans="1:10" x14ac:dyDescent="0.25">
      <c r="A28" s="117" t="s">
        <v>183</v>
      </c>
      <c r="B28" s="120" t="str">
        <f>IF(ISBLANK('6.8Ratemaking Data'!D27),"",'6.8Ratemaking Data'!D27)</f>
        <v/>
      </c>
      <c r="C28" s="120" t="str">
        <f>IF(ISBLANK('6.8Ratemaking Data'!E27),"",'6.8Ratemaking Data'!E27)</f>
        <v/>
      </c>
      <c r="D28" s="120" t="str">
        <f>IF(ISBLANK('6.8Ratemaking Data'!F27),"",'6.8Ratemaking Data'!F27)</f>
        <v/>
      </c>
      <c r="E28" s="120" t="str">
        <f>IF(ISBLANK('6.8Ratemaking Data'!G27),"",'6.8Ratemaking Data'!G27)</f>
        <v/>
      </c>
      <c r="F28" s="120" t="str">
        <f>IF(ISBLANK('6.8Ratemaking Data'!H27),"",'6.8Ratemaking Data'!H27)</f>
        <v/>
      </c>
      <c r="G28" s="120" t="str">
        <f>IF(ISBLANK('6.8Ratemaking Data'!I27),"",'6.8Ratemaking Data'!I27)</f>
        <v/>
      </c>
      <c r="H28" s="121"/>
    </row>
    <row r="29" spans="1:10" ht="15.75" thickBot="1" x14ac:dyDescent="0.3">
      <c r="A29" s="133" t="s">
        <v>188</v>
      </c>
      <c r="B29" s="134" t="str">
        <f>IF(ISBLANK('6.8Ratemaking Data'!D29),"",'6.8Ratemaking Data'!D29)</f>
        <v/>
      </c>
      <c r="C29" s="134" t="str">
        <f>IF(ISBLANK('6.8Ratemaking Data'!E29),"",'6.8Ratemaking Data'!E29)</f>
        <v/>
      </c>
      <c r="D29" s="134" t="str">
        <f>IF(ISBLANK('6.8Ratemaking Data'!F29),"",'6.8Ratemaking Data'!F29)</f>
        <v/>
      </c>
      <c r="E29" s="134" t="str">
        <f>IF(ISBLANK('6.8Ratemaking Data'!G29),"",'6.8Ratemaking Data'!G29)</f>
        <v/>
      </c>
      <c r="F29" s="134" t="str">
        <f>IF(ISBLANK('6.8Ratemaking Data'!H29),"",'6.8Ratemaking Data'!H29)</f>
        <v/>
      </c>
      <c r="G29" s="134" t="str">
        <f>IF(ISBLANK('6.8Ratemaking Data'!I29),"",'6.8Ratemaking Data'!I29)</f>
        <v/>
      </c>
      <c r="H29" s="135">
        <f>IF(New_Program=TRUE,'6.8Ratemaking Data'!$K$29,SUM($B29:$G29))</f>
        <v>0</v>
      </c>
    </row>
    <row r="30" spans="1:10" ht="15.75" thickTop="1" x14ac:dyDescent="0.25">
      <c r="A30" s="117" t="s">
        <v>184</v>
      </c>
      <c r="B30" s="122"/>
      <c r="C30" s="122"/>
      <c r="D30" s="122"/>
      <c r="E30" s="122"/>
      <c r="F30" s="122"/>
      <c r="G30" s="122"/>
      <c r="H30" s="127">
        <f>IF(New_Program=TRUE,100%,'6.8Ratemaking Data'!$J$28)</f>
        <v>0</v>
      </c>
    </row>
    <row r="31" spans="1:10" x14ac:dyDescent="0.25">
      <c r="A31" s="117" t="s">
        <v>185</v>
      </c>
      <c r="B31" s="122"/>
      <c r="C31" s="122"/>
      <c r="D31" s="122"/>
      <c r="E31" s="122"/>
      <c r="F31" s="122"/>
      <c r="G31" s="122"/>
      <c r="H31" s="127">
        <f>ExpRatio_Excluded</f>
        <v>1.3597266477453115E-2</v>
      </c>
    </row>
    <row r="32" spans="1:10" x14ac:dyDescent="0.25">
      <c r="A32" s="117" t="s">
        <v>166</v>
      </c>
      <c r="B32" s="122"/>
      <c r="C32" s="122"/>
      <c r="D32" s="122"/>
      <c r="E32" s="122"/>
      <c r="F32" s="122"/>
      <c r="G32" s="122"/>
      <c r="H32" s="127">
        <f>FIT_Inv</f>
        <v>0.18957755323144132</v>
      </c>
    </row>
    <row r="33" spans="1:9" ht="15.75" thickBot="1" x14ac:dyDescent="0.3">
      <c r="A33" s="85" t="s">
        <v>165</v>
      </c>
      <c r="B33" s="123"/>
      <c r="C33" s="123"/>
      <c r="D33" s="123"/>
      <c r="E33" s="123"/>
      <c r="F33" s="123"/>
      <c r="G33" s="123"/>
      <c r="H33" s="124">
        <f>Yield</f>
        <v>0.10317106949646478</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EffStd_Final08</f>
        <v/>
      </c>
    </row>
    <row r="38" spans="1:9" x14ac:dyDescent="0.25">
      <c r="A38" s="117" t="s">
        <v>191</v>
      </c>
      <c r="B38" s="77"/>
      <c r="C38" s="77"/>
      <c r="D38" s="77"/>
      <c r="E38" s="77"/>
      <c r="F38" s="577" t="s">
        <v>317</v>
      </c>
      <c r="G38" s="578">
        <f>update_leverage</f>
        <v>2021</v>
      </c>
      <c r="H38" s="162" t="str">
        <f>LevFact_Final08</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1/LevFact_Final08</f>
        <v>#VALUE!</v>
      </c>
    </row>
    <row r="41" spans="1:9" x14ac:dyDescent="0.25">
      <c r="A41" s="117" t="s">
        <v>198</v>
      </c>
      <c r="B41" s="77"/>
      <c r="C41" s="77"/>
      <c r="D41" s="77"/>
      <c r="E41" s="77"/>
      <c r="F41" s="577" t="s">
        <v>317</v>
      </c>
      <c r="G41" s="578">
        <f>update_reserveratios</f>
        <v>2021</v>
      </c>
      <c r="H41" s="163" t="str">
        <f>ResRatio_UPR08</f>
        <v/>
      </c>
    </row>
    <row r="42" spans="1:9" x14ac:dyDescent="0.25">
      <c r="A42" s="117" t="s">
        <v>194</v>
      </c>
      <c r="B42" s="77"/>
      <c r="C42" s="77"/>
      <c r="D42" s="77"/>
      <c r="E42" s="77"/>
      <c r="F42" s="577" t="s">
        <v>317</v>
      </c>
      <c r="G42" s="578">
        <f>update_reserveratios</f>
        <v>2021</v>
      </c>
      <c r="H42" s="163" t="str">
        <f>ResRatio_Loss08</f>
        <v/>
      </c>
    </row>
    <row r="43" spans="1:9" x14ac:dyDescent="0.25">
      <c r="A43" s="117" t="s">
        <v>195</v>
      </c>
      <c r="B43" s="77"/>
      <c r="C43" s="77"/>
      <c r="D43" s="77"/>
      <c r="E43" s="77"/>
      <c r="F43" s="575" t="s">
        <v>317</v>
      </c>
      <c r="G43" s="575" t="str">
        <f>ROR_RiskFree_Date</f>
        <v>January 2023</v>
      </c>
      <c r="H43" s="576">
        <f>ROR_RiskFree</f>
        <v>3.9611111111111104E-2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9.9611111111111095E-2</v>
      </c>
    </row>
    <row r="46" spans="1:9" ht="5.0999999999999996" customHeight="1" x14ac:dyDescent="0.25"/>
    <row r="47" spans="1:9" ht="15.75" thickBot="1" x14ac:dyDescent="0.3">
      <c r="A47" s="7" t="s">
        <v>234</v>
      </c>
      <c r="B47" s="228" t="str">
        <f>'6.8Ratemaking Data'!D$14</f>
        <v>20173</v>
      </c>
      <c r="C47" s="228" t="str">
        <f>'6.8Ratemaking Data'!E$14</f>
        <v>20183</v>
      </c>
      <c r="D47" s="228" t="str">
        <f>'6.8Ratemaking Data'!F$14</f>
        <v>20193</v>
      </c>
      <c r="E47" s="228" t="str">
        <f>'6.8Ratemaking Data'!G$14</f>
        <v>20203</v>
      </c>
      <c r="F47" s="228" t="str">
        <f>'6.8Ratemaking Data'!H$14</f>
        <v>20213</v>
      </c>
      <c r="G47" s="228">
        <f>'6.8Ratemaking Data'!I$14</f>
        <v>20223</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Yield*((1-FIT_Inv)/(1-FIT_UW))*ResRatio_Loss08</f>
        <v>#VALUE!</v>
      </c>
    </row>
    <row r="58" spans="1:9" x14ac:dyDescent="0.25">
      <c r="A58" s="117" t="s">
        <v>218</v>
      </c>
      <c r="B58" s="77"/>
      <c r="C58" s="77"/>
      <c r="D58" s="77"/>
      <c r="E58" s="77"/>
      <c r="F58" s="77"/>
      <c r="G58" s="77"/>
      <c r="H58" s="127" t="e">
        <f>Yield*((1-FIT_Inv)/(1-FIT_UW))*(ResRatio_UPR08+SurplusRatio)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IF(New_Program=TRUE,0,(1+Net_AnnualTrend)^MIN(4,((EffDate_Proposed-EffDate_Prior08)/365.25))-1)</f>
        <v>#VALUE!</v>
      </c>
    </row>
    <row r="61" spans="1:9" x14ac:dyDescent="0.25">
      <c r="A61" s="117" t="s">
        <v>207</v>
      </c>
      <c r="B61" s="128"/>
      <c r="C61" s="128"/>
      <c r="D61" s="128"/>
      <c r="E61" s="128"/>
      <c r="F61" s="128"/>
      <c r="G61" s="128"/>
      <c r="H61" s="127" t="e">
        <f>(ROR_Max)/(LevFact_Final08*(1-FIT_UW))</f>
        <v>#VALUE!</v>
      </c>
    </row>
    <row r="62" spans="1:9" x14ac:dyDescent="0.25">
      <c r="A62" s="117" t="s">
        <v>208</v>
      </c>
      <c r="B62" s="77"/>
      <c r="C62" s="77"/>
      <c r="D62" s="77"/>
      <c r="E62" s="77"/>
      <c r="F62" s="77"/>
      <c r="G62" s="77"/>
      <c r="H62" s="127" t="e">
        <f>(ROR_Min)/(LevFact_Final08*(1-FIT_UW))</f>
        <v>#VALUE!</v>
      </c>
    </row>
    <row r="63" spans="1:9" x14ac:dyDescent="0.25">
      <c r="A63" s="117" t="s">
        <v>209</v>
      </c>
      <c r="B63" s="77"/>
      <c r="C63" s="77"/>
      <c r="D63" s="77"/>
      <c r="E63" s="77"/>
      <c r="F63" s="77"/>
      <c r="G63" s="77"/>
      <c r="H63" s="127" t="e">
        <f>1-CredLossDCCE_perExp/Max_Premium-EffStd_Final08</f>
        <v>#VALUE!</v>
      </c>
      <c r="I63" s="204"/>
    </row>
    <row r="64" spans="1:9" x14ac:dyDescent="0.25">
      <c r="A64" s="117" t="s">
        <v>211</v>
      </c>
      <c r="B64" s="77"/>
      <c r="C64" s="77"/>
      <c r="D64" s="77"/>
      <c r="E64" s="77"/>
      <c r="F64" s="77"/>
      <c r="G64" s="77"/>
      <c r="H64" s="129" t="e">
        <f>1-EffStd_Final08-Min_Profit+InvInc_Variable</f>
        <v>#VALUE!</v>
      </c>
      <c r="I64" s="204"/>
    </row>
    <row r="65" spans="1:9" x14ac:dyDescent="0.25">
      <c r="A65" s="117" t="s">
        <v>210</v>
      </c>
      <c r="B65" s="77"/>
      <c r="C65" s="77"/>
      <c r="D65" s="77"/>
      <c r="E65" s="77"/>
      <c r="F65" s="77"/>
      <c r="G65" s="77"/>
      <c r="H65" s="129" t="e">
        <f>1-EffStd_Final08-Max_Profit+InvInc_Variable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#VALUE!</v>
      </c>
    </row>
    <row r="70" spans="1:9" ht="5.0999999999999996" hidden="1" customHeight="1" x14ac:dyDescent="0.25"/>
    <row r="71" spans="1:9" ht="15.75" hidden="1" thickBot="1" x14ac:dyDescent="0.3">
      <c r="A71" s="7" t="s">
        <v>233</v>
      </c>
      <c r="B71" s="228" t="str">
        <f>'6.8Ratemaking Data'!D$14</f>
        <v>20173</v>
      </c>
      <c r="C71" s="228" t="str">
        <f>'6.8Ratemaking Data'!E$14</f>
        <v>20183</v>
      </c>
      <c r="D71" s="228" t="str">
        <f>'6.8Ratemaking Data'!F$14</f>
        <v>20193</v>
      </c>
      <c r="E71" s="228" t="str">
        <f>'6.8Ratemaking Data'!G$14</f>
        <v>20203</v>
      </c>
      <c r="F71" s="228" t="str">
        <f>'6.8Ratemaking Data'!H$14</f>
        <v>20213</v>
      </c>
      <c r="G71" s="228">
        <f>'6.8Ratemaking Data'!I$14</f>
        <v>20223</v>
      </c>
    </row>
    <row r="72" spans="1:9" hidden="1" x14ac:dyDescent="0.25">
      <c r="A72" s="114" t="s">
        <v>232</v>
      </c>
      <c r="B72" s="125"/>
      <c r="C72" s="125"/>
      <c r="D72" s="125"/>
      <c r="E72" s="125"/>
      <c r="F72" s="125"/>
      <c r="G72" s="125"/>
      <c r="H72" s="131" t="str">
        <f>IF(ISBLANK('6.8Ratemaking Data'!J44),"",'6.8Ratemaking Data'!J44)</f>
        <v/>
      </c>
    </row>
    <row r="73" spans="1:9" hidden="1" x14ac:dyDescent="0.25">
      <c r="A73" s="117" t="s">
        <v>219</v>
      </c>
      <c r="B73" s="118" t="str">
        <f>IF(ISBLANK('6.8Ratemaking Data'!D45),"",'6.8Ratemaking Data'!D45)</f>
        <v/>
      </c>
      <c r="C73" s="118" t="str">
        <f>IF(ISBLANK('6.8Ratemaking Data'!E45),"",'6.8Ratemaking Data'!E45)</f>
        <v/>
      </c>
      <c r="D73" s="118" t="str">
        <f>IF(ISBLANK('6.8Ratemaking Data'!F45),"",'6.8Ratemaking Data'!F45)</f>
        <v/>
      </c>
      <c r="E73" s="118" t="str">
        <f>IF(ISBLANK('6.8Ratemaking Data'!G45),"",'6.8Ratemaking Data'!G45)</f>
        <v/>
      </c>
      <c r="F73" s="118" t="str">
        <f>IF(ISBLANK('6.8Ratemaking Data'!H45),"",'6.8Ratemaking Data'!H45)</f>
        <v/>
      </c>
      <c r="G73" s="118" t="str">
        <f>IF(ISBLANK('6.8Ratemaking Data'!I45),"",'6.8Ratemaking Data'!I45)</f>
        <v/>
      </c>
      <c r="H73" s="119" t="str">
        <f>IF(RIGHT(Detailed_LineCode08,1)="R",IF(New_Program=TRUE,'6.8Ratemaking Data'!$K$45,SUM($B73:$G73)),"")</f>
        <v/>
      </c>
    </row>
    <row r="74" spans="1:9" hidden="1" x14ac:dyDescent="0.25">
      <c r="A74" s="117" t="s">
        <v>220</v>
      </c>
      <c r="B74" s="118" t="str">
        <f>IF(ISBLANK('6.8Ratemaking Data'!D46),"",'6.8Ratemaking Data'!D46)</f>
        <v/>
      </c>
      <c r="C74" s="118" t="str">
        <f>IF(ISBLANK('6.8Ratemaking Data'!E46),"",'6.8Ratemaking Data'!E46)</f>
        <v/>
      </c>
      <c r="D74" s="118" t="str">
        <f>IF(ISBLANK('6.8Ratemaking Data'!F46),"",'6.8Ratemaking Data'!F46)</f>
        <v/>
      </c>
      <c r="E74" s="118" t="str">
        <f>IF(ISBLANK('6.8Ratemaking Data'!G46),"",'6.8Ratemaking Data'!G46)</f>
        <v/>
      </c>
      <c r="F74" s="118" t="str">
        <f>IF(ISBLANK('6.8Ratemaking Data'!H46),"",'6.8Ratemaking Data'!H46)</f>
        <v/>
      </c>
      <c r="G74" s="118" t="str">
        <f>IF(ISBLANK('6.8Ratemaking Data'!I46),"",'6.8Ratemaking Data'!I46)</f>
        <v/>
      </c>
      <c r="H74" s="119">
        <f>IF(New_Program=TRUE,'6.8Ratemaking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IF(AND('6.8Ratemaking Data'!Error30="",'6.8Ratemaking Data'!Error31="",'6.8Ratemaking Data'!Error32=""),"","See Column M of Page '6.8Ratemaking Data' for errors that must be corrected.")</f>
        <v/>
      </c>
    </row>
    <row r="80" spans="1:9" ht="26.25" x14ac:dyDescent="0.25">
      <c r="F80" s="658" t="s">
        <v>616</v>
      </c>
      <c r="G80" s="658"/>
      <c r="H80" s="658"/>
    </row>
    <row r="81" spans="1:1" x14ac:dyDescent="0.25">
      <c r="A81" s="132"/>
    </row>
  </sheetData>
  <sheetProtection algorithmName="SHA-512" hashValue="iJIRsEOvEpOBzuVYj7GCK/YDMyDvlFXVEvJ3076sXS+Nox5nshjCSTNQ26qZ/1oogDamq0c095DL8ThANVB6ug==" saltValue="JFmyaEzTZV1L0QY+ltpOGg=="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2" orientation="portrait" r:id="rId1"/>
  <headerFooter>
    <oddFooter>&amp;CPrior Approval Rate Template&amp;RPage 7.8&amp;L1/3/2023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Mutual Automobile Insurance Company</v>
      </c>
    </row>
    <row r="2" spans="1:8" x14ac:dyDescent="0.25">
      <c r="A2" s="7" t="s">
        <v>32</v>
      </c>
      <c r="E2" s="109" t="s">
        <v>34</v>
      </c>
      <c r="H2" s="110" t="str">
        <f>General_Line</f>
        <v>Auto Liability and Physical Damage</v>
      </c>
    </row>
    <row r="3" spans="1:8" x14ac:dyDescent="0.25">
      <c r="E3" s="154" t="s">
        <v>142</v>
      </c>
      <c r="F3" s="77"/>
      <c r="G3" s="77"/>
      <c r="H3" s="160" t="str">
        <f>CDI_FileNo</f>
        <v/>
      </c>
    </row>
    <row r="4" spans="1:8" ht="18" customHeight="1" x14ac:dyDescent="0.25">
      <c r="A4" s="510" t="str">
        <f>IF('6.9Ratemaking Data'!$K$7="","VARIANCE - NONE","VARIANCE "&amp;'6.9Ratemaking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76</v>
      </c>
      <c r="H8" s="161">
        <f>Completed_Date</f>
        <v>44979</v>
      </c>
    </row>
    <row r="9" spans="1:8" ht="15" customHeight="1" x14ac:dyDescent="0.25">
      <c r="A9" s="6" t="s">
        <v>169</v>
      </c>
      <c r="H9" s="161" t="str">
        <f>EffDate_Prior09</f>
        <v/>
      </c>
    </row>
    <row r="10" spans="1:8" ht="15" customHeight="1" x14ac:dyDescent="0.25">
      <c r="A10" s="6" t="s">
        <v>170</v>
      </c>
      <c r="B10" s="52"/>
      <c r="H10" s="161">
        <f>EffDate_Proposed</f>
        <v>45348</v>
      </c>
    </row>
    <row r="11" spans="1:8" ht="15" customHeight="1" x14ac:dyDescent="0.25">
      <c r="A11" s="6" t="s">
        <v>77</v>
      </c>
      <c r="B11" s="52"/>
      <c r="H11" s="23" t="str">
        <f>Detailed_LineDesc09</f>
        <v/>
      </c>
    </row>
    <row r="12" spans="1:8" ht="15" customHeight="1" x14ac:dyDescent="0.25">
      <c r="A12" s="6" t="s">
        <v>78</v>
      </c>
      <c r="B12" s="52"/>
      <c r="H12" s="23" t="str">
        <f>Covg09</f>
        <v/>
      </c>
    </row>
    <row r="13" spans="1:8" ht="15" customHeight="1" x14ac:dyDescent="0.25">
      <c r="H13" s="511"/>
    </row>
    <row r="14" spans="1:8" ht="9.9499999999999993" customHeight="1" x14ac:dyDescent="0.25"/>
    <row r="15" spans="1:8" ht="15.75" thickBot="1" x14ac:dyDescent="0.3">
      <c r="A15" s="7" t="s">
        <v>171</v>
      </c>
      <c r="B15" s="228" t="str">
        <f>'6.9Ratemaking Data'!D$14</f>
        <v>20173</v>
      </c>
      <c r="C15" s="228" t="str">
        <f>'6.9Ratemaking Data'!E$14</f>
        <v>20183</v>
      </c>
      <c r="D15" s="228" t="str">
        <f>'6.9Ratemaking Data'!F$14</f>
        <v>20193</v>
      </c>
      <c r="E15" s="228" t="str">
        <f>'6.9Ratemaking Data'!G$14</f>
        <v>20203</v>
      </c>
      <c r="F15" s="228" t="str">
        <f>'6.9Ratemaking Data'!H$14</f>
        <v>20213</v>
      </c>
      <c r="G15" s="228">
        <f>'6.9Ratemaking Data'!I$14</f>
        <v>20223</v>
      </c>
      <c r="H15" s="91" t="s">
        <v>306</v>
      </c>
    </row>
    <row r="16" spans="1:8" x14ac:dyDescent="0.25">
      <c r="A16" s="114" t="s">
        <v>173</v>
      </c>
      <c r="B16" s="115" t="str">
        <f>IF(ISBLANK('6.9Ratemaking Data'!D15),"",'6.9Ratemaking Data'!D15)</f>
        <v/>
      </c>
      <c r="C16" s="115" t="str">
        <f>IF(ISBLANK('6.9Ratemaking Data'!E15),"",'6.9Ratemaking Data'!E15)</f>
        <v/>
      </c>
      <c r="D16" s="115" t="str">
        <f>IF(ISBLANK('6.9Ratemaking Data'!F15),"",'6.9Ratemaking Data'!F15)</f>
        <v/>
      </c>
      <c r="E16" s="115" t="str">
        <f>IF(ISBLANK('6.9Ratemaking Data'!G15),"",'6.9Ratemaking Data'!G15)</f>
        <v/>
      </c>
      <c r="F16" s="115" t="str">
        <f>IF(ISBLANK('6.9Ratemaking Data'!H15),"",'6.9Ratemaking Data'!H15)</f>
        <v/>
      </c>
      <c r="G16" s="115" t="str">
        <f>IF(ISBLANK('6.9Ratemaking Data'!I15),"",'6.9Ratemaking Data'!I15)</f>
        <v/>
      </c>
      <c r="H16" s="116">
        <f>IF(New_Program=TRUE,'6.9Ratemaking Data'!$K$15,SUM($B16:$G16))</f>
        <v>0</v>
      </c>
    </row>
    <row r="17" spans="1:10" x14ac:dyDescent="0.25">
      <c r="A17" s="117" t="s">
        <v>172</v>
      </c>
      <c r="B17" s="118" t="str">
        <f>IF(ISBLANK('6.9Ratemaking Data'!D16),"",'6.9Ratemaking Data'!D16)</f>
        <v/>
      </c>
      <c r="C17" s="118" t="str">
        <f>IF(ISBLANK('6.9Ratemaking Data'!E16),"",'6.9Ratemaking Data'!E16)</f>
        <v/>
      </c>
      <c r="D17" s="118" t="str">
        <f>IF(ISBLANK('6.9Ratemaking Data'!F16),"",'6.9Ratemaking Data'!F16)</f>
        <v/>
      </c>
      <c r="E17" s="118" t="str">
        <f>IF(ISBLANK('6.9Ratemaking Data'!G16),"",'6.9Ratemaking Data'!G16)</f>
        <v/>
      </c>
      <c r="F17" s="118" t="str">
        <f>IF(ISBLANK('6.9Ratemaking Data'!H16),"",'6.9Ratemaking Data'!H16)</f>
        <v/>
      </c>
      <c r="G17" s="118" t="str">
        <f>IF(ISBLANK('6.9Ratemaking Data'!I16),"",'6.9Ratemaking Data'!I16)</f>
        <v/>
      </c>
      <c r="H17" s="119">
        <f>IF(New_Program=TRUE,'6.9Ratemaking Data'!$K$16,SUM($B17:$G17))</f>
        <v>0</v>
      </c>
    </row>
    <row r="18" spans="1:10" x14ac:dyDescent="0.25">
      <c r="A18" s="117" t="s">
        <v>174</v>
      </c>
      <c r="B18" s="120" t="str">
        <f>IF(ISBLANK('6.9Ratemaking Data'!D17),"",'6.9Ratemaking Data'!D17)</f>
        <v/>
      </c>
      <c r="C18" s="120" t="str">
        <f>IF(ISBLANK('6.9Ratemaking Data'!E17),"",'6.9Ratemaking Data'!E17)</f>
        <v/>
      </c>
      <c r="D18" s="120" t="str">
        <f>IF(ISBLANK('6.9Ratemaking Data'!F17),"",'6.9Ratemaking Data'!F17)</f>
        <v/>
      </c>
      <c r="E18" s="120" t="str">
        <f>IF(ISBLANK('6.9Ratemaking Data'!G17),"",'6.9Ratemaking Data'!G17)</f>
        <v/>
      </c>
      <c r="F18" s="120" t="str">
        <f>IF(ISBLANK('6.9Ratemaking Data'!H17),"",'6.9Ratemaking Data'!H17)</f>
        <v/>
      </c>
      <c r="G18" s="120" t="str">
        <f>IF(ISBLANK('6.9Ratemaking Data'!I17),"",'6.9Ratemaking Data'!I17)</f>
        <v/>
      </c>
      <c r="H18" s="121"/>
    </row>
    <row r="19" spans="1:10" x14ac:dyDescent="0.25">
      <c r="A19" s="117" t="s">
        <v>175</v>
      </c>
      <c r="B19" s="120" t="str">
        <f>IF(ISBLANK('6.9Ratemaking Data'!D18),"",'6.9Ratemaking Data'!D18)</f>
        <v/>
      </c>
      <c r="C19" s="120" t="str">
        <f>IF(ISBLANK('6.9Ratemaking Data'!E18),"",'6.9Ratemaking Data'!E18)</f>
        <v/>
      </c>
      <c r="D19" s="120" t="str">
        <f>IF(ISBLANK('6.9Ratemaking Data'!F18),"",'6.9Ratemaking Data'!F18)</f>
        <v/>
      </c>
      <c r="E19" s="120" t="str">
        <f>IF(ISBLANK('6.9Ratemaking Data'!G18),"",'6.9Ratemaking Data'!G18)</f>
        <v/>
      </c>
      <c r="F19" s="120" t="str">
        <f>IF(ISBLANK('6.9Ratemaking Data'!H18),"",'6.9Ratemaking Data'!H18)</f>
        <v/>
      </c>
      <c r="G19" s="120" t="str">
        <f>IF(ISBLANK('6.9Ratemaking Data'!I18),"",'6.9Ratemaking Data'!I18)</f>
        <v/>
      </c>
      <c r="H19" s="127">
        <f>IF(New_Program=TRUE,0,'6.9Ratemaking Data'!$J$18)</f>
        <v>0</v>
      </c>
    </row>
    <row r="20" spans="1:10" x14ac:dyDescent="0.25">
      <c r="A20" s="117" t="s">
        <v>176</v>
      </c>
      <c r="B20" s="118" t="str">
        <f>IF(ISBLANK('6.9Ratemaking Data'!D19),"",'6.9Ratemaking Data'!D19)</f>
        <v/>
      </c>
      <c r="C20" s="118" t="str">
        <f>IF(ISBLANK('6.9Ratemaking Data'!E19),"",'6.9Ratemaking Data'!E19)</f>
        <v/>
      </c>
      <c r="D20" s="118" t="str">
        <f>IF(ISBLANK('6.9Ratemaking Data'!F19),"",'6.9Ratemaking Data'!F19)</f>
        <v/>
      </c>
      <c r="E20" s="118" t="str">
        <f>IF(ISBLANK('6.9Ratemaking Data'!G19),"",'6.9Ratemaking Data'!G19)</f>
        <v/>
      </c>
      <c r="F20" s="118" t="str">
        <f>IF(ISBLANK('6.9Ratemaking Data'!H19),"",'6.9Ratemaking Data'!H19)</f>
        <v/>
      </c>
      <c r="G20" s="118" t="str">
        <f>IF(ISBLANK('6.9Ratemaking Data'!I19),"",'6.9Ratemaking Data'!I19)</f>
        <v/>
      </c>
      <c r="H20" s="119">
        <f>IF(New_Program=TRUE,'6.9Ratemaking Data'!$K$19,SUM($B20:$G20))</f>
        <v>0</v>
      </c>
    </row>
    <row r="21" spans="1:10" x14ac:dyDescent="0.25">
      <c r="A21" s="117" t="s">
        <v>177</v>
      </c>
      <c r="B21" s="118" t="str">
        <f>IF(ISBLANK('6.9Ratemaking Data'!D20),"",'6.9Ratemaking Data'!D20)</f>
        <v/>
      </c>
      <c r="C21" s="118" t="str">
        <f>IF(ISBLANK('6.9Ratemaking Data'!E20),"",'6.9Ratemaking Data'!E20)</f>
        <v/>
      </c>
      <c r="D21" s="118" t="str">
        <f>IF(ISBLANK('6.9Ratemaking Data'!F20),"",'6.9Ratemaking Data'!F20)</f>
        <v/>
      </c>
      <c r="E21" s="118" t="str">
        <f>IF(ISBLANK('6.9Ratemaking Data'!G20),"",'6.9Ratemaking Data'!G20)</f>
        <v/>
      </c>
      <c r="F21" s="118" t="str">
        <f>IF(ISBLANK('6.9Ratemaking Data'!H20),"",'6.9Ratemaking Data'!H20)</f>
        <v/>
      </c>
      <c r="G21" s="118" t="str">
        <f>IF(ISBLANK('6.9Ratemaking Data'!I20),"",'6.9Ratemaking Data'!I20)</f>
        <v/>
      </c>
      <c r="H21" s="119">
        <f>IF(New_Program=TRUE,'6.9Ratemaking Data'!$K$20,SUM($B21:$G21))</f>
        <v>0</v>
      </c>
      <c r="J21" s="111"/>
    </row>
    <row r="22" spans="1:10" x14ac:dyDescent="0.25">
      <c r="A22" s="117" t="s">
        <v>178</v>
      </c>
      <c r="B22" s="118" t="str">
        <f>IF(ISBLANK('6.9Ratemaking Data'!D21),"",'6.9Ratemaking Data'!D21)</f>
        <v/>
      </c>
      <c r="C22" s="118" t="str">
        <f>IF(ISBLANK('6.9Ratemaking Data'!E21),"",'6.9Ratemaking Data'!E21)</f>
        <v/>
      </c>
      <c r="D22" s="118" t="str">
        <f>IF(ISBLANK('6.9Ratemaking Data'!F21),"",'6.9Ratemaking Data'!F21)</f>
        <v/>
      </c>
      <c r="E22" s="118" t="str">
        <f>IF(ISBLANK('6.9Ratemaking Data'!G21),"",'6.9Ratemaking Data'!G21)</f>
        <v/>
      </c>
      <c r="F22" s="118" t="str">
        <f>IF(ISBLANK('6.9Ratemaking Data'!H21),"",'6.9Ratemaking Data'!H21)</f>
        <v/>
      </c>
      <c r="G22" s="118" t="str">
        <f>IF(ISBLANK('6.9Ratemaking Data'!I21),"",'6.9Ratemaking Data'!I21)</f>
        <v/>
      </c>
      <c r="H22" s="119">
        <f>IF(New_Program=TRUE,'6.9Ratemaking Data'!$K$21,SUM($B22:$G22))</f>
        <v>0</v>
      </c>
      <c r="J22" s="111"/>
    </row>
    <row r="23" spans="1:10" x14ac:dyDescent="0.25">
      <c r="A23" s="117" t="s">
        <v>144</v>
      </c>
      <c r="B23" s="118" t="str">
        <f>IF(ISBLANK('6.9Ratemaking Data'!D22),"",'6.9Ratemaking Data'!D22)</f>
        <v/>
      </c>
      <c r="C23" s="118" t="str">
        <f>IF(ISBLANK('6.9Ratemaking Data'!E22),"",'6.9Ratemaking Data'!E22)</f>
        <v/>
      </c>
      <c r="D23" s="118" t="str">
        <f>IF(ISBLANK('6.9Ratemaking Data'!F22),"",'6.9Ratemaking Data'!F22)</f>
        <v/>
      </c>
      <c r="E23" s="118" t="str">
        <f>IF(ISBLANK('6.9Ratemaking Data'!G22),"",'6.9Ratemaking Data'!G22)</f>
        <v/>
      </c>
      <c r="F23" s="118" t="str">
        <f>IF(ISBLANK('6.9Ratemaking Data'!H22),"",'6.9Ratemaking Data'!H22)</f>
        <v/>
      </c>
      <c r="G23" s="118" t="str">
        <f>IF(ISBLANK('6.9Ratemaking Data'!I22),"",'6.9Ratemaking Data'!I22)</f>
        <v/>
      </c>
      <c r="H23" s="119">
        <f>IF(New_Program=TRUE,'6.9Ratemaking Data'!$K$22,SUM($B23:$G23))</f>
        <v>0</v>
      </c>
      <c r="J23" s="111"/>
    </row>
    <row r="24" spans="1:10" x14ac:dyDescent="0.25">
      <c r="A24" s="117" t="s">
        <v>181</v>
      </c>
      <c r="B24" s="120" t="str">
        <f>IF(ISBLANK('6.9Ratemaking Data'!D23),"",'6.9Ratemaking Data'!D23)</f>
        <v/>
      </c>
      <c r="C24" s="120" t="str">
        <f>IF(ISBLANK('6.9Ratemaking Data'!E23),"",'6.9Ratemaking Data'!E23)</f>
        <v/>
      </c>
      <c r="D24" s="120" t="str">
        <f>IF(ISBLANK('6.9Ratemaking Data'!F23),"",'6.9Ratemaking Data'!F23)</f>
        <v/>
      </c>
      <c r="E24" s="120" t="str">
        <f>IF(ISBLANK('6.9Ratemaking Data'!G23),"",'6.9Ratemaking Data'!G23)</f>
        <v/>
      </c>
      <c r="F24" s="120" t="str">
        <f>IF(ISBLANK('6.9Ratemaking Data'!H23),"",'6.9Ratemaking Data'!H23)</f>
        <v/>
      </c>
      <c r="G24" s="120" t="str">
        <f>IF(ISBLANK('6.9Ratemaking Data'!I23),"",'6.9Ratemaking Data'!I23)</f>
        <v/>
      </c>
      <c r="H24" s="121"/>
    </row>
    <row r="25" spans="1:10" x14ac:dyDescent="0.25">
      <c r="A25" s="117" t="s">
        <v>182</v>
      </c>
      <c r="B25" s="120" t="str">
        <f>IF(ISBLANK('6.9Ratemaking Data'!D24),"",'6.9Ratemaking Data'!D24)</f>
        <v/>
      </c>
      <c r="C25" s="120" t="str">
        <f>IF(ISBLANK('6.9Ratemaking Data'!E24),"",'6.9Ratemaking Data'!E24)</f>
        <v/>
      </c>
      <c r="D25" s="120" t="str">
        <f>IF(ISBLANK('6.9Ratemaking Data'!F24),"",'6.9Ratemaking Data'!F24)</f>
        <v/>
      </c>
      <c r="E25" s="120" t="str">
        <f>IF(ISBLANK('6.9Ratemaking Data'!G24),"",'6.9Ratemaking Data'!G24)</f>
        <v/>
      </c>
      <c r="F25" s="120" t="str">
        <f>IF(ISBLANK('6.9Ratemaking Data'!H24),"",'6.9Ratemaking Data'!H24)</f>
        <v/>
      </c>
      <c r="G25" s="120" t="str">
        <f>IF(ISBLANK('6.9Ratemaking Data'!I24),"",'6.9Ratemaking Data'!I24)</f>
        <v/>
      </c>
      <c r="H25" s="121"/>
    </row>
    <row r="26" spans="1:10" x14ac:dyDescent="0.25">
      <c r="A26" s="117" t="s">
        <v>179</v>
      </c>
      <c r="B26" s="120" t="str">
        <f>IF(ISBLANK('6.9Ratemaking Data'!D25),"",'6.9Ratemaking Data'!D25)</f>
        <v/>
      </c>
      <c r="C26" s="120" t="str">
        <f>IF(ISBLANK('6.9Ratemaking Data'!E25),"",'6.9Ratemaking Data'!E25)</f>
        <v/>
      </c>
      <c r="D26" s="120" t="str">
        <f>IF(ISBLANK('6.9Ratemaking Data'!F25),"",'6.9Ratemaking Data'!F25)</f>
        <v/>
      </c>
      <c r="E26" s="120" t="str">
        <f>IF(ISBLANK('6.9Ratemaking Data'!G25),"",'6.9Ratemaking Data'!G25)</f>
        <v/>
      </c>
      <c r="F26" s="120" t="str">
        <f>IF(ISBLANK('6.9Ratemaking Data'!H25),"",'6.9Ratemaking Data'!H25)</f>
        <v/>
      </c>
      <c r="G26" s="120" t="str">
        <f>IF(ISBLANK('6.9Ratemaking Data'!I25),"",'6.9Ratemaking Data'!I25)</f>
        <v/>
      </c>
      <c r="H26" s="127">
        <f>IF(New_Program=TRUE,0,'6.9Ratemaking Data'!$J$25)</f>
        <v>0</v>
      </c>
    </row>
    <row r="27" spans="1:10" x14ac:dyDescent="0.25">
      <c r="A27" s="117" t="s">
        <v>180</v>
      </c>
      <c r="B27" s="120" t="str">
        <f>IF(ISBLANK('6.9Ratemaking Data'!D26),"",'6.9Ratemaking Data'!D26)</f>
        <v/>
      </c>
      <c r="C27" s="120" t="str">
        <f>IF(ISBLANK('6.9Ratemaking Data'!E26),"",'6.9Ratemaking Data'!E26)</f>
        <v/>
      </c>
      <c r="D27" s="120" t="str">
        <f>IF(ISBLANK('6.9Ratemaking Data'!F26),"",'6.9Ratemaking Data'!F26)</f>
        <v/>
      </c>
      <c r="E27" s="120" t="str">
        <f>IF(ISBLANK('6.9Ratemaking Data'!G26),"",'6.9Ratemaking Data'!G26)</f>
        <v/>
      </c>
      <c r="F27" s="120" t="str">
        <f>IF(ISBLANK('6.9Ratemaking Data'!H26),"",'6.9Ratemaking Data'!H26)</f>
        <v/>
      </c>
      <c r="G27" s="120" t="str">
        <f>IF(ISBLANK('6.9Ratemaking Data'!I26),"",'6.9Ratemaking Data'!I26)</f>
        <v/>
      </c>
      <c r="H27" s="127">
        <f>IF(New_Program=TRUE,0,'6.9Ratemaking Data'!$J$26)</f>
        <v>0</v>
      </c>
    </row>
    <row r="28" spans="1:10" x14ac:dyDescent="0.25">
      <c r="A28" s="117" t="s">
        <v>183</v>
      </c>
      <c r="B28" s="120" t="str">
        <f>IF(ISBLANK('6.9Ratemaking Data'!D27),"",'6.9Ratemaking Data'!D27)</f>
        <v/>
      </c>
      <c r="C28" s="120" t="str">
        <f>IF(ISBLANK('6.9Ratemaking Data'!E27),"",'6.9Ratemaking Data'!E27)</f>
        <v/>
      </c>
      <c r="D28" s="120" t="str">
        <f>IF(ISBLANK('6.9Ratemaking Data'!F27),"",'6.9Ratemaking Data'!F27)</f>
        <v/>
      </c>
      <c r="E28" s="120" t="str">
        <f>IF(ISBLANK('6.9Ratemaking Data'!G27),"",'6.9Ratemaking Data'!G27)</f>
        <v/>
      </c>
      <c r="F28" s="120" t="str">
        <f>IF(ISBLANK('6.9Ratemaking Data'!H27),"",'6.9Ratemaking Data'!H27)</f>
        <v/>
      </c>
      <c r="G28" s="120" t="str">
        <f>IF(ISBLANK('6.9Ratemaking Data'!I27),"",'6.9Ratemaking Data'!I27)</f>
        <v/>
      </c>
      <c r="H28" s="121"/>
    </row>
    <row r="29" spans="1:10" ht="15.75" thickBot="1" x14ac:dyDescent="0.3">
      <c r="A29" s="133" t="s">
        <v>188</v>
      </c>
      <c r="B29" s="134" t="str">
        <f>IF(ISBLANK('6.9Ratemaking Data'!D29),"",'6.9Ratemaking Data'!D29)</f>
        <v/>
      </c>
      <c r="C29" s="134" t="str">
        <f>IF(ISBLANK('6.9Ratemaking Data'!E29),"",'6.9Ratemaking Data'!E29)</f>
        <v/>
      </c>
      <c r="D29" s="134" t="str">
        <f>IF(ISBLANK('6.9Ratemaking Data'!F29),"",'6.9Ratemaking Data'!F29)</f>
        <v/>
      </c>
      <c r="E29" s="134" t="str">
        <f>IF(ISBLANK('6.9Ratemaking Data'!G29),"",'6.9Ratemaking Data'!G29)</f>
        <v/>
      </c>
      <c r="F29" s="134" t="str">
        <f>IF(ISBLANK('6.9Ratemaking Data'!H29),"",'6.9Ratemaking Data'!H29)</f>
        <v/>
      </c>
      <c r="G29" s="134" t="str">
        <f>IF(ISBLANK('6.9Ratemaking Data'!I29),"",'6.9Ratemaking Data'!I29)</f>
        <v/>
      </c>
      <c r="H29" s="135">
        <f>IF(New_Program=TRUE,'6.9Ratemaking Data'!$K$29,SUM('7.9Rate Change Calculation'!$B29:$G29))</f>
        <v>0</v>
      </c>
    </row>
    <row r="30" spans="1:10" ht="15.75" thickTop="1" x14ac:dyDescent="0.25">
      <c r="A30" s="117" t="s">
        <v>184</v>
      </c>
      <c r="B30" s="122"/>
      <c r="C30" s="122"/>
      <c r="D30" s="122"/>
      <c r="E30" s="122"/>
      <c r="F30" s="122"/>
      <c r="G30" s="122"/>
      <c r="H30" s="127">
        <f>IF(New_Program=TRUE,100%,'6.9Ratemaking Data'!$J$28)</f>
        <v>0</v>
      </c>
    </row>
    <row r="31" spans="1:10" x14ac:dyDescent="0.25">
      <c r="A31" s="117" t="s">
        <v>185</v>
      </c>
      <c r="B31" s="122"/>
      <c r="C31" s="122"/>
      <c r="D31" s="122"/>
      <c r="E31" s="122"/>
      <c r="F31" s="122"/>
      <c r="G31" s="122"/>
      <c r="H31" s="127">
        <f>ExpRatio_Excluded</f>
        <v>1.3597266477453115E-2</v>
      </c>
    </row>
    <row r="32" spans="1:10" x14ac:dyDescent="0.25">
      <c r="A32" s="117" t="s">
        <v>166</v>
      </c>
      <c r="B32" s="122"/>
      <c r="C32" s="122"/>
      <c r="D32" s="122"/>
      <c r="E32" s="122"/>
      <c r="F32" s="122"/>
      <c r="G32" s="122"/>
      <c r="H32" s="127">
        <f>FIT_Inv</f>
        <v>0.18957755323144132</v>
      </c>
    </row>
    <row r="33" spans="1:9" ht="15.75" thickBot="1" x14ac:dyDescent="0.3">
      <c r="A33" s="85" t="s">
        <v>165</v>
      </c>
      <c r="B33" s="123"/>
      <c r="C33" s="123"/>
      <c r="D33" s="123"/>
      <c r="E33" s="123"/>
      <c r="F33" s="123"/>
      <c r="G33" s="123"/>
      <c r="H33" s="124">
        <f>Yield</f>
        <v>0.10317106949646478</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EffStd_Final09</f>
        <v/>
      </c>
    </row>
    <row r="38" spans="1:9" x14ac:dyDescent="0.25">
      <c r="A38" s="117" t="s">
        <v>191</v>
      </c>
      <c r="B38" s="77"/>
      <c r="C38" s="77"/>
      <c r="D38" s="77"/>
      <c r="E38" s="77"/>
      <c r="F38" s="577" t="s">
        <v>317</v>
      </c>
      <c r="G38" s="578">
        <f>update_leverage</f>
        <v>2021</v>
      </c>
      <c r="H38" s="162" t="str">
        <f>LevFact_Final09</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1/LevFact_Final09</f>
        <v>#VALUE!</v>
      </c>
    </row>
    <row r="41" spans="1:9" x14ac:dyDescent="0.25">
      <c r="A41" s="117" t="s">
        <v>198</v>
      </c>
      <c r="B41" s="77"/>
      <c r="C41" s="77"/>
      <c r="D41" s="77"/>
      <c r="E41" s="77"/>
      <c r="F41" s="577" t="s">
        <v>317</v>
      </c>
      <c r="G41" s="578">
        <f>update_reserveratios</f>
        <v>2021</v>
      </c>
      <c r="H41" s="163" t="str">
        <f>ResRatio_UPR09</f>
        <v/>
      </c>
    </row>
    <row r="42" spans="1:9" x14ac:dyDescent="0.25">
      <c r="A42" s="117" t="s">
        <v>194</v>
      </c>
      <c r="B42" s="77"/>
      <c r="C42" s="77"/>
      <c r="D42" s="77"/>
      <c r="E42" s="77"/>
      <c r="F42" s="577" t="s">
        <v>317</v>
      </c>
      <c r="G42" s="578">
        <f>update_reserveratios</f>
        <v>2021</v>
      </c>
      <c r="H42" s="163" t="str">
        <f>ResRatio_Loss09</f>
        <v/>
      </c>
    </row>
    <row r="43" spans="1:9" x14ac:dyDescent="0.25">
      <c r="A43" s="117" t="s">
        <v>195</v>
      </c>
      <c r="B43" s="77"/>
      <c r="C43" s="77"/>
      <c r="D43" s="77"/>
      <c r="E43" s="77"/>
      <c r="F43" s="575" t="s">
        <v>317</v>
      </c>
      <c r="G43" s="575" t="str">
        <f>ROR_RiskFree_Date</f>
        <v>January 2023</v>
      </c>
      <c r="H43" s="576">
        <f>ROR_RiskFree</f>
        <v>3.9611111111111104E-2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9.9611111111111095E-2</v>
      </c>
    </row>
    <row r="46" spans="1:9" ht="5.0999999999999996" customHeight="1" x14ac:dyDescent="0.25"/>
    <row r="47" spans="1:9" ht="15.75" thickBot="1" x14ac:dyDescent="0.3">
      <c r="A47" s="7" t="s">
        <v>234</v>
      </c>
      <c r="B47" s="228" t="str">
        <f>'6.9Ratemaking Data'!D$14</f>
        <v>20173</v>
      </c>
      <c r="C47" s="228" t="str">
        <f>'6.9Ratemaking Data'!E$14</f>
        <v>20183</v>
      </c>
      <c r="D47" s="228" t="str">
        <f>'6.9Ratemaking Data'!F$14</f>
        <v>20193</v>
      </c>
      <c r="E47" s="228" t="str">
        <f>'6.9Ratemaking Data'!G$14</f>
        <v>20203</v>
      </c>
      <c r="F47" s="228" t="str">
        <f>'6.9Ratemaking Data'!H$14</f>
        <v>20213</v>
      </c>
      <c r="G47" s="228">
        <f>'6.9Ratemaking Data'!I$14</f>
        <v>20223</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Yield*((1-FIT_Inv)/(1-FIT_UW))*ResRatio_Loss09</f>
        <v>#VALUE!</v>
      </c>
    </row>
    <row r="58" spans="1:9" x14ac:dyDescent="0.25">
      <c r="A58" s="117" t="s">
        <v>218</v>
      </c>
      <c r="B58" s="77"/>
      <c r="C58" s="77"/>
      <c r="D58" s="77"/>
      <c r="E58" s="77"/>
      <c r="F58" s="77"/>
      <c r="G58" s="77"/>
      <c r="H58" s="127" t="e">
        <f>Yield*((1-FIT_Inv)/(1-FIT_UW))*(ResRatio_UPR09+SurplusRatio)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IF(New_Program=TRUE,0,(1+Net_AnnualTrend)^MIN(4,((EffDate_Proposed-EffDate_Prior09)/365.25))-1)</f>
        <v>#VALUE!</v>
      </c>
    </row>
    <row r="61" spans="1:9" x14ac:dyDescent="0.25">
      <c r="A61" s="117" t="s">
        <v>207</v>
      </c>
      <c r="B61" s="128"/>
      <c r="C61" s="128"/>
      <c r="D61" s="128"/>
      <c r="E61" s="128"/>
      <c r="F61" s="128"/>
      <c r="G61" s="128"/>
      <c r="H61" s="127" t="e">
        <f>(ROR_Max)/(LevFact_Final09*(1-FIT_UW))</f>
        <v>#VALUE!</v>
      </c>
    </row>
    <row r="62" spans="1:9" x14ac:dyDescent="0.25">
      <c r="A62" s="117" t="s">
        <v>208</v>
      </c>
      <c r="B62" s="77"/>
      <c r="C62" s="77"/>
      <c r="D62" s="77"/>
      <c r="E62" s="77"/>
      <c r="F62" s="77"/>
      <c r="G62" s="77"/>
      <c r="H62" s="127" t="e">
        <f>(ROR_Min)/(LevFact_Final09*(1-FIT_UW))</f>
        <v>#VALUE!</v>
      </c>
    </row>
    <row r="63" spans="1:9" x14ac:dyDescent="0.25">
      <c r="A63" s="117" t="s">
        <v>209</v>
      </c>
      <c r="B63" s="77"/>
      <c r="C63" s="77"/>
      <c r="D63" s="77"/>
      <c r="E63" s="77"/>
      <c r="F63" s="77"/>
      <c r="G63" s="77"/>
      <c r="H63" s="127" t="e">
        <f>1-CredLossDCCE_perExp/Max_Premium-EffStd_Final09</f>
        <v>#VALUE!</v>
      </c>
      <c r="I63" s="204"/>
    </row>
    <row r="64" spans="1:9" x14ac:dyDescent="0.25">
      <c r="A64" s="117" t="s">
        <v>211</v>
      </c>
      <c r="B64" s="77"/>
      <c r="C64" s="77"/>
      <c r="D64" s="77"/>
      <c r="E64" s="77"/>
      <c r="F64" s="77"/>
      <c r="G64" s="77"/>
      <c r="H64" s="129" t="e">
        <f>1-EffStd_Final09-Min_Profit+InvInc_Variable</f>
        <v>#VALUE!</v>
      </c>
      <c r="I64" s="204"/>
    </row>
    <row r="65" spans="1:9" x14ac:dyDescent="0.25">
      <c r="A65" s="117" t="s">
        <v>210</v>
      </c>
      <c r="B65" s="77"/>
      <c r="C65" s="77"/>
      <c r="D65" s="77"/>
      <c r="E65" s="77"/>
      <c r="F65" s="77"/>
      <c r="G65" s="77"/>
      <c r="H65" s="129" t="e">
        <f>1-EffStd_Final09-Max_Profit+InvInc_Variable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#VALUE!</v>
      </c>
    </row>
    <row r="70" spans="1:9" ht="5.0999999999999996" hidden="1" customHeight="1" x14ac:dyDescent="0.25"/>
    <row r="71" spans="1:9" ht="15.75" hidden="1" thickBot="1" x14ac:dyDescent="0.3">
      <c r="A71" s="7" t="s">
        <v>233</v>
      </c>
      <c r="B71" s="228" t="str">
        <f>'6.9Ratemaking Data'!D$14</f>
        <v>20173</v>
      </c>
      <c r="C71" s="228" t="str">
        <f>'6.9Ratemaking Data'!E$14</f>
        <v>20183</v>
      </c>
      <c r="D71" s="228" t="str">
        <f>'6.9Ratemaking Data'!F$14</f>
        <v>20193</v>
      </c>
      <c r="E71" s="228" t="str">
        <f>'6.9Ratemaking Data'!G$14</f>
        <v>20203</v>
      </c>
      <c r="F71" s="228" t="str">
        <f>'6.9Ratemaking Data'!H$14</f>
        <v>20213</v>
      </c>
      <c r="G71" s="228">
        <f>'6.9Ratemaking Data'!I$14</f>
        <v>20223</v>
      </c>
    </row>
    <row r="72" spans="1:9" hidden="1" x14ac:dyDescent="0.25">
      <c r="A72" s="114" t="s">
        <v>232</v>
      </c>
      <c r="B72" s="125"/>
      <c r="C72" s="125"/>
      <c r="D72" s="125"/>
      <c r="E72" s="125"/>
      <c r="F72" s="125"/>
      <c r="G72" s="125"/>
      <c r="H72" s="131" t="str">
        <f>IF(ISBLANK('6.9Ratemaking Data'!J44),"",'6.9Ratemaking Data'!J44)</f>
        <v/>
      </c>
    </row>
    <row r="73" spans="1:9" hidden="1" x14ac:dyDescent="0.25">
      <c r="A73" s="117" t="s">
        <v>219</v>
      </c>
      <c r="B73" s="118" t="str">
        <f>IF(ISBLANK('6.9Ratemaking Data'!D45),"",'6.9Ratemaking Data'!D45)</f>
        <v/>
      </c>
      <c r="C73" s="118" t="str">
        <f>IF(ISBLANK('6.9Ratemaking Data'!E45),"",'6.9Ratemaking Data'!E45)</f>
        <v/>
      </c>
      <c r="D73" s="118" t="str">
        <f>IF(ISBLANK('6.9Ratemaking Data'!F45),"",'6.9Ratemaking Data'!F45)</f>
        <v/>
      </c>
      <c r="E73" s="118" t="str">
        <f>IF(ISBLANK('6.9Ratemaking Data'!G45),"",'6.9Ratemaking Data'!G45)</f>
        <v/>
      </c>
      <c r="F73" s="118" t="str">
        <f>IF(ISBLANK('6.9Ratemaking Data'!H45),"",'6.9Ratemaking Data'!H45)</f>
        <v/>
      </c>
      <c r="G73" s="118" t="str">
        <f>IF(ISBLANK('6.9Ratemaking Data'!I45),"",'6.9Ratemaking Data'!I45)</f>
        <v/>
      </c>
      <c r="H73" s="119" t="str">
        <f>IF(RIGHT(Detailed_LineCode09,1)="R",IF(New_Program=TRUE,'6.9Ratemaking Data'!$K$45,SUM($B73:$G73)),"")</f>
        <v/>
      </c>
    </row>
    <row r="74" spans="1:9" hidden="1" x14ac:dyDescent="0.25">
      <c r="A74" s="117" t="s">
        <v>220</v>
      </c>
      <c r="B74" s="118" t="str">
        <f>IF(ISBLANK('6.9Ratemaking Data'!D46),"",'6.9Ratemaking Data'!D46)</f>
        <v/>
      </c>
      <c r="C74" s="118" t="str">
        <f>IF(ISBLANK('6.9Ratemaking Data'!E46),"",'6.9Ratemaking Data'!E46)</f>
        <v/>
      </c>
      <c r="D74" s="118" t="str">
        <f>IF(ISBLANK('6.9Ratemaking Data'!F46),"",'6.9Ratemaking Data'!F46)</f>
        <v/>
      </c>
      <c r="E74" s="118" t="str">
        <f>IF(ISBLANK('6.9Ratemaking Data'!G46),"",'6.9Ratemaking Data'!G46)</f>
        <v/>
      </c>
      <c r="F74" s="118" t="str">
        <f>IF(ISBLANK('6.9Ratemaking Data'!H46),"",'6.9Ratemaking Data'!H46)</f>
        <v/>
      </c>
      <c r="G74" s="118" t="str">
        <f>IF(ISBLANK('6.9Ratemaking Data'!I46),"",'6.9Ratemaking Data'!I46)</f>
        <v/>
      </c>
      <c r="H74" s="119">
        <f>IF(New_Program=TRUE,'6.9Ratemaking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IF(AND('6.9Ratemaking Data'!Error30="",'6.9Ratemaking Data'!Error31="",'6.9Ratemaking Data'!Error32=""),"","See Column M of Page '6.9Ratemaking Data' for errors that must be corrected.")</f>
        <v/>
      </c>
    </row>
    <row r="80" spans="1:9" ht="26.25" x14ac:dyDescent="0.25">
      <c r="F80" s="658" t="s">
        <v>615</v>
      </c>
      <c r="G80" s="658"/>
      <c r="H80" s="658"/>
    </row>
    <row r="81" spans="1:1" x14ac:dyDescent="0.25">
      <c r="A81" s="132"/>
    </row>
  </sheetData>
  <sheetProtection algorithmName="SHA-512" hashValue="Sm6x+OxqDjVFF6ZPKb6W0rUAfksUdy9oXNDCllQbJbQEyJoIhLOBE56SUSMBIt80Ao1LpBbcswigFrWd+2ulNA==" saltValue="PBGH5CbGEJvwZvCo+iuM7g=="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2" orientation="portrait" r:id="rId1"/>
  <headerFooter>
    <oddFooter>&amp;CPrior Approval Rate Template&amp;RPage 7.9&amp;L1/3/2023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Mutual Automobile Insurance Company</v>
      </c>
    </row>
    <row r="2" spans="1:8" x14ac:dyDescent="0.25">
      <c r="A2" s="7" t="s">
        <v>32</v>
      </c>
      <c r="E2" s="109" t="s">
        <v>34</v>
      </c>
      <c r="H2" s="110" t="str">
        <f>General_Line</f>
        <v>Auto Liability and Physical Damage</v>
      </c>
    </row>
    <row r="3" spans="1:8" x14ac:dyDescent="0.25">
      <c r="E3" s="154" t="s">
        <v>142</v>
      </c>
      <c r="F3" s="77"/>
      <c r="G3" s="77"/>
      <c r="H3" s="160" t="str">
        <f>CDI_FileNo</f>
        <v/>
      </c>
    </row>
    <row r="4" spans="1:8" ht="18" customHeight="1" x14ac:dyDescent="0.25">
      <c r="A4" s="510" t="str">
        <f>IF('6.10Ratemaking Data'!$K$7="","VARIANCE - NONE","VARIANCE "&amp;'6.10Ratemaking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76</v>
      </c>
      <c r="H8" s="161">
        <f>Completed_Date</f>
        <v>44979</v>
      </c>
    </row>
    <row r="9" spans="1:8" ht="15" customHeight="1" x14ac:dyDescent="0.25">
      <c r="A9" s="6" t="s">
        <v>169</v>
      </c>
      <c r="H9" s="161" t="str">
        <f>EffDate_Prior10</f>
        <v/>
      </c>
    </row>
    <row r="10" spans="1:8" ht="15" customHeight="1" x14ac:dyDescent="0.25">
      <c r="A10" s="6" t="s">
        <v>170</v>
      </c>
      <c r="B10" s="52"/>
      <c r="H10" s="161">
        <f>EffDate_Proposed</f>
        <v>45348</v>
      </c>
    </row>
    <row r="11" spans="1:8" ht="15" customHeight="1" x14ac:dyDescent="0.25">
      <c r="A11" s="6" t="s">
        <v>77</v>
      </c>
      <c r="B11" s="52"/>
      <c r="H11" s="23" t="str">
        <f>Detailed_LineDesc10</f>
        <v/>
      </c>
    </row>
    <row r="12" spans="1:8" ht="15" customHeight="1" x14ac:dyDescent="0.25">
      <c r="A12" s="6" t="s">
        <v>78</v>
      </c>
      <c r="B12" s="52"/>
      <c r="H12" s="23" t="str">
        <f>Covg10</f>
        <v/>
      </c>
    </row>
    <row r="13" spans="1:8" ht="15" customHeight="1" x14ac:dyDescent="0.25">
      <c r="H13" s="511"/>
    </row>
    <row r="14" spans="1:8" ht="9.9499999999999993" customHeight="1" x14ac:dyDescent="0.25"/>
    <row r="15" spans="1:8" ht="15.75" thickBot="1" x14ac:dyDescent="0.3">
      <c r="A15" s="7" t="s">
        <v>171</v>
      </c>
      <c r="B15" s="228" t="str">
        <f>'6.10Ratemaking Data'!D$14</f>
        <v>20173</v>
      </c>
      <c r="C15" s="228" t="str">
        <f>'6.10Ratemaking Data'!E$14</f>
        <v>20183</v>
      </c>
      <c r="D15" s="228" t="str">
        <f>'6.10Ratemaking Data'!F$14</f>
        <v>20193</v>
      </c>
      <c r="E15" s="228" t="str">
        <f>'6.10Ratemaking Data'!G$14</f>
        <v>20203</v>
      </c>
      <c r="F15" s="228" t="str">
        <f>'6.10Ratemaking Data'!H$14</f>
        <v>20213</v>
      </c>
      <c r="G15" s="228">
        <f>'6.10Ratemaking Data'!I$14</f>
        <v>20223</v>
      </c>
      <c r="H15" s="91" t="s">
        <v>306</v>
      </c>
    </row>
    <row r="16" spans="1:8" x14ac:dyDescent="0.25">
      <c r="A16" s="114" t="s">
        <v>173</v>
      </c>
      <c r="B16" s="115" t="str">
        <f>IF(ISBLANK('6.10Ratemaking Data'!D15),"",'6.10Ratemaking Data'!D15)</f>
        <v/>
      </c>
      <c r="C16" s="115" t="str">
        <f>IF(ISBLANK('6.10Ratemaking Data'!E15),"",'6.10Ratemaking Data'!E15)</f>
        <v/>
      </c>
      <c r="D16" s="115" t="str">
        <f>IF(ISBLANK('6.10Ratemaking Data'!F15),"",'6.10Ratemaking Data'!F15)</f>
        <v/>
      </c>
      <c r="E16" s="115" t="str">
        <f>IF(ISBLANK('6.10Ratemaking Data'!G15),"",'6.10Ratemaking Data'!G15)</f>
        <v/>
      </c>
      <c r="F16" s="115" t="str">
        <f>IF(ISBLANK('6.10Ratemaking Data'!H15),"",'6.10Ratemaking Data'!H15)</f>
        <v/>
      </c>
      <c r="G16" s="115" t="str">
        <f>IF(ISBLANK('6.10Ratemaking Data'!I15),"",'6.10Ratemaking Data'!I15)</f>
        <v/>
      </c>
      <c r="H16" s="116">
        <f>IF(New_Program=TRUE,'6.10Ratemaking Data'!$K$15,SUM($B16:$G16))</f>
        <v>0</v>
      </c>
    </row>
    <row r="17" spans="1:10" x14ac:dyDescent="0.25">
      <c r="A17" s="117" t="s">
        <v>172</v>
      </c>
      <c r="B17" s="118" t="str">
        <f>IF(ISBLANK('6.10Ratemaking Data'!D16),"",'6.10Ratemaking Data'!D16)</f>
        <v/>
      </c>
      <c r="C17" s="118" t="str">
        <f>IF(ISBLANK('6.10Ratemaking Data'!E16),"",'6.10Ratemaking Data'!E16)</f>
        <v/>
      </c>
      <c r="D17" s="118" t="str">
        <f>IF(ISBLANK('6.10Ratemaking Data'!F16),"",'6.10Ratemaking Data'!F16)</f>
        <v/>
      </c>
      <c r="E17" s="118" t="str">
        <f>IF(ISBLANK('6.10Ratemaking Data'!G16),"",'6.10Ratemaking Data'!G16)</f>
        <v/>
      </c>
      <c r="F17" s="118" t="str">
        <f>IF(ISBLANK('6.10Ratemaking Data'!H16),"",'6.10Ratemaking Data'!H16)</f>
        <v/>
      </c>
      <c r="G17" s="118" t="str">
        <f>IF(ISBLANK('6.10Ratemaking Data'!I16),"",'6.10Ratemaking Data'!I16)</f>
        <v/>
      </c>
      <c r="H17" s="119">
        <f>IF(New_Program=TRUE,'6.10Ratemaking Data'!$K$16,SUM($B17:$G17))</f>
        <v>0</v>
      </c>
    </row>
    <row r="18" spans="1:10" x14ac:dyDescent="0.25">
      <c r="A18" s="117" t="s">
        <v>174</v>
      </c>
      <c r="B18" s="120" t="str">
        <f>IF(ISBLANK('6.10Ratemaking Data'!D17),"",'6.10Ratemaking Data'!D17)</f>
        <v/>
      </c>
      <c r="C18" s="120" t="str">
        <f>IF(ISBLANK('6.10Ratemaking Data'!E17),"",'6.10Ratemaking Data'!E17)</f>
        <v/>
      </c>
      <c r="D18" s="120" t="str">
        <f>IF(ISBLANK('6.10Ratemaking Data'!F17),"",'6.10Ratemaking Data'!F17)</f>
        <v/>
      </c>
      <c r="E18" s="120" t="str">
        <f>IF(ISBLANK('6.10Ratemaking Data'!G17),"",'6.10Ratemaking Data'!G17)</f>
        <v/>
      </c>
      <c r="F18" s="120" t="str">
        <f>IF(ISBLANK('6.10Ratemaking Data'!H17),"",'6.10Ratemaking Data'!H17)</f>
        <v/>
      </c>
      <c r="G18" s="120" t="str">
        <f>IF(ISBLANK('6.10Ratemaking Data'!I17),"",'6.10Ratemaking Data'!I17)</f>
        <v/>
      </c>
      <c r="H18" s="121"/>
    </row>
    <row r="19" spans="1:10" x14ac:dyDescent="0.25">
      <c r="A19" s="117" t="s">
        <v>175</v>
      </c>
      <c r="B19" s="120" t="str">
        <f>IF(ISBLANK('6.10Ratemaking Data'!D18),"",'6.10Ratemaking Data'!D18)</f>
        <v/>
      </c>
      <c r="C19" s="120" t="str">
        <f>IF(ISBLANK('6.10Ratemaking Data'!E18),"",'6.10Ratemaking Data'!E18)</f>
        <v/>
      </c>
      <c r="D19" s="120" t="str">
        <f>IF(ISBLANK('6.10Ratemaking Data'!F18),"",'6.10Ratemaking Data'!F18)</f>
        <v/>
      </c>
      <c r="E19" s="120" t="str">
        <f>IF(ISBLANK('6.10Ratemaking Data'!G18),"",'6.10Ratemaking Data'!G18)</f>
        <v/>
      </c>
      <c r="F19" s="120" t="str">
        <f>IF(ISBLANK('6.10Ratemaking Data'!H18),"",'6.10Ratemaking Data'!H18)</f>
        <v/>
      </c>
      <c r="G19" s="120" t="str">
        <f>IF(ISBLANK('6.10Ratemaking Data'!I18),"",'6.10Ratemaking Data'!I18)</f>
        <v/>
      </c>
      <c r="H19" s="127">
        <f>IF(New_Program=TRUE,0,'6.10Ratemaking Data'!$J$18)</f>
        <v>0</v>
      </c>
    </row>
    <row r="20" spans="1:10" x14ac:dyDescent="0.25">
      <c r="A20" s="117" t="s">
        <v>176</v>
      </c>
      <c r="B20" s="118" t="str">
        <f>IF(ISBLANK('6.10Ratemaking Data'!D19),"",'6.10Ratemaking Data'!D19)</f>
        <v/>
      </c>
      <c r="C20" s="118" t="str">
        <f>IF(ISBLANK('6.10Ratemaking Data'!E19),"",'6.10Ratemaking Data'!E19)</f>
        <v/>
      </c>
      <c r="D20" s="118" t="str">
        <f>IF(ISBLANK('6.10Ratemaking Data'!F19),"",'6.10Ratemaking Data'!F19)</f>
        <v/>
      </c>
      <c r="E20" s="118" t="str">
        <f>IF(ISBLANK('6.10Ratemaking Data'!G19),"",'6.10Ratemaking Data'!G19)</f>
        <v/>
      </c>
      <c r="F20" s="118" t="str">
        <f>IF(ISBLANK('6.10Ratemaking Data'!H19),"",'6.10Ratemaking Data'!H19)</f>
        <v/>
      </c>
      <c r="G20" s="118" t="str">
        <f>IF(ISBLANK('6.10Ratemaking Data'!I19),"",'6.10Ratemaking Data'!I19)</f>
        <v/>
      </c>
      <c r="H20" s="119">
        <f>IF(New_Program=TRUE,'6.10Ratemaking Data'!$K$19,SUM($B20:$G20))</f>
        <v>0</v>
      </c>
    </row>
    <row r="21" spans="1:10" x14ac:dyDescent="0.25">
      <c r="A21" s="117" t="s">
        <v>177</v>
      </c>
      <c r="B21" s="118" t="str">
        <f>IF(ISBLANK('6.10Ratemaking Data'!D20),"",'6.10Ratemaking Data'!D20)</f>
        <v/>
      </c>
      <c r="C21" s="118" t="str">
        <f>IF(ISBLANK('6.10Ratemaking Data'!E20),"",'6.10Ratemaking Data'!E20)</f>
        <v/>
      </c>
      <c r="D21" s="118" t="str">
        <f>IF(ISBLANK('6.10Ratemaking Data'!F20),"",'6.10Ratemaking Data'!F20)</f>
        <v/>
      </c>
      <c r="E21" s="118" t="str">
        <f>IF(ISBLANK('6.10Ratemaking Data'!G20),"",'6.10Ratemaking Data'!G20)</f>
        <v/>
      </c>
      <c r="F21" s="118" t="str">
        <f>IF(ISBLANK('6.10Ratemaking Data'!H20),"",'6.10Ratemaking Data'!H20)</f>
        <v/>
      </c>
      <c r="G21" s="118" t="str">
        <f>IF(ISBLANK('6.10Ratemaking Data'!I20),"",'6.10Ratemaking Data'!I20)</f>
        <v/>
      </c>
      <c r="H21" s="119">
        <f>IF(New_Program=TRUE,'6.10Ratemaking Data'!$K$20,SUM($B21:$G21))</f>
        <v>0</v>
      </c>
      <c r="J21" s="111"/>
    </row>
    <row r="22" spans="1:10" x14ac:dyDescent="0.25">
      <c r="A22" s="117" t="s">
        <v>178</v>
      </c>
      <c r="B22" s="118" t="str">
        <f>IF(ISBLANK('6.10Ratemaking Data'!D21),"",'6.10Ratemaking Data'!D21)</f>
        <v/>
      </c>
      <c r="C22" s="118" t="str">
        <f>IF(ISBLANK('6.10Ratemaking Data'!E21),"",'6.10Ratemaking Data'!E21)</f>
        <v/>
      </c>
      <c r="D22" s="118" t="str">
        <f>IF(ISBLANK('6.10Ratemaking Data'!F21),"",'6.10Ratemaking Data'!F21)</f>
        <v/>
      </c>
      <c r="E22" s="118" t="str">
        <f>IF(ISBLANK('6.10Ratemaking Data'!G21),"",'6.10Ratemaking Data'!G21)</f>
        <v/>
      </c>
      <c r="F22" s="118" t="str">
        <f>IF(ISBLANK('6.10Ratemaking Data'!H21),"",'6.10Ratemaking Data'!H21)</f>
        <v/>
      </c>
      <c r="G22" s="118" t="str">
        <f>IF(ISBLANK('6.10Ratemaking Data'!I21),"",'6.10Ratemaking Data'!I21)</f>
        <v/>
      </c>
      <c r="H22" s="119">
        <f>IF(New_Program=TRUE,'6.10Ratemaking Data'!$K$21,SUM($B22:$G22))</f>
        <v>0</v>
      </c>
      <c r="J22" s="111"/>
    </row>
    <row r="23" spans="1:10" x14ac:dyDescent="0.25">
      <c r="A23" s="117" t="s">
        <v>144</v>
      </c>
      <c r="B23" s="118" t="str">
        <f>IF(ISBLANK('6.10Ratemaking Data'!D22),"",'6.10Ratemaking Data'!D22)</f>
        <v/>
      </c>
      <c r="C23" s="118" t="str">
        <f>IF(ISBLANK('6.10Ratemaking Data'!E22),"",'6.10Ratemaking Data'!E22)</f>
        <v/>
      </c>
      <c r="D23" s="118" t="str">
        <f>IF(ISBLANK('6.10Ratemaking Data'!F22),"",'6.10Ratemaking Data'!F22)</f>
        <v/>
      </c>
      <c r="E23" s="118" t="str">
        <f>IF(ISBLANK('6.10Ratemaking Data'!G22),"",'6.10Ratemaking Data'!G22)</f>
        <v/>
      </c>
      <c r="F23" s="118" t="str">
        <f>IF(ISBLANK('6.10Ratemaking Data'!H22),"",'6.10Ratemaking Data'!H22)</f>
        <v/>
      </c>
      <c r="G23" s="118" t="str">
        <f>IF(ISBLANK('6.10Ratemaking Data'!I22),"",'6.10Ratemaking Data'!I22)</f>
        <v/>
      </c>
      <c r="H23" s="119">
        <f>IF(New_Program=TRUE,'6.10Ratemaking Data'!$K$22,SUM($B23:$G23))</f>
        <v>0</v>
      </c>
      <c r="J23" s="111"/>
    </row>
    <row r="24" spans="1:10" x14ac:dyDescent="0.25">
      <c r="A24" s="117" t="s">
        <v>181</v>
      </c>
      <c r="B24" s="120" t="str">
        <f>IF(ISBLANK('6.10Ratemaking Data'!D23),"",'6.10Ratemaking Data'!D23)</f>
        <v/>
      </c>
      <c r="C24" s="120" t="str">
        <f>IF(ISBLANK('6.10Ratemaking Data'!E23),"",'6.10Ratemaking Data'!E23)</f>
        <v/>
      </c>
      <c r="D24" s="120" t="str">
        <f>IF(ISBLANK('6.10Ratemaking Data'!F23),"",'6.10Ratemaking Data'!F23)</f>
        <v/>
      </c>
      <c r="E24" s="120" t="str">
        <f>IF(ISBLANK('6.10Ratemaking Data'!G23),"",'6.10Ratemaking Data'!G23)</f>
        <v/>
      </c>
      <c r="F24" s="120" t="str">
        <f>IF(ISBLANK('6.10Ratemaking Data'!H23),"",'6.10Ratemaking Data'!H23)</f>
        <v/>
      </c>
      <c r="G24" s="120" t="str">
        <f>IF(ISBLANK('6.10Ratemaking Data'!I23),"",'6.10Ratemaking Data'!I23)</f>
        <v/>
      </c>
      <c r="H24" s="121"/>
    </row>
    <row r="25" spans="1:10" x14ac:dyDescent="0.25">
      <c r="A25" s="117" t="s">
        <v>182</v>
      </c>
      <c r="B25" s="120" t="str">
        <f>IF(ISBLANK('6.10Ratemaking Data'!D24),"",'6.10Ratemaking Data'!D24)</f>
        <v/>
      </c>
      <c r="C25" s="120" t="str">
        <f>IF(ISBLANK('6.10Ratemaking Data'!E24),"",'6.10Ratemaking Data'!E24)</f>
        <v/>
      </c>
      <c r="D25" s="120" t="str">
        <f>IF(ISBLANK('6.10Ratemaking Data'!F24),"",'6.10Ratemaking Data'!F24)</f>
        <v/>
      </c>
      <c r="E25" s="120" t="str">
        <f>IF(ISBLANK('6.10Ratemaking Data'!G24),"",'6.10Ratemaking Data'!G24)</f>
        <v/>
      </c>
      <c r="F25" s="120" t="str">
        <f>IF(ISBLANK('6.10Ratemaking Data'!H24),"",'6.10Ratemaking Data'!H24)</f>
        <v/>
      </c>
      <c r="G25" s="120" t="str">
        <f>IF(ISBLANK('6.10Ratemaking Data'!I24),"",'6.10Ratemaking Data'!I24)</f>
        <v/>
      </c>
      <c r="H25" s="121"/>
    </row>
    <row r="26" spans="1:10" x14ac:dyDescent="0.25">
      <c r="A26" s="117" t="s">
        <v>179</v>
      </c>
      <c r="B26" s="120" t="str">
        <f>IF(ISBLANK('6.10Ratemaking Data'!D25),"",'6.10Ratemaking Data'!D25)</f>
        <v/>
      </c>
      <c r="C26" s="120" t="str">
        <f>IF(ISBLANK('6.10Ratemaking Data'!E25),"",'6.10Ratemaking Data'!E25)</f>
        <v/>
      </c>
      <c r="D26" s="120" t="str">
        <f>IF(ISBLANK('6.10Ratemaking Data'!F25),"",'6.10Ratemaking Data'!F25)</f>
        <v/>
      </c>
      <c r="E26" s="120" t="str">
        <f>IF(ISBLANK('6.10Ratemaking Data'!G25),"",'6.10Ratemaking Data'!G25)</f>
        <v/>
      </c>
      <c r="F26" s="120" t="str">
        <f>IF(ISBLANK('6.10Ratemaking Data'!H25),"",'6.10Ratemaking Data'!H25)</f>
        <v/>
      </c>
      <c r="G26" s="120" t="str">
        <f>IF(ISBLANK('6.10Ratemaking Data'!I25),"",'6.10Ratemaking Data'!I25)</f>
        <v/>
      </c>
      <c r="H26" s="127">
        <f>IF(New_Program=TRUE,0,'6.10Ratemaking Data'!$J$25)</f>
        <v>0</v>
      </c>
    </row>
    <row r="27" spans="1:10" x14ac:dyDescent="0.25">
      <c r="A27" s="117" t="s">
        <v>180</v>
      </c>
      <c r="B27" s="120" t="str">
        <f>IF(ISBLANK('6.10Ratemaking Data'!D26),"",'6.10Ratemaking Data'!D26)</f>
        <v/>
      </c>
      <c r="C27" s="120" t="str">
        <f>IF(ISBLANK('6.10Ratemaking Data'!E26),"",'6.10Ratemaking Data'!E26)</f>
        <v/>
      </c>
      <c r="D27" s="120" t="str">
        <f>IF(ISBLANK('6.10Ratemaking Data'!F26),"",'6.10Ratemaking Data'!F26)</f>
        <v/>
      </c>
      <c r="E27" s="120" t="str">
        <f>IF(ISBLANK('6.10Ratemaking Data'!G26),"",'6.10Ratemaking Data'!G26)</f>
        <v/>
      </c>
      <c r="F27" s="120" t="str">
        <f>IF(ISBLANK('6.10Ratemaking Data'!H26),"",'6.10Ratemaking Data'!H26)</f>
        <v/>
      </c>
      <c r="G27" s="120" t="str">
        <f>IF(ISBLANK('6.10Ratemaking Data'!I26),"",'6.10Ratemaking Data'!I26)</f>
        <v/>
      </c>
      <c r="H27" s="127">
        <f>IF(New_Program=TRUE,0,'6.10Ratemaking Data'!$J$26)</f>
        <v>0</v>
      </c>
    </row>
    <row r="28" spans="1:10" x14ac:dyDescent="0.25">
      <c r="A28" s="117" t="s">
        <v>183</v>
      </c>
      <c r="B28" s="120" t="str">
        <f>IF(ISBLANK('6.10Ratemaking Data'!D27),"",'6.10Ratemaking Data'!D27)</f>
        <v/>
      </c>
      <c r="C28" s="120" t="str">
        <f>IF(ISBLANK('6.10Ratemaking Data'!E27),"",'6.10Ratemaking Data'!E27)</f>
        <v/>
      </c>
      <c r="D28" s="120" t="str">
        <f>IF(ISBLANK('6.10Ratemaking Data'!F27),"",'6.10Ratemaking Data'!F27)</f>
        <v/>
      </c>
      <c r="E28" s="120" t="str">
        <f>IF(ISBLANK('6.10Ratemaking Data'!G27),"",'6.10Ratemaking Data'!G27)</f>
        <v/>
      </c>
      <c r="F28" s="120" t="str">
        <f>IF(ISBLANK('6.10Ratemaking Data'!H27),"",'6.10Ratemaking Data'!H27)</f>
        <v/>
      </c>
      <c r="G28" s="120" t="str">
        <f>IF(ISBLANK('6.10Ratemaking Data'!I27),"",'6.10Ratemaking Data'!I27)</f>
        <v/>
      </c>
      <c r="H28" s="121"/>
    </row>
    <row r="29" spans="1:10" ht="15.75" thickBot="1" x14ac:dyDescent="0.3">
      <c r="A29" s="133" t="s">
        <v>188</v>
      </c>
      <c r="B29" s="134" t="str">
        <f>IF(ISBLANK('6.10Ratemaking Data'!D29),"",'6.10Ratemaking Data'!D29)</f>
        <v/>
      </c>
      <c r="C29" s="134" t="str">
        <f>IF(ISBLANK('6.10Ratemaking Data'!E29),"",'6.10Ratemaking Data'!E29)</f>
        <v/>
      </c>
      <c r="D29" s="134" t="str">
        <f>IF(ISBLANK('6.10Ratemaking Data'!F29),"",'6.10Ratemaking Data'!F29)</f>
        <v/>
      </c>
      <c r="E29" s="134" t="str">
        <f>IF(ISBLANK('6.10Ratemaking Data'!G29),"",'6.10Ratemaking Data'!G29)</f>
        <v/>
      </c>
      <c r="F29" s="134" t="str">
        <f>IF(ISBLANK('6.10Ratemaking Data'!H29),"",'6.10Ratemaking Data'!H29)</f>
        <v/>
      </c>
      <c r="G29" s="134" t="str">
        <f>IF(ISBLANK('6.10Ratemaking Data'!I29),"",'6.10Ratemaking Data'!I29)</f>
        <v/>
      </c>
      <c r="H29" s="135">
        <f>IF(New_Program=TRUE,'6.10Ratemaking Data'!$K$29,SUM($B29:$G29))</f>
        <v>0</v>
      </c>
    </row>
    <row r="30" spans="1:10" ht="15.75" thickTop="1" x14ac:dyDescent="0.25">
      <c r="A30" s="117" t="s">
        <v>184</v>
      </c>
      <c r="B30" s="122"/>
      <c r="C30" s="122"/>
      <c r="D30" s="122"/>
      <c r="E30" s="122"/>
      <c r="F30" s="122"/>
      <c r="G30" s="122"/>
      <c r="H30" s="127">
        <f>IF(New_Program=TRUE,100%,'6.10Ratemaking Data'!$J$28)</f>
        <v>0</v>
      </c>
    </row>
    <row r="31" spans="1:10" x14ac:dyDescent="0.25">
      <c r="A31" s="117" t="s">
        <v>185</v>
      </c>
      <c r="B31" s="122"/>
      <c r="C31" s="122"/>
      <c r="D31" s="122"/>
      <c r="E31" s="122"/>
      <c r="F31" s="122"/>
      <c r="G31" s="122"/>
      <c r="H31" s="127">
        <f>ExpRatio_Excluded</f>
        <v>1.3597266477453115E-2</v>
      </c>
    </row>
    <row r="32" spans="1:10" x14ac:dyDescent="0.25">
      <c r="A32" s="117" t="s">
        <v>166</v>
      </c>
      <c r="B32" s="122"/>
      <c r="C32" s="122"/>
      <c r="D32" s="122"/>
      <c r="E32" s="122"/>
      <c r="F32" s="122"/>
      <c r="G32" s="122"/>
      <c r="H32" s="127">
        <f>FIT_Inv</f>
        <v>0.18957755323144132</v>
      </c>
    </row>
    <row r="33" spans="1:9" ht="15.75" thickBot="1" x14ac:dyDescent="0.3">
      <c r="A33" s="85" t="s">
        <v>165</v>
      </c>
      <c r="B33" s="123"/>
      <c r="C33" s="123"/>
      <c r="D33" s="123"/>
      <c r="E33" s="123"/>
      <c r="F33" s="123"/>
      <c r="G33" s="123"/>
      <c r="H33" s="124">
        <f>Yield</f>
        <v>0.10317106949646478</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EffStd_Final10</f>
        <v/>
      </c>
    </row>
    <row r="38" spans="1:9" x14ac:dyDescent="0.25">
      <c r="A38" s="117" t="s">
        <v>191</v>
      </c>
      <c r="B38" s="77"/>
      <c r="C38" s="77"/>
      <c r="D38" s="77"/>
      <c r="E38" s="77"/>
      <c r="F38" s="577" t="s">
        <v>317</v>
      </c>
      <c r="G38" s="578">
        <f>update_leverage</f>
        <v>2021</v>
      </c>
      <c r="H38" s="162" t="str">
        <f>LevFact_Final10</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1/LevFact_Final10</f>
        <v>#VALUE!</v>
      </c>
    </row>
    <row r="41" spans="1:9" x14ac:dyDescent="0.25">
      <c r="A41" s="117" t="s">
        <v>198</v>
      </c>
      <c r="B41" s="77"/>
      <c r="C41" s="77"/>
      <c r="D41" s="77"/>
      <c r="E41" s="77"/>
      <c r="F41" s="577" t="s">
        <v>317</v>
      </c>
      <c r="G41" s="578">
        <f>update_reserveratios</f>
        <v>2021</v>
      </c>
      <c r="H41" s="163" t="str">
        <f>ResRatio_UPR10</f>
        <v/>
      </c>
    </row>
    <row r="42" spans="1:9" x14ac:dyDescent="0.25">
      <c r="A42" s="117" t="s">
        <v>194</v>
      </c>
      <c r="B42" s="77"/>
      <c r="C42" s="77"/>
      <c r="D42" s="77"/>
      <c r="E42" s="77"/>
      <c r="F42" s="577" t="s">
        <v>317</v>
      </c>
      <c r="G42" s="578">
        <f>update_reserveratios</f>
        <v>2021</v>
      </c>
      <c r="H42" s="163" t="str">
        <f>ResRatio_Loss10</f>
        <v/>
      </c>
    </row>
    <row r="43" spans="1:9" x14ac:dyDescent="0.25">
      <c r="A43" s="117" t="s">
        <v>195</v>
      </c>
      <c r="B43" s="77"/>
      <c r="C43" s="77"/>
      <c r="D43" s="77"/>
      <c r="E43" s="77"/>
      <c r="F43" s="575" t="s">
        <v>317</v>
      </c>
      <c r="G43" s="575" t="str">
        <f>ROR_RiskFree_Date</f>
        <v>January 2023</v>
      </c>
      <c r="H43" s="576">
        <f>ROR_RiskFree</f>
        <v>3.9611111111111104E-2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9.9611111111111095E-2</v>
      </c>
    </row>
    <row r="46" spans="1:9" ht="5.0999999999999996" customHeight="1" x14ac:dyDescent="0.25"/>
    <row r="47" spans="1:9" ht="15.75" thickBot="1" x14ac:dyDescent="0.3">
      <c r="A47" s="7" t="s">
        <v>234</v>
      </c>
      <c r="B47" s="228" t="str">
        <f>'6.10Ratemaking Data'!D$14</f>
        <v>20173</v>
      </c>
      <c r="C47" s="228" t="str">
        <f>'6.10Ratemaking Data'!E$14</f>
        <v>20183</v>
      </c>
      <c r="D47" s="228" t="str">
        <f>'6.10Ratemaking Data'!F$14</f>
        <v>20193</v>
      </c>
      <c r="E47" s="228" t="str">
        <f>'6.10Ratemaking Data'!G$14</f>
        <v>20203</v>
      </c>
      <c r="F47" s="228" t="str">
        <f>'6.10Ratemaking Data'!H$14</f>
        <v>20213</v>
      </c>
      <c r="G47" s="228">
        <f>'6.10Ratemaking Data'!I$14</f>
        <v>20223</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Yield*((1-FIT_Inv)/(1-FIT_UW))*ResRatio_Loss10</f>
        <v>#VALUE!</v>
      </c>
    </row>
    <row r="58" spans="1:9" x14ac:dyDescent="0.25">
      <c r="A58" s="117" t="s">
        <v>218</v>
      </c>
      <c r="B58" s="77"/>
      <c r="C58" s="77"/>
      <c r="D58" s="77"/>
      <c r="E58" s="77"/>
      <c r="F58" s="77"/>
      <c r="G58" s="77"/>
      <c r="H58" s="127" t="e">
        <f>Yield*((1-FIT_Inv)/(1-FIT_UW))*(ResRatio_UPR10+SurplusRatio)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IF(New_Program=TRUE,0,(1+Net_AnnualTrend)^MIN(4,((EffDate_Proposed-EffDate_Prior10)/365.25))-1)</f>
        <v>#VALUE!</v>
      </c>
    </row>
    <row r="61" spans="1:9" x14ac:dyDescent="0.25">
      <c r="A61" s="117" t="s">
        <v>207</v>
      </c>
      <c r="B61" s="128"/>
      <c r="C61" s="128"/>
      <c r="D61" s="128"/>
      <c r="E61" s="128"/>
      <c r="F61" s="128"/>
      <c r="G61" s="128"/>
      <c r="H61" s="127" t="e">
        <f>(ROR_Max)/(LevFact_Final10*(1-FIT_UW))</f>
        <v>#VALUE!</v>
      </c>
    </row>
    <row r="62" spans="1:9" x14ac:dyDescent="0.25">
      <c r="A62" s="117" t="s">
        <v>208</v>
      </c>
      <c r="B62" s="77"/>
      <c r="C62" s="77"/>
      <c r="D62" s="77"/>
      <c r="E62" s="77"/>
      <c r="F62" s="77"/>
      <c r="G62" s="77"/>
      <c r="H62" s="127" t="e">
        <f>(ROR_Min)/(LevFact_Final10*(1-FIT_UW))</f>
        <v>#VALUE!</v>
      </c>
    </row>
    <row r="63" spans="1:9" x14ac:dyDescent="0.25">
      <c r="A63" s="117" t="s">
        <v>209</v>
      </c>
      <c r="B63" s="77"/>
      <c r="C63" s="77"/>
      <c r="D63" s="77"/>
      <c r="E63" s="77"/>
      <c r="F63" s="77"/>
      <c r="G63" s="77"/>
      <c r="H63" s="127" t="e">
        <f>1-CredLossDCCE_perExp/Max_Premium-EffStd_Final10</f>
        <v>#VALUE!</v>
      </c>
      <c r="I63" s="204"/>
    </row>
    <row r="64" spans="1:9" x14ac:dyDescent="0.25">
      <c r="A64" s="117" t="s">
        <v>211</v>
      </c>
      <c r="B64" s="77"/>
      <c r="C64" s="77"/>
      <c r="D64" s="77"/>
      <c r="E64" s="77"/>
      <c r="F64" s="77"/>
      <c r="G64" s="77"/>
      <c r="H64" s="129" t="e">
        <f>1-EffStd_Final10-Min_Profit+InvInc_Variable</f>
        <v>#VALUE!</v>
      </c>
      <c r="I64" s="204"/>
    </row>
    <row r="65" spans="1:9" x14ac:dyDescent="0.25">
      <c r="A65" s="117" t="s">
        <v>210</v>
      </c>
      <c r="B65" s="77"/>
      <c r="C65" s="77"/>
      <c r="D65" s="77"/>
      <c r="E65" s="77"/>
      <c r="F65" s="77"/>
      <c r="G65" s="77"/>
      <c r="H65" s="129" t="e">
        <f>1-EffStd_Final10-Max_Profit+InvInc_Variable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#VALUE!</v>
      </c>
    </row>
    <row r="70" spans="1:9" ht="5.0999999999999996" hidden="1" customHeight="1" x14ac:dyDescent="0.25"/>
    <row r="71" spans="1:9" ht="15.75" hidden="1" thickBot="1" x14ac:dyDescent="0.3">
      <c r="A71" s="7" t="s">
        <v>233</v>
      </c>
      <c r="B71" s="228" t="str">
        <f>'6.10Ratemaking Data'!D$14</f>
        <v>20173</v>
      </c>
      <c r="C71" s="228" t="str">
        <f>'6.10Ratemaking Data'!E$14</f>
        <v>20183</v>
      </c>
      <c r="D71" s="228" t="str">
        <f>'6.10Ratemaking Data'!F$14</f>
        <v>20193</v>
      </c>
      <c r="E71" s="228" t="str">
        <f>'6.10Ratemaking Data'!G$14</f>
        <v>20203</v>
      </c>
      <c r="F71" s="228" t="str">
        <f>'6.10Ratemaking Data'!H$14</f>
        <v>20213</v>
      </c>
      <c r="G71" s="228">
        <f>'6.10Ratemaking Data'!I$14</f>
        <v>20223</v>
      </c>
    </row>
    <row r="72" spans="1:9" hidden="1" x14ac:dyDescent="0.25">
      <c r="A72" s="114" t="s">
        <v>232</v>
      </c>
      <c r="B72" s="125"/>
      <c r="C72" s="125"/>
      <c r="D72" s="125"/>
      <c r="E72" s="125"/>
      <c r="F72" s="125"/>
      <c r="G72" s="125"/>
      <c r="H72" s="131" t="str">
        <f>IF(ISBLANK('6.10Ratemaking Data'!J44),"",'6.10Ratemaking Data'!J44)</f>
        <v/>
      </c>
    </row>
    <row r="73" spans="1:9" hidden="1" x14ac:dyDescent="0.25">
      <c r="A73" s="117" t="s">
        <v>219</v>
      </c>
      <c r="B73" s="118" t="str">
        <f>IF(ISBLANK('6.10Ratemaking Data'!D45),"",'6.10Ratemaking Data'!D45)</f>
        <v/>
      </c>
      <c r="C73" s="118" t="str">
        <f>IF(ISBLANK('6.10Ratemaking Data'!E45),"",'6.10Ratemaking Data'!E45)</f>
        <v/>
      </c>
      <c r="D73" s="118" t="str">
        <f>IF(ISBLANK('6.10Ratemaking Data'!F45),"",'6.10Ratemaking Data'!F45)</f>
        <v/>
      </c>
      <c r="E73" s="118" t="str">
        <f>IF(ISBLANK('6.10Ratemaking Data'!G45),"",'6.10Ratemaking Data'!G45)</f>
        <v/>
      </c>
      <c r="F73" s="118" t="str">
        <f>IF(ISBLANK('6.10Ratemaking Data'!H45),"",'6.10Ratemaking Data'!H45)</f>
        <v/>
      </c>
      <c r="G73" s="118" t="str">
        <f>IF(ISBLANK('6.10Ratemaking Data'!I45),"",'6.10Ratemaking Data'!I45)</f>
        <v/>
      </c>
      <c r="H73" s="119" t="str">
        <f>IF(RIGHT(Detailed_LineCode10,1)="R",IF(New_Program=TRUE,'6.10Ratemaking Data'!$K$45,SUM($B73:$G73)),"")</f>
        <v/>
      </c>
    </row>
    <row r="74" spans="1:9" hidden="1" x14ac:dyDescent="0.25">
      <c r="A74" s="117" t="s">
        <v>220</v>
      </c>
      <c r="B74" s="118" t="str">
        <f>IF(ISBLANK('6.10Ratemaking Data'!D46),"",'6.10Ratemaking Data'!D46)</f>
        <v/>
      </c>
      <c r="C74" s="118" t="str">
        <f>IF(ISBLANK('6.10Ratemaking Data'!E46),"",'6.10Ratemaking Data'!E46)</f>
        <v/>
      </c>
      <c r="D74" s="118" t="str">
        <f>IF(ISBLANK('6.10Ratemaking Data'!F46),"",'6.10Ratemaking Data'!F46)</f>
        <v/>
      </c>
      <c r="E74" s="118" t="str">
        <f>IF(ISBLANK('6.10Ratemaking Data'!G46),"",'6.10Ratemaking Data'!G46)</f>
        <v/>
      </c>
      <c r="F74" s="118" t="str">
        <f>IF(ISBLANK('6.10Ratemaking Data'!H46),"",'6.10Ratemaking Data'!H46)</f>
        <v/>
      </c>
      <c r="G74" s="118" t="str">
        <f>IF(ISBLANK('6.10Ratemaking Data'!I46),"",'6.10Ratemaking Data'!I46)</f>
        <v/>
      </c>
      <c r="H74" s="119">
        <f>IF(New_Program=TRUE,'6.10Ratemaking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444" t="s">
        <v>654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IF(AND('6.10Ratemaking Data'!Error30="",'6.10Ratemaking Data'!Error31="",'6.10Ratemaking Data'!Error32=""),"","See Column M of Page '6.10Ratemaking Data' for errors that must be corrected.")</f>
        <v/>
      </c>
    </row>
    <row r="80" spans="1:9" ht="26.25" x14ac:dyDescent="0.25">
      <c r="F80" s="657" t="s">
        <v>614</v>
      </c>
      <c r="G80" s="657"/>
      <c r="H80" s="657"/>
    </row>
    <row r="81" spans="1:1" x14ac:dyDescent="0.25">
      <c r="A81" s="132"/>
    </row>
  </sheetData>
  <sheetProtection algorithmName="SHA-512" hashValue="qjjwe7PduG3ew6kRjcEKFnngd2IdNxjl5Z9VhMwZEns63+h9V8A0oiLofJuKQoXJUVXq7DnoAOEFawjV1yx7kQ==" saltValue="YiY8jbEsg/eR/qAg7FwQxQ=="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2" orientation="portrait" r:id="rId1"/>
  <headerFooter>
    <oddFooter>&amp;CPrior Approval Rate Template&amp;RPage 7.10&amp;L1/3/2023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Mutual Automobile Insurance Company</v>
      </c>
      <c r="I1" s="74" t="s">
        <v>711</v>
      </c>
      <c r="J1" s="7"/>
    </row>
    <row r="2" spans="1:16" x14ac:dyDescent="0.25">
      <c r="A2" s="7" t="s">
        <v>32</v>
      </c>
      <c r="B2" s="7"/>
      <c r="C2" s="7"/>
      <c r="E2" s="109" t="s">
        <v>34</v>
      </c>
      <c r="F2" s="109"/>
      <c r="G2" s="109"/>
      <c r="H2" s="110" t="str">
        <f>General_Line</f>
        <v>Auto Liability and Physical Damage</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Detailed_LineDesc01</f>
        <v>Private Passenger Auto Liability</v>
      </c>
      <c r="F7" s="6" t="s">
        <v>1</v>
      </c>
      <c r="H7" s="13" t="str">
        <f>Completed_By</f>
        <v>Laura Campbell</v>
      </c>
      <c r="I7" s="216"/>
    </row>
    <row r="8" spans="1:16" x14ac:dyDescent="0.25">
      <c r="A8" s="6" t="s">
        <v>78</v>
      </c>
      <c r="D8" s="6" t="str">
        <f>Covg01</f>
        <v>BIPD</v>
      </c>
      <c r="F8" s="6" t="s">
        <v>76</v>
      </c>
      <c r="H8" s="52">
        <f>Completed_Date</f>
        <v>44979</v>
      </c>
      <c r="I8" s="217"/>
      <c r="J8" s="156"/>
    </row>
    <row r="9" spans="1:16" x14ac:dyDescent="0.25">
      <c r="A9" s="6" t="s">
        <v>169</v>
      </c>
      <c r="D9" s="52">
        <f>EffDate_Prior01</f>
        <v>45061</v>
      </c>
      <c r="F9" s="6" t="s">
        <v>170</v>
      </c>
      <c r="H9" s="52">
        <f>EffDate_Proposed</f>
        <v>45348</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"&amp;Detailed_LineCode01&amp;" Industry P&amp;C"</f>
        <v>Total 2021 Line 19.2 Industry P&amp;C</v>
      </c>
      <c r="N20" s="153" t="s">
        <v>256</v>
      </c>
    </row>
    <row r="21" spans="1:16" ht="17.25" x14ac:dyDescent="0.25">
      <c r="A21" s="137"/>
      <c r="B21" s="137"/>
      <c r="I21" s="214"/>
      <c r="K21" s="117"/>
      <c r="L21" s="6" t="s">
        <v>289</v>
      </c>
      <c r="M21" s="14">
        <f ca="1">VLOOKUP(Detailed_LineCode01,Table_IncdLossDCCE,2,FALSE)</f>
        <v>87906944</v>
      </c>
      <c r="N21" s="148" t="e">
        <f>VLOOKUP($G$17,$L$16:$N$18,3,FALSE)</f>
        <v>#N/A</v>
      </c>
    </row>
    <row r="22" spans="1:16" ht="18" customHeight="1" thickBot="1" x14ac:dyDescent="0.3">
      <c r="A22" s="137"/>
      <c r="B22" s="81" t="s">
        <v>254</v>
      </c>
      <c r="C22" s="6" t="s">
        <v>299</v>
      </c>
      <c r="G22" s="593" t="e">
        <f>IF(ISBLANK($G$15),NA(),'7.1Rate Change Calculation'!Projected '7.1Rate Change Calculation'!Max_Premium/(('7.1Rate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VLOOKUP(Detailed_LineCode01,Table_IncdLossDCCE,3,FALSE)</f>
        <v>4620018</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ht="15" customHeight="1"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37" t="s">
        <v>733</v>
      </c>
      <c r="D37" s="637"/>
      <c r="E37" s="637"/>
      <c r="G37" s="190"/>
      <c r="I37" s="214"/>
      <c r="O37" s="11"/>
    </row>
    <row r="38" spans="1:16" x14ac:dyDescent="0.25">
      <c r="B38" s="81"/>
      <c r="C38" s="6" t="s">
        <v>734</v>
      </c>
      <c r="D38" s="164"/>
      <c r="E38" s="164"/>
      <c r="G38" s="598"/>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IF(OR(ISBLANK(Curr_LCM),ISBLANK(LossCost_PctChg_Co)),NA(),(1+'7.1Rate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Hno+xTbyX/J3G5PWjj8/DjC+wOuXeDrhQoWG6WOsqXP1q49VRf4eddHdM0BnthrbyRK0TrZ2ud/mL7+EcCkQwA==" saltValue="0ZyS1rgKhrNmcM+49o9J/g==" spinCount="100000" sheet="1" objects="1" scenarios="1" formatColumns="0" formatRows="0" sort="0"/>
  <mergeCells count="2">
    <mergeCell ref="C30:E30"/>
    <mergeCell ref="C37:E37"/>
  </mergeCells>
  <printOptions horizontalCentered="1"/>
  <pageMargins left="0.45" right="0.45" top="0.5" bottom="0.5" header="0.3" footer="0.3"/>
  <pageSetup scale="76" orientation="landscape" r:id="rId1"/>
  <headerFooter>
    <oddFooter>&amp;CPrior Approval Rate Template&amp;RPage 8.1&amp;L1/3/2023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31</v>
      </c>
      <c r="B1" s="7"/>
      <c r="C1" s="7"/>
      <c r="E1" s="109" t="s">
        <v>33</v>
      </c>
      <c r="F1" s="109"/>
      <c r="G1" s="109"/>
      <c r="H1" s="110" t="str">
        <f>Co_Name</f>
        <v>State Farm Mutual Automobile Insurance Company</v>
      </c>
      <c r="I1" s="74" t="s">
        <v>711</v>
      </c>
      <c r="J1" s="7"/>
    </row>
    <row r="2" spans="1:16" x14ac:dyDescent="0.25">
      <c r="A2" s="7" t="s">
        <v>32</v>
      </c>
      <c r="B2" s="7"/>
      <c r="C2" s="7"/>
      <c r="E2" s="109" t="s">
        <v>34</v>
      </c>
      <c r="F2" s="109"/>
      <c r="G2" s="109"/>
      <c r="H2" s="110" t="str">
        <f>General_Line</f>
        <v>Auto Liability and Physical Damage</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Detailed_LineDesc02</f>
        <v>Private Passenger Auto Liability</v>
      </c>
      <c r="F7" s="6" t="s">
        <v>1</v>
      </c>
      <c r="H7" s="13" t="str">
        <f>Completed_By</f>
        <v>Laura Campbell</v>
      </c>
      <c r="I7" s="216"/>
    </row>
    <row r="8" spans="1:16" x14ac:dyDescent="0.25">
      <c r="A8" s="6" t="s">
        <v>78</v>
      </c>
      <c r="D8" s="6" t="str">
        <f>Covg02</f>
        <v>MPC</v>
      </c>
      <c r="F8" s="6" t="s">
        <v>76</v>
      </c>
      <c r="H8" s="52">
        <f>Completed_Date</f>
        <v>44979</v>
      </c>
      <c r="I8" s="217"/>
      <c r="J8" s="156"/>
    </row>
    <row r="9" spans="1:16" x14ac:dyDescent="0.25">
      <c r="A9" s="6" t="s">
        <v>169</v>
      </c>
      <c r="D9" s="52">
        <f>EffDate_Prior02</f>
        <v>45061</v>
      </c>
      <c r="F9" s="6" t="s">
        <v>170</v>
      </c>
      <c r="H9" s="52">
        <f>EffDate_Proposed</f>
        <v>45348</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"&amp;Detailed_LineCode02&amp;" Industry P&amp;C"</f>
        <v>Total 2021 Line 19.2 Industry P&amp;C</v>
      </c>
      <c r="N20" s="153" t="s">
        <v>256</v>
      </c>
    </row>
    <row r="21" spans="1:16" ht="17.25" x14ac:dyDescent="0.25">
      <c r="A21" s="137"/>
      <c r="B21" s="137"/>
      <c r="I21" s="214"/>
      <c r="K21" s="117"/>
      <c r="L21" s="6" t="s">
        <v>289</v>
      </c>
      <c r="M21" s="14">
        <f ca="1">VLOOKUP(Detailed_LineCode02,Table_IncdLossDCCE,2,FALSE)</f>
        <v>87906944</v>
      </c>
      <c r="N21" s="148" t="e">
        <f>VLOOKUP($G$17,$L$16:$N$18,3,FALSE)</f>
        <v>#N/A</v>
      </c>
    </row>
    <row r="22" spans="1:16" ht="18" customHeight="1" thickBot="1" x14ac:dyDescent="0.3">
      <c r="A22" s="137"/>
      <c r="B22" s="81" t="s">
        <v>254</v>
      </c>
      <c r="C22" s="6" t="s">
        <v>299</v>
      </c>
      <c r="G22" s="593" t="e">
        <f>IF(ISBLANK($G$15),NA(),'7.2Rate Change Calculation'!Projected '7.2Rate Change Calculation'!Max_Premium/(('7.2Rate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VLOOKUP(Detailed_LineCode02,Table_IncdLossDCCE,3,FALSE)</f>
        <v>4620018</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IF(OR(ISBLANK(Curr_LCM),ISBLANK(LossCost_PctChg_Co)),NA(),(1+'7.2Rate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RLFlaXi/Z6brJz2fTyVFs2GO+p2HVtWlTIEiN4sJlEdlBRWBld11TuvSVuZGWFVGidKl2I0OxBT96xuKxUAa2g==" saltValue="f6fMJ4EAyCrFHrl4x0JEF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8.2&amp;L1/3/2023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31</v>
      </c>
      <c r="B1" s="7"/>
      <c r="C1" s="7"/>
      <c r="E1" s="109" t="s">
        <v>33</v>
      </c>
      <c r="F1" s="109"/>
      <c r="G1" s="109"/>
      <c r="H1" s="110" t="str">
        <f>Co_Name</f>
        <v>State Farm Mutual Automobile Insurance Company</v>
      </c>
      <c r="I1" s="74" t="s">
        <v>711</v>
      </c>
      <c r="J1" s="7"/>
    </row>
    <row r="2" spans="1:16" x14ac:dyDescent="0.25">
      <c r="A2" s="7" t="s">
        <v>32</v>
      </c>
      <c r="B2" s="7"/>
      <c r="C2" s="7"/>
      <c r="E2" s="109" t="s">
        <v>34</v>
      </c>
      <c r="F2" s="109"/>
      <c r="G2" s="109"/>
      <c r="H2" s="110" t="str">
        <f>General_Line</f>
        <v>Auto Liability and Physical Damage</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Detailed_LineDesc03</f>
        <v>Private Passenger Auto Liability</v>
      </c>
      <c r="F7" s="6" t="s">
        <v>1</v>
      </c>
      <c r="H7" s="13" t="str">
        <f>Completed_By</f>
        <v>Laura Campbell</v>
      </c>
      <c r="I7" s="216"/>
    </row>
    <row r="8" spans="1:16" x14ac:dyDescent="0.25">
      <c r="A8" s="6" t="s">
        <v>78</v>
      </c>
      <c r="D8" s="6" t="str">
        <f>Covg03</f>
        <v>UM</v>
      </c>
      <c r="F8" s="6" t="s">
        <v>76</v>
      </c>
      <c r="H8" s="52">
        <f>Completed_Date</f>
        <v>44979</v>
      </c>
      <c r="I8" s="217"/>
      <c r="J8" s="156"/>
    </row>
    <row r="9" spans="1:16" x14ac:dyDescent="0.25">
      <c r="A9" s="6" t="s">
        <v>169</v>
      </c>
      <c r="D9" s="52">
        <f>EffDate_Prior03</f>
        <v>45061</v>
      </c>
      <c r="F9" s="6" t="s">
        <v>170</v>
      </c>
      <c r="H9" s="52">
        <f>EffDate_Proposed</f>
        <v>45348</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"&amp;Detailed_LineCode03&amp;" Industry P&amp;C"</f>
        <v>Total 2021 Line 19.2 Industry P&amp;C</v>
      </c>
      <c r="N20" s="153" t="s">
        <v>256</v>
      </c>
    </row>
    <row r="21" spans="1:16" ht="17.25" x14ac:dyDescent="0.25">
      <c r="A21" s="137"/>
      <c r="B21" s="137"/>
      <c r="I21" s="214"/>
      <c r="K21" s="117"/>
      <c r="L21" s="6" t="s">
        <v>289</v>
      </c>
      <c r="M21" s="14">
        <f ca="1">VLOOKUP(Detailed_LineCode03,Table_IncdLossDCCE,2,FALSE)</f>
        <v>87906944</v>
      </c>
      <c r="N21" s="148" t="e">
        <f>VLOOKUP($G$17,$L$16:$N$18,3,FALSE)</f>
        <v>#N/A</v>
      </c>
    </row>
    <row r="22" spans="1:16" ht="18" customHeight="1" thickBot="1" x14ac:dyDescent="0.3">
      <c r="A22" s="137"/>
      <c r="B22" s="81" t="s">
        <v>254</v>
      </c>
      <c r="C22" s="6" t="s">
        <v>299</v>
      </c>
      <c r="G22" s="593" t="e">
        <f>IF(ISBLANK($G$15),NA(),'7.3Rate Change Calculation'!Projected '7.3Rate Change Calculation'!Max_Premium/(('7.3Rate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VLOOKUP(Detailed_LineCode03,Table_IncdLossDCCE,3,FALSE)</f>
        <v>4620018</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IF(OR(ISBLANK(Curr_LCM),ISBLANK(LossCost_PctChg_Co)),NA(),(1+'7.3Rate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u1ObGwzRGUce+4lkAtrq53o5WEBEzbmGwSsvCOg2e4yQ68NUH+DQ21nRp4qCdVAVmRmpIRJPHmhsQI4St1zo1Q==" saltValue="Ljt1lMoxsTRh/+5Coc0eP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8.3&amp;L1/3/2023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Mutual Automobile Insurance Company</v>
      </c>
      <c r="I1" s="74" t="s">
        <v>711</v>
      </c>
      <c r="J1" s="7"/>
    </row>
    <row r="2" spans="1:16" x14ac:dyDescent="0.25">
      <c r="A2" s="7" t="s">
        <v>32</v>
      </c>
      <c r="B2" s="7"/>
      <c r="C2" s="7"/>
      <c r="E2" s="109" t="s">
        <v>34</v>
      </c>
      <c r="F2" s="109"/>
      <c r="G2" s="109"/>
      <c r="H2" s="110" t="str">
        <f>General_Line</f>
        <v>Auto Liability and Physical Damage</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Detailed_LineDesc04</f>
        <v>Private Passenger Auto Physical Damage</v>
      </c>
      <c r="F7" s="6" t="s">
        <v>1</v>
      </c>
      <c r="H7" s="13" t="str">
        <f>Completed_By</f>
        <v>Laura Campbell</v>
      </c>
      <c r="I7" s="216"/>
    </row>
    <row r="8" spans="1:16" x14ac:dyDescent="0.25">
      <c r="A8" s="6" t="s">
        <v>78</v>
      </c>
      <c r="D8" s="6" t="str">
        <f>Covg04</f>
        <v>COMP</v>
      </c>
      <c r="F8" s="6" t="s">
        <v>76</v>
      </c>
      <c r="H8" s="52">
        <f>Completed_Date</f>
        <v>44979</v>
      </c>
      <c r="I8" s="217"/>
      <c r="J8" s="156"/>
    </row>
    <row r="9" spans="1:16" x14ac:dyDescent="0.25">
      <c r="A9" s="6" t="s">
        <v>169</v>
      </c>
      <c r="D9" s="52">
        <f>EffDate_Prior04</f>
        <v>45061</v>
      </c>
      <c r="F9" s="6" t="s">
        <v>170</v>
      </c>
      <c r="H9" s="52">
        <f>EffDate_Proposed</f>
        <v>45348</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"&amp;Detailed_LineCode04&amp;" Industry P&amp;C"</f>
        <v>Total 2021 Line 21.1 Industry P&amp;C</v>
      </c>
      <c r="N20" s="153" t="s">
        <v>256</v>
      </c>
    </row>
    <row r="21" spans="1:16" ht="17.25" x14ac:dyDescent="0.25">
      <c r="A21" s="137"/>
      <c r="B21" s="137"/>
      <c r="I21" s="214"/>
      <c r="K21" s="117"/>
      <c r="L21" s="6" t="s">
        <v>289</v>
      </c>
      <c r="M21" s="14">
        <f ca="1">VLOOKUP(Detailed_LineCode04,Table_IncdLossDCCE,2,FALSE)</f>
        <v>76204554</v>
      </c>
      <c r="N21" s="148" t="e">
        <f>VLOOKUP($G$17,$L$16:$N$18,3,FALSE)</f>
        <v>#N/A</v>
      </c>
    </row>
    <row r="22" spans="1:16" ht="18" customHeight="1" thickBot="1" x14ac:dyDescent="0.3">
      <c r="A22" s="137"/>
      <c r="B22" s="81" t="s">
        <v>254</v>
      </c>
      <c r="C22" s="6" t="s">
        <v>299</v>
      </c>
      <c r="G22" s="593" t="e">
        <f>IF(ISBLANK($G$15),NA(),'7.4Rate Change Calculation'!Projected '7.4Rate Change Calculation'!Max_Premium/(('7.4Rate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VLOOKUP(Detailed_LineCode04,Table_IncdLossDCCE,3,FALSE)</f>
        <v>338826</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IF(OR(ISBLANK(Curr_LCM),ISBLANK(LossCost_PctChg_Co)),NA(),(1+'7.4Rate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G7ruFlxeJydXpJNxQXdoFf2f0FrRZIYge8xKbh4D+8piqXWucvebHHBbRVQMBhW7XuuJS7eVG2ew3ovYs6jD2g==" saltValue="+ubA1ZU9vv5ADj80oVSLn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8.4&amp;L1/3/2023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Mutual Automobile Insurance Company</v>
      </c>
      <c r="I1" s="74" t="s">
        <v>711</v>
      </c>
      <c r="J1" s="7"/>
    </row>
    <row r="2" spans="1:16" x14ac:dyDescent="0.25">
      <c r="A2" s="7" t="s">
        <v>32</v>
      </c>
      <c r="B2" s="7"/>
      <c r="C2" s="7"/>
      <c r="E2" s="109" t="s">
        <v>34</v>
      </c>
      <c r="F2" s="109"/>
      <c r="G2" s="109"/>
      <c r="H2" s="110" t="str">
        <f>General_Line</f>
        <v>Auto Liability and Physical Damage</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Detailed_LineDesc05</f>
        <v>Private Passenger Auto Physical Damage</v>
      </c>
      <c r="F7" s="6" t="s">
        <v>1</v>
      </c>
      <c r="H7" s="13" t="str">
        <f>Completed_By</f>
        <v>Laura Campbell</v>
      </c>
      <c r="I7" s="216"/>
    </row>
    <row r="8" spans="1:16" x14ac:dyDescent="0.25">
      <c r="A8" s="6" t="s">
        <v>78</v>
      </c>
      <c r="D8" s="6" t="str">
        <f>Covg05</f>
        <v>COLL</v>
      </c>
      <c r="F8" s="6" t="s">
        <v>76</v>
      </c>
      <c r="H8" s="52">
        <f>Completed_Date</f>
        <v>44979</v>
      </c>
      <c r="I8" s="217"/>
      <c r="J8" s="156"/>
    </row>
    <row r="9" spans="1:16" x14ac:dyDescent="0.25">
      <c r="A9" s="6" t="s">
        <v>169</v>
      </c>
      <c r="D9" s="52">
        <f>EffDate_Prior05</f>
        <v>45061</v>
      </c>
      <c r="F9" s="6" t="s">
        <v>170</v>
      </c>
      <c r="H9" s="52">
        <f>EffDate_Proposed</f>
        <v>45348</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"&amp;Detailed_LineCode05&amp;" Industry P&amp;C"</f>
        <v>Total 2021 Line 21.1 Industry P&amp;C</v>
      </c>
      <c r="N20" s="153" t="s">
        <v>256</v>
      </c>
    </row>
    <row r="21" spans="1:16" ht="17.25" x14ac:dyDescent="0.25">
      <c r="A21" s="137"/>
      <c r="B21" s="137"/>
      <c r="I21" s="214"/>
      <c r="K21" s="117"/>
      <c r="L21" s="6" t="s">
        <v>289</v>
      </c>
      <c r="M21" s="14">
        <f ca="1">VLOOKUP(Detailed_LineCode05,Table_IncdLossDCCE,2,FALSE)</f>
        <v>76204554</v>
      </c>
      <c r="N21" s="148" t="e">
        <f>VLOOKUP($G$17,$L$16:$N$18,3,FALSE)</f>
        <v>#N/A</v>
      </c>
    </row>
    <row r="22" spans="1:16" ht="18" customHeight="1" thickBot="1" x14ac:dyDescent="0.3">
      <c r="A22" s="137"/>
      <c r="B22" s="81" t="s">
        <v>254</v>
      </c>
      <c r="C22" s="6" t="s">
        <v>299</v>
      </c>
      <c r="G22" s="593" t="e">
        <f>IF(ISBLANK($G$15),NA(),'7.5Rate Change Calculation'!Projected '7.5Rate Change Calculation'!Max_Premium/(('7.5Rate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VLOOKUP(Detailed_LineCode05,Table_IncdLossDCCE,3,FALSE)</f>
        <v>338826</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IF(OR(ISBLANK(Curr_LCM),ISBLANK(LossCost_PctChg_Co)),NA(),(1+'7.5Rate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0yB6epxE7ieIDE76KXytzyMoIUSTPlF/wGRzAN/J2WCrE7GK/ACTbTLaO4HSJwXTWLYKifEBgEHvNYCwNbmr/Q==" saltValue="2Rtr5dPeHiVa1G3QvB0ad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8.5&amp;L1/3/2023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Mutual Automobile Insurance Company</v>
      </c>
      <c r="I1" s="74" t="s">
        <v>711</v>
      </c>
      <c r="J1" s="7"/>
    </row>
    <row r="2" spans="1:16" x14ac:dyDescent="0.25">
      <c r="A2" s="7" t="s">
        <v>32</v>
      </c>
      <c r="B2" s="7"/>
      <c r="C2" s="7"/>
      <c r="E2" s="109" t="s">
        <v>34</v>
      </c>
      <c r="F2" s="109"/>
      <c r="G2" s="109"/>
      <c r="H2" s="110" t="str">
        <f>General_Line</f>
        <v>Auto Liability and Physical Damage</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Detailed_LineDesc06</f>
        <v>Private Passenger Auto Physical Damage</v>
      </c>
      <c r="F7" s="6" t="s">
        <v>1</v>
      </c>
      <c r="H7" s="13" t="str">
        <f>Completed_By</f>
        <v>Laura Campbell</v>
      </c>
      <c r="I7" s="216"/>
    </row>
    <row r="8" spans="1:16" x14ac:dyDescent="0.25">
      <c r="A8" s="6" t="s">
        <v>78</v>
      </c>
      <c r="D8" s="6" t="str">
        <f>Covg06</f>
        <v>Misc. Damage</v>
      </c>
      <c r="F8" s="6" t="s">
        <v>76</v>
      </c>
      <c r="H8" s="52">
        <f>Completed_Date</f>
        <v>44979</v>
      </c>
      <c r="I8" s="217"/>
      <c r="J8" s="156"/>
    </row>
    <row r="9" spans="1:16" x14ac:dyDescent="0.25">
      <c r="A9" s="6" t="s">
        <v>169</v>
      </c>
      <c r="D9" s="52">
        <f>EffDate_Prior06</f>
        <v>45061</v>
      </c>
      <c r="F9" s="6" t="s">
        <v>170</v>
      </c>
      <c r="H9" s="52">
        <f>EffDate_Proposed</f>
        <v>45348</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"&amp;Detailed_LineCode06&amp;" Industry P&amp;C"</f>
        <v>Total 2021 Line 21.1 Industry P&amp;C</v>
      </c>
      <c r="N20" s="153" t="s">
        <v>256</v>
      </c>
    </row>
    <row r="21" spans="1:16" ht="17.25" x14ac:dyDescent="0.25">
      <c r="A21" s="137"/>
      <c r="B21" s="137"/>
      <c r="I21" s="214"/>
      <c r="K21" s="117"/>
      <c r="L21" s="6" t="s">
        <v>289</v>
      </c>
      <c r="M21" s="14">
        <f ca="1">VLOOKUP(Detailed_LineCode06,Table_IncdLossDCCE,2,FALSE)</f>
        <v>76204554</v>
      </c>
      <c r="N21" s="148" t="e">
        <f>VLOOKUP($G$17,$L$16:$N$18,3,FALSE)</f>
        <v>#N/A</v>
      </c>
    </row>
    <row r="22" spans="1:16" ht="18" customHeight="1" thickBot="1" x14ac:dyDescent="0.3">
      <c r="A22" s="137"/>
      <c r="B22" s="81" t="s">
        <v>254</v>
      </c>
      <c r="C22" s="6" t="s">
        <v>299</v>
      </c>
      <c r="G22" s="593" t="e">
        <f>IF(ISBLANK($G$15),NA(),'7.6Rate Change Calculation'!Projected '7.6Rate Change Calculation'!Max_Premium/(('7.6Rate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VLOOKUP(Detailed_LineCode06,Table_IncdLossDCCE,3,FALSE)</f>
        <v>338826</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IF(OR(ISBLANK(Curr_LCM),ISBLANK(LossCost_PctChg_Co)),NA(),(1+'7.6Rate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6pC1b4b8Sehl2+Lf3pNox46Q7cq9f1EMOtf9t8WVwmA9P0vvHfzXnVKrMda+98WWxzKHoDf5UGrBH6qvfuPVIg==" saltValue="5C/EZ1q71tTidlAigSTf1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8.6&amp;L1/3/2023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Mutual Automobile Insurance Company</v>
      </c>
      <c r="I1" s="74" t="s">
        <v>711</v>
      </c>
      <c r="J1" s="7"/>
    </row>
    <row r="2" spans="1:16" x14ac:dyDescent="0.25">
      <c r="A2" s="7" t="s">
        <v>32</v>
      </c>
      <c r="B2" s="7"/>
      <c r="C2" s="7"/>
      <c r="E2" s="109" t="s">
        <v>34</v>
      </c>
      <c r="F2" s="109"/>
      <c r="G2" s="109"/>
      <c r="H2" s="110" t="str">
        <f>General_Line</f>
        <v>Auto Liability and Physical Damage</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Detailed_LineDesc07</f>
        <v>Private Passenger Auto Liability</v>
      </c>
      <c r="F7" s="6" t="s">
        <v>1</v>
      </c>
      <c r="H7" s="13" t="str">
        <f>Completed_By</f>
        <v>Laura Campbell</v>
      </c>
      <c r="I7" s="216"/>
    </row>
    <row r="8" spans="1:16" x14ac:dyDescent="0.25">
      <c r="A8" s="6" t="s">
        <v>78</v>
      </c>
      <c r="D8" s="6" t="str">
        <f>Covg07</f>
        <v>Misc. Liability</v>
      </c>
      <c r="F8" s="6" t="s">
        <v>76</v>
      </c>
      <c r="H8" s="52">
        <f>Completed_Date</f>
        <v>44979</v>
      </c>
      <c r="I8" s="217"/>
      <c r="J8" s="156"/>
    </row>
    <row r="9" spans="1:16" x14ac:dyDescent="0.25">
      <c r="A9" s="6" t="s">
        <v>169</v>
      </c>
      <c r="D9" s="52">
        <f>EffDate_Prior07</f>
        <v>45061</v>
      </c>
      <c r="F9" s="6" t="s">
        <v>170</v>
      </c>
      <c r="H9" s="52">
        <f>EffDate_Proposed</f>
        <v>45348</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"&amp;Detailed_LineCode07&amp;" Industry P&amp;C"</f>
        <v>Total 2021 Line 19.2 Industry P&amp;C</v>
      </c>
      <c r="N20" s="153" t="s">
        <v>256</v>
      </c>
    </row>
    <row r="21" spans="1:16" ht="17.25" x14ac:dyDescent="0.25">
      <c r="A21" s="137"/>
      <c r="B21" s="137"/>
      <c r="I21" s="214"/>
      <c r="K21" s="117"/>
      <c r="L21" s="6" t="s">
        <v>289</v>
      </c>
      <c r="M21" s="14">
        <f ca="1">VLOOKUP(Detailed_LineCode07,Table_IncdLossDCCE,2,FALSE)</f>
        <v>87906944</v>
      </c>
      <c r="N21" s="148" t="e">
        <f>VLOOKUP($G$17,$L$16:$N$18,3,FALSE)</f>
        <v>#N/A</v>
      </c>
    </row>
    <row r="22" spans="1:16" ht="18" customHeight="1" thickBot="1" x14ac:dyDescent="0.3">
      <c r="A22" s="137"/>
      <c r="B22" s="81" t="s">
        <v>254</v>
      </c>
      <c r="C22" s="6" t="s">
        <v>299</v>
      </c>
      <c r="G22" s="593" t="e">
        <f>IF(ISBLANK($G$15),NA(),'7.7Rate Change Calculation'!Projected '7.7Rate Change Calculation'!Max_Premium/(('7.7Rate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VLOOKUP(Detailed_LineCode07,Table_IncdLossDCCE,3,FALSE)</f>
        <v>4620018</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IF(OR(ISBLANK(Curr_LCM),ISBLANK(LossCost_PctChg_Co)),NA(),(1+'7.7Rate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W4AuNKfGbDCO57zuDffzuAfqUNywhp8H322BLpIrpdARxhkZBZdD4tk9u953BXqcwVx70qs9PpcFS55mOr6J3w==" saltValue="BJ+ATkYBtQlY/MZlyH/dj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8.7&amp;L1/3/2023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Mutual Automobile Insurance Company</v>
      </c>
      <c r="I1" s="74" t="s">
        <v>711</v>
      </c>
      <c r="J1" s="7"/>
    </row>
    <row r="2" spans="1:16" x14ac:dyDescent="0.25">
      <c r="A2" s="7" t="s">
        <v>32</v>
      </c>
      <c r="B2" s="7"/>
      <c r="C2" s="7"/>
      <c r="E2" s="109" t="s">
        <v>34</v>
      </c>
      <c r="F2" s="109"/>
      <c r="G2" s="109"/>
      <c r="H2" s="110" t="str">
        <f>General_Line</f>
        <v>Auto Liability and Physical Damage</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Detailed_LineDesc08</f>
        <v/>
      </c>
      <c r="F7" s="6" t="s">
        <v>1</v>
      </c>
      <c r="H7" s="13" t="str">
        <f>Completed_By</f>
        <v>Laura Campbell</v>
      </c>
      <c r="I7" s="216"/>
    </row>
    <row r="8" spans="1:16" x14ac:dyDescent="0.25">
      <c r="A8" s="6" t="s">
        <v>78</v>
      </c>
      <c r="D8" s="6" t="str">
        <f>Covg08</f>
        <v/>
      </c>
      <c r="F8" s="6" t="s">
        <v>76</v>
      </c>
      <c r="H8" s="52">
        <f>Completed_Date</f>
        <v>44979</v>
      </c>
      <c r="I8" s="217"/>
      <c r="J8" s="156"/>
    </row>
    <row r="9" spans="1:16" x14ac:dyDescent="0.25">
      <c r="A9" s="6" t="s">
        <v>169</v>
      </c>
      <c r="D9" s="52" t="str">
        <f>EffDate_Prior08</f>
        <v/>
      </c>
      <c r="F9" s="6" t="s">
        <v>170</v>
      </c>
      <c r="H9" s="52">
        <f>EffDate_Proposed</f>
        <v>45348</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"&amp;Detailed_LineCode08&amp;" Industry P&amp;C"</f>
        <v>Total 2021 Line  Industry P&amp;C</v>
      </c>
      <c r="N20" s="153" t="s">
        <v>256</v>
      </c>
    </row>
    <row r="21" spans="1:16" ht="17.25" x14ac:dyDescent="0.25">
      <c r="A21" s="137"/>
      <c r="B21" s="137"/>
      <c r="I21" s="214"/>
      <c r="K21" s="117"/>
      <c r="L21" s="6" t="s">
        <v>289</v>
      </c>
      <c r="M21" s="14" t="e">
        <f>VLOOKUP(Detailed_LineCode08,Table_IncdLossDCCE,2,FALSE)</f>
        <v>#N/A</v>
      </c>
      <c r="N21" s="148" t="e">
        <f>VLOOKUP($G$17,$L$16:$N$18,3,FALSE)</f>
        <v>#N/A</v>
      </c>
    </row>
    <row r="22" spans="1:16" ht="18" customHeight="1" thickBot="1" x14ac:dyDescent="0.3">
      <c r="A22" s="137"/>
      <c r="B22" s="81" t="s">
        <v>254</v>
      </c>
      <c r="C22" s="6" t="s">
        <v>299</v>
      </c>
      <c r="G22" s="593" t="e">
        <f>IF(ISBLANK($G$15),NA(),'7.8Rate Change Calculation'!Projected '7.8Rate Change Calculation'!Max_Premium/(('7.8Rate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VLOOKUP(Detailed_LineCode08,Table_IncdLossDCCE,3,FALSE)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IF(OR(ISBLANK(Curr_LCM),ISBLANK(LossCost_PctChg_Co)),NA(),(1+'7.8Rate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7zPtMV6Rv0o420kjbW+kXpCy+6icYA1A+Z2jF3DCC8lI/3YF3k2Z8zzN+JUKZCQF04bYJJKa86YWqr8YEAjvcw==" saltValue="GtuNix6s4soTkF9MalwXE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8.8&amp;L1/3/2023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Mutual Automobile Insurance Company</v>
      </c>
      <c r="I1" s="74" t="s">
        <v>711</v>
      </c>
      <c r="J1" s="7"/>
    </row>
    <row r="2" spans="1:16" x14ac:dyDescent="0.25">
      <c r="A2" s="7" t="s">
        <v>32</v>
      </c>
      <c r="B2" s="7"/>
      <c r="C2" s="7"/>
      <c r="E2" s="109" t="s">
        <v>34</v>
      </c>
      <c r="F2" s="109"/>
      <c r="G2" s="109"/>
      <c r="H2" s="110" t="str">
        <f>General_Line</f>
        <v>Auto Liability and Physical Damage</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Detailed_LineDesc09</f>
        <v/>
      </c>
      <c r="F7" s="6" t="s">
        <v>1</v>
      </c>
      <c r="H7" s="13" t="str">
        <f>Completed_By</f>
        <v>Laura Campbell</v>
      </c>
      <c r="I7" s="216"/>
    </row>
    <row r="8" spans="1:16" x14ac:dyDescent="0.25">
      <c r="A8" s="6" t="s">
        <v>78</v>
      </c>
      <c r="D8" s="6" t="str">
        <f>Covg09</f>
        <v/>
      </c>
      <c r="F8" s="6" t="s">
        <v>76</v>
      </c>
      <c r="H8" s="52">
        <f>Completed_Date</f>
        <v>44979</v>
      </c>
      <c r="I8" s="217"/>
      <c r="J8" s="156"/>
    </row>
    <row r="9" spans="1:16" x14ac:dyDescent="0.25">
      <c r="A9" s="6" t="s">
        <v>169</v>
      </c>
      <c r="D9" s="52" t="str">
        <f>EffDate_Prior09</f>
        <v/>
      </c>
      <c r="F9" s="6" t="s">
        <v>170</v>
      </c>
      <c r="H9" s="52">
        <f>EffDate_Proposed</f>
        <v>45348</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"&amp;Detailed_LineCode09&amp;" Industry P&amp;C"</f>
        <v>Total 2021 Line  Industry P&amp;C</v>
      </c>
      <c r="N20" s="153" t="s">
        <v>256</v>
      </c>
    </row>
    <row r="21" spans="1:16" ht="17.25" x14ac:dyDescent="0.25">
      <c r="A21" s="137"/>
      <c r="B21" s="137"/>
      <c r="I21" s="214"/>
      <c r="K21" s="117"/>
      <c r="L21" s="6" t="s">
        <v>289</v>
      </c>
      <c r="M21" s="14" t="e">
        <f>VLOOKUP(Detailed_LineCode09,Table_IncdLossDCCE,2,FALSE)</f>
        <v>#N/A</v>
      </c>
      <c r="N21" s="148" t="e">
        <f>VLOOKUP($G$17,$L$16:$N$18,3,FALSE)</f>
        <v>#N/A</v>
      </c>
    </row>
    <row r="22" spans="1:16" ht="18" customHeight="1" thickBot="1" x14ac:dyDescent="0.3">
      <c r="A22" s="137"/>
      <c r="B22" s="81" t="s">
        <v>254</v>
      </c>
      <c r="C22" s="6" t="s">
        <v>299</v>
      </c>
      <c r="G22" s="593" t="e">
        <f>IF(ISBLANK($G$15),NA(),'7.9Rate Change Calculation'!Projected '7.9Rate Change Calculation'!Max_Premium/(('7.9Rate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VLOOKUP(Detailed_LineCode09,Table_IncdLossDCCE,3,FALSE)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IF(OR(ISBLANK(Curr_LCM),ISBLANK(LossCost_PctChg_Co)),NA(),(1+'7.9Rate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lQ+iOp8LFUJf9Y38WVlO+tsAYKsRrrvFWNmQlgSDwVlSaK37Fou0/FEvJs+4Rf+bjvDKFC5h3CkQNk9l2gL9pg==" saltValue="qrUy4YVvlxhchuQLyHiOq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8.9&amp;L1/3/2023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Mutual Automobile Insurance Company</v>
      </c>
      <c r="I1" s="74" t="s">
        <v>711</v>
      </c>
      <c r="J1" s="7"/>
    </row>
    <row r="2" spans="1:16" x14ac:dyDescent="0.25">
      <c r="A2" s="7" t="s">
        <v>32</v>
      </c>
      <c r="B2" s="7"/>
      <c r="C2" s="7"/>
      <c r="E2" s="109" t="s">
        <v>34</v>
      </c>
      <c r="F2" s="109"/>
      <c r="G2" s="109"/>
      <c r="H2" s="110" t="str">
        <f>General_Line</f>
        <v>Auto Liability and Physical Damage</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Detailed_LineDesc10</f>
        <v/>
      </c>
      <c r="F7" s="6" t="s">
        <v>1</v>
      </c>
      <c r="H7" s="13" t="str">
        <f>Completed_By</f>
        <v>Laura Campbell</v>
      </c>
      <c r="I7" s="216"/>
    </row>
    <row r="8" spans="1:16" x14ac:dyDescent="0.25">
      <c r="A8" s="6" t="s">
        <v>78</v>
      </c>
      <c r="D8" s="6" t="str">
        <f>Covg10</f>
        <v/>
      </c>
      <c r="F8" s="6" t="s">
        <v>76</v>
      </c>
      <c r="H8" s="52">
        <f>Completed_Date</f>
        <v>44979</v>
      </c>
      <c r="I8" s="217"/>
      <c r="J8" s="156"/>
    </row>
    <row r="9" spans="1:16" x14ac:dyDescent="0.25">
      <c r="A9" s="6" t="s">
        <v>169</v>
      </c>
      <c r="D9" s="52" t="str">
        <f>EffDate_Prior10</f>
        <v/>
      </c>
      <c r="F9" s="6" t="s">
        <v>170</v>
      </c>
      <c r="H9" s="52">
        <f>EffDate_Proposed</f>
        <v>45348</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"&amp;Detailed_LineCode10&amp;" Industry P&amp;C"</f>
        <v>Total 2021 Line  Industry P&amp;C</v>
      </c>
      <c r="N20" s="153" t="s">
        <v>256</v>
      </c>
    </row>
    <row r="21" spans="1:16" ht="17.25" x14ac:dyDescent="0.25">
      <c r="A21" s="137"/>
      <c r="B21" s="137"/>
      <c r="I21" s="214"/>
      <c r="K21" s="117"/>
      <c r="L21" s="6" t="s">
        <v>289</v>
      </c>
      <c r="M21" s="14" t="e">
        <f>VLOOKUP(Detailed_LineCode10,Table_IncdLossDCCE,2,FALSE)</f>
        <v>#N/A</v>
      </c>
      <c r="N21" s="148" t="e">
        <f>VLOOKUP($G$17,$L$16:$N$18,3,FALSE)</f>
        <v>#N/A</v>
      </c>
    </row>
    <row r="22" spans="1:16" ht="18" customHeight="1" thickBot="1" x14ac:dyDescent="0.3">
      <c r="A22" s="137"/>
      <c r="B22" s="81" t="s">
        <v>254</v>
      </c>
      <c r="C22" s="6" t="s">
        <v>299</v>
      </c>
      <c r="G22" s="593" t="e">
        <f>IF(ISBLANK($G$15),NA(),'7.10Rate Change Calculation'!Projected '7.10Rate Change Calculation'!Max_Premium/(('7.10Rate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VLOOKUP(Detailed_LineCode10,Table_IncdLossDCCE,3,FALSE)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ht="18" customHeight="1"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IF(OR(ISBLANK(Curr_LCM),ISBLANK(LossCost_PctChg_Co)),NA(),(1+'7.10Rate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214"/>
      <c r="O42" s="11"/>
    </row>
    <row r="43" spans="1:16" ht="15.75" thickBot="1" x14ac:dyDescent="0.3">
      <c r="I43" s="401"/>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yZxSZjQVjhf5VQmaF531zuZ7/Suzr6E1u3x84nj/qMYtRqbetkg40jTgeqjQz/FMwyF/NQA+xF3ZTcm9wIsFsA==" saltValue="B6iR0gfKBSvY7yfL2FE1d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8.10&amp;L1/3/2023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6"/>
  <sheetViews>
    <sheetView view="pageBreakPreview" zoomScaleNormal="100" zoomScaleSheetLayoutView="100" workbookViewId="0">
      <selection activeCell="B5" sqref="B5"/>
    </sheetView>
  </sheetViews>
  <sheetFormatPr defaultColWidth="9.140625" defaultRowHeight="15" x14ac:dyDescent="0.25"/>
  <cols>
    <col min="1" max="1" width="17.28515625" customWidth="1"/>
    <col min="2" max="4" width="15.7109375" customWidth="1"/>
    <col min="5" max="5" width="54.7109375" bestFit="1" customWidth="1"/>
  </cols>
  <sheetData>
    <row r="1" spans="1:8" ht="18.75" x14ac:dyDescent="0.25">
      <c r="A1" s="67" t="s">
        <v>126</v>
      </c>
      <c r="B1" s="57"/>
      <c r="C1" s="65"/>
      <c r="D1" s="65"/>
      <c r="E1" s="6"/>
      <c r="F1" s="6"/>
    </row>
    <row r="2" spans="1:8" x14ac:dyDescent="0.25">
      <c r="A2" s="56" t="s">
        <v>123</v>
      </c>
      <c r="B2" s="448" t="s">
        <v>121</v>
      </c>
      <c r="C2" s="65"/>
      <c r="D2" s="65"/>
      <c r="E2" s="6"/>
      <c r="F2" s="6"/>
    </row>
    <row r="3" spans="1:8" x14ac:dyDescent="0.25">
      <c r="A3" s="56"/>
      <c r="B3" s="448" t="s">
        <v>313</v>
      </c>
      <c r="C3" s="65"/>
      <c r="D3" s="65"/>
      <c r="E3" s="6"/>
      <c r="F3" s="6"/>
    </row>
    <row r="4" spans="1:8" x14ac:dyDescent="0.25">
      <c r="A4" s="56" t="s">
        <v>127</v>
      </c>
      <c r="B4" s="449">
        <v>2020</v>
      </c>
      <c r="C4" s="65"/>
      <c r="D4" s="65"/>
      <c r="E4" s="6"/>
      <c r="F4" s="6"/>
    </row>
    <row r="5" spans="1:8" x14ac:dyDescent="0.25">
      <c r="A5" s="56" t="s">
        <v>122</v>
      </c>
      <c r="B5" s="448" t="s">
        <v>294</v>
      </c>
      <c r="C5" s="65"/>
      <c r="D5" s="65"/>
      <c r="E5" s="6"/>
      <c r="F5" s="6"/>
    </row>
    <row r="6" spans="1:8" x14ac:dyDescent="0.25">
      <c r="A6" s="56" t="s">
        <v>128</v>
      </c>
      <c r="B6" s="450">
        <v>44551</v>
      </c>
      <c r="C6" s="65"/>
      <c r="D6" s="65"/>
      <c r="E6" s="6"/>
      <c r="F6" s="6"/>
    </row>
    <row r="7" spans="1:8" x14ac:dyDescent="0.25">
      <c r="A7" s="56"/>
      <c r="B7" s="59"/>
      <c r="C7" s="65"/>
      <c r="D7" s="65"/>
      <c r="E7" s="6"/>
      <c r="F7" s="6"/>
    </row>
    <row r="8" spans="1:8" x14ac:dyDescent="0.25">
      <c r="A8" s="60"/>
      <c r="B8" s="60">
        <v>1</v>
      </c>
      <c r="C8" s="60">
        <v>2</v>
      </c>
      <c r="D8" s="60">
        <v>3</v>
      </c>
      <c r="E8" s="60">
        <v>4</v>
      </c>
      <c r="F8" s="65"/>
      <c r="G8" s="43"/>
      <c r="H8" s="43"/>
    </row>
    <row r="9" spans="1:8" ht="15.75" thickBot="1" x14ac:dyDescent="0.3">
      <c r="A9" s="60" t="s">
        <v>59</v>
      </c>
      <c r="B9" s="60" t="s">
        <v>117</v>
      </c>
      <c r="C9" s="60" t="s">
        <v>118</v>
      </c>
      <c r="D9" s="60" t="s">
        <v>125</v>
      </c>
      <c r="E9" s="60" t="s">
        <v>119</v>
      </c>
      <c r="F9" s="177"/>
      <c r="G9" s="45"/>
      <c r="H9" s="45"/>
    </row>
    <row r="10" spans="1:8" x14ac:dyDescent="0.25">
      <c r="A10" s="61">
        <v>1</v>
      </c>
      <c r="B10" s="606">
        <v>0.32264057080430214</v>
      </c>
      <c r="C10" s="607">
        <v>0.28579684106741904</v>
      </c>
      <c r="D10" s="607">
        <v>0.32264057080430214</v>
      </c>
      <c r="E10" s="62" t="s">
        <v>17</v>
      </c>
      <c r="F10" s="509"/>
      <c r="G10" s="509"/>
      <c r="H10" s="509"/>
    </row>
    <row r="11" spans="1:8" x14ac:dyDescent="0.25">
      <c r="A11" s="61">
        <v>2.1</v>
      </c>
      <c r="B11" s="608">
        <v>0.32705299209368172</v>
      </c>
      <c r="C11" s="609">
        <v>0.29474007750233949</v>
      </c>
      <c r="D11" s="609">
        <v>0.32705299209368172</v>
      </c>
      <c r="E11" s="62" t="s">
        <v>9</v>
      </c>
      <c r="F11" s="509"/>
      <c r="G11" s="509"/>
      <c r="H11" s="509"/>
    </row>
    <row r="12" spans="1:8" x14ac:dyDescent="0.25">
      <c r="A12" s="61">
        <v>3</v>
      </c>
      <c r="B12" s="608">
        <v>0.38733373273714594</v>
      </c>
      <c r="C12" s="609">
        <v>0.38733373273714594</v>
      </c>
      <c r="D12" s="609">
        <v>0.39095109805250727</v>
      </c>
      <c r="E12" s="62" t="s">
        <v>44</v>
      </c>
      <c r="F12" s="509"/>
      <c r="G12" s="509"/>
      <c r="H12" s="509"/>
    </row>
    <row r="13" spans="1:8" x14ac:dyDescent="0.25">
      <c r="A13" s="61">
        <v>4</v>
      </c>
      <c r="B13" s="608">
        <v>0.35349169170468153</v>
      </c>
      <c r="C13" s="609">
        <v>0.30450233691492307</v>
      </c>
      <c r="D13" s="609">
        <v>0.37957507454237077</v>
      </c>
      <c r="E13" s="62" t="s">
        <v>45</v>
      </c>
      <c r="F13" s="509"/>
      <c r="G13" s="509"/>
      <c r="H13" s="509"/>
    </row>
    <row r="14" spans="1:8" x14ac:dyDescent="0.25">
      <c r="A14" s="61">
        <v>5</v>
      </c>
      <c r="B14" s="608">
        <v>0.38056656334177358</v>
      </c>
      <c r="C14" s="609">
        <v>0.34972458045182453</v>
      </c>
      <c r="D14" s="609">
        <v>0.36988795076778636</v>
      </c>
      <c r="E14" s="62" t="s">
        <v>124</v>
      </c>
      <c r="F14" s="509"/>
      <c r="G14" s="509"/>
      <c r="H14" s="509"/>
    </row>
    <row r="15" spans="1:8" x14ac:dyDescent="0.25">
      <c r="A15" s="61">
        <v>5.0999999999999996</v>
      </c>
      <c r="B15" s="610">
        <v>0.3745301566852699</v>
      </c>
      <c r="C15" s="611">
        <v>0.35457187705951404</v>
      </c>
      <c r="D15" s="611">
        <v>0.35968282489531528</v>
      </c>
      <c r="E15" s="62" t="s">
        <v>43</v>
      </c>
      <c r="F15" s="509"/>
      <c r="G15" s="509"/>
      <c r="H15" s="509"/>
    </row>
    <row r="16" spans="1:8" x14ac:dyDescent="0.25">
      <c r="A16" s="61">
        <v>5.2</v>
      </c>
      <c r="B16" s="610">
        <v>0.39817283158893568</v>
      </c>
      <c r="C16" s="611">
        <v>0.34749382309908511</v>
      </c>
      <c r="D16" s="611">
        <v>0.38531762841141753</v>
      </c>
      <c r="E16" s="62" t="s">
        <v>42</v>
      </c>
      <c r="F16" s="509"/>
      <c r="G16" s="509"/>
      <c r="H16" s="509"/>
    </row>
    <row r="17" spans="1:8" x14ac:dyDescent="0.25">
      <c r="A17" s="61">
        <v>9</v>
      </c>
      <c r="B17" s="608">
        <v>0.28354526722923851</v>
      </c>
      <c r="C17" s="609">
        <v>0.27729260124284777</v>
      </c>
      <c r="D17" s="609">
        <v>0.28354526722923851</v>
      </c>
      <c r="E17" s="62" t="s">
        <v>20</v>
      </c>
      <c r="F17" s="509"/>
      <c r="G17" s="509"/>
      <c r="H17" s="509"/>
    </row>
    <row r="18" spans="1:8" x14ac:dyDescent="0.25">
      <c r="A18" s="61">
        <v>11</v>
      </c>
      <c r="B18" s="608">
        <v>0.40343289491496614</v>
      </c>
      <c r="C18" s="609">
        <v>0.27260526794637335</v>
      </c>
      <c r="D18" s="609">
        <v>0.36666228578975457</v>
      </c>
      <c r="E18" s="63" t="s">
        <v>21</v>
      </c>
      <c r="F18" s="509"/>
      <c r="G18" s="509"/>
      <c r="H18" s="509"/>
    </row>
    <row r="19" spans="1:8" x14ac:dyDescent="0.25">
      <c r="A19" s="61">
        <v>11.1</v>
      </c>
      <c r="B19" s="608">
        <v>0.40343289491496614</v>
      </c>
      <c r="C19" s="609">
        <v>0.27260526794637335</v>
      </c>
      <c r="D19" s="609">
        <v>0.36666228578975457</v>
      </c>
      <c r="E19" s="63" t="s">
        <v>47</v>
      </c>
      <c r="F19" s="509"/>
      <c r="G19" s="509"/>
      <c r="H19" s="509"/>
    </row>
    <row r="20" spans="1:8" x14ac:dyDescent="0.25">
      <c r="A20" s="61">
        <v>11.2</v>
      </c>
      <c r="B20" s="608">
        <v>0.40343289491496614</v>
      </c>
      <c r="C20" s="609">
        <v>0.27260526794637335</v>
      </c>
      <c r="D20" s="609">
        <v>0.36666228578975457</v>
      </c>
      <c r="E20" s="63" t="s">
        <v>46</v>
      </c>
      <c r="F20" s="509"/>
      <c r="G20" s="509"/>
      <c r="H20" s="509"/>
    </row>
    <row r="21" spans="1:8" x14ac:dyDescent="0.25">
      <c r="A21" s="61" t="s">
        <v>328</v>
      </c>
      <c r="B21" s="608">
        <v>0.40343289491496614</v>
      </c>
      <c r="C21" s="609">
        <v>0.27260526794637335</v>
      </c>
      <c r="D21" s="609">
        <v>0.36666228578975457</v>
      </c>
      <c r="E21" s="63" t="s">
        <v>326</v>
      </c>
      <c r="F21" s="509"/>
      <c r="G21" s="509"/>
      <c r="H21" s="509"/>
    </row>
    <row r="22" spans="1:8" x14ac:dyDescent="0.25">
      <c r="A22" s="61" t="s">
        <v>329</v>
      </c>
      <c r="B22" s="608">
        <v>0.40343289491496614</v>
      </c>
      <c r="C22" s="609">
        <v>0.27260526794637335</v>
      </c>
      <c r="D22" s="609">
        <v>0.36666228578975457</v>
      </c>
      <c r="E22" s="63" t="s">
        <v>327</v>
      </c>
      <c r="F22" s="509"/>
      <c r="G22" s="509"/>
      <c r="H22" s="509"/>
    </row>
    <row r="23" spans="1:8" x14ac:dyDescent="0.25">
      <c r="A23" s="61" t="s">
        <v>330</v>
      </c>
      <c r="B23" s="608">
        <v>0.40343289491496614</v>
      </c>
      <c r="C23" s="609">
        <v>0.27260526794637335</v>
      </c>
      <c r="D23" s="609">
        <v>0.36666228578975457</v>
      </c>
      <c r="E23" s="63" t="s">
        <v>324</v>
      </c>
      <c r="F23" s="509"/>
      <c r="G23" s="509"/>
      <c r="H23" s="509"/>
    </row>
    <row r="24" spans="1:8" x14ac:dyDescent="0.25">
      <c r="A24" s="61">
        <v>12</v>
      </c>
      <c r="B24" s="608">
        <v>0.24340754228838934</v>
      </c>
      <c r="C24" s="609">
        <v>0.26606284274177755</v>
      </c>
      <c r="D24" s="609">
        <v>0.27375831026408481</v>
      </c>
      <c r="E24" s="63" t="s">
        <v>14</v>
      </c>
      <c r="F24" s="509"/>
      <c r="G24" s="509"/>
      <c r="H24" s="509"/>
    </row>
    <row r="25" spans="1:8" x14ac:dyDescent="0.25">
      <c r="A25" s="61" t="s">
        <v>331</v>
      </c>
      <c r="B25" s="608">
        <v>0.24340754228838934</v>
      </c>
      <c r="C25" s="609">
        <v>0.26606284274177755</v>
      </c>
      <c r="D25" s="609">
        <v>0.27375831026408481</v>
      </c>
      <c r="E25" s="63" t="s">
        <v>325</v>
      </c>
      <c r="F25" s="509"/>
      <c r="G25" s="509"/>
      <c r="H25" s="509"/>
    </row>
    <row r="26" spans="1:8" x14ac:dyDescent="0.25">
      <c r="A26" s="61">
        <v>17</v>
      </c>
      <c r="B26" s="608">
        <v>0.31140389477587366</v>
      </c>
      <c r="C26" s="609">
        <v>0.31849075950320105</v>
      </c>
      <c r="D26" s="609">
        <v>0.3358560996385816</v>
      </c>
      <c r="E26" s="63" t="s">
        <v>23</v>
      </c>
      <c r="F26" s="509"/>
      <c r="G26" s="509"/>
      <c r="H26" s="509"/>
    </row>
    <row r="27" spans="1:8" x14ac:dyDescent="0.25">
      <c r="A27" s="61">
        <v>17.100000000000001</v>
      </c>
      <c r="B27" s="610">
        <v>0.31358328821404757</v>
      </c>
      <c r="C27" s="611">
        <v>0.2640756898392243</v>
      </c>
      <c r="D27" s="611">
        <v>0.3046244823314368</v>
      </c>
      <c r="E27" s="63" t="s">
        <v>49</v>
      </c>
      <c r="F27" s="509"/>
      <c r="G27" s="509"/>
      <c r="H27" s="509"/>
    </row>
    <row r="28" spans="1:8" x14ac:dyDescent="0.25">
      <c r="A28" s="61">
        <v>17.2</v>
      </c>
      <c r="B28" s="610">
        <v>0.27846536373927272</v>
      </c>
      <c r="C28" s="611">
        <v>0.44398764048589995</v>
      </c>
      <c r="D28" s="611">
        <v>0.37532081186251792</v>
      </c>
      <c r="E28" s="63" t="s">
        <v>48</v>
      </c>
      <c r="F28" s="509"/>
      <c r="G28" s="509"/>
      <c r="H28" s="509"/>
    </row>
    <row r="29" spans="1:8" x14ac:dyDescent="0.25">
      <c r="A29" s="61">
        <v>18</v>
      </c>
      <c r="B29" s="608">
        <v>0.32250884671599844</v>
      </c>
      <c r="C29" s="609">
        <v>0.32250884671599844</v>
      </c>
      <c r="D29" s="609">
        <v>0.32250884671599844</v>
      </c>
      <c r="E29" s="63" t="s">
        <v>24</v>
      </c>
      <c r="F29" s="509"/>
      <c r="G29" s="509"/>
      <c r="H29" s="509"/>
    </row>
    <row r="30" spans="1:8" x14ac:dyDescent="0.25">
      <c r="A30" s="61">
        <v>18.100000000000001</v>
      </c>
      <c r="B30" s="608">
        <v>0.32250884671599844</v>
      </c>
      <c r="C30" s="609">
        <v>0.32250884671599844</v>
      </c>
      <c r="D30" s="609">
        <v>0.32250884671599844</v>
      </c>
      <c r="E30" s="63" t="s">
        <v>53</v>
      </c>
      <c r="F30" s="509"/>
      <c r="G30" s="509"/>
      <c r="H30" s="509"/>
    </row>
    <row r="31" spans="1:8" x14ac:dyDescent="0.25">
      <c r="A31" s="61">
        <v>18.2</v>
      </c>
      <c r="B31" s="608">
        <v>0.32250884671599844</v>
      </c>
      <c r="C31" s="609">
        <v>0.32250884671599844</v>
      </c>
      <c r="D31" s="609">
        <v>0.32250884671599844</v>
      </c>
      <c r="E31" s="63" t="s">
        <v>52</v>
      </c>
      <c r="F31" s="509"/>
      <c r="G31" s="509"/>
      <c r="H31" s="509"/>
    </row>
    <row r="32" spans="1:8" x14ac:dyDescent="0.25">
      <c r="A32" s="61">
        <v>19.2</v>
      </c>
      <c r="B32" s="612">
        <v>0.31092212368038935</v>
      </c>
      <c r="C32" s="613">
        <v>0.26622784813216294</v>
      </c>
      <c r="D32" s="613">
        <v>0.35653087916941489</v>
      </c>
      <c r="E32" s="63" t="s">
        <v>50</v>
      </c>
      <c r="F32" s="509"/>
      <c r="G32" s="509"/>
      <c r="H32" s="509"/>
    </row>
    <row r="33" spans="1:8" x14ac:dyDescent="0.25">
      <c r="A33" s="61">
        <v>19.399999999999999</v>
      </c>
      <c r="B33" s="608">
        <v>0.36988312159365738</v>
      </c>
      <c r="C33" s="609">
        <v>0.26571120433885059</v>
      </c>
      <c r="D33" s="609">
        <v>0.33189577609755033</v>
      </c>
      <c r="E33" s="63" t="s">
        <v>39</v>
      </c>
      <c r="F33" s="509"/>
      <c r="G33" s="509"/>
      <c r="H33" s="509"/>
    </row>
    <row r="34" spans="1:8" x14ac:dyDescent="0.25">
      <c r="A34" s="61">
        <v>21.1</v>
      </c>
      <c r="B34" s="612">
        <v>0.31225781752376819</v>
      </c>
      <c r="C34" s="613">
        <v>0.25586059542168726</v>
      </c>
      <c r="D34" s="613">
        <v>0.35144754344074641</v>
      </c>
      <c r="E34" s="63" t="s">
        <v>51</v>
      </c>
      <c r="F34" s="509"/>
      <c r="G34" s="509"/>
      <c r="H34" s="509"/>
    </row>
    <row r="35" spans="1:8" x14ac:dyDescent="0.25">
      <c r="A35" s="61">
        <v>21.2</v>
      </c>
      <c r="B35" s="608">
        <v>0.35483822794744674</v>
      </c>
      <c r="C35" s="609">
        <v>0.33158840050480298</v>
      </c>
      <c r="D35" s="609">
        <v>0.34154482499729527</v>
      </c>
      <c r="E35" s="63" t="s">
        <v>40</v>
      </c>
      <c r="F35" s="509"/>
      <c r="G35" s="509"/>
      <c r="H35" s="509"/>
    </row>
    <row r="36" spans="1:8" x14ac:dyDescent="0.25">
      <c r="A36" s="61">
        <v>22</v>
      </c>
      <c r="B36" s="612">
        <v>0.32506537946659148</v>
      </c>
      <c r="C36" s="613">
        <v>0.43688479599760016</v>
      </c>
      <c r="D36" s="613">
        <v>0.32267770428390924</v>
      </c>
      <c r="E36" s="63" t="s">
        <v>8</v>
      </c>
      <c r="F36" s="509"/>
      <c r="G36" s="509"/>
      <c r="H36" s="509"/>
    </row>
    <row r="37" spans="1:8" x14ac:dyDescent="0.25">
      <c r="A37" s="61">
        <v>23</v>
      </c>
      <c r="B37" s="608">
        <v>0.37415753593585527</v>
      </c>
      <c r="C37" s="609">
        <v>0.32326291703914967</v>
      </c>
      <c r="D37" s="609">
        <v>0.37793442232116087</v>
      </c>
      <c r="E37" s="63" t="s">
        <v>16</v>
      </c>
      <c r="F37" s="509"/>
      <c r="G37" s="509"/>
      <c r="H37" s="509"/>
    </row>
    <row r="38" spans="1:8" x14ac:dyDescent="0.25">
      <c r="A38" s="61">
        <v>24</v>
      </c>
      <c r="B38" s="612">
        <v>0.45570039826671277</v>
      </c>
      <c r="C38" s="613">
        <v>0.45570039826671277</v>
      </c>
      <c r="D38" s="613">
        <v>0.45570039826671277</v>
      </c>
      <c r="E38" s="63" t="s">
        <v>25</v>
      </c>
      <c r="F38" s="509"/>
      <c r="G38" s="509"/>
      <c r="H38" s="509"/>
    </row>
    <row r="39" spans="1:8" x14ac:dyDescent="0.25">
      <c r="A39" s="64">
        <v>26</v>
      </c>
      <c r="B39" s="608">
        <v>0.40879334795969163</v>
      </c>
      <c r="C39" s="609">
        <v>0.40879334795969163</v>
      </c>
      <c r="D39" s="609">
        <v>0.40879334795969163</v>
      </c>
      <c r="E39" s="63" t="s">
        <v>13</v>
      </c>
      <c r="F39" s="509"/>
      <c r="G39" s="509"/>
      <c r="H39" s="509"/>
    </row>
    <row r="40" spans="1:8" x14ac:dyDescent="0.25">
      <c r="A40" s="64">
        <v>27</v>
      </c>
      <c r="B40" s="608">
        <v>0.37056208371139149</v>
      </c>
      <c r="C40" s="609">
        <v>0.25454478470121661</v>
      </c>
      <c r="D40" s="609">
        <v>0.3541709116108695</v>
      </c>
      <c r="E40" s="63" t="s">
        <v>12</v>
      </c>
      <c r="F40" s="509"/>
      <c r="G40" s="509"/>
      <c r="H40" s="509"/>
    </row>
    <row r="41" spans="1:8" x14ac:dyDescent="0.25">
      <c r="A41" s="6"/>
      <c r="B41" s="6"/>
      <c r="C41" s="6"/>
      <c r="D41" s="6"/>
      <c r="E41" s="6"/>
      <c r="F41" s="6"/>
      <c r="H41" s="43"/>
    </row>
    <row r="42" spans="1:8" x14ac:dyDescent="0.25">
      <c r="A42" s="6"/>
      <c r="B42" s="6"/>
      <c r="C42" s="6"/>
      <c r="D42" s="6"/>
      <c r="E42" s="6"/>
      <c r="F42" s="6"/>
    </row>
    <row r="43" spans="1:8" x14ac:dyDescent="0.25">
      <c r="A43" s="6"/>
      <c r="B43" s="6"/>
      <c r="C43" s="6"/>
      <c r="D43" s="6"/>
      <c r="E43" s="6"/>
      <c r="F43" s="6"/>
    </row>
    <row r="44" spans="1:8" x14ac:dyDescent="0.25">
      <c r="A44" s="6"/>
      <c r="B44" s="6"/>
      <c r="C44" s="6"/>
      <c r="D44" s="6"/>
      <c r="E44" s="6"/>
      <c r="F44" s="6"/>
    </row>
    <row r="45" spans="1:8" x14ac:dyDescent="0.25">
      <c r="A45" s="6"/>
      <c r="B45" s="6"/>
      <c r="C45" s="6"/>
      <c r="D45" s="6"/>
      <c r="E45" s="6"/>
      <c r="F45" s="6"/>
    </row>
    <row r="46" spans="1:8" x14ac:dyDescent="0.25">
      <c r="A46" s="6"/>
      <c r="B46" s="6"/>
      <c r="C46" s="6"/>
      <c r="D46" s="6"/>
      <c r="E46" s="6"/>
      <c r="F46" s="6"/>
    </row>
  </sheetData>
  <sheetProtection algorithmName="SHA-512" hashValue="jkhF6uBeUSU0r/S5XVCFWiic3vBHQDpZ0mezGyNFtgCU5wzO9JX4WOBdV2Z/pA73yZwlJiEI3h3FsODzuJBR3w==" saltValue="SFCKBpnlhLwoNiqx7yjaiA=="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R1&amp;L1/3/2023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5"/>
  <sheetViews>
    <sheetView view="pageBreakPreview" zoomScaleNormal="100" zoomScaleSheetLayoutView="100" workbookViewId="0">
      <selection activeCell="B6" sqref="B6"/>
    </sheetView>
  </sheetViews>
  <sheetFormatPr defaultColWidth="9.140625" defaultRowHeight="15" x14ac:dyDescent="0.25"/>
  <cols>
    <col min="1" max="1" width="17.28515625" customWidth="1"/>
    <col min="2" max="2" width="15.7109375" customWidth="1"/>
    <col min="3" max="3" width="54.7109375" bestFit="1" customWidth="1"/>
    <col min="6" max="9" width="9.42578125" bestFit="1" customWidth="1"/>
  </cols>
  <sheetData>
    <row r="1" spans="1:12" ht="18.75" x14ac:dyDescent="0.25">
      <c r="A1" s="67" t="s">
        <v>134</v>
      </c>
      <c r="B1" s="57"/>
      <c r="C1" s="6"/>
      <c r="D1" s="42"/>
    </row>
    <row r="2" spans="1:12" x14ac:dyDescent="0.25">
      <c r="A2" s="56" t="s">
        <v>120</v>
      </c>
      <c r="B2" s="448" t="s">
        <v>319</v>
      </c>
      <c r="C2" s="6"/>
      <c r="D2" s="43"/>
    </row>
    <row r="3" spans="1:12" x14ac:dyDescent="0.25">
      <c r="A3" s="56" t="s">
        <v>135</v>
      </c>
      <c r="B3" s="449">
        <v>2022</v>
      </c>
      <c r="C3" s="6"/>
      <c r="D3" s="43"/>
    </row>
    <row r="4" spans="1:12" x14ac:dyDescent="0.25">
      <c r="A4" s="56" t="s">
        <v>127</v>
      </c>
      <c r="B4" s="449">
        <v>2021</v>
      </c>
      <c r="C4" s="6"/>
      <c r="D4" s="43"/>
    </row>
    <row r="5" spans="1:12" x14ac:dyDescent="0.25">
      <c r="A5" s="56" t="s">
        <v>122</v>
      </c>
      <c r="B5" s="448" t="s">
        <v>294</v>
      </c>
      <c r="C5" s="6"/>
      <c r="D5" s="43"/>
    </row>
    <row r="6" spans="1:12" x14ac:dyDescent="0.25">
      <c r="A6" s="56" t="s">
        <v>128</v>
      </c>
      <c r="B6" s="450">
        <v>44854</v>
      </c>
      <c r="C6" s="6"/>
      <c r="D6" s="43"/>
    </row>
    <row r="7" spans="1:12" x14ac:dyDescent="0.25">
      <c r="A7" s="56"/>
      <c r="B7" s="58"/>
      <c r="C7" s="6"/>
      <c r="D7" s="43"/>
    </row>
    <row r="8" spans="1:12" x14ac:dyDescent="0.25">
      <c r="A8" s="56"/>
      <c r="B8" s="59"/>
      <c r="C8" s="6"/>
      <c r="D8" s="43"/>
    </row>
    <row r="9" spans="1:12" x14ac:dyDescent="0.25">
      <c r="A9" s="60"/>
      <c r="B9" s="60">
        <v>1</v>
      </c>
      <c r="C9" s="60">
        <v>2</v>
      </c>
      <c r="D9" s="42"/>
    </row>
    <row r="10" spans="1:12" x14ac:dyDescent="0.25">
      <c r="A10" s="60" t="s">
        <v>59</v>
      </c>
      <c r="B10" s="60" t="s">
        <v>134</v>
      </c>
      <c r="C10" s="60" t="s">
        <v>119</v>
      </c>
      <c r="D10" s="44"/>
    </row>
    <row r="11" spans="1:12" x14ac:dyDescent="0.25">
      <c r="A11" s="61">
        <v>1</v>
      </c>
      <c r="B11" s="539">
        <v>0.81235644058807355</v>
      </c>
      <c r="C11" s="62" t="s">
        <v>17</v>
      </c>
      <c r="D11" s="44"/>
    </row>
    <row r="12" spans="1:12" x14ac:dyDescent="0.25">
      <c r="A12" s="61">
        <v>2.1</v>
      </c>
      <c r="B12" s="539">
        <v>0.93435152504930674</v>
      </c>
      <c r="C12" s="62" t="s">
        <v>9</v>
      </c>
      <c r="D12" s="44"/>
    </row>
    <row r="13" spans="1:12" x14ac:dyDescent="0.25">
      <c r="A13" s="61">
        <v>3</v>
      </c>
      <c r="B13" s="539">
        <v>1.0198850033807605</v>
      </c>
      <c r="C13" s="62" t="s">
        <v>44</v>
      </c>
      <c r="D13" s="44"/>
    </row>
    <row r="14" spans="1:12" x14ac:dyDescent="0.25">
      <c r="A14" s="61">
        <v>4</v>
      </c>
      <c r="B14" s="539">
        <v>0.91552166118720324</v>
      </c>
      <c r="C14" s="62" t="s">
        <v>45</v>
      </c>
      <c r="D14" s="44"/>
      <c r="G14" s="525"/>
      <c r="H14" s="524"/>
      <c r="I14" s="526"/>
      <c r="J14" s="526"/>
      <c r="K14" s="526"/>
      <c r="L14" s="524"/>
    </row>
    <row r="15" spans="1:12" x14ac:dyDescent="0.25">
      <c r="A15" s="61">
        <v>5</v>
      </c>
      <c r="B15" s="539">
        <v>0.64904356508147709</v>
      </c>
      <c r="C15" s="62" t="s">
        <v>124</v>
      </c>
      <c r="D15" s="44"/>
      <c r="G15" s="525"/>
      <c r="H15" s="524"/>
      <c r="I15" s="526"/>
      <c r="J15" s="526"/>
      <c r="K15" s="526"/>
      <c r="L15" s="524"/>
    </row>
    <row r="16" spans="1:12" x14ac:dyDescent="0.25">
      <c r="A16" s="61">
        <v>5.0999999999999996</v>
      </c>
      <c r="B16" s="539">
        <v>0.85959575239859431</v>
      </c>
      <c r="C16" s="62" t="s">
        <v>43</v>
      </c>
      <c r="D16" s="44"/>
      <c r="G16" s="525"/>
      <c r="H16" s="524"/>
      <c r="I16" s="526"/>
      <c r="J16" s="526"/>
      <c r="K16" s="526"/>
      <c r="L16" s="524"/>
    </row>
    <row r="17" spans="1:12" x14ac:dyDescent="0.25">
      <c r="A17" s="61">
        <v>5.2</v>
      </c>
      <c r="B17" s="539">
        <v>0.44524500946674733</v>
      </c>
      <c r="C17" s="62" t="s">
        <v>42</v>
      </c>
      <c r="D17" s="44"/>
      <c r="G17" s="525"/>
      <c r="H17" s="524"/>
      <c r="I17" s="526"/>
      <c r="J17" s="526"/>
      <c r="K17" s="526"/>
      <c r="L17" s="524"/>
    </row>
    <row r="18" spans="1:12" x14ac:dyDescent="0.25">
      <c r="A18" s="61">
        <v>9</v>
      </c>
      <c r="B18" s="539">
        <v>0.99942836921193801</v>
      </c>
      <c r="C18" s="62" t="s">
        <v>20</v>
      </c>
      <c r="D18" s="44"/>
      <c r="G18" s="525"/>
      <c r="H18" s="524"/>
      <c r="I18" s="526"/>
      <c r="J18" s="526"/>
      <c r="K18" s="526"/>
      <c r="L18" s="524"/>
    </row>
    <row r="19" spans="1:12" x14ac:dyDescent="0.25">
      <c r="A19" s="61">
        <v>11</v>
      </c>
      <c r="B19" s="539">
        <v>0.37793006729923817</v>
      </c>
      <c r="C19" s="63" t="s">
        <v>21</v>
      </c>
      <c r="D19" s="44"/>
      <c r="G19" s="525"/>
      <c r="H19" s="524"/>
      <c r="I19" s="526"/>
      <c r="J19" s="526"/>
      <c r="K19" s="526"/>
      <c r="L19" s="524"/>
    </row>
    <row r="20" spans="1:12" x14ac:dyDescent="0.25">
      <c r="A20" s="61">
        <v>11.1</v>
      </c>
      <c r="B20" s="539">
        <v>0.27891657529127117</v>
      </c>
      <c r="C20" s="63" t="s">
        <v>47</v>
      </c>
      <c r="D20" s="44"/>
      <c r="G20" s="525"/>
      <c r="H20" s="524"/>
      <c r="I20" s="526"/>
      <c r="J20" s="526"/>
      <c r="K20" s="526"/>
      <c r="L20" s="524"/>
    </row>
    <row r="21" spans="1:12" x14ac:dyDescent="0.25">
      <c r="A21" s="61">
        <v>11.2</v>
      </c>
      <c r="B21" s="539">
        <v>0.42512058682655723</v>
      </c>
      <c r="C21" s="63" t="s">
        <v>46</v>
      </c>
      <c r="D21" s="44"/>
      <c r="G21" s="525"/>
      <c r="H21" s="524"/>
      <c r="I21" s="526"/>
      <c r="J21" s="526"/>
      <c r="K21" s="526"/>
      <c r="L21" s="524"/>
    </row>
    <row r="22" spans="1:12" x14ac:dyDescent="0.25">
      <c r="A22" s="61" t="s">
        <v>328</v>
      </c>
      <c r="B22" s="539">
        <v>0.37793006729923817</v>
      </c>
      <c r="C22" s="63" t="s">
        <v>326</v>
      </c>
      <c r="D22" s="44"/>
      <c r="G22" s="525"/>
      <c r="H22" s="524"/>
      <c r="I22" s="526"/>
      <c r="J22" s="526"/>
      <c r="K22" s="526"/>
      <c r="L22" s="524"/>
    </row>
    <row r="23" spans="1:12" x14ac:dyDescent="0.25">
      <c r="A23" s="61" t="s">
        <v>329</v>
      </c>
      <c r="B23" s="539">
        <v>0.27891657529127117</v>
      </c>
      <c r="C23" s="63" t="s">
        <v>327</v>
      </c>
      <c r="D23" s="44"/>
      <c r="G23" s="525"/>
      <c r="H23" s="524"/>
      <c r="I23" s="526"/>
      <c r="J23" s="526"/>
      <c r="K23" s="526"/>
      <c r="L23" s="524"/>
    </row>
    <row r="24" spans="1:12" x14ac:dyDescent="0.25">
      <c r="A24" s="61" t="s">
        <v>330</v>
      </c>
      <c r="B24" s="539">
        <v>0.42512058682655723</v>
      </c>
      <c r="C24" s="63" t="s">
        <v>324</v>
      </c>
      <c r="D24" s="44"/>
      <c r="G24" s="525"/>
      <c r="H24" s="524"/>
      <c r="I24" s="526"/>
      <c r="J24" s="526"/>
      <c r="K24" s="526"/>
      <c r="L24" s="524"/>
    </row>
    <row r="25" spans="1:12" x14ac:dyDescent="0.25">
      <c r="A25" s="61">
        <v>12</v>
      </c>
      <c r="B25" s="539">
        <v>1</v>
      </c>
      <c r="C25" s="63" t="s">
        <v>14</v>
      </c>
      <c r="D25" s="44"/>
      <c r="G25" s="525"/>
      <c r="H25" s="524"/>
      <c r="I25" s="526"/>
      <c r="J25" s="526"/>
      <c r="K25" s="526"/>
      <c r="L25" s="524"/>
    </row>
    <row r="26" spans="1:12" x14ac:dyDescent="0.25">
      <c r="A26" s="61" t="s">
        <v>331</v>
      </c>
      <c r="B26" s="539">
        <v>1</v>
      </c>
      <c r="C26" s="63" t="s">
        <v>325</v>
      </c>
      <c r="D26" s="44"/>
      <c r="G26" s="525"/>
      <c r="H26" s="524"/>
      <c r="I26" s="526"/>
      <c r="J26" s="526"/>
      <c r="K26" s="526"/>
      <c r="L26" s="524"/>
    </row>
    <row r="27" spans="1:12" x14ac:dyDescent="0.25">
      <c r="A27" s="61">
        <v>17</v>
      </c>
      <c r="B27" s="539">
        <v>0.46281471895830895</v>
      </c>
      <c r="C27" s="63" t="s">
        <v>23</v>
      </c>
      <c r="D27" s="44"/>
      <c r="G27" s="525"/>
      <c r="H27" s="524"/>
      <c r="I27" s="526"/>
      <c r="J27" s="526"/>
      <c r="K27" s="526"/>
      <c r="L27" s="524"/>
    </row>
    <row r="28" spans="1:12" x14ac:dyDescent="0.25">
      <c r="A28" s="61">
        <v>17.100000000000001</v>
      </c>
      <c r="B28" s="539">
        <v>0.44885827339732171</v>
      </c>
      <c r="C28" s="63" t="s">
        <v>49</v>
      </c>
      <c r="D28" s="44"/>
      <c r="G28" s="525"/>
      <c r="H28" s="524"/>
      <c r="I28" s="526"/>
      <c r="J28" s="526"/>
      <c r="K28" s="526"/>
      <c r="L28" s="524"/>
    </row>
    <row r="29" spans="1:12" x14ac:dyDescent="0.25">
      <c r="A29" s="61">
        <v>17.2</v>
      </c>
      <c r="B29" s="539">
        <v>0.52489488713442756</v>
      </c>
      <c r="C29" s="63" t="s">
        <v>48</v>
      </c>
      <c r="D29" s="44"/>
      <c r="G29" s="525"/>
      <c r="H29" s="524"/>
      <c r="I29" s="526"/>
      <c r="J29" s="526"/>
      <c r="K29" s="526"/>
      <c r="L29" s="524"/>
    </row>
    <row r="30" spans="1:12" x14ac:dyDescent="0.25">
      <c r="A30" s="61">
        <v>18</v>
      </c>
      <c r="B30" s="539">
        <v>0.30408454550823855</v>
      </c>
      <c r="C30" s="63" t="s">
        <v>24</v>
      </c>
      <c r="D30" s="44"/>
      <c r="G30" s="525"/>
      <c r="H30" s="524"/>
      <c r="I30" s="526"/>
      <c r="J30" s="526"/>
      <c r="K30" s="526"/>
      <c r="L30" s="524"/>
    </row>
    <row r="31" spans="1:12" x14ac:dyDescent="0.25">
      <c r="A31" s="61">
        <v>18.100000000000001</v>
      </c>
      <c r="B31" s="539">
        <v>0.28303723223900357</v>
      </c>
      <c r="C31" s="63" t="s">
        <v>53</v>
      </c>
      <c r="D31" s="44"/>
      <c r="G31" s="525"/>
      <c r="H31" s="524"/>
      <c r="I31" s="526"/>
      <c r="J31" s="526"/>
      <c r="K31" s="526"/>
      <c r="L31" s="524"/>
    </row>
    <row r="32" spans="1:12" x14ac:dyDescent="0.25">
      <c r="A32" s="61">
        <v>18.2</v>
      </c>
      <c r="B32" s="539">
        <v>0.47263905766817937</v>
      </c>
      <c r="C32" s="63" t="s">
        <v>52</v>
      </c>
      <c r="D32" s="44"/>
      <c r="G32" s="525"/>
      <c r="H32" s="524"/>
      <c r="I32" s="526"/>
      <c r="J32" s="526"/>
      <c r="K32" s="526"/>
      <c r="L32" s="524"/>
    </row>
    <row r="33" spans="1:12" x14ac:dyDescent="0.25">
      <c r="A33" s="61">
        <v>19.2</v>
      </c>
      <c r="B33" s="539">
        <v>0.7746748896822202</v>
      </c>
      <c r="C33" s="63" t="s">
        <v>50</v>
      </c>
      <c r="D33" s="44"/>
      <c r="G33" s="525"/>
      <c r="H33" s="524"/>
      <c r="I33" s="526"/>
      <c r="J33" s="526"/>
      <c r="K33" s="526"/>
      <c r="L33" s="524"/>
    </row>
    <row r="34" spans="1:12" x14ac:dyDescent="0.25">
      <c r="A34" s="61">
        <v>19.399999999999999</v>
      </c>
      <c r="B34" s="539">
        <v>0.59901615822906618</v>
      </c>
      <c r="C34" s="63" t="s">
        <v>39</v>
      </c>
      <c r="D34" s="44"/>
      <c r="G34" s="525"/>
      <c r="H34" s="524"/>
      <c r="I34" s="526"/>
      <c r="J34" s="526"/>
      <c r="K34" s="526"/>
      <c r="L34" s="524"/>
    </row>
    <row r="35" spans="1:12" x14ac:dyDescent="0.25">
      <c r="A35" s="61">
        <v>21.1</v>
      </c>
      <c r="B35" s="539">
        <v>1.2507122087328104</v>
      </c>
      <c r="C35" s="63" t="s">
        <v>51</v>
      </c>
      <c r="D35" s="44"/>
      <c r="G35" s="525"/>
      <c r="H35" s="524"/>
      <c r="I35" s="526"/>
      <c r="J35" s="526"/>
      <c r="K35" s="526"/>
      <c r="L35" s="524"/>
    </row>
    <row r="36" spans="1:12" x14ac:dyDescent="0.25">
      <c r="A36" s="61">
        <v>21.2</v>
      </c>
      <c r="B36" s="539">
        <v>1.0493049283677423</v>
      </c>
      <c r="C36" s="63" t="s">
        <v>40</v>
      </c>
      <c r="D36" s="44"/>
      <c r="G36" s="525"/>
      <c r="H36" s="524"/>
      <c r="I36" s="526"/>
      <c r="J36" s="526"/>
      <c r="K36" s="526"/>
      <c r="L36" s="524"/>
    </row>
    <row r="37" spans="1:12" x14ac:dyDescent="0.25">
      <c r="A37" s="61">
        <v>22</v>
      </c>
      <c r="B37" s="539">
        <v>0.64009706302218006</v>
      </c>
      <c r="C37" s="63" t="s">
        <v>8</v>
      </c>
      <c r="D37" s="44"/>
      <c r="G37" s="525"/>
      <c r="H37" s="524"/>
      <c r="I37" s="526"/>
      <c r="J37" s="526"/>
      <c r="K37" s="526"/>
      <c r="L37" s="524"/>
    </row>
    <row r="38" spans="1:12" x14ac:dyDescent="0.25">
      <c r="A38" s="61">
        <v>23</v>
      </c>
      <c r="B38" s="539">
        <v>0.66582394844950954</v>
      </c>
      <c r="C38" s="63" t="s">
        <v>16</v>
      </c>
      <c r="D38" s="44"/>
      <c r="G38" s="525"/>
      <c r="H38" s="524"/>
      <c r="I38" s="526"/>
      <c r="J38" s="526"/>
      <c r="K38" s="526"/>
      <c r="L38" s="524"/>
    </row>
    <row r="39" spans="1:12" x14ac:dyDescent="0.25">
      <c r="A39" s="61">
        <v>24</v>
      </c>
      <c r="B39" s="539">
        <v>0.76745623128212148</v>
      </c>
      <c r="C39" s="63" t="s">
        <v>25</v>
      </c>
      <c r="D39" s="44"/>
      <c r="G39" s="525"/>
      <c r="H39" s="524"/>
      <c r="I39" s="526"/>
      <c r="J39" s="526"/>
      <c r="K39" s="526"/>
      <c r="L39" s="524"/>
    </row>
    <row r="40" spans="1:12" x14ac:dyDescent="0.25">
      <c r="A40" s="64">
        <v>26</v>
      </c>
      <c r="B40" s="539">
        <v>0.75476105053395415</v>
      </c>
      <c r="C40" s="63" t="s">
        <v>13</v>
      </c>
      <c r="D40" s="44"/>
      <c r="G40" s="525"/>
      <c r="H40" s="524"/>
      <c r="I40" s="526"/>
      <c r="J40" s="526"/>
      <c r="K40" s="526"/>
      <c r="L40" s="524"/>
    </row>
    <row r="41" spans="1:12" x14ac:dyDescent="0.25">
      <c r="A41" s="64">
        <v>27</v>
      </c>
      <c r="B41" s="539">
        <v>0.93538598940936746</v>
      </c>
      <c r="C41" s="63" t="s">
        <v>12</v>
      </c>
      <c r="D41" s="44"/>
      <c r="G41" s="525"/>
      <c r="H41" s="524"/>
      <c r="I41" s="526"/>
      <c r="J41" s="526"/>
      <c r="K41" s="526"/>
      <c r="L41" s="524"/>
    </row>
    <row r="42" spans="1:12" x14ac:dyDescent="0.25">
      <c r="A42" s="6"/>
      <c r="B42" s="6"/>
      <c r="C42" s="6"/>
      <c r="D42" s="44"/>
    </row>
    <row r="43" spans="1:12" x14ac:dyDescent="0.25">
      <c r="A43" s="6"/>
      <c r="B43" s="6"/>
      <c r="C43" s="6"/>
      <c r="D43" s="44"/>
    </row>
    <row r="44" spans="1:12" x14ac:dyDescent="0.25">
      <c r="A44" s="6"/>
      <c r="B44" s="6"/>
      <c r="C44" s="6"/>
      <c r="D44" s="44"/>
    </row>
    <row r="45" spans="1:12" x14ac:dyDescent="0.25">
      <c r="A45" s="6"/>
      <c r="B45" s="6"/>
      <c r="C45" s="6"/>
      <c r="D45" s="44"/>
    </row>
    <row r="46" spans="1:12" x14ac:dyDescent="0.25">
      <c r="A46" s="6"/>
      <c r="B46" s="6"/>
      <c r="C46" s="6"/>
      <c r="D46" s="44"/>
    </row>
    <row r="47" spans="1:12" x14ac:dyDescent="0.25">
      <c r="D47" s="44"/>
    </row>
    <row r="48" spans="1:12" x14ac:dyDescent="0.25">
      <c r="D48" s="44"/>
    </row>
    <row r="49" spans="4:4" x14ac:dyDescent="0.25">
      <c r="D49" s="44"/>
    </row>
    <row r="50" spans="4:4" x14ac:dyDescent="0.25">
      <c r="D50" s="44"/>
    </row>
    <row r="51" spans="4:4" x14ac:dyDescent="0.25">
      <c r="D51" s="44"/>
    </row>
    <row r="52" spans="4:4" x14ac:dyDescent="0.25">
      <c r="D52" s="44"/>
    </row>
    <row r="53" spans="4:4" x14ac:dyDescent="0.25">
      <c r="D53" s="44"/>
    </row>
    <row r="54" spans="4:4" x14ac:dyDescent="0.25">
      <c r="D54" s="44"/>
    </row>
    <row r="55" spans="4:4" x14ac:dyDescent="0.25">
      <c r="D55" s="44"/>
    </row>
  </sheetData>
  <sheetProtection algorithmName="SHA-512" hashValue="LbrcgphERjmYlM/OdX0h1O14HI5iRlOHFDVCcaj6j7xk6Ib40MLDqe0R+tFuRuXltMwJIF0FSqD+8crfFabM3A==" saltValue="c1wOZzWXIROWYxtkXT9HwA=="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R2&amp;L1/3/2023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5"/>
  <sheetViews>
    <sheetView view="pageBreakPreview" zoomScaleNormal="100" zoomScaleSheetLayoutView="100" workbookViewId="0">
      <selection activeCell="B7" sqref="B7"/>
    </sheetView>
  </sheetViews>
  <sheetFormatPr defaultColWidth="9.140625" defaultRowHeight="15" x14ac:dyDescent="0.25"/>
  <cols>
    <col min="1" max="1" width="17.28515625" customWidth="1"/>
    <col min="2" max="3" width="15.7109375" customWidth="1"/>
    <col min="4" max="4" width="54.7109375" bestFit="1" customWidth="1"/>
    <col min="11" max="14" width="9.42578125" bestFit="1" customWidth="1"/>
  </cols>
  <sheetData>
    <row r="1" spans="1:11" ht="18.75" x14ac:dyDescent="0.3">
      <c r="A1" s="66" t="s">
        <v>136</v>
      </c>
      <c r="B1" s="42"/>
      <c r="C1" s="43"/>
      <c r="H1" s="42"/>
    </row>
    <row r="2" spans="1:11" x14ac:dyDescent="0.25">
      <c r="A2" s="41" t="s">
        <v>120</v>
      </c>
      <c r="B2" s="451" t="s">
        <v>320</v>
      </c>
      <c r="C2" s="43"/>
      <c r="H2" s="43"/>
    </row>
    <row r="3" spans="1:11" x14ac:dyDescent="0.25">
      <c r="A3" s="41" t="s">
        <v>137</v>
      </c>
      <c r="B3" s="452" t="s">
        <v>749</v>
      </c>
      <c r="C3" s="54"/>
      <c r="H3" s="43"/>
    </row>
    <row r="4" spans="1:11" x14ac:dyDescent="0.25">
      <c r="A4" s="56" t="s">
        <v>127</v>
      </c>
      <c r="B4" s="54">
        <v>2021</v>
      </c>
      <c r="C4" s="54"/>
      <c r="H4" s="43"/>
    </row>
    <row r="5" spans="1:11" x14ac:dyDescent="0.25">
      <c r="A5" s="56" t="s">
        <v>122</v>
      </c>
      <c r="B5" s="448" t="s">
        <v>294</v>
      </c>
      <c r="C5" s="43"/>
      <c r="H5" s="43"/>
    </row>
    <row r="6" spans="1:11" x14ac:dyDescent="0.25">
      <c r="A6" s="41" t="s">
        <v>128</v>
      </c>
      <c r="B6" s="450">
        <v>44854</v>
      </c>
      <c r="C6" s="43"/>
      <c r="H6" s="43"/>
    </row>
    <row r="7" spans="1:11" x14ac:dyDescent="0.25">
      <c r="A7" s="41"/>
      <c r="B7" s="55"/>
      <c r="C7" s="43"/>
      <c r="H7" s="43"/>
    </row>
    <row r="8" spans="1:11" x14ac:dyDescent="0.25">
      <c r="A8" s="41"/>
      <c r="B8" s="47"/>
      <c r="C8" s="43"/>
      <c r="H8" s="43"/>
    </row>
    <row r="9" spans="1:11" x14ac:dyDescent="0.25">
      <c r="A9" s="218"/>
      <c r="B9" s="218">
        <v>1</v>
      </c>
      <c r="C9" s="218">
        <v>2</v>
      </c>
      <c r="D9" s="218">
        <v>3</v>
      </c>
      <c r="E9" s="43"/>
      <c r="H9" s="42"/>
    </row>
    <row r="10" spans="1:11" ht="45" x14ac:dyDescent="0.25">
      <c r="A10" s="222" t="s">
        <v>59</v>
      </c>
      <c r="B10" s="615" t="s">
        <v>138</v>
      </c>
      <c r="C10" s="615" t="s">
        <v>139</v>
      </c>
      <c r="D10" s="223" t="s">
        <v>119</v>
      </c>
      <c r="E10" s="45"/>
      <c r="H10" s="44"/>
    </row>
    <row r="11" spans="1:11" x14ac:dyDescent="0.25">
      <c r="A11" s="219">
        <v>1</v>
      </c>
      <c r="B11" s="614">
        <v>0.51516606024523603</v>
      </c>
      <c r="C11" s="616">
        <v>1.7040300096297394</v>
      </c>
      <c r="D11" s="220" t="s">
        <v>17</v>
      </c>
      <c r="E11" s="45"/>
      <c r="I11" s="42"/>
      <c r="J11" s="42"/>
      <c r="K11" s="42"/>
    </row>
    <row r="12" spans="1:11" x14ac:dyDescent="0.25">
      <c r="A12" s="219">
        <v>2.1</v>
      </c>
      <c r="B12" s="614">
        <v>0.49642851354661766</v>
      </c>
      <c r="C12" s="616">
        <v>1.2313835016781414</v>
      </c>
      <c r="D12" s="220" t="s">
        <v>9</v>
      </c>
      <c r="E12" s="45"/>
      <c r="I12" s="42"/>
      <c r="J12" s="42"/>
      <c r="K12" s="42"/>
    </row>
    <row r="13" spans="1:11" x14ac:dyDescent="0.25">
      <c r="A13" s="219">
        <v>3</v>
      </c>
      <c r="B13" s="614">
        <v>0.47510354758054174</v>
      </c>
      <c r="C13" s="616">
        <v>2.8248039649956782</v>
      </c>
      <c r="D13" s="220" t="s">
        <v>44</v>
      </c>
      <c r="E13" s="45"/>
      <c r="I13" s="42"/>
      <c r="J13" s="42"/>
      <c r="K13" s="42"/>
    </row>
    <row r="14" spans="1:11" x14ac:dyDescent="0.25">
      <c r="A14" s="219">
        <v>4</v>
      </c>
      <c r="B14" s="614">
        <v>0.52182970801271056</v>
      </c>
      <c r="C14" s="616">
        <v>1.3010095886105004</v>
      </c>
      <c r="D14" s="220" t="s">
        <v>45</v>
      </c>
      <c r="E14" s="45"/>
      <c r="I14" s="42"/>
      <c r="J14" s="42"/>
      <c r="K14" s="42"/>
    </row>
    <row r="15" spans="1:11" x14ac:dyDescent="0.25">
      <c r="A15" s="219">
        <v>5</v>
      </c>
      <c r="B15" s="614">
        <v>0.48392631846747231</v>
      </c>
      <c r="C15" s="616">
        <v>2.0377358580832317</v>
      </c>
      <c r="D15" s="220" t="s">
        <v>124</v>
      </c>
      <c r="E15" s="45"/>
      <c r="I15" s="42"/>
      <c r="J15" s="42"/>
      <c r="K15" s="42"/>
    </row>
    <row r="16" spans="1:11" x14ac:dyDescent="0.25">
      <c r="A16" s="219">
        <v>5.0999999999999996</v>
      </c>
      <c r="B16" s="614">
        <v>0.48502164469252623</v>
      </c>
      <c r="C16" s="616">
        <v>1.0191601205006116</v>
      </c>
      <c r="D16" s="220" t="s">
        <v>43</v>
      </c>
      <c r="E16" s="45"/>
      <c r="I16" s="42"/>
      <c r="J16" s="42"/>
      <c r="K16" s="42"/>
    </row>
    <row r="17" spans="1:11" x14ac:dyDescent="0.25">
      <c r="A17" s="219">
        <v>5.2</v>
      </c>
      <c r="B17" s="614">
        <v>0.48202380222454394</v>
      </c>
      <c r="C17" s="616">
        <v>3.3123146730476747</v>
      </c>
      <c r="D17" s="220" t="s">
        <v>42</v>
      </c>
      <c r="E17" s="45"/>
      <c r="I17" s="42"/>
      <c r="J17" s="42"/>
      <c r="K17" s="42"/>
    </row>
    <row r="18" spans="1:11" x14ac:dyDescent="0.25">
      <c r="A18" s="219">
        <v>9</v>
      </c>
      <c r="B18" s="614">
        <v>0.27369996801304597</v>
      </c>
      <c r="C18" s="616">
        <v>0.60770239313748553</v>
      </c>
      <c r="D18" s="220" t="s">
        <v>20</v>
      </c>
      <c r="E18" s="45"/>
      <c r="I18" s="42"/>
      <c r="J18" s="42"/>
      <c r="K18" s="42"/>
    </row>
    <row r="19" spans="1:11" x14ac:dyDescent="0.25">
      <c r="A19" s="219">
        <v>11</v>
      </c>
      <c r="B19" s="614">
        <v>0.51579067986210736</v>
      </c>
      <c r="C19" s="616">
        <v>3.7595937759163247</v>
      </c>
      <c r="D19" t="s">
        <v>21</v>
      </c>
      <c r="E19" s="45"/>
      <c r="I19" s="42"/>
      <c r="J19" s="42"/>
      <c r="K19" s="42"/>
    </row>
    <row r="20" spans="1:11" x14ac:dyDescent="0.25">
      <c r="A20" s="219">
        <v>11.1</v>
      </c>
      <c r="B20" s="614">
        <v>0.65070208019710307</v>
      </c>
      <c r="C20" s="616">
        <v>5.681739994784329</v>
      </c>
      <c r="D20" t="s">
        <v>47</v>
      </c>
      <c r="E20" s="45"/>
      <c r="I20" s="42"/>
      <c r="J20" s="42"/>
      <c r="K20" s="42"/>
    </row>
    <row r="21" spans="1:11" x14ac:dyDescent="0.25">
      <c r="A21" s="219">
        <v>11.2</v>
      </c>
      <c r="B21" s="614">
        <v>0.47360440103971485</v>
      </c>
      <c r="C21" s="616">
        <v>3.1834079401988218</v>
      </c>
      <c r="D21" t="s">
        <v>46</v>
      </c>
      <c r="E21" s="45"/>
      <c r="I21" s="42"/>
      <c r="J21" s="42"/>
      <c r="K21" s="42"/>
    </row>
    <row r="22" spans="1:11" x14ac:dyDescent="0.25">
      <c r="A22" s="219" t="s">
        <v>328</v>
      </c>
      <c r="B22" s="614">
        <v>0.51579067986210736</v>
      </c>
      <c r="C22" s="616">
        <v>3.7595937759163247</v>
      </c>
      <c r="D22" s="6" t="s">
        <v>326</v>
      </c>
      <c r="E22" s="45"/>
      <c r="I22" s="42"/>
      <c r="J22" s="42"/>
      <c r="K22" s="42"/>
    </row>
    <row r="23" spans="1:11" x14ac:dyDescent="0.25">
      <c r="A23" s="219" t="s">
        <v>329</v>
      </c>
      <c r="B23" s="614">
        <v>0.65070208019710307</v>
      </c>
      <c r="C23" s="616">
        <v>5.681739994784329</v>
      </c>
      <c r="D23" s="6" t="s">
        <v>327</v>
      </c>
      <c r="E23" s="45"/>
      <c r="I23" s="42"/>
      <c r="J23" s="42"/>
      <c r="K23" s="42"/>
    </row>
    <row r="24" spans="1:11" x14ac:dyDescent="0.25">
      <c r="A24" s="219" t="s">
        <v>330</v>
      </c>
      <c r="B24" s="614">
        <v>0.47360440103971485</v>
      </c>
      <c r="C24" s="616">
        <v>3.1834079401988218</v>
      </c>
      <c r="D24" s="6" t="s">
        <v>324</v>
      </c>
      <c r="E24" s="45"/>
      <c r="I24" s="42"/>
      <c r="J24" s="42"/>
      <c r="K24" s="42"/>
    </row>
    <row r="25" spans="1:11" x14ac:dyDescent="0.25">
      <c r="A25" s="219">
        <v>12</v>
      </c>
      <c r="B25" s="614">
        <v>0.48451621817511087</v>
      </c>
      <c r="C25" s="616">
        <v>1</v>
      </c>
      <c r="D25" t="s">
        <v>14</v>
      </c>
      <c r="E25" s="45"/>
      <c r="I25" s="42"/>
      <c r="J25" s="42"/>
      <c r="K25" s="42"/>
    </row>
    <row r="26" spans="1:11" x14ac:dyDescent="0.25">
      <c r="A26" s="219" t="s">
        <v>331</v>
      </c>
      <c r="B26" s="614">
        <v>0.48451621817511087</v>
      </c>
      <c r="C26" s="616">
        <v>1</v>
      </c>
      <c r="D26" s="6" t="s">
        <v>325</v>
      </c>
      <c r="E26" s="45"/>
      <c r="I26" s="42"/>
      <c r="J26" s="42"/>
      <c r="K26" s="42"/>
    </row>
    <row r="27" spans="1:11" x14ac:dyDescent="0.25">
      <c r="A27" s="219">
        <v>17</v>
      </c>
      <c r="B27" s="614">
        <v>0.58528819990434822</v>
      </c>
      <c r="C27" s="616">
        <v>2.9111888031361275</v>
      </c>
      <c r="D27" t="s">
        <v>23</v>
      </c>
      <c r="E27" s="45"/>
      <c r="I27" s="42"/>
      <c r="J27" s="42"/>
      <c r="K27" s="42"/>
    </row>
    <row r="28" spans="1:11" x14ac:dyDescent="0.25">
      <c r="A28" s="219">
        <v>17.100000000000001</v>
      </c>
      <c r="B28" s="614">
        <v>0.55295503184862405</v>
      </c>
      <c r="C28" s="616">
        <v>3.3465701709731945</v>
      </c>
      <c r="D28" t="s">
        <v>49</v>
      </c>
      <c r="E28" s="45"/>
      <c r="I28" s="42"/>
      <c r="J28" s="42"/>
      <c r="K28" s="42"/>
    </row>
    <row r="29" spans="1:11" x14ac:dyDescent="0.25">
      <c r="A29" s="219">
        <v>17.2</v>
      </c>
      <c r="B29" s="614">
        <v>0.61792808944924293</v>
      </c>
      <c r="C29" s="616">
        <v>2.3649617288307461</v>
      </c>
      <c r="D29" t="s">
        <v>48</v>
      </c>
      <c r="E29" s="45"/>
      <c r="I29" s="42"/>
      <c r="J29" s="42"/>
      <c r="K29" s="42"/>
    </row>
    <row r="30" spans="1:11" x14ac:dyDescent="0.25">
      <c r="A30" s="219">
        <v>18</v>
      </c>
      <c r="B30" s="614">
        <v>0.51413510474410018</v>
      </c>
      <c r="C30" s="616">
        <v>4.8877985793418555</v>
      </c>
      <c r="D30" t="s">
        <v>24</v>
      </c>
      <c r="E30" s="45"/>
      <c r="I30" s="42"/>
      <c r="J30" s="42"/>
      <c r="K30" s="42"/>
    </row>
    <row r="31" spans="1:11" x14ac:dyDescent="0.25">
      <c r="A31" s="219">
        <v>18.100000000000001</v>
      </c>
      <c r="B31" s="614">
        <v>0.51359746993608479</v>
      </c>
      <c r="C31" s="616">
        <v>4.9315489105475434</v>
      </c>
      <c r="D31" t="s">
        <v>53</v>
      </c>
      <c r="E31" s="45"/>
      <c r="I31" s="42"/>
      <c r="J31" s="42"/>
      <c r="K31" s="42"/>
    </row>
    <row r="32" spans="1:11" x14ac:dyDescent="0.25">
      <c r="A32" s="219">
        <v>18.2</v>
      </c>
      <c r="B32" s="614">
        <v>0.51671347366223186</v>
      </c>
      <c r="C32" s="616">
        <v>4.5326794212049251</v>
      </c>
      <c r="D32" t="s">
        <v>52</v>
      </c>
      <c r="E32" s="45"/>
      <c r="I32" s="42"/>
      <c r="J32" s="42"/>
      <c r="K32" s="42"/>
    </row>
    <row r="33" spans="1:14" x14ac:dyDescent="0.25">
      <c r="A33" s="219">
        <v>19.2</v>
      </c>
      <c r="B33" s="614">
        <v>0.32027023269708416</v>
      </c>
      <c r="C33" s="616">
        <v>1.3266740292453059</v>
      </c>
      <c r="D33" t="s">
        <v>50</v>
      </c>
      <c r="E33" s="45"/>
      <c r="I33" s="42"/>
      <c r="J33" s="42"/>
      <c r="K33" s="42"/>
    </row>
    <row r="34" spans="1:14" x14ac:dyDescent="0.25">
      <c r="A34" s="219">
        <v>19.399999999999999</v>
      </c>
      <c r="B34" s="614">
        <v>0.41925110530461207</v>
      </c>
      <c r="C34" s="616">
        <v>1.9240568199838088</v>
      </c>
      <c r="D34" t="s">
        <v>39</v>
      </c>
      <c r="E34" s="45"/>
      <c r="I34" s="42"/>
      <c r="J34" s="42"/>
      <c r="K34" s="42"/>
    </row>
    <row r="35" spans="1:14" x14ac:dyDescent="0.25">
      <c r="A35" s="219">
        <v>21.1</v>
      </c>
      <c r="B35" s="614">
        <v>0.32682025394820319</v>
      </c>
      <c r="C35" s="616">
        <v>9.1896214076458593E-2</v>
      </c>
      <c r="D35" t="s">
        <v>51</v>
      </c>
      <c r="E35" s="45"/>
      <c r="I35" s="42"/>
      <c r="J35" s="42"/>
      <c r="K35" s="42"/>
    </row>
    <row r="36" spans="1:14" x14ac:dyDescent="0.25">
      <c r="A36" s="219">
        <v>21.2</v>
      </c>
      <c r="B36" s="614">
        <v>0.43261817958907034</v>
      </c>
      <c r="C36" s="616">
        <v>0.37318993704908698</v>
      </c>
      <c r="D36" t="s">
        <v>40</v>
      </c>
      <c r="E36" s="45"/>
      <c r="I36" s="42"/>
      <c r="J36" s="42"/>
      <c r="K36" s="42"/>
    </row>
    <row r="37" spans="1:14" x14ac:dyDescent="0.25">
      <c r="A37" s="219">
        <v>22</v>
      </c>
      <c r="B37" s="614">
        <v>0.37709210011505745</v>
      </c>
      <c r="C37" s="616">
        <v>1.6026870856101356</v>
      </c>
      <c r="D37" t="s">
        <v>8</v>
      </c>
      <c r="E37" s="45"/>
      <c r="I37" s="42"/>
      <c r="J37" s="42"/>
      <c r="K37" s="42"/>
    </row>
    <row r="38" spans="1:14" x14ac:dyDescent="0.25">
      <c r="A38" s="219">
        <v>23</v>
      </c>
      <c r="B38" s="614">
        <v>0.58938023445056631</v>
      </c>
      <c r="C38" s="616">
        <v>2.5123822430454048</v>
      </c>
      <c r="D38" t="s">
        <v>16</v>
      </c>
      <c r="E38" s="45"/>
      <c r="I38" s="42"/>
      <c r="J38" s="42"/>
      <c r="K38" s="42"/>
    </row>
    <row r="39" spans="1:14" x14ac:dyDescent="0.25">
      <c r="A39" s="219">
        <v>24</v>
      </c>
      <c r="B39" s="614">
        <v>0.60731910332732419</v>
      </c>
      <c r="C39" s="616">
        <v>5.2003348914235596</v>
      </c>
      <c r="D39" t="s">
        <v>25</v>
      </c>
      <c r="E39" s="45"/>
      <c r="I39" s="42"/>
      <c r="J39" s="42"/>
      <c r="K39" s="42"/>
    </row>
    <row r="40" spans="1:14" x14ac:dyDescent="0.25">
      <c r="A40" s="221">
        <v>26</v>
      </c>
      <c r="B40" s="614">
        <v>0.57014870884824997</v>
      </c>
      <c r="C40" s="616">
        <v>1.0071134162229891</v>
      </c>
      <c r="D40" t="s">
        <v>13</v>
      </c>
      <c r="E40" s="45"/>
      <c r="I40" s="42"/>
      <c r="J40" s="42"/>
      <c r="K40" s="42"/>
    </row>
    <row r="41" spans="1:14" x14ac:dyDescent="0.25">
      <c r="A41" s="221">
        <v>27</v>
      </c>
      <c r="B41" s="614">
        <v>0.55307831943034702</v>
      </c>
      <c r="C41" s="616">
        <v>2.7802793379072308</v>
      </c>
      <c r="D41" t="s">
        <v>12</v>
      </c>
      <c r="E41" s="45"/>
      <c r="I41" s="42"/>
      <c r="J41" s="42"/>
      <c r="K41" s="42"/>
    </row>
    <row r="42" spans="1:14" x14ac:dyDescent="0.25">
      <c r="H42" s="42"/>
    </row>
    <row r="45" spans="1:14" x14ac:dyDescent="0.25">
      <c r="I45" s="42"/>
      <c r="J45" s="42"/>
      <c r="K45" s="42"/>
      <c r="L45" s="45"/>
      <c r="M45" s="45"/>
      <c r="N45" s="45"/>
    </row>
    <row r="46" spans="1:14" x14ac:dyDescent="0.25">
      <c r="E46" s="45"/>
      <c r="I46" s="46"/>
      <c r="J46" s="46"/>
      <c r="K46" s="43"/>
      <c r="L46" s="43"/>
      <c r="M46" s="43"/>
      <c r="N46" s="43"/>
    </row>
    <row r="47" spans="1:14" x14ac:dyDescent="0.25">
      <c r="E47" s="45"/>
    </row>
    <row r="48" spans="1:14" x14ac:dyDescent="0.25">
      <c r="E48" s="45"/>
    </row>
    <row r="49" spans="5:6" x14ac:dyDescent="0.25">
      <c r="E49" s="45"/>
    </row>
    <row r="50" spans="5:6" x14ac:dyDescent="0.25">
      <c r="E50" s="45"/>
    </row>
    <row r="51" spans="5:6" x14ac:dyDescent="0.25">
      <c r="E51" s="45"/>
    </row>
    <row r="52" spans="5:6" x14ac:dyDescent="0.25">
      <c r="E52" s="45"/>
    </row>
    <row r="53" spans="5:6" x14ac:dyDescent="0.25">
      <c r="E53" s="45"/>
      <c r="F53" s="45"/>
    </row>
    <row r="54" spans="5:6" x14ac:dyDescent="0.25">
      <c r="E54" s="45"/>
      <c r="F54" s="45"/>
    </row>
    <row r="55" spans="5:6" x14ac:dyDescent="0.25">
      <c r="E55" s="45"/>
      <c r="F55" s="45"/>
    </row>
  </sheetData>
  <sheetProtection algorithmName="SHA-512" hashValue="bbT1fiQr+asetR/klnyVZcCWeIsuS1t0CV8h6+enlJnoKnWpoKCxN7IUAqGij62vS0nEXyVNIVT/dCLiuWLWYg==" saltValue="4Bi8pu7R6rulXPwoR/SSQQ=="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R3&amp;L1/3/2023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4"/>
  <sheetViews>
    <sheetView view="pageBreakPreview" zoomScaleNormal="100" zoomScaleSheetLayoutView="100" workbookViewId="0">
      <selection activeCell="B8" sqref="B8"/>
    </sheetView>
  </sheetViews>
  <sheetFormatPr defaultRowHeight="15" x14ac:dyDescent="0.25"/>
  <cols>
    <col min="1" max="1" width="17.28515625" customWidth="1"/>
    <col min="2" max="3" width="15.7109375" customWidth="1"/>
    <col min="4" max="4" width="55.42578125" bestFit="1" customWidth="1"/>
  </cols>
  <sheetData>
    <row r="1" spans="1:4" ht="18.75" x14ac:dyDescent="0.25">
      <c r="A1" s="67" t="s">
        <v>143</v>
      </c>
      <c r="B1" s="57"/>
      <c r="C1" s="65"/>
      <c r="D1" s="6"/>
    </row>
    <row r="2" spans="1:4" x14ac:dyDescent="0.25">
      <c r="A2" s="56" t="s">
        <v>120</v>
      </c>
      <c r="B2" s="451" t="s">
        <v>320</v>
      </c>
      <c r="C2" s="65"/>
      <c r="D2" s="6"/>
    </row>
    <row r="3" spans="1:4" x14ac:dyDescent="0.25">
      <c r="A3" s="56"/>
      <c r="B3" s="448" t="s">
        <v>280</v>
      </c>
      <c r="C3" s="65"/>
      <c r="D3" s="6"/>
    </row>
    <row r="4" spans="1:4" x14ac:dyDescent="0.25">
      <c r="A4" s="41" t="s">
        <v>135</v>
      </c>
      <c r="B4" s="449">
        <v>2022</v>
      </c>
      <c r="C4" s="65"/>
      <c r="D4" s="6"/>
    </row>
    <row r="5" spans="1:4" x14ac:dyDescent="0.25">
      <c r="A5" s="56" t="s">
        <v>127</v>
      </c>
      <c r="B5" s="54">
        <v>2021</v>
      </c>
      <c r="C5" s="65"/>
      <c r="D5" s="6"/>
    </row>
    <row r="6" spans="1:4" x14ac:dyDescent="0.25">
      <c r="A6" s="56" t="s">
        <v>122</v>
      </c>
      <c r="B6" s="448" t="s">
        <v>293</v>
      </c>
      <c r="C6" s="65"/>
      <c r="D6" s="6"/>
    </row>
    <row r="7" spans="1:4" x14ac:dyDescent="0.25">
      <c r="A7" s="56" t="s">
        <v>128</v>
      </c>
      <c r="B7" s="450">
        <v>44854</v>
      </c>
      <c r="C7" s="65"/>
      <c r="D7" s="6"/>
    </row>
    <row r="8" spans="1:4" x14ac:dyDescent="0.25">
      <c r="A8" s="56"/>
      <c r="B8" s="59"/>
      <c r="C8" s="65"/>
      <c r="D8" s="6"/>
    </row>
    <row r="9" spans="1:4" x14ac:dyDescent="0.25">
      <c r="A9" s="53"/>
      <c r="B9" s="53">
        <v>1</v>
      </c>
      <c r="C9" s="53">
        <v>2</v>
      </c>
      <c r="D9" s="53">
        <v>3</v>
      </c>
    </row>
    <row r="10" spans="1:4" ht="30" x14ac:dyDescent="0.25">
      <c r="A10" s="53" t="s">
        <v>59</v>
      </c>
      <c r="B10" s="68" t="s">
        <v>153</v>
      </c>
      <c r="C10" s="68" t="s">
        <v>154</v>
      </c>
      <c r="D10" s="68" t="s">
        <v>119</v>
      </c>
    </row>
    <row r="11" spans="1:4" x14ac:dyDescent="0.25">
      <c r="A11" s="48">
        <v>1</v>
      </c>
      <c r="B11" s="617">
        <v>11826158</v>
      </c>
      <c r="C11" s="617">
        <v>417095</v>
      </c>
      <c r="D11" s="49" t="s">
        <v>17</v>
      </c>
    </row>
    <row r="12" spans="1:4" x14ac:dyDescent="0.25">
      <c r="A12" s="48">
        <v>2.1</v>
      </c>
      <c r="B12" s="617">
        <v>13538386</v>
      </c>
      <c r="C12" s="617">
        <v>532833</v>
      </c>
      <c r="D12" s="49" t="s">
        <v>9</v>
      </c>
    </row>
    <row r="13" spans="1:4" x14ac:dyDescent="0.25">
      <c r="A13" s="48">
        <v>3</v>
      </c>
      <c r="B13" s="617">
        <v>3139891</v>
      </c>
      <c r="C13" s="617">
        <v>60771</v>
      </c>
      <c r="D13" s="49" t="s">
        <v>44</v>
      </c>
    </row>
    <row r="14" spans="1:4" x14ac:dyDescent="0.25">
      <c r="A14" s="48">
        <v>4</v>
      </c>
      <c r="B14" s="617">
        <v>78442342</v>
      </c>
      <c r="C14" s="617">
        <v>2519939</v>
      </c>
      <c r="D14" s="49" t="s">
        <v>45</v>
      </c>
    </row>
    <row r="15" spans="1:4" x14ac:dyDescent="0.25">
      <c r="A15" s="48">
        <v>5</v>
      </c>
      <c r="B15" s="540">
        <v>28993699</v>
      </c>
      <c r="C15" s="540">
        <v>3299910</v>
      </c>
      <c r="D15" s="49" t="s">
        <v>124</v>
      </c>
    </row>
    <row r="16" spans="1:4" x14ac:dyDescent="0.25">
      <c r="A16" s="48">
        <v>5.0999999999999996</v>
      </c>
      <c r="B16" s="617">
        <v>20744380</v>
      </c>
      <c r="C16" s="617">
        <v>720768</v>
      </c>
      <c r="D16" s="49" t="s">
        <v>43</v>
      </c>
    </row>
    <row r="17" spans="1:4" x14ac:dyDescent="0.25">
      <c r="A17" s="48">
        <v>5.2</v>
      </c>
      <c r="B17" s="617">
        <v>8249319</v>
      </c>
      <c r="C17" s="617">
        <v>2579142</v>
      </c>
      <c r="D17" s="49" t="s">
        <v>42</v>
      </c>
    </row>
    <row r="18" spans="1:4" x14ac:dyDescent="0.25">
      <c r="A18" s="48">
        <v>9</v>
      </c>
      <c r="B18" s="617">
        <v>13976435</v>
      </c>
      <c r="C18" s="617">
        <v>437124</v>
      </c>
      <c r="D18" s="49" t="s">
        <v>20</v>
      </c>
    </row>
    <row r="19" spans="1:4" x14ac:dyDescent="0.25">
      <c r="A19" s="48">
        <v>11</v>
      </c>
      <c r="B19" s="617">
        <v>5895978</v>
      </c>
      <c r="C19" s="617">
        <v>2315900</v>
      </c>
      <c r="D19" s="50" t="s">
        <v>21</v>
      </c>
    </row>
    <row r="20" spans="1:4" ht="17.25" x14ac:dyDescent="0.25">
      <c r="A20" s="48">
        <v>11.1</v>
      </c>
      <c r="B20" s="540">
        <v>5895978</v>
      </c>
      <c r="C20" s="540">
        <v>2315900</v>
      </c>
      <c r="D20" s="50" t="s">
        <v>145</v>
      </c>
    </row>
    <row r="21" spans="1:4" ht="17.25" x14ac:dyDescent="0.25">
      <c r="A21" s="48">
        <v>11.2</v>
      </c>
      <c r="B21" s="540">
        <v>5895978</v>
      </c>
      <c r="C21" s="540">
        <v>2315900</v>
      </c>
      <c r="D21" s="50" t="s">
        <v>146</v>
      </c>
    </row>
    <row r="22" spans="1:4" x14ac:dyDescent="0.25">
      <c r="A22" s="48" t="s">
        <v>328</v>
      </c>
      <c r="B22" s="540">
        <v>5895978</v>
      </c>
      <c r="C22" s="540">
        <v>2315900</v>
      </c>
      <c r="D22" s="63" t="s">
        <v>326</v>
      </c>
    </row>
    <row r="23" spans="1:4" ht="17.25" x14ac:dyDescent="0.25">
      <c r="A23" s="48" t="s">
        <v>329</v>
      </c>
      <c r="B23" s="540">
        <v>5895978</v>
      </c>
      <c r="C23" s="540">
        <v>2315900</v>
      </c>
      <c r="D23" s="63" t="s">
        <v>332</v>
      </c>
    </row>
    <row r="24" spans="1:4" ht="17.25" x14ac:dyDescent="0.25">
      <c r="A24" s="48" t="s">
        <v>330</v>
      </c>
      <c r="B24" s="540">
        <v>5895978</v>
      </c>
      <c r="C24" s="540">
        <v>2315900</v>
      </c>
      <c r="D24" s="63" t="s">
        <v>333</v>
      </c>
    </row>
    <row r="25" spans="1:4" x14ac:dyDescent="0.25">
      <c r="A25" s="48">
        <v>12</v>
      </c>
      <c r="B25" s="617">
        <v>104603</v>
      </c>
      <c r="C25" s="617">
        <v>10742</v>
      </c>
      <c r="D25" s="50" t="s">
        <v>14</v>
      </c>
    </row>
    <row r="26" spans="1:4" x14ac:dyDescent="0.25">
      <c r="A26" s="48" t="s">
        <v>331</v>
      </c>
      <c r="B26" s="540">
        <v>104603</v>
      </c>
      <c r="C26" s="540">
        <v>10742</v>
      </c>
      <c r="D26" s="63" t="s">
        <v>325</v>
      </c>
    </row>
    <row r="27" spans="1:4" x14ac:dyDescent="0.25">
      <c r="A27" s="48">
        <v>17</v>
      </c>
      <c r="B27" s="540">
        <v>56824021</v>
      </c>
      <c r="C27" s="540">
        <v>8982312</v>
      </c>
      <c r="D27" s="50" t="s">
        <v>23</v>
      </c>
    </row>
    <row r="28" spans="1:4" ht="17.25" x14ac:dyDescent="0.25">
      <c r="A28" s="48">
        <v>17.100000000000001</v>
      </c>
      <c r="B28" s="617">
        <v>36765600</v>
      </c>
      <c r="C28" s="617">
        <v>4961372</v>
      </c>
      <c r="D28" s="50" t="s">
        <v>147</v>
      </c>
    </row>
    <row r="29" spans="1:4" ht="17.25" x14ac:dyDescent="0.25">
      <c r="A29" s="48">
        <v>17.2</v>
      </c>
      <c r="B29" s="617">
        <v>20058421</v>
      </c>
      <c r="C29" s="617">
        <v>4020940</v>
      </c>
      <c r="D29" s="50" t="s">
        <v>148</v>
      </c>
    </row>
    <row r="30" spans="1:4" x14ac:dyDescent="0.25">
      <c r="A30" s="48">
        <v>18</v>
      </c>
      <c r="B30" s="617">
        <v>2276950</v>
      </c>
      <c r="C30" s="617">
        <v>1064052</v>
      </c>
      <c r="D30" s="50" t="s">
        <v>24</v>
      </c>
    </row>
    <row r="31" spans="1:4" ht="17.25" x14ac:dyDescent="0.25">
      <c r="A31" s="48">
        <v>18.100000000000001</v>
      </c>
      <c r="B31" s="540">
        <v>2276950</v>
      </c>
      <c r="C31" s="540">
        <v>1064052</v>
      </c>
      <c r="D31" s="50" t="s">
        <v>149</v>
      </c>
    </row>
    <row r="32" spans="1:4" ht="17.25" x14ac:dyDescent="0.25">
      <c r="A32" s="48">
        <v>18.2</v>
      </c>
      <c r="B32" s="540">
        <v>2276950</v>
      </c>
      <c r="C32" s="540">
        <v>1064052</v>
      </c>
      <c r="D32" s="50" t="s">
        <v>150</v>
      </c>
    </row>
    <row r="33" spans="1:4" x14ac:dyDescent="0.25">
      <c r="A33" s="48">
        <v>19.2</v>
      </c>
      <c r="B33" s="617">
        <v>87906944</v>
      </c>
      <c r="C33" s="617">
        <v>4620018</v>
      </c>
      <c r="D33" s="50" t="s">
        <v>50</v>
      </c>
    </row>
    <row r="34" spans="1:4" x14ac:dyDescent="0.25">
      <c r="A34" s="48">
        <v>19.399999999999999</v>
      </c>
      <c r="B34" s="617">
        <v>25462076</v>
      </c>
      <c r="C34" s="617">
        <v>2757956</v>
      </c>
      <c r="D34" s="50" t="s">
        <v>39</v>
      </c>
    </row>
    <row r="35" spans="1:4" x14ac:dyDescent="0.25">
      <c r="A35" s="48">
        <v>21.1</v>
      </c>
      <c r="B35" s="617">
        <v>76204554</v>
      </c>
      <c r="C35" s="617">
        <v>338826</v>
      </c>
      <c r="D35" s="50" t="s">
        <v>51</v>
      </c>
    </row>
    <row r="36" spans="1:4" x14ac:dyDescent="0.25">
      <c r="A36" s="48">
        <v>21.2</v>
      </c>
      <c r="B36" s="617">
        <v>6606599</v>
      </c>
      <c r="C36" s="617">
        <v>134860</v>
      </c>
      <c r="D36" s="50" t="s">
        <v>40</v>
      </c>
    </row>
    <row r="37" spans="1:4" x14ac:dyDescent="0.25">
      <c r="A37" s="48">
        <v>22</v>
      </c>
      <c r="B37" s="617">
        <v>1283943</v>
      </c>
      <c r="C37" s="617">
        <v>185169</v>
      </c>
      <c r="D37" s="50" t="s">
        <v>8</v>
      </c>
    </row>
    <row r="38" spans="1:4" x14ac:dyDescent="0.25">
      <c r="A38" s="48">
        <v>23</v>
      </c>
      <c r="B38" s="617">
        <v>391446</v>
      </c>
      <c r="C38" s="617">
        <v>12298</v>
      </c>
      <c r="D38" s="50" t="s">
        <v>16</v>
      </c>
    </row>
    <row r="39" spans="1:4" x14ac:dyDescent="0.25">
      <c r="A39" s="48">
        <v>24</v>
      </c>
      <c r="B39" s="617">
        <v>1249439</v>
      </c>
      <c r="C39" s="617">
        <v>174455</v>
      </c>
      <c r="D39" s="50" t="s">
        <v>25</v>
      </c>
    </row>
    <row r="40" spans="1:4" x14ac:dyDescent="0.25">
      <c r="A40" s="51">
        <v>26</v>
      </c>
      <c r="B40" s="617">
        <v>233734</v>
      </c>
      <c r="C40" s="617">
        <v>3202</v>
      </c>
      <c r="D40" s="50" t="s">
        <v>13</v>
      </c>
    </row>
    <row r="41" spans="1:4" x14ac:dyDescent="0.25">
      <c r="A41" s="51">
        <v>27</v>
      </c>
      <c r="B41" s="617">
        <v>825880</v>
      </c>
      <c r="C41" s="617">
        <v>-12244</v>
      </c>
      <c r="D41" s="50" t="s">
        <v>12</v>
      </c>
    </row>
    <row r="43" spans="1:4" ht="17.25" x14ac:dyDescent="0.25">
      <c r="A43" s="6" t="s">
        <v>151</v>
      </c>
    </row>
    <row r="44" spans="1:4" ht="17.25" customHeight="1" x14ac:dyDescent="0.25">
      <c r="A44" s="2" t="s">
        <v>152</v>
      </c>
    </row>
  </sheetData>
  <sheetProtection algorithmName="SHA-512" hashValue="vle3rCj3EK6N0u/t/V0lm7dyCXF49YBlB/lWsjUJoE9hTO/1VKn/cQI6leSFMKaYyBped+0WEO1V3oyhMY7yEg==" saltValue="spMdt4m5GYEa6OBv6mXMEg==" spinCount="100000" sheet="1" objects="1" scenarios="1" formatColumns="0" formatRows="0" sort="0"/>
  <pageMargins left="0.7" right="0.7" top="0.75" bottom="0.75" header="0.3" footer="0.3"/>
  <pageSetup scale="86" orientation="portrait" r:id="rId1"/>
  <headerFooter>
    <oddFooter>&amp;L1/3/2023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ColWidth="9.140625" defaultRowHeight="15" x14ac:dyDescent="0.25"/>
  <cols>
    <col min="1" max="1" width="26.42578125" customWidth="1"/>
    <col min="2" max="2" width="27.42578125" customWidth="1"/>
    <col min="3" max="3" width="15.7109375" customWidth="1"/>
    <col min="4" max="4" width="27.42578125" customWidth="1"/>
  </cols>
  <sheetData>
    <row r="1" spans="1:4" ht="18.75" x14ac:dyDescent="0.25">
      <c r="A1" s="67" t="s">
        <v>441</v>
      </c>
      <c r="B1" s="65"/>
      <c r="C1" s="57"/>
      <c r="D1" s="65"/>
    </row>
    <row r="2" spans="1:4" x14ac:dyDescent="0.25">
      <c r="A2" s="56" t="s">
        <v>120</v>
      </c>
      <c r="B2" s="451" t="s">
        <v>721</v>
      </c>
      <c r="C2" s="451"/>
      <c r="D2" s="65"/>
    </row>
    <row r="3" spans="1:4" x14ac:dyDescent="0.25">
      <c r="A3" s="41" t="s">
        <v>135</v>
      </c>
      <c r="B3" s="449">
        <v>2018</v>
      </c>
      <c r="C3" s="449"/>
      <c r="D3" s="65"/>
    </row>
    <row r="4" spans="1:4" x14ac:dyDescent="0.25">
      <c r="A4" s="56" t="s">
        <v>122</v>
      </c>
      <c r="B4" s="448" t="s">
        <v>293</v>
      </c>
      <c r="C4" s="448"/>
      <c r="D4" s="65"/>
    </row>
    <row r="5" spans="1:4" x14ac:dyDescent="0.25">
      <c r="A5" s="56" t="s">
        <v>128</v>
      </c>
      <c r="B5" s="450">
        <v>43154</v>
      </c>
      <c r="C5" s="450"/>
      <c r="D5" s="65"/>
    </row>
    <row r="6" spans="1:4" x14ac:dyDescent="0.25">
      <c r="A6" s="554"/>
      <c r="B6" s="554"/>
      <c r="C6" s="554"/>
      <c r="D6" s="554"/>
    </row>
    <row r="7" spans="1:4" ht="15.75" thickBot="1" x14ac:dyDescent="0.3">
      <c r="A7" s="56"/>
      <c r="B7" s="342">
        <v>1</v>
      </c>
      <c r="C7" s="342"/>
      <c r="D7" s="342"/>
    </row>
    <row r="8" spans="1:4" ht="15.75" thickBot="1" x14ac:dyDescent="0.3">
      <c r="A8" s="556"/>
      <c r="B8" s="557" t="s">
        <v>721</v>
      </c>
      <c r="C8" s="342"/>
      <c r="D8" s="342"/>
    </row>
    <row r="9" spans="1:4" ht="15.75" thickBot="1" x14ac:dyDescent="0.3">
      <c r="A9" s="545"/>
      <c r="B9" s="553">
        <v>0.21</v>
      </c>
      <c r="C9" s="569"/>
      <c r="D9" s="569"/>
    </row>
    <row r="10" spans="1:4" x14ac:dyDescent="0.25">
      <c r="A10" s="558" t="s">
        <v>448</v>
      </c>
      <c r="B10" s="559"/>
      <c r="C10" s="570"/>
      <c r="D10" s="571"/>
    </row>
    <row r="11" spans="1:4" x14ac:dyDescent="0.25">
      <c r="A11" s="560" t="s">
        <v>449</v>
      </c>
      <c r="B11" s="561">
        <v>0.21</v>
      </c>
      <c r="C11" s="571"/>
      <c r="D11" s="571"/>
    </row>
    <row r="12" spans="1:4" x14ac:dyDescent="0.25">
      <c r="A12" s="560" t="s">
        <v>450</v>
      </c>
      <c r="B12" s="561">
        <v>0.21</v>
      </c>
      <c r="C12" s="571"/>
      <c r="D12" s="571"/>
    </row>
    <row r="13" spans="1:4" x14ac:dyDescent="0.25">
      <c r="A13" s="560" t="s">
        <v>451</v>
      </c>
      <c r="B13" s="561">
        <v>0.21</v>
      </c>
      <c r="C13" s="571"/>
      <c r="D13" s="571"/>
    </row>
    <row r="14" spans="1:4" x14ac:dyDescent="0.25">
      <c r="A14" s="562" t="s">
        <v>452</v>
      </c>
      <c r="B14" s="561"/>
      <c r="C14" s="571"/>
      <c r="D14" s="571"/>
    </row>
    <row r="15" spans="1:4" x14ac:dyDescent="0.25">
      <c r="A15" s="560" t="s">
        <v>449</v>
      </c>
      <c r="B15" s="561">
        <v>0.21</v>
      </c>
      <c r="C15" s="571"/>
      <c r="D15" s="571"/>
    </row>
    <row r="16" spans="1:4" x14ac:dyDescent="0.25">
      <c r="A16" s="560" t="s">
        <v>450</v>
      </c>
      <c r="B16" s="561">
        <v>0.21</v>
      </c>
      <c r="C16" s="571"/>
      <c r="D16" s="571"/>
    </row>
    <row r="17" spans="1:4" x14ac:dyDescent="0.25">
      <c r="A17" s="560" t="s">
        <v>451</v>
      </c>
      <c r="B17" s="561">
        <v>0.21</v>
      </c>
      <c r="C17" s="571"/>
      <c r="D17" s="571"/>
    </row>
    <row r="18" spans="1:4" x14ac:dyDescent="0.25">
      <c r="A18" s="563" t="s">
        <v>453</v>
      </c>
      <c r="B18" s="561"/>
      <c r="C18" s="571"/>
      <c r="D18" s="571"/>
    </row>
    <row r="19" spans="1:4" x14ac:dyDescent="0.25">
      <c r="A19" s="560" t="s">
        <v>449</v>
      </c>
      <c r="B19" s="561">
        <f>0.25*21%</f>
        <v>5.2499999999999998E-2</v>
      </c>
      <c r="C19" s="571"/>
      <c r="D19" s="571"/>
    </row>
    <row r="20" spans="1:4" x14ac:dyDescent="0.25">
      <c r="A20" s="560" t="s">
        <v>450</v>
      </c>
      <c r="B20" s="561">
        <f>0.25*21%</f>
        <v>5.2499999999999998E-2</v>
      </c>
      <c r="C20" s="571"/>
      <c r="D20" s="571"/>
    </row>
    <row r="21" spans="1:4" x14ac:dyDescent="0.25">
      <c r="A21" s="560" t="s">
        <v>451</v>
      </c>
      <c r="B21" s="561">
        <f>0.25*21%</f>
        <v>5.2499999999999998E-2</v>
      </c>
      <c r="C21" s="571"/>
      <c r="D21" s="571"/>
    </row>
    <row r="22" spans="1:4" x14ac:dyDescent="0.25">
      <c r="A22" s="564" t="s">
        <v>455</v>
      </c>
      <c r="B22" s="561"/>
      <c r="C22" s="571"/>
      <c r="D22" s="571"/>
    </row>
    <row r="23" spans="1:4" x14ac:dyDescent="0.25">
      <c r="A23" s="560" t="s">
        <v>456</v>
      </c>
      <c r="B23" s="561">
        <v>0.13125000000000001</v>
      </c>
      <c r="C23" s="571"/>
      <c r="D23" s="571"/>
    </row>
    <row r="24" spans="1:4" ht="14.25" customHeight="1" x14ac:dyDescent="0.25">
      <c r="A24" s="560" t="s">
        <v>457</v>
      </c>
      <c r="B24" s="561">
        <v>0.21</v>
      </c>
      <c r="C24" s="571"/>
      <c r="D24" s="571"/>
    </row>
    <row r="25" spans="1:4" x14ac:dyDescent="0.25">
      <c r="A25" s="563" t="s">
        <v>459</v>
      </c>
      <c r="B25" s="561">
        <v>0.13125000000000001</v>
      </c>
      <c r="C25" s="571"/>
      <c r="D25" s="571"/>
    </row>
    <row r="26" spans="1:4" x14ac:dyDescent="0.25">
      <c r="A26" s="563" t="s">
        <v>461</v>
      </c>
      <c r="B26" s="561">
        <v>0.21</v>
      </c>
      <c r="C26" s="571"/>
      <c r="D26" s="571"/>
    </row>
    <row r="27" spans="1:4" x14ac:dyDescent="0.25">
      <c r="A27" s="563" t="s">
        <v>463</v>
      </c>
      <c r="B27" s="561">
        <v>0.21</v>
      </c>
      <c r="C27" s="571"/>
      <c r="D27" s="571"/>
    </row>
    <row r="28" spans="1:4" x14ac:dyDescent="0.25">
      <c r="A28" s="563" t="s">
        <v>465</v>
      </c>
      <c r="B28" s="561">
        <v>0.21</v>
      </c>
      <c r="C28" s="571"/>
      <c r="D28" s="571"/>
    </row>
    <row r="29" spans="1:4" x14ac:dyDescent="0.25">
      <c r="A29" s="563" t="s">
        <v>467</v>
      </c>
      <c r="B29" s="561"/>
      <c r="C29" s="571"/>
      <c r="D29" s="571"/>
    </row>
    <row r="30" spans="1:4" x14ac:dyDescent="0.25">
      <c r="A30" s="560" t="s">
        <v>456</v>
      </c>
      <c r="B30" s="561">
        <v>0.13125000000000001</v>
      </c>
      <c r="C30" s="571"/>
      <c r="D30" s="571"/>
    </row>
    <row r="31" spans="1:4" x14ac:dyDescent="0.25">
      <c r="A31" s="560" t="s">
        <v>457</v>
      </c>
      <c r="B31" s="561">
        <v>0.21</v>
      </c>
      <c r="C31" s="571"/>
      <c r="D31" s="571"/>
    </row>
    <row r="32" spans="1:4" ht="15.75" thickBot="1" x14ac:dyDescent="0.3">
      <c r="A32" s="565" t="s">
        <v>469</v>
      </c>
      <c r="B32" s="566"/>
      <c r="C32" s="571"/>
      <c r="D32" s="571"/>
    </row>
    <row r="33" spans="1:4" ht="16.5" thickTop="1" thickBot="1" x14ac:dyDescent="0.3">
      <c r="A33" s="567" t="s">
        <v>728</v>
      </c>
      <c r="B33" s="568">
        <v>0.21</v>
      </c>
      <c r="C33" s="572"/>
      <c r="D33" s="572"/>
    </row>
    <row r="34" spans="1:4" x14ac:dyDescent="0.25">
      <c r="A34" s="219"/>
      <c r="B34" s="544"/>
      <c r="C34" s="544"/>
      <c r="D34" s="544"/>
    </row>
    <row r="35" spans="1:4" x14ac:dyDescent="0.25">
      <c r="A35" s="219"/>
      <c r="B35" s="544"/>
      <c r="C35" s="544"/>
      <c r="D35" s="544"/>
    </row>
    <row r="36" spans="1:4" x14ac:dyDescent="0.25">
      <c r="A36" s="219"/>
      <c r="B36" s="544"/>
      <c r="C36" s="544"/>
      <c r="D36" s="544"/>
    </row>
    <row r="37" spans="1:4" x14ac:dyDescent="0.25">
      <c r="A37" s="221"/>
      <c r="B37" s="544"/>
      <c r="C37" s="544"/>
      <c r="D37" s="544"/>
    </row>
    <row r="38" spans="1:4" x14ac:dyDescent="0.25">
      <c r="A38" s="221"/>
      <c r="B38" s="544"/>
      <c r="C38" s="544"/>
      <c r="D38" s="544"/>
    </row>
    <row r="40" spans="1:4" x14ac:dyDescent="0.25">
      <c r="A40" s="6"/>
    </row>
    <row r="41" spans="1:4" ht="17.25" customHeight="1" x14ac:dyDescent="0.25">
      <c r="A41" s="2"/>
    </row>
  </sheetData>
  <sheetProtection algorithmName="SHA-512" hashValue="LkbeE8VfEteHwQqBtajs3BAr5GzeXgV32iFJJb/l4ozz/esGPJ4RxUtV3CpHB2p4QakFT6Jt/3XX485iO7PD3g==" saltValue="ghDRtBDdvMxDcSS1mXqi4A==" spinCount="100000" sheet="1" objects="1" scenarios="1" formatColumns="0" formatRows="0" sort="0"/>
  <pageMargins left="0.7" right="0.7" top="0.75" bottom="0.75" header="0.3" footer="0.3"/>
  <pageSetup scale="93" orientation="portrait" r:id="rId1"/>
  <headerFooter>
    <oddFooter>&amp;L1/3/2023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969</vt:i4>
      </vt:variant>
    </vt:vector>
  </HeadingPairs>
  <TitlesOfParts>
    <vt:vector size="1007"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8.1LCM Calculation</vt:lpstr>
      <vt:lpstr>8.2LCM Calculation</vt:lpstr>
      <vt:lpstr>8.3LCM Calculation</vt:lpstr>
      <vt:lpstr>8.4LCM Calculation</vt:lpstr>
      <vt:lpstr>8.5LCM Calculation</vt:lpstr>
      <vt:lpstr>8.6LCM Calculation</vt:lpstr>
      <vt:lpstr>8.7LCM Calculation</vt:lpstr>
      <vt:lpstr>8.8LCM Calculation</vt:lpstr>
      <vt:lpstr>8.9LCM Calculation</vt:lpstr>
      <vt:lpstr>8.10LCM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New_Insurer_Group</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Laura Campbell</cp:lastModifiedBy>
  <cp:lastPrinted>2022-12-23T23:59:49Z</cp:lastPrinted>
  <dcterms:created xsi:type="dcterms:W3CDTF">2014-04-24T17:59:28Z</dcterms:created>
  <dcterms:modified xsi:type="dcterms:W3CDTF">2023-12-21T16:21:19Z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2023-02-01T22:01:04Z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49c205c8-4b80-4ca8-b1f7-a3f88826ab46</vt:lpwstr>
  </property>
  <property fmtid="{D5CDD505-2E9C-101B-9397-08002B2CF9AE}" pid="8" name="MSIP_Label_261ecbe3-7ba9-4124-b9d7-ffd820687beb_ContentBits">
    <vt:lpwstr>0</vt:lpwstr>
  </property>
</Properties>
</file>